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 tabRatio="930" activeTab="5"/>
  </bookViews>
  <sheets>
    <sheet name="eff all" sheetId="59" r:id="rId1"/>
    <sheet name="Report1" sheetId="48" r:id="rId2"/>
    <sheet name="GRAFIK" sheetId="50" r:id="rId3"/>
    <sheet name="Listrik" sheetId="45" r:id="rId4"/>
    <sheet name="Trim Rwd" sheetId="47" r:id="rId5"/>
    <sheet name="Efficiency1" sheetId="46" r:id="rId6"/>
    <sheet name="Efficiency2" sheetId="58" r:id="rId7"/>
    <sheet name="BB" sheetId="2" r:id="rId8"/>
    <sheet name="Chem" sheetId="1" r:id="rId9"/>
    <sheet name="RBP" sheetId="55" r:id="rId10"/>
    <sheet name="Sheet1" sheetId="54" r:id="rId11"/>
    <sheet name="summary" sheetId="53" r:id="rId12"/>
    <sheet name="31" sheetId="43" r:id="rId13"/>
    <sheet name="30" sheetId="4" r:id="rId14"/>
    <sheet name="29" sheetId="37" r:id="rId15"/>
    <sheet name="28" sheetId="6" r:id="rId16"/>
    <sheet name="27" sheetId="7" r:id="rId17"/>
    <sheet name="26" sheetId="8" r:id="rId18"/>
    <sheet name="25" sheetId="9" r:id="rId19"/>
    <sheet name="24" sheetId="10" r:id="rId20"/>
    <sheet name="23" sheetId="11" r:id="rId21"/>
    <sheet name="22" sheetId="12" r:id="rId22"/>
    <sheet name="21" sheetId="13" r:id="rId23"/>
    <sheet name="20" sheetId="14" r:id="rId24"/>
    <sheet name="19" sheetId="15" r:id="rId25"/>
    <sheet name="18" sheetId="16" r:id="rId26"/>
    <sheet name="17" sheetId="17" r:id="rId27"/>
    <sheet name="16" sheetId="18" r:id="rId28"/>
    <sheet name="15" sheetId="19" r:id="rId29"/>
    <sheet name="14" sheetId="20" r:id="rId30"/>
    <sheet name="13" sheetId="22" r:id="rId31"/>
    <sheet name="12" sheetId="21" r:id="rId32"/>
    <sheet name="11" sheetId="23" r:id="rId33"/>
    <sheet name="10" sheetId="24" r:id="rId34"/>
    <sheet name="9" sheetId="25" r:id="rId35"/>
    <sheet name="8" sheetId="26" r:id="rId36"/>
    <sheet name="7" sheetId="28" r:id="rId37"/>
    <sheet name="6" sheetId="27" r:id="rId38"/>
    <sheet name="5" sheetId="29" r:id="rId39"/>
    <sheet name="4" sheetId="30" r:id="rId40"/>
    <sheet name="3" sheetId="31" r:id="rId41"/>
    <sheet name="2" sheetId="32" r:id="rId42"/>
    <sheet name="1" sheetId="33" r:id="rId43"/>
  </sheets>
  <externalReferences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_xlnm._FilterDatabase" localSheetId="10" hidden="1">Sheet1!$C$1:$F$118</definedName>
    <definedName name="_xlnm.Print_Area" localSheetId="42">'1'!$A$2:$M$61</definedName>
    <definedName name="_xlnm.Print_Area" localSheetId="33">'10'!$A$2:$M$61</definedName>
    <definedName name="_xlnm.Print_Area" localSheetId="32">'11'!$A$2:$M$61</definedName>
    <definedName name="_xlnm.Print_Area" localSheetId="31">'12'!$A$2:$M$61</definedName>
    <definedName name="_xlnm.Print_Area" localSheetId="30">'13'!$A$1:$M$62</definedName>
    <definedName name="_xlnm.Print_Area" localSheetId="29">'14'!$A$1:$M$61</definedName>
    <definedName name="_xlnm.Print_Area" localSheetId="28">'15'!$A$1:$M$61</definedName>
    <definedName name="_xlnm.Print_Area" localSheetId="26">'17'!$A$1:$M$61</definedName>
    <definedName name="_xlnm.Print_Area" localSheetId="25">'18'!$A$1:$M$61</definedName>
    <definedName name="_xlnm.Print_Area" localSheetId="24">'19'!$A$1:$M$61</definedName>
    <definedName name="_xlnm.Print_Area" localSheetId="41">'2'!$A$2:$M$61</definedName>
    <definedName name="_xlnm.Print_Area" localSheetId="23">'20'!$A$1:$M$62</definedName>
    <definedName name="_xlnm.Print_Area" localSheetId="22">'21'!$A$1:$M$61</definedName>
    <definedName name="_xlnm.Print_Area" localSheetId="21">'22'!$A$1:$M$61</definedName>
    <definedName name="_xlnm.Print_Area" localSheetId="20">'23'!$A$1:$M$61</definedName>
    <definedName name="_xlnm.Print_Area" localSheetId="19">'24'!$A$1:$M$61</definedName>
    <definedName name="_xlnm.Print_Area" localSheetId="18">'25'!$A$1:$M$61</definedName>
    <definedName name="_xlnm.Print_Area" localSheetId="17">'26'!$A$1:$M$61</definedName>
    <definedName name="_xlnm.Print_Area" localSheetId="16">'27'!$A$1:$M$61</definedName>
    <definedName name="_xlnm.Print_Area" localSheetId="15">'28'!$A$1:$M$61</definedName>
    <definedName name="_xlnm.Print_Area" localSheetId="14">'29'!$A$1:$M$61</definedName>
    <definedName name="_xlnm.Print_Area" localSheetId="40">'3'!$A$1:$M$61</definedName>
    <definedName name="_xlnm.Print_Area" localSheetId="13">'30'!$A$1:$M$61</definedName>
    <definedName name="_xlnm.Print_Area" localSheetId="12">'31'!$A$1:$L$63</definedName>
    <definedName name="_xlnm.Print_Area" localSheetId="39">'4'!$A$1:$M$61</definedName>
    <definedName name="_xlnm.Print_Area" localSheetId="38">'5'!$A$1:$M$61</definedName>
    <definedName name="_xlnm.Print_Area" localSheetId="37">'6'!$A$2:$M$61</definedName>
    <definedName name="_xlnm.Print_Area" localSheetId="36">'7'!$A$2:$M$61</definedName>
    <definedName name="_xlnm.Print_Area" localSheetId="35">'8'!$A$2:$M$61</definedName>
    <definedName name="_xlnm.Print_Area" localSheetId="34">'9'!$A$1:$M$62</definedName>
    <definedName name="_xlnm.Print_Area" localSheetId="8">Chem!$CE$7:$CQ$16</definedName>
    <definedName name="_xlnm.Print_Area" localSheetId="0">'eff all'!$A$1:$Q$46</definedName>
    <definedName name="_xlnm.Print_Area" localSheetId="5">Efficiency1!$A$1:$AD$152</definedName>
    <definedName name="_xlnm.Print_Area" localSheetId="6">Efficiency2!$A$1:$AD$152</definedName>
    <definedName name="_xlnm.Print_Area" localSheetId="3">Listrik!$A$2:$AT$40</definedName>
    <definedName name="_xlnm.Print_Area" localSheetId="1">Report1!$A$3:$AE$41</definedName>
  </definedNames>
  <calcPr calcId="144525"/>
</workbook>
</file>

<file path=xl/calcChain.xml><?xml version="1.0" encoding="utf-8"?>
<calcChain xmlns="http://schemas.openxmlformats.org/spreadsheetml/2006/main">
  <c r="W138" i="46" l="1"/>
  <c r="W139" i="46"/>
  <c r="S136" i="46"/>
  <c r="Y145" i="46" l="1"/>
  <c r="AC146" i="58"/>
  <c r="W146" i="58"/>
  <c r="AC145" i="58"/>
  <c r="Y145" i="58"/>
  <c r="W145" i="58"/>
  <c r="AA145" i="58" s="1"/>
  <c r="AB145" i="58" s="1"/>
  <c r="Z142" i="58"/>
  <c r="W142" i="58"/>
  <c r="AC141" i="58"/>
  <c r="X141" i="58"/>
  <c r="W141" i="58"/>
  <c r="AA141" i="58" s="1"/>
  <c r="AB141" i="58" s="1"/>
  <c r="Z139" i="58"/>
  <c r="W139" i="58"/>
  <c r="Z138" i="58"/>
  <c r="W138" i="58"/>
  <c r="AC137" i="58"/>
  <c r="W137" i="58"/>
  <c r="X136" i="58" s="1"/>
  <c r="AC136" i="58"/>
  <c r="AA136" i="58"/>
  <c r="AB136" i="58" s="1"/>
  <c r="Z136" i="58"/>
  <c r="W136" i="58"/>
  <c r="AC134" i="58"/>
  <c r="Z134" i="58"/>
  <c r="W134" i="58"/>
  <c r="AC133" i="58"/>
  <c r="W133" i="58"/>
  <c r="AC132" i="58"/>
  <c r="Z132" i="58"/>
  <c r="W132" i="58"/>
  <c r="AA132" i="58" s="1"/>
  <c r="AB132" i="58" s="1"/>
  <c r="AC128" i="58"/>
  <c r="W128" i="58"/>
  <c r="Z126" i="58"/>
  <c r="W126" i="58"/>
  <c r="AC125" i="58"/>
  <c r="Z125" i="58"/>
  <c r="W125" i="58"/>
  <c r="AC124" i="58"/>
  <c r="Z124" i="58"/>
  <c r="AC121" i="58"/>
  <c r="W121" i="58"/>
  <c r="AC120" i="58"/>
  <c r="Z120" i="58"/>
  <c r="W120" i="58"/>
  <c r="AA120" i="58" s="1"/>
  <c r="AB120" i="58" s="1"/>
  <c r="AC116" i="58"/>
  <c r="W116" i="58"/>
  <c r="AC112" i="58"/>
  <c r="W112" i="58"/>
  <c r="AC111" i="58"/>
  <c r="W111" i="58"/>
  <c r="AC106" i="58"/>
  <c r="W106" i="58"/>
  <c r="AA106" i="58" s="1"/>
  <c r="AB106" i="58" s="1"/>
  <c r="AC102" i="58"/>
  <c r="W102" i="58"/>
  <c r="AA102" i="58" s="1"/>
  <c r="AB102" i="58" s="1"/>
  <c r="AC98" i="58"/>
  <c r="Z98" i="58"/>
  <c r="W98" i="58"/>
  <c r="AA98" i="58" s="1"/>
  <c r="AB98" i="58" s="1"/>
  <c r="AC94" i="58"/>
  <c r="AB94" i="58"/>
  <c r="AA94" i="58"/>
  <c r="Z94" i="58"/>
  <c r="W94" i="58"/>
  <c r="X94" i="58" s="1"/>
  <c r="AC90" i="58"/>
  <c r="AB90" i="58"/>
  <c r="AA90" i="58"/>
  <c r="X90" i="58"/>
  <c r="W90" i="58"/>
  <c r="AC87" i="58"/>
  <c r="W87" i="58"/>
  <c r="AC86" i="58"/>
  <c r="W86" i="58"/>
  <c r="AC85" i="58"/>
  <c r="AA85" i="58"/>
  <c r="AB85" i="58" s="1"/>
  <c r="X85" i="58"/>
  <c r="W85" i="58"/>
  <c r="AC81" i="58"/>
  <c r="W81" i="58"/>
  <c r="AC80" i="58"/>
  <c r="AB80" i="58"/>
  <c r="AA80" i="58"/>
  <c r="X80" i="58"/>
  <c r="W80" i="58"/>
  <c r="AC76" i="58"/>
  <c r="Z76" i="58"/>
  <c r="W76" i="58"/>
  <c r="AC75" i="58"/>
  <c r="Z75" i="58"/>
  <c r="AA75" i="58" s="1"/>
  <c r="AB75" i="58" s="1"/>
  <c r="X75" i="58"/>
  <c r="W75" i="58"/>
  <c r="AC72" i="58"/>
  <c r="W72" i="58"/>
  <c r="AC71" i="58"/>
  <c r="AB71" i="58"/>
  <c r="AA71" i="58"/>
  <c r="X71" i="58"/>
  <c r="W71" i="58"/>
  <c r="AC68" i="58"/>
  <c r="W68" i="58"/>
  <c r="AC67" i="58"/>
  <c r="W67" i="58"/>
  <c r="AC66" i="58"/>
  <c r="AA66" i="58"/>
  <c r="AB66" i="58" s="1"/>
  <c r="X66" i="58"/>
  <c r="W66" i="58"/>
  <c r="AC62" i="58"/>
  <c r="Z62" i="58"/>
  <c r="W62" i="58"/>
  <c r="AC61" i="58"/>
  <c r="W61" i="58"/>
  <c r="AC60" i="58"/>
  <c r="W60" i="58"/>
  <c r="AA60" i="58" s="1"/>
  <c r="AB60" i="58" s="1"/>
  <c r="AC56" i="58"/>
  <c r="Z56" i="58"/>
  <c r="W56" i="58"/>
  <c r="AC55" i="58"/>
  <c r="Z55" i="58"/>
  <c r="W55" i="58"/>
  <c r="AC54" i="58"/>
  <c r="X54" i="58"/>
  <c r="W54" i="58"/>
  <c r="AA54" i="58" s="1"/>
  <c r="AB54" i="58" s="1"/>
  <c r="AC49" i="58"/>
  <c r="AB49" i="58" s="1"/>
  <c r="AA49" i="58"/>
  <c r="Z49" i="58"/>
  <c r="X49" i="58"/>
  <c r="W49" i="58"/>
  <c r="W45" i="58"/>
  <c r="AA44" i="58" s="1"/>
  <c r="AB44" i="58" s="1"/>
  <c r="AC44" i="58"/>
  <c r="Z44" i="58"/>
  <c r="W44" i="58"/>
  <c r="X44" i="58" s="1"/>
  <c r="AC40" i="58"/>
  <c r="Z40" i="58"/>
  <c r="AA40" i="58" s="1"/>
  <c r="AB40" i="58" s="1"/>
  <c r="W40" i="58"/>
  <c r="X40" i="58" s="1"/>
  <c r="AC35" i="58"/>
  <c r="Z35" i="58"/>
  <c r="W35" i="58"/>
  <c r="AC34" i="58"/>
  <c r="AA34" i="58"/>
  <c r="AB34" i="58" s="1"/>
  <c r="Z34" i="58"/>
  <c r="W34" i="58"/>
  <c r="X34" i="58" s="1"/>
  <c r="AC30" i="58"/>
  <c r="Z30" i="58"/>
  <c r="AA30" i="58" s="1"/>
  <c r="AB30" i="58" s="1"/>
  <c r="W30" i="58"/>
  <c r="X30" i="58" s="1"/>
  <c r="AC27" i="58"/>
  <c r="W27" i="58"/>
  <c r="AC26" i="58"/>
  <c r="Z26" i="58"/>
  <c r="W26" i="58"/>
  <c r="AA25" i="58" s="1"/>
  <c r="AB25" i="58" s="1"/>
  <c r="AC25" i="58"/>
  <c r="Z25" i="58"/>
  <c r="W25" i="58"/>
  <c r="AC22" i="58"/>
  <c r="AC21" i="58"/>
  <c r="Z21" i="58"/>
  <c r="AA21" i="58" s="1"/>
  <c r="AB21" i="58" s="1"/>
  <c r="W21" i="58"/>
  <c r="X21" i="58" s="1"/>
  <c r="AC18" i="58"/>
  <c r="W18" i="58"/>
  <c r="AA17" i="58" s="1"/>
  <c r="AB17" i="58" s="1"/>
  <c r="AC17" i="58"/>
  <c r="W17" i="58"/>
  <c r="AC11" i="58"/>
  <c r="AA11" i="58"/>
  <c r="AB11" i="58" s="1"/>
  <c r="Z11" i="58"/>
  <c r="X11" i="58"/>
  <c r="W11" i="58"/>
  <c r="AC6" i="58"/>
  <c r="Z6" i="58"/>
  <c r="X6" i="58"/>
  <c r="W6" i="58"/>
  <c r="AA6" i="58" s="1"/>
  <c r="AB6" i="58" s="1"/>
  <c r="O146" i="58"/>
  <c r="O145" i="58"/>
  <c r="O141" i="58"/>
  <c r="O137" i="58"/>
  <c r="O136" i="58"/>
  <c r="O134" i="58"/>
  <c r="O133" i="58"/>
  <c r="O132" i="58"/>
  <c r="O128" i="58"/>
  <c r="O125" i="58"/>
  <c r="O124" i="58"/>
  <c r="O121" i="58"/>
  <c r="O120" i="58"/>
  <c r="O116" i="58"/>
  <c r="O112" i="58"/>
  <c r="O111" i="58"/>
  <c r="O106" i="58"/>
  <c r="O102" i="58"/>
  <c r="O98" i="58"/>
  <c r="O94" i="58"/>
  <c r="O90" i="58"/>
  <c r="O87" i="58"/>
  <c r="O86" i="58"/>
  <c r="O85" i="58"/>
  <c r="O81" i="58"/>
  <c r="O80" i="58"/>
  <c r="O76" i="58"/>
  <c r="O75" i="58"/>
  <c r="O72" i="58"/>
  <c r="O71" i="58"/>
  <c r="O68" i="58"/>
  <c r="O67" i="58"/>
  <c r="O66" i="58"/>
  <c r="O62" i="58"/>
  <c r="O61" i="58"/>
  <c r="O60" i="58"/>
  <c r="O56" i="58"/>
  <c r="O55" i="58"/>
  <c r="O54" i="58"/>
  <c r="O49" i="58"/>
  <c r="O45" i="58"/>
  <c r="O44" i="58"/>
  <c r="O40" i="58"/>
  <c r="O35" i="58"/>
  <c r="O34" i="58"/>
  <c r="O30" i="58"/>
  <c r="O27" i="58"/>
  <c r="O26" i="58"/>
  <c r="O25" i="58"/>
  <c r="O21" i="58"/>
  <c r="O18" i="58"/>
  <c r="O17" i="58"/>
  <c r="O11" i="58"/>
  <c r="O6" i="58"/>
  <c r="O145" i="46"/>
  <c r="O141" i="46"/>
  <c r="L37" i="43"/>
  <c r="I123" i="47" s="1"/>
  <c r="L38" i="43"/>
  <c r="I125" i="47"/>
  <c r="H125" i="47"/>
  <c r="G125" i="47"/>
  <c r="E125" i="47"/>
  <c r="F123" i="47"/>
  <c r="G123" i="47" s="1"/>
  <c r="E124" i="47"/>
  <c r="G124" i="47" s="1"/>
  <c r="E123" i="47"/>
  <c r="H119" i="47"/>
  <c r="G120" i="47"/>
  <c r="F120" i="47"/>
  <c r="F119" i="47"/>
  <c r="E120" i="47"/>
  <c r="F121" i="47"/>
  <c r="G119" i="47"/>
  <c r="E119" i="47"/>
  <c r="I119" i="47"/>
  <c r="I121" i="47"/>
  <c r="E121" i="47"/>
  <c r="G121" i="47" s="1"/>
  <c r="H121" i="47" s="1"/>
  <c r="Z142" i="46"/>
  <c r="W142" i="46"/>
  <c r="K23" i="43"/>
  <c r="K17" i="43"/>
  <c r="K22" i="4"/>
  <c r="K17" i="4"/>
  <c r="C8" i="4"/>
  <c r="X102" i="58" l="1"/>
  <c r="X120" i="58"/>
  <c r="X145" i="58"/>
  <c r="X98" i="58"/>
  <c r="X111" i="58"/>
  <c r="X116" i="58"/>
  <c r="X132" i="58"/>
  <c r="X25" i="58"/>
  <c r="X60" i="58"/>
  <c r="X128" i="58"/>
  <c r="X17" i="58"/>
  <c r="X106" i="58"/>
  <c r="H123" i="47"/>
  <c r="AF6" i="55"/>
  <c r="DG41" i="1" l="1"/>
  <c r="AM41" i="1" l="1"/>
  <c r="BO40" i="2" l="1"/>
  <c r="BO39" i="2"/>
  <c r="AI40" i="2"/>
  <c r="AI39" i="2"/>
  <c r="S40" i="2"/>
  <c r="S39" i="2"/>
  <c r="AF39" i="48"/>
  <c r="AF38" i="48"/>
  <c r="AR147" i="58" l="1"/>
  <c r="BA147" i="58" s="1"/>
  <c r="AM147" i="58"/>
  <c r="AR146" i="58"/>
  <c r="BA146" i="58" s="1"/>
  <c r="AM146" i="58"/>
  <c r="P146" i="58"/>
  <c r="M146" i="58"/>
  <c r="J146" i="58"/>
  <c r="AR145" i="58"/>
  <c r="BA145" i="58" s="1"/>
  <c r="AD145" i="58" s="1"/>
  <c r="AM145" i="58"/>
  <c r="P145" i="58"/>
  <c r="N145" i="58"/>
  <c r="M145" i="58"/>
  <c r="J145" i="58"/>
  <c r="AR143" i="58"/>
  <c r="BA143" i="58" s="1"/>
  <c r="AM143" i="58"/>
  <c r="AR142" i="58"/>
  <c r="BA142" i="58" s="1"/>
  <c r="AM142" i="58"/>
  <c r="AR141" i="58"/>
  <c r="BA141" i="58" s="1"/>
  <c r="AM141" i="58"/>
  <c r="U141" i="58"/>
  <c r="N141" i="58"/>
  <c r="J141" i="58"/>
  <c r="W146" i="46"/>
  <c r="W145" i="46"/>
  <c r="W141" i="46"/>
  <c r="M146" i="46"/>
  <c r="M145" i="46"/>
  <c r="P145" i="46"/>
  <c r="J145" i="46"/>
  <c r="P141" i="46"/>
  <c r="N141" i="46"/>
  <c r="J141" i="46"/>
  <c r="AR147" i="46"/>
  <c r="BA147" i="46" s="1"/>
  <c r="AM147" i="46"/>
  <c r="AR146" i="46"/>
  <c r="BA146" i="46" s="1"/>
  <c r="AM146" i="46"/>
  <c r="O146" i="46"/>
  <c r="N146" i="46"/>
  <c r="J146" i="46"/>
  <c r="AR145" i="46"/>
  <c r="BA145" i="46" s="1"/>
  <c r="AM145" i="46"/>
  <c r="AR143" i="46"/>
  <c r="BA143" i="46" s="1"/>
  <c r="AM143" i="46"/>
  <c r="AR142" i="46"/>
  <c r="BA142" i="46" s="1"/>
  <c r="AM142" i="46"/>
  <c r="AR141" i="46"/>
  <c r="BA141" i="46" s="1"/>
  <c r="AM141" i="46"/>
  <c r="I38" i="4"/>
  <c r="I37" i="4"/>
  <c r="G40" i="4"/>
  <c r="G39" i="4"/>
  <c r="G38" i="4"/>
  <c r="O10" i="4"/>
  <c r="O9" i="4"/>
  <c r="O8" i="4"/>
  <c r="N6" i="4"/>
  <c r="I38" i="43"/>
  <c r="I37" i="43"/>
  <c r="F42" i="43"/>
  <c r="G39" i="43"/>
  <c r="G38" i="43"/>
  <c r="R29" i="43"/>
  <c r="Q29" i="43"/>
  <c r="Q27" i="43"/>
  <c r="R27" i="43"/>
  <c r="R26" i="43"/>
  <c r="Q26" i="43"/>
  <c r="P28" i="43"/>
  <c r="P27" i="43"/>
  <c r="O27" i="43"/>
  <c r="O26" i="43"/>
  <c r="O8" i="43"/>
  <c r="N6" i="43"/>
  <c r="C145" i="46" l="1"/>
  <c r="U145" i="46"/>
  <c r="V145" i="58"/>
  <c r="U145" i="58"/>
  <c r="K146" i="46"/>
  <c r="C145" i="58"/>
  <c r="T146" i="46"/>
  <c r="T145" i="58"/>
  <c r="U146" i="58"/>
  <c r="V141" i="58"/>
  <c r="C141" i="58"/>
  <c r="K141" i="58"/>
  <c r="AH38" i="48" s="1"/>
  <c r="U146" i="46"/>
  <c r="U141" i="46"/>
  <c r="AA141" i="46" s="1"/>
  <c r="C141" i="46"/>
  <c r="N38" i="48" s="1"/>
  <c r="AD143" i="46"/>
  <c r="V146" i="46"/>
  <c r="AD147" i="46"/>
  <c r="T141" i="46"/>
  <c r="AD147" i="58"/>
  <c r="AD142" i="58"/>
  <c r="AD143" i="58"/>
  <c r="K145" i="58"/>
  <c r="AD141" i="58"/>
  <c r="AD146" i="58"/>
  <c r="N146" i="58"/>
  <c r="P141" i="58"/>
  <c r="T146" i="58"/>
  <c r="C146" i="58"/>
  <c r="T141" i="58"/>
  <c r="AD142" i="46"/>
  <c r="AD141" i="46"/>
  <c r="AD145" i="46"/>
  <c r="AD146" i="46"/>
  <c r="C146" i="46"/>
  <c r="P146" i="46"/>
  <c r="N145" i="46"/>
  <c r="T145" i="46"/>
  <c r="K141" i="46"/>
  <c r="L38" i="48" s="1"/>
  <c r="V141" i="46"/>
  <c r="Q28" i="43"/>
  <c r="R28" i="43"/>
  <c r="AG4" i="55"/>
  <c r="AG3" i="55"/>
  <c r="AD7" i="55"/>
  <c r="AD6" i="55"/>
  <c r="AC7" i="55"/>
  <c r="AC6" i="55"/>
  <c r="AB7" i="55"/>
  <c r="AB6" i="55"/>
  <c r="AA7" i="55"/>
  <c r="AA6" i="55"/>
  <c r="Z7" i="55"/>
  <c r="Z6" i="55"/>
  <c r="Y7" i="55"/>
  <c r="Y6" i="55"/>
  <c r="X7" i="55"/>
  <c r="X6" i="55"/>
  <c r="W6" i="55"/>
  <c r="U6" i="55"/>
  <c r="T3" i="55"/>
  <c r="AC146" i="46" l="1"/>
  <c r="N39" i="48"/>
  <c r="AA145" i="46"/>
  <c r="K146" i="58"/>
  <c r="AH39" i="48" s="1"/>
  <c r="V146" i="58"/>
  <c r="K145" i="46"/>
  <c r="L39" i="48" s="1"/>
  <c r="V145" i="46"/>
  <c r="T7" i="55"/>
  <c r="T6" i="55"/>
  <c r="S6" i="55"/>
  <c r="R6" i="55"/>
  <c r="AC145" i="46" l="1"/>
  <c r="AB145" i="46" s="1"/>
  <c r="X145" i="46"/>
  <c r="Z139" i="46"/>
  <c r="Z138" i="46"/>
  <c r="Z136" i="46"/>
  <c r="D8" i="37"/>
  <c r="D7" i="37"/>
  <c r="K21" i="37"/>
  <c r="K20" i="37"/>
  <c r="K17" i="37"/>
  <c r="K22" i="37"/>
  <c r="C25" i="37"/>
  <c r="C16" i="37"/>
  <c r="C8" i="37"/>
  <c r="H116" i="47"/>
  <c r="H115" i="47"/>
  <c r="I117" i="47"/>
  <c r="H114" i="47"/>
  <c r="I114" i="47"/>
  <c r="H117" i="47"/>
  <c r="G117" i="47"/>
  <c r="E117" i="47"/>
  <c r="F114" i="47"/>
  <c r="F116" i="47"/>
  <c r="G116" i="47"/>
  <c r="E116" i="47"/>
  <c r="G115" i="47"/>
  <c r="E115" i="47"/>
  <c r="E114" i="47"/>
  <c r="G114" i="47" s="1"/>
  <c r="AI38" i="2"/>
  <c r="BO38" i="2"/>
  <c r="AC141" i="46" l="1"/>
  <c r="AB141" i="46" s="1"/>
  <c r="X141" i="46"/>
  <c r="S38" i="2"/>
  <c r="AF37" i="48" l="1"/>
  <c r="AR139" i="58" l="1"/>
  <c r="BA139" i="58" s="1"/>
  <c r="AD139" i="58" s="1"/>
  <c r="AM139" i="58"/>
  <c r="AR138" i="58"/>
  <c r="BA138" i="58" s="1"/>
  <c r="AM138" i="58"/>
  <c r="AD138" i="58" s="1"/>
  <c r="AR137" i="58"/>
  <c r="BA137" i="58" s="1"/>
  <c r="AM137" i="58"/>
  <c r="P137" i="58"/>
  <c r="M137" i="58"/>
  <c r="N137" i="58" s="1"/>
  <c r="J137" i="58"/>
  <c r="AR136" i="58"/>
  <c r="BA136" i="58" s="1"/>
  <c r="AM136" i="58"/>
  <c r="S136" i="58"/>
  <c r="P136" i="58"/>
  <c r="M136" i="58"/>
  <c r="N136" i="58" s="1"/>
  <c r="AM139" i="46"/>
  <c r="AR139" i="46"/>
  <c r="BA139" i="46" s="1"/>
  <c r="W137" i="46"/>
  <c r="AD137" i="58" l="1"/>
  <c r="V137" i="58"/>
  <c r="C137" i="58"/>
  <c r="T137" i="58"/>
  <c r="U137" i="58"/>
  <c r="AD136" i="58"/>
  <c r="V136" i="58"/>
  <c r="H136" i="58"/>
  <c r="T136" i="58"/>
  <c r="C136" i="58"/>
  <c r="K137" i="58"/>
  <c r="U136" i="58"/>
  <c r="AD139" i="46"/>
  <c r="M137" i="46"/>
  <c r="N137" i="46" s="1"/>
  <c r="M136" i="46"/>
  <c r="L37" i="37"/>
  <c r="L38" i="37"/>
  <c r="J137" i="46"/>
  <c r="O137" i="46"/>
  <c r="P137" i="46" s="1"/>
  <c r="O136" i="46"/>
  <c r="AR138" i="46"/>
  <c r="BA138" i="46" s="1"/>
  <c r="AM138" i="46"/>
  <c r="AR137" i="46"/>
  <c r="BA137" i="46" s="1"/>
  <c r="AM137" i="46"/>
  <c r="AR136" i="46"/>
  <c r="BA136" i="46" s="1"/>
  <c r="AM136" i="46"/>
  <c r="I38" i="37"/>
  <c r="I37" i="37"/>
  <c r="G39" i="37"/>
  <c r="G38" i="37"/>
  <c r="R29" i="37"/>
  <c r="Q29" i="37"/>
  <c r="R28" i="37"/>
  <c r="Q28" i="37"/>
  <c r="Q27" i="37"/>
  <c r="R27" i="37"/>
  <c r="R26" i="37"/>
  <c r="Q26" i="37"/>
  <c r="P26" i="37"/>
  <c r="P28" i="37" s="1"/>
  <c r="P27" i="37"/>
  <c r="O27" i="37"/>
  <c r="O26" i="37"/>
  <c r="O8" i="37"/>
  <c r="N6" i="37"/>
  <c r="P136" i="46" l="1"/>
  <c r="AD136" i="46"/>
  <c r="AD137" i="46"/>
  <c r="U137" i="46"/>
  <c r="V137" i="46"/>
  <c r="U136" i="46"/>
  <c r="K136" i="58"/>
  <c r="J136" i="58"/>
  <c r="AD138" i="46"/>
  <c r="T137" i="46"/>
  <c r="C137" i="46"/>
  <c r="K137" i="46"/>
  <c r="N136" i="46"/>
  <c r="T136" i="46"/>
  <c r="C136" i="46"/>
  <c r="N37" i="48" s="1"/>
  <c r="AH37" i="48" l="1"/>
  <c r="AC137" i="46"/>
  <c r="H136" i="46"/>
  <c r="V136" i="46"/>
  <c r="K136" i="46" l="1"/>
  <c r="L37" i="48" s="1"/>
  <c r="J136" i="46"/>
  <c r="AC136" i="46" l="1"/>
  <c r="BO37" i="2" l="1"/>
  <c r="S37" i="2"/>
  <c r="Z134" i="46"/>
  <c r="Z132" i="46"/>
  <c r="D25" i="6"/>
  <c r="K22" i="6"/>
  <c r="K20" i="6"/>
  <c r="C26" i="6"/>
  <c r="E111" i="47"/>
  <c r="O134" i="46" l="1"/>
  <c r="O132" i="46"/>
  <c r="I112" i="47"/>
  <c r="I111" i="47"/>
  <c r="I109" i="47"/>
  <c r="H112" i="47"/>
  <c r="G112" i="47"/>
  <c r="H109" i="47"/>
  <c r="H111" i="47"/>
  <c r="O133" i="46" l="1"/>
  <c r="G111" i="47"/>
  <c r="G110" i="47"/>
  <c r="F109" i="47"/>
  <c r="F110" i="47"/>
  <c r="E112" i="47"/>
  <c r="E110" i="47"/>
  <c r="E109" i="47"/>
  <c r="G109" i="47" l="1"/>
  <c r="AF36" i="48" l="1"/>
  <c r="BA134" i="58"/>
  <c r="AR134" i="58"/>
  <c r="AM134" i="58"/>
  <c r="P134" i="58"/>
  <c r="M134" i="58"/>
  <c r="N134" i="58" s="1"/>
  <c r="AR133" i="58"/>
  <c r="BA133" i="58" s="1"/>
  <c r="AD133" i="58" s="1"/>
  <c r="AM133" i="58"/>
  <c r="P133" i="58"/>
  <c r="M133" i="58"/>
  <c r="J133" i="58"/>
  <c r="AR132" i="58"/>
  <c r="BA132" i="58" s="1"/>
  <c r="AM132" i="58"/>
  <c r="U132" i="58"/>
  <c r="N132" i="58"/>
  <c r="M132" i="58"/>
  <c r="J132" i="58"/>
  <c r="W134" i="46"/>
  <c r="W133" i="46"/>
  <c r="W132" i="46"/>
  <c r="M134" i="46"/>
  <c r="M133" i="46"/>
  <c r="N133" i="46" s="1"/>
  <c r="K133" i="46" s="1"/>
  <c r="M132" i="46"/>
  <c r="T132" i="46" s="1"/>
  <c r="N134" i="46"/>
  <c r="V134" i="46" s="1"/>
  <c r="P133" i="46"/>
  <c r="J133" i="46"/>
  <c r="AR134" i="46"/>
  <c r="BA134" i="46" s="1"/>
  <c r="AM134" i="46"/>
  <c r="AR133" i="46"/>
  <c r="BA133" i="46" s="1"/>
  <c r="AM133" i="46"/>
  <c r="BA132" i="46"/>
  <c r="AD132" i="46" s="1"/>
  <c r="AR132" i="46"/>
  <c r="AM132" i="46"/>
  <c r="J132" i="46"/>
  <c r="I38" i="6"/>
  <c r="L39" i="6"/>
  <c r="L37" i="6"/>
  <c r="L38" i="6"/>
  <c r="I37" i="6"/>
  <c r="R21" i="6"/>
  <c r="Q21" i="6"/>
  <c r="R19" i="6"/>
  <c r="Q19" i="6"/>
  <c r="Q18" i="6"/>
  <c r="Q20" i="6" s="1"/>
  <c r="R18" i="6"/>
  <c r="R17" i="6"/>
  <c r="Q17" i="6"/>
  <c r="P20" i="6"/>
  <c r="P19" i="6"/>
  <c r="P18" i="6"/>
  <c r="P17" i="6"/>
  <c r="O19" i="6"/>
  <c r="O18" i="6"/>
  <c r="O17" i="6"/>
  <c r="O8" i="6"/>
  <c r="N6" i="6"/>
  <c r="N132" i="46" l="1"/>
  <c r="V132" i="46" s="1"/>
  <c r="AD134" i="46"/>
  <c r="AD133" i="46"/>
  <c r="AD132" i="58"/>
  <c r="AD134" i="58"/>
  <c r="C133" i="46"/>
  <c r="T133" i="46"/>
  <c r="AC133" i="46" s="1"/>
  <c r="T133" i="58"/>
  <c r="U133" i="46"/>
  <c r="V133" i="46"/>
  <c r="P132" i="58"/>
  <c r="T132" i="58"/>
  <c r="U132" i="46"/>
  <c r="K132" i="58"/>
  <c r="C132" i="46"/>
  <c r="N36" i="48" s="1"/>
  <c r="K132" i="46"/>
  <c r="P132" i="46"/>
  <c r="C132" i="58"/>
  <c r="V132" i="58"/>
  <c r="V134" i="58"/>
  <c r="H134" i="58"/>
  <c r="C133" i="58"/>
  <c r="U133" i="58"/>
  <c r="C134" i="58"/>
  <c r="T134" i="58"/>
  <c r="U134" i="58"/>
  <c r="N133" i="58"/>
  <c r="T134" i="46"/>
  <c r="C134" i="46"/>
  <c r="U134" i="46"/>
  <c r="H134" i="46"/>
  <c r="P134" i="46"/>
  <c r="R20" i="6"/>
  <c r="AA132" i="46" l="1"/>
  <c r="AC132" i="46"/>
  <c r="K133" i="58"/>
  <c r="V133" i="58"/>
  <c r="K134" i="58"/>
  <c r="J134" i="58"/>
  <c r="K134" i="46"/>
  <c r="AC134" i="46" s="1"/>
  <c r="J134" i="46"/>
  <c r="AH36" i="48" l="1"/>
  <c r="L36" i="48"/>
  <c r="X132" i="46"/>
  <c r="AB132" i="46"/>
  <c r="O128" i="46" l="1"/>
  <c r="I105" i="47"/>
  <c r="H105" i="47"/>
  <c r="G107" i="47"/>
  <c r="F107" i="47"/>
  <c r="F105" i="47"/>
  <c r="E107" i="47"/>
  <c r="F106" i="47"/>
  <c r="G106" i="47" s="1"/>
  <c r="E106" i="47"/>
  <c r="E105" i="47"/>
  <c r="K19" i="7"/>
  <c r="K20" i="7"/>
  <c r="C7" i="7"/>
  <c r="H104" i="47"/>
  <c r="E104" i="47"/>
  <c r="G104" i="47" s="1"/>
  <c r="G105" i="47" l="1"/>
  <c r="BO36" i="2" l="1"/>
  <c r="S36" i="2"/>
  <c r="AF35" i="48" l="1"/>
  <c r="AR130" i="58"/>
  <c r="BA130" i="58" s="1"/>
  <c r="AM130" i="58"/>
  <c r="AD130" i="58" s="1"/>
  <c r="AR129" i="58"/>
  <c r="BA129" i="58" s="1"/>
  <c r="AM129" i="58"/>
  <c r="AR128" i="58"/>
  <c r="BA128" i="58" s="1"/>
  <c r="AM128" i="58"/>
  <c r="AD128" i="58" s="1"/>
  <c r="P128" i="58"/>
  <c r="M128" i="58"/>
  <c r="J128" i="58"/>
  <c r="P128" i="46"/>
  <c r="M128" i="46"/>
  <c r="N128" i="46" s="1"/>
  <c r="J128" i="46"/>
  <c r="AM128" i="46"/>
  <c r="AR128" i="46"/>
  <c r="BA128" i="46" s="1"/>
  <c r="AM129" i="46"/>
  <c r="AR129" i="46"/>
  <c r="BA129" i="46"/>
  <c r="AM130" i="46"/>
  <c r="AR130" i="46"/>
  <c r="BA130" i="46"/>
  <c r="I38" i="7"/>
  <c r="F42" i="7"/>
  <c r="G42" i="7"/>
  <c r="I37" i="7" s="1"/>
  <c r="G40" i="7"/>
  <c r="G39" i="7"/>
  <c r="G38" i="7"/>
  <c r="O8" i="7"/>
  <c r="N6" i="7"/>
  <c r="AD128" i="46" l="1"/>
  <c r="T128" i="46"/>
  <c r="U128" i="46"/>
  <c r="C128" i="46"/>
  <c r="N35" i="48" s="1"/>
  <c r="V128" i="46"/>
  <c r="K128" i="46"/>
  <c r="L35" i="48" s="1"/>
  <c r="U128" i="58"/>
  <c r="AD129" i="46"/>
  <c r="AD129" i="58"/>
  <c r="N128" i="58"/>
  <c r="T128" i="58"/>
  <c r="C128" i="58"/>
  <c r="AD130" i="46"/>
  <c r="AC128" i="46" l="1"/>
  <c r="V128" i="58"/>
  <c r="K128" i="58"/>
  <c r="AH35" i="48" l="1"/>
  <c r="BO35" i="2" l="1"/>
  <c r="E101" i="47" l="1"/>
  <c r="G101" i="47" s="1"/>
  <c r="H101" i="47" s="1"/>
  <c r="F99" i="47"/>
  <c r="E100" i="47"/>
  <c r="G100" i="47" s="1"/>
  <c r="F97" i="47"/>
  <c r="E99" i="47"/>
  <c r="G99" i="47" s="1"/>
  <c r="F98" i="47"/>
  <c r="E98" i="47"/>
  <c r="E102" i="47"/>
  <c r="G102" i="47" s="1"/>
  <c r="H102" i="47" s="1"/>
  <c r="E97" i="47"/>
  <c r="H97" i="47" s="1"/>
  <c r="O125" i="46" l="1"/>
  <c r="O124" i="46"/>
  <c r="G98" i="47"/>
  <c r="G97" i="47"/>
  <c r="BG30" i="2"/>
  <c r="S35" i="2"/>
  <c r="Z125" i="46" l="1"/>
  <c r="D7" i="8"/>
  <c r="D8" i="8"/>
  <c r="K18" i="8"/>
  <c r="K20" i="8"/>
  <c r="C26" i="8"/>
  <c r="C7" i="8"/>
  <c r="K19" i="8" s="1"/>
  <c r="W124" i="58" s="1"/>
  <c r="C8" i="8"/>
  <c r="M125" i="58"/>
  <c r="N125" i="58" s="1"/>
  <c r="J125" i="58"/>
  <c r="M124" i="58"/>
  <c r="N124" i="58" s="1"/>
  <c r="J124" i="58"/>
  <c r="J125" i="46"/>
  <c r="M125" i="46"/>
  <c r="C125" i="46" s="1"/>
  <c r="N125" i="46"/>
  <c r="L38" i="8"/>
  <c r="I101" i="47" s="1"/>
  <c r="Q9" i="8"/>
  <c r="R9" i="8"/>
  <c r="Q8" i="8"/>
  <c r="P10" i="8"/>
  <c r="P9" i="8"/>
  <c r="P8" i="8"/>
  <c r="O9" i="8"/>
  <c r="AA124" i="58" l="1"/>
  <c r="AB124" i="58" s="1"/>
  <c r="X124" i="58"/>
  <c r="W126" i="46"/>
  <c r="Z124" i="46"/>
  <c r="C125" i="58"/>
  <c r="C124" i="58"/>
  <c r="Z126" i="46"/>
  <c r="U125" i="58"/>
  <c r="T125" i="58"/>
  <c r="T124" i="58"/>
  <c r="U125" i="46"/>
  <c r="T125" i="46"/>
  <c r="P125" i="46"/>
  <c r="K125" i="46"/>
  <c r="AC125" i="46" s="1"/>
  <c r="U124" i="58"/>
  <c r="V125" i="46"/>
  <c r="P124" i="58"/>
  <c r="P125" i="58"/>
  <c r="W125" i="46"/>
  <c r="K125" i="58"/>
  <c r="V125" i="58"/>
  <c r="V124" i="58"/>
  <c r="K124" i="58"/>
  <c r="Q10" i="8"/>
  <c r="Q11" i="8" s="1"/>
  <c r="AH34" i="48" l="1"/>
  <c r="AF34" i="48" l="1"/>
  <c r="M121" i="58" l="1"/>
  <c r="J121" i="58"/>
  <c r="M120" i="58"/>
  <c r="J120" i="58"/>
  <c r="M116" i="58"/>
  <c r="J116" i="58"/>
  <c r="M112" i="58"/>
  <c r="J112" i="58"/>
  <c r="M112" i="46"/>
  <c r="M124" i="46"/>
  <c r="N124" i="46" s="1"/>
  <c r="M121" i="46"/>
  <c r="M120" i="46"/>
  <c r="M116" i="46"/>
  <c r="G38" i="10"/>
  <c r="I38" i="9"/>
  <c r="G40" i="8"/>
  <c r="G39" i="8"/>
  <c r="G38" i="8"/>
  <c r="AR126" i="58"/>
  <c r="BA126" i="58" s="1"/>
  <c r="AM126" i="58"/>
  <c r="AD126" i="58" s="1"/>
  <c r="AR125" i="58"/>
  <c r="BA125" i="58" s="1"/>
  <c r="AM125" i="58"/>
  <c r="AR124" i="58"/>
  <c r="BA124" i="58" s="1"/>
  <c r="AM124" i="58"/>
  <c r="J124" i="46"/>
  <c r="AR126" i="46"/>
  <c r="BA126" i="46" s="1"/>
  <c r="AM126" i="46"/>
  <c r="AR125" i="46"/>
  <c r="BA125" i="46" s="1"/>
  <c r="AM125" i="46"/>
  <c r="AR124" i="46"/>
  <c r="BA124" i="46" s="1"/>
  <c r="AM124" i="46"/>
  <c r="I38" i="8"/>
  <c r="L37" i="8" s="1"/>
  <c r="I97" i="47" s="1"/>
  <c r="F42" i="8"/>
  <c r="G42" i="8"/>
  <c r="I37" i="8" s="1"/>
  <c r="O8" i="8"/>
  <c r="R8" i="8" s="1"/>
  <c r="R10" i="8" s="1"/>
  <c r="R11" i="8" s="1"/>
  <c r="N6" i="8"/>
  <c r="U124" i="46" l="1"/>
  <c r="AD124" i="46"/>
  <c r="AD124" i="58"/>
  <c r="C124" i="46"/>
  <c r="N34" i="48" s="1"/>
  <c r="P124" i="46"/>
  <c r="T124" i="46"/>
  <c r="K124" i="46"/>
  <c r="L34" i="48" s="1"/>
  <c r="V124" i="46"/>
  <c r="AD125" i="58"/>
  <c r="AD126" i="46"/>
  <c r="AD125" i="46"/>
  <c r="AC124" i="46" l="1"/>
  <c r="BO34" i="2" l="1"/>
  <c r="S34" i="2"/>
  <c r="L37" i="9" l="1"/>
  <c r="L38" i="9" s="1"/>
  <c r="I95" i="47" s="1"/>
  <c r="I93" i="47"/>
  <c r="E94" i="47"/>
  <c r="E95" i="47"/>
  <c r="G95" i="47" s="1"/>
  <c r="H95" i="47" s="1"/>
  <c r="F93" i="47"/>
  <c r="G94" i="47"/>
  <c r="E93" i="47"/>
  <c r="C26" i="9"/>
  <c r="C25" i="9"/>
  <c r="O121" i="46" l="1"/>
  <c r="G93" i="47"/>
  <c r="H93" i="47"/>
  <c r="AF33" i="48"/>
  <c r="O120" i="46" l="1"/>
  <c r="T120" i="46" s="1"/>
  <c r="AR122" i="58"/>
  <c r="BA122" i="58" s="1"/>
  <c r="AM122" i="58"/>
  <c r="AD122" i="58" s="1"/>
  <c r="AR121" i="58"/>
  <c r="BA121" i="58" s="1"/>
  <c r="AM121" i="58"/>
  <c r="U121" i="58"/>
  <c r="N121" i="58"/>
  <c r="K121" i="58" s="1"/>
  <c r="AR120" i="58"/>
  <c r="BA120" i="58" s="1"/>
  <c r="AM120" i="58"/>
  <c r="N120" i="58"/>
  <c r="P121" i="46"/>
  <c r="U121" i="46"/>
  <c r="N121" i="46"/>
  <c r="K121" i="46" s="1"/>
  <c r="J121" i="46"/>
  <c r="C121" i="46"/>
  <c r="AR122" i="46"/>
  <c r="BA122" i="46" s="1"/>
  <c r="AM122" i="46"/>
  <c r="AD122" i="46" s="1"/>
  <c r="AR121" i="46"/>
  <c r="BA121" i="46" s="1"/>
  <c r="AM121" i="46"/>
  <c r="AR120" i="46"/>
  <c r="BA120" i="46" s="1"/>
  <c r="AM120" i="46"/>
  <c r="AD120" i="46" s="1"/>
  <c r="N120" i="46"/>
  <c r="V120" i="46" s="1"/>
  <c r="J120" i="46"/>
  <c r="K19" i="9"/>
  <c r="K18" i="9"/>
  <c r="G40" i="9"/>
  <c r="G39" i="9"/>
  <c r="G38" i="9"/>
  <c r="O9" i="9"/>
  <c r="N6" i="9"/>
  <c r="V121" i="46" l="1"/>
  <c r="W121" i="46"/>
  <c r="K120" i="46"/>
  <c r="L33" i="48" s="1"/>
  <c r="C120" i="46"/>
  <c r="N33" i="48" s="1"/>
  <c r="AD120" i="58"/>
  <c r="AC120" i="46"/>
  <c r="K120" i="58"/>
  <c r="T121" i="46"/>
  <c r="AC121" i="46" s="1"/>
  <c r="P120" i="46"/>
  <c r="W120" i="46"/>
  <c r="AD121" i="58"/>
  <c r="C121" i="58"/>
  <c r="V121" i="58"/>
  <c r="P120" i="58"/>
  <c r="T120" i="58"/>
  <c r="U120" i="58"/>
  <c r="C120" i="58"/>
  <c r="V120" i="58"/>
  <c r="P121" i="58"/>
  <c r="T121" i="58"/>
  <c r="AD121" i="46"/>
  <c r="U120" i="46"/>
  <c r="BW34" i="59"/>
  <c r="BW33" i="59"/>
  <c r="BW32" i="59"/>
  <c r="BW31" i="59"/>
  <c r="BW30" i="59"/>
  <c r="BW29" i="59"/>
  <c r="BW28" i="59"/>
  <c r="BW27" i="59"/>
  <c r="BW26" i="59"/>
  <c r="BW25" i="59"/>
  <c r="BW24" i="59"/>
  <c r="BW23" i="59"/>
  <c r="BW22" i="59"/>
  <c r="BW21" i="59"/>
  <c r="BW20" i="59"/>
  <c r="BW19" i="59"/>
  <c r="BW18" i="59"/>
  <c r="BW17" i="59"/>
  <c r="BW16" i="59"/>
  <c r="BW15" i="59"/>
  <c r="BW14" i="59"/>
  <c r="BW13" i="59"/>
  <c r="BW12" i="59"/>
  <c r="BW11" i="59"/>
  <c r="BW10" i="59"/>
  <c r="BW9" i="59"/>
  <c r="BW8" i="59"/>
  <c r="BW7" i="59"/>
  <c r="BW6" i="59"/>
  <c r="BW5" i="59"/>
  <c r="BW4" i="59"/>
  <c r="BV34" i="59"/>
  <c r="BV33" i="59"/>
  <c r="BV32" i="59"/>
  <c r="BV31" i="59"/>
  <c r="BV30" i="59"/>
  <c r="BV29" i="59"/>
  <c r="BV28" i="59"/>
  <c r="BV27" i="59"/>
  <c r="BV26" i="59"/>
  <c r="BV25" i="59"/>
  <c r="BV24" i="59"/>
  <c r="BV23" i="59"/>
  <c r="BV22" i="59"/>
  <c r="BV21" i="59"/>
  <c r="BV20" i="59"/>
  <c r="BV19" i="59"/>
  <c r="BV18" i="59"/>
  <c r="BV17" i="59"/>
  <c r="BV16" i="59"/>
  <c r="BV15" i="59"/>
  <c r="BV14" i="59"/>
  <c r="BV13" i="59"/>
  <c r="BV12" i="59"/>
  <c r="BV11" i="59"/>
  <c r="BV10" i="59"/>
  <c r="BV9" i="59"/>
  <c r="BV8" i="59"/>
  <c r="BV7" i="59"/>
  <c r="BV6" i="59"/>
  <c r="BV5" i="59"/>
  <c r="BV4" i="59"/>
  <c r="AQ25" i="59"/>
  <c r="AQ24" i="59"/>
  <c r="AQ23" i="59"/>
  <c r="AQ22" i="59"/>
  <c r="AQ21" i="59"/>
  <c r="AQ20" i="59"/>
  <c r="AQ19" i="59"/>
  <c r="AQ18" i="59"/>
  <c r="AQ17" i="59"/>
  <c r="AQ16" i="59"/>
  <c r="AQ15" i="59"/>
  <c r="AQ14" i="59"/>
  <c r="AQ13" i="59"/>
  <c r="AQ12" i="59"/>
  <c r="AQ11" i="59"/>
  <c r="AQ10" i="59"/>
  <c r="AQ9" i="59"/>
  <c r="AQ8" i="59"/>
  <c r="AQ7" i="59"/>
  <c r="AQ6" i="59"/>
  <c r="AQ5" i="59"/>
  <c r="AQ4" i="59"/>
  <c r="AP34" i="59"/>
  <c r="AP33" i="59"/>
  <c r="AP32" i="59"/>
  <c r="AP31" i="59"/>
  <c r="AP30" i="59"/>
  <c r="AP29" i="59"/>
  <c r="AP28" i="59"/>
  <c r="AP25" i="59"/>
  <c r="AP24" i="59"/>
  <c r="AP23" i="59"/>
  <c r="AP22" i="59"/>
  <c r="AP21" i="59"/>
  <c r="AP20" i="59"/>
  <c r="AP19" i="59"/>
  <c r="AP18" i="59"/>
  <c r="AP17" i="59"/>
  <c r="AP16" i="59"/>
  <c r="AP15" i="59"/>
  <c r="AP14" i="59"/>
  <c r="AP13" i="59"/>
  <c r="AP12" i="59"/>
  <c r="AP11" i="59"/>
  <c r="AP10" i="59"/>
  <c r="AP9" i="59"/>
  <c r="AP8" i="59"/>
  <c r="AP7" i="59"/>
  <c r="AP6" i="59"/>
  <c r="AP5" i="59"/>
  <c r="AP4" i="59"/>
  <c r="X120" i="46" l="1"/>
  <c r="AH33" i="48"/>
  <c r="C8" i="11" l="1"/>
  <c r="K18" i="11" s="1"/>
  <c r="C7" i="11"/>
  <c r="K17" i="11" s="1"/>
  <c r="F90" i="47"/>
  <c r="E91" i="47"/>
  <c r="G91" i="47" s="1"/>
  <c r="E90" i="47"/>
  <c r="H90" i="47" s="1"/>
  <c r="O116" i="46" s="1"/>
  <c r="F88" i="47"/>
  <c r="F87" i="47"/>
  <c r="G87" i="47" s="1"/>
  <c r="E88" i="47"/>
  <c r="E87" i="47"/>
  <c r="E86" i="47"/>
  <c r="G86" i="47" s="1"/>
  <c r="E85" i="47"/>
  <c r="G85" i="47" s="1"/>
  <c r="G88" i="47" l="1"/>
  <c r="H87" i="47"/>
  <c r="H85" i="47"/>
  <c r="G90" i="47"/>
  <c r="O112" i="46" l="1"/>
  <c r="O111" i="46"/>
  <c r="BO33" i="2"/>
  <c r="BO32" i="2"/>
  <c r="S33" i="2"/>
  <c r="S32" i="2"/>
  <c r="AR118" i="58" l="1"/>
  <c r="BA118" i="58" s="1"/>
  <c r="AM118" i="58"/>
  <c r="AR117" i="58"/>
  <c r="BA117" i="58" s="1"/>
  <c r="AM117" i="58"/>
  <c r="AR116" i="58"/>
  <c r="BA116" i="58" s="1"/>
  <c r="AM116" i="58"/>
  <c r="C116" i="58"/>
  <c r="N116" i="58"/>
  <c r="AR114" i="58"/>
  <c r="BA114" i="58" s="1"/>
  <c r="AM114" i="58"/>
  <c r="AR113" i="58"/>
  <c r="BA113" i="58" s="1"/>
  <c r="AM113" i="58"/>
  <c r="AR112" i="58"/>
  <c r="BA112" i="58" s="1"/>
  <c r="AM112" i="58"/>
  <c r="U112" i="58"/>
  <c r="N112" i="58"/>
  <c r="AR111" i="58"/>
  <c r="BA111" i="58" s="1"/>
  <c r="AM111" i="58"/>
  <c r="U111" i="58"/>
  <c r="N111" i="58"/>
  <c r="K111" i="58" s="1"/>
  <c r="J111" i="58"/>
  <c r="C116" i="46"/>
  <c r="N32" i="48" s="1"/>
  <c r="N116" i="46"/>
  <c r="V116" i="46" s="1"/>
  <c r="J116" i="46"/>
  <c r="AR118" i="46"/>
  <c r="BA118" i="46" s="1"/>
  <c r="AM118" i="46"/>
  <c r="AR117" i="46"/>
  <c r="BA117" i="46" s="1"/>
  <c r="AM117" i="46"/>
  <c r="AR116" i="46"/>
  <c r="BA116" i="46" s="1"/>
  <c r="AM116" i="46"/>
  <c r="W112" i="46"/>
  <c r="W111" i="46"/>
  <c r="G40" i="10"/>
  <c r="G39" i="10"/>
  <c r="O8" i="10"/>
  <c r="N6" i="10"/>
  <c r="L37" i="11"/>
  <c r="I85" i="47" s="1"/>
  <c r="C112" i="46"/>
  <c r="N112" i="46"/>
  <c r="J112" i="46"/>
  <c r="J111" i="46"/>
  <c r="N111" i="46"/>
  <c r="C111" i="46"/>
  <c r="AM111" i="46"/>
  <c r="AR111" i="46"/>
  <c r="BA111" i="46" s="1"/>
  <c r="AM112" i="46"/>
  <c r="AR112" i="46"/>
  <c r="BA112" i="46" s="1"/>
  <c r="AM113" i="46"/>
  <c r="AR113" i="46"/>
  <c r="BA113" i="46" s="1"/>
  <c r="AM114" i="46"/>
  <c r="AR114" i="46"/>
  <c r="BA114" i="46"/>
  <c r="I38" i="11"/>
  <c r="I38" i="10"/>
  <c r="I90" i="47" s="1"/>
  <c r="P8" i="11"/>
  <c r="Q8" i="11" s="1"/>
  <c r="O9" i="11"/>
  <c r="O8" i="11"/>
  <c r="N6" i="11"/>
  <c r="K116" i="58" l="1"/>
  <c r="K112" i="58"/>
  <c r="AD112" i="58"/>
  <c r="AD116" i="58"/>
  <c r="L38" i="11"/>
  <c r="I87" i="47" s="1"/>
  <c r="AD118" i="58"/>
  <c r="AD114" i="58"/>
  <c r="AD117" i="58"/>
  <c r="AD118" i="46"/>
  <c r="P9" i="11"/>
  <c r="R8" i="11"/>
  <c r="AD116" i="46"/>
  <c r="AD113" i="58"/>
  <c r="AD114" i="46"/>
  <c r="N31" i="48"/>
  <c r="AD117" i="46"/>
  <c r="AD112" i="46"/>
  <c r="K116" i="46"/>
  <c r="L32" i="48" s="1"/>
  <c r="V112" i="46"/>
  <c r="P116" i="46"/>
  <c r="T112" i="58"/>
  <c r="U116" i="58"/>
  <c r="T116" i="46"/>
  <c r="V112" i="58"/>
  <c r="U116" i="46"/>
  <c r="C112" i="58"/>
  <c r="P112" i="58"/>
  <c r="T116" i="58"/>
  <c r="C111" i="58"/>
  <c r="V111" i="46"/>
  <c r="U111" i="46"/>
  <c r="K111" i="46"/>
  <c r="AD111" i="58"/>
  <c r="P111" i="58"/>
  <c r="T111" i="58"/>
  <c r="P116" i="58"/>
  <c r="V111" i="58"/>
  <c r="V116" i="58"/>
  <c r="K112" i="46"/>
  <c r="P112" i="46"/>
  <c r="T112" i="46"/>
  <c r="U112" i="46"/>
  <c r="AD111" i="46"/>
  <c r="AD113" i="46"/>
  <c r="T111" i="46"/>
  <c r="P111" i="46"/>
  <c r="AH32" i="48" l="1"/>
  <c r="AC112" i="46"/>
  <c r="Q9" i="11"/>
  <c r="Q10" i="11" s="1"/>
  <c r="R9" i="11"/>
  <c r="R10" i="11" s="1"/>
  <c r="AC116" i="46"/>
  <c r="P10" i="11"/>
  <c r="AC111" i="46"/>
  <c r="L31" i="48"/>
  <c r="AH31" i="48"/>
  <c r="X111" i="46"/>
  <c r="R11" i="11" l="1"/>
  <c r="Q11" i="11"/>
  <c r="Q6" i="55"/>
  <c r="P7" i="55"/>
  <c r="P6" i="55"/>
  <c r="O6" i="55"/>
  <c r="N6" i="55"/>
  <c r="M6" i="55"/>
  <c r="L6" i="55"/>
  <c r="L7" i="55"/>
  <c r="K7" i="55"/>
  <c r="K6" i="55"/>
  <c r="J6" i="55"/>
  <c r="I7" i="55"/>
  <c r="I6" i="55"/>
  <c r="H6" i="55" l="1"/>
  <c r="H7" i="55"/>
  <c r="G6" i="55"/>
  <c r="F7" i="55"/>
  <c r="F6" i="55"/>
  <c r="F83" i="47" l="1"/>
  <c r="F82" i="47"/>
  <c r="E83" i="47"/>
  <c r="E82" i="47"/>
  <c r="BO31" i="2"/>
  <c r="S31" i="2"/>
  <c r="G83" i="47" l="1"/>
  <c r="H82" i="47"/>
  <c r="G82" i="47"/>
  <c r="O106" i="46" l="1"/>
  <c r="AR109" i="58"/>
  <c r="BA109" i="58" s="1"/>
  <c r="AM109" i="58"/>
  <c r="AR108" i="58"/>
  <c r="BA108" i="58" s="1"/>
  <c r="AM108" i="58"/>
  <c r="AR107" i="58"/>
  <c r="BA107" i="58" s="1"/>
  <c r="AM107" i="58"/>
  <c r="AR106" i="58"/>
  <c r="BA106" i="58" s="1"/>
  <c r="AM106" i="58"/>
  <c r="P106" i="58"/>
  <c r="N106" i="58"/>
  <c r="K106" i="58" s="1"/>
  <c r="J106" i="58"/>
  <c r="AM109" i="46"/>
  <c r="AR109" i="46"/>
  <c r="BA109" i="46"/>
  <c r="J106" i="46"/>
  <c r="U106" i="46"/>
  <c r="AM106" i="46"/>
  <c r="AR106" i="46"/>
  <c r="BA106" i="46" s="1"/>
  <c r="AM107" i="46"/>
  <c r="AR107" i="46"/>
  <c r="BA107" i="46" s="1"/>
  <c r="AM108" i="46"/>
  <c r="AR108" i="46"/>
  <c r="BA108" i="46" s="1"/>
  <c r="I38" i="12"/>
  <c r="I82" i="47" s="1"/>
  <c r="O17" i="12"/>
  <c r="O16" i="12"/>
  <c r="Q8" i="12"/>
  <c r="P9" i="12"/>
  <c r="Q9" i="12" s="1"/>
  <c r="O9" i="12"/>
  <c r="R9" i="12" s="1"/>
  <c r="O8" i="12"/>
  <c r="R8" i="12" s="1"/>
  <c r="N6" i="12"/>
  <c r="AH30" i="48" l="1"/>
  <c r="AD107" i="58"/>
  <c r="AD109" i="46"/>
  <c r="AD109" i="58"/>
  <c r="AD108" i="58"/>
  <c r="AD106" i="46"/>
  <c r="AD106" i="58"/>
  <c r="P10" i="12"/>
  <c r="T106" i="46"/>
  <c r="C106" i="58"/>
  <c r="P106" i="46"/>
  <c r="C106" i="46"/>
  <c r="N30" i="48" s="1"/>
  <c r="T106" i="58"/>
  <c r="U106" i="58"/>
  <c r="V106" i="58"/>
  <c r="AD107" i="46"/>
  <c r="AD108" i="46"/>
  <c r="N106" i="46"/>
  <c r="Q10" i="12"/>
  <c r="R10" i="12"/>
  <c r="R11" i="12" l="1"/>
  <c r="Q11" i="12"/>
  <c r="V106" i="46"/>
  <c r="K106" i="46"/>
  <c r="L30" i="48" s="1"/>
  <c r="AC106" i="46" l="1"/>
  <c r="BO30" i="2" l="1"/>
  <c r="AY29" i="2"/>
  <c r="AY30" i="2" l="1"/>
  <c r="S30" i="2"/>
  <c r="E80" i="47" l="1"/>
  <c r="G80" i="47" l="1"/>
  <c r="H80" i="47" s="1"/>
  <c r="O102" i="46" l="1"/>
  <c r="AR104" i="58" l="1"/>
  <c r="BA104" i="58" s="1"/>
  <c r="AM104" i="58"/>
  <c r="AR103" i="58"/>
  <c r="BA103" i="58" s="1"/>
  <c r="AM103" i="58"/>
  <c r="AR102" i="58"/>
  <c r="BA102" i="58" s="1"/>
  <c r="AM102" i="58"/>
  <c r="M102" i="58"/>
  <c r="N102" i="58" s="1"/>
  <c r="J102" i="58"/>
  <c r="N98" i="58"/>
  <c r="J98" i="58"/>
  <c r="M102" i="46"/>
  <c r="U102" i="46" s="1"/>
  <c r="AR104" i="46"/>
  <c r="BA104" i="46" s="1"/>
  <c r="AM104" i="46"/>
  <c r="AR103" i="46"/>
  <c r="BA103" i="46" s="1"/>
  <c r="AM103" i="46"/>
  <c r="AR102" i="46"/>
  <c r="BA102" i="46" s="1"/>
  <c r="AM102" i="46"/>
  <c r="P102" i="46"/>
  <c r="I38" i="13"/>
  <c r="I80" i="47" s="1"/>
  <c r="G40" i="13"/>
  <c r="G39" i="13"/>
  <c r="G38" i="13"/>
  <c r="O8" i="13"/>
  <c r="N6" i="13"/>
  <c r="AD104" i="58" l="1"/>
  <c r="AD102" i="58"/>
  <c r="U102" i="58"/>
  <c r="K102" i="58"/>
  <c r="V102" i="58"/>
  <c r="AD103" i="58"/>
  <c r="P102" i="58"/>
  <c r="T102" i="58"/>
  <c r="C102" i="58"/>
  <c r="AD102" i="46"/>
  <c r="AD103" i="46"/>
  <c r="AD104" i="46"/>
  <c r="C102" i="46"/>
  <c r="N29" i="48" s="1"/>
  <c r="N102" i="46"/>
  <c r="T102" i="46"/>
  <c r="AH29" i="48" l="1"/>
  <c r="V102" i="46"/>
  <c r="F77" i="47"/>
  <c r="E77" i="47"/>
  <c r="E78" i="47"/>
  <c r="G78" i="47" s="1"/>
  <c r="H77" i="47" l="1"/>
  <c r="C98" i="58" s="1"/>
  <c r="O98" i="46"/>
  <c r="J102" i="46"/>
  <c r="K102" i="46"/>
  <c r="L29" i="48" s="1"/>
  <c r="G77" i="47"/>
  <c r="BO29" i="2"/>
  <c r="BG29" i="2"/>
  <c r="S29" i="2"/>
  <c r="K98" i="58" l="1"/>
  <c r="AC102" i="46"/>
  <c r="AR100" i="58"/>
  <c r="BA100" i="58" s="1"/>
  <c r="AM100" i="58"/>
  <c r="AR99" i="58"/>
  <c r="BA99" i="58" s="1"/>
  <c r="AM99" i="58"/>
  <c r="AR98" i="58"/>
  <c r="BA98" i="58" s="1"/>
  <c r="AM98" i="58"/>
  <c r="V98" i="58"/>
  <c r="N98" i="46"/>
  <c r="J98" i="46" s="1"/>
  <c r="P98" i="46"/>
  <c r="AM98" i="46"/>
  <c r="AR98" i="46"/>
  <c r="BA98" i="46"/>
  <c r="AM99" i="46"/>
  <c r="AR99" i="46"/>
  <c r="BA99" i="46" s="1"/>
  <c r="AM100" i="46"/>
  <c r="AR100" i="46"/>
  <c r="BA100" i="46" s="1"/>
  <c r="I38" i="14"/>
  <c r="I77" i="47" s="1"/>
  <c r="G40" i="14"/>
  <c r="G39" i="14"/>
  <c r="G38" i="14"/>
  <c r="O11" i="14"/>
  <c r="O10" i="14"/>
  <c r="O9" i="14"/>
  <c r="N6" i="14"/>
  <c r="AH28" i="48" l="1"/>
  <c r="AD100" i="58"/>
  <c r="C98" i="46"/>
  <c r="N28" i="48" s="1"/>
  <c r="AD98" i="46"/>
  <c r="AD98" i="58"/>
  <c r="T98" i="46"/>
  <c r="AD99" i="58"/>
  <c r="AD99" i="46"/>
  <c r="AD100" i="46"/>
  <c r="U98" i="46"/>
  <c r="P98" i="58"/>
  <c r="T98" i="58"/>
  <c r="U98" i="58"/>
  <c r="K98" i="46"/>
  <c r="V98" i="46"/>
  <c r="BG28" i="2"/>
  <c r="AI28" i="2"/>
  <c r="S28" i="2"/>
  <c r="F74" i="47"/>
  <c r="E75" i="47"/>
  <c r="G75" i="47" s="1"/>
  <c r="E74" i="47"/>
  <c r="H74" i="47" s="1"/>
  <c r="O94" i="46" l="1"/>
  <c r="AC98" i="46"/>
  <c r="L28" i="48"/>
  <c r="G74" i="47"/>
  <c r="AR96" i="58"/>
  <c r="BA96" i="58" s="1"/>
  <c r="AM96" i="58"/>
  <c r="AR95" i="58"/>
  <c r="BA95" i="58" s="1"/>
  <c r="AM95" i="58"/>
  <c r="AD95" i="58" s="1"/>
  <c r="AR94" i="58"/>
  <c r="BA94" i="58" s="1"/>
  <c r="AM94" i="58"/>
  <c r="S94" i="58"/>
  <c r="N94" i="58"/>
  <c r="H94" i="58" s="1"/>
  <c r="J94" i="58" s="1"/>
  <c r="S94" i="46"/>
  <c r="AR96" i="46"/>
  <c r="BA96" i="46" s="1"/>
  <c r="AM96" i="46"/>
  <c r="AR95" i="46"/>
  <c r="BA95" i="46" s="1"/>
  <c r="AM95" i="46"/>
  <c r="AR94" i="46"/>
  <c r="BA94" i="46" s="1"/>
  <c r="AM94" i="46"/>
  <c r="C94" i="46"/>
  <c r="N27" i="48" s="1"/>
  <c r="N94" i="46"/>
  <c r="H94" i="46" s="1"/>
  <c r="J94" i="46" s="1"/>
  <c r="AD94" i="46" l="1"/>
  <c r="U94" i="58"/>
  <c r="AD94" i="58"/>
  <c r="AD96" i="46"/>
  <c r="V94" i="58"/>
  <c r="AD96" i="58"/>
  <c r="K94" i="46"/>
  <c r="L27" i="48" s="1"/>
  <c r="K94" i="58"/>
  <c r="T94" i="58"/>
  <c r="P94" i="58"/>
  <c r="C94" i="58"/>
  <c r="AD95" i="46"/>
  <c r="T94" i="46"/>
  <c r="U94" i="46"/>
  <c r="V94" i="46"/>
  <c r="P94" i="46"/>
  <c r="I38" i="15"/>
  <c r="I74" i="47" s="1"/>
  <c r="G42" i="15"/>
  <c r="I37" i="15" s="1"/>
  <c r="F42" i="15"/>
  <c r="P25" i="15"/>
  <c r="P24" i="15" s="1"/>
  <c r="P26" i="15" s="1"/>
  <c r="O25" i="15"/>
  <c r="R25" i="15" s="1"/>
  <c r="O24" i="15"/>
  <c r="O8" i="15"/>
  <c r="N6" i="15"/>
  <c r="Q24" i="15" l="1"/>
  <c r="R24" i="15"/>
  <c r="Q25" i="15"/>
  <c r="AH27" i="48"/>
  <c r="AC94" i="46"/>
  <c r="Q26" i="15"/>
  <c r="Q27" i="15" s="1"/>
  <c r="R26" i="15"/>
  <c r="R27" i="15" s="1"/>
  <c r="BG27" i="2" l="1"/>
  <c r="AI27" i="2"/>
  <c r="S27" i="2"/>
  <c r="F72" i="47"/>
  <c r="E72" i="47"/>
  <c r="E71" i="47"/>
  <c r="G71" i="47" s="1"/>
  <c r="H71" i="47" s="1"/>
  <c r="K17" i="16"/>
  <c r="C17" i="16"/>
  <c r="K9" i="16" s="1"/>
  <c r="G72" i="47" l="1"/>
  <c r="H72" i="47" s="1"/>
  <c r="O90" i="46" l="1"/>
  <c r="C90" i="58"/>
  <c r="AR92" i="58"/>
  <c r="BA92" i="58" s="1"/>
  <c r="AM92" i="58"/>
  <c r="AR91" i="58"/>
  <c r="BA91" i="58" s="1"/>
  <c r="AM91" i="58"/>
  <c r="AR90" i="58"/>
  <c r="BA90" i="58" s="1"/>
  <c r="AM90" i="58"/>
  <c r="N90" i="58"/>
  <c r="J90" i="58"/>
  <c r="I38" i="16"/>
  <c r="I72" i="47" s="1"/>
  <c r="U90" i="46"/>
  <c r="N90" i="46"/>
  <c r="K90" i="46" s="1"/>
  <c r="L26" i="48" s="1"/>
  <c r="J90" i="46"/>
  <c r="AR92" i="46"/>
  <c r="BA92" i="46" s="1"/>
  <c r="AM92" i="46"/>
  <c r="AR91" i="46"/>
  <c r="BA91" i="46" s="1"/>
  <c r="AM91" i="46"/>
  <c r="AR90" i="46"/>
  <c r="BA90" i="46" s="1"/>
  <c r="AM90" i="46"/>
  <c r="O10" i="16"/>
  <c r="O9" i="16"/>
  <c r="O8" i="16"/>
  <c r="AD92" i="58" l="1"/>
  <c r="AD90" i="58"/>
  <c r="AD91" i="58"/>
  <c r="V90" i="58"/>
  <c r="K90" i="58"/>
  <c r="P90" i="58"/>
  <c r="T90" i="58"/>
  <c r="U90" i="58"/>
  <c r="AD91" i="46"/>
  <c r="AD90" i="46"/>
  <c r="V90" i="46"/>
  <c r="C90" i="46"/>
  <c r="N26" i="48" s="1"/>
  <c r="P90" i="46"/>
  <c r="T90" i="46"/>
  <c r="AC90" i="46" s="1"/>
  <c r="AD92" i="46"/>
  <c r="N6" i="16"/>
  <c r="AH26" i="48" l="1"/>
  <c r="K12" i="18"/>
  <c r="K15" i="18"/>
  <c r="K17" i="17"/>
  <c r="C26" i="17"/>
  <c r="K9" i="17" s="1"/>
  <c r="C25" i="17"/>
  <c r="C17" i="17"/>
  <c r="C16" i="17"/>
  <c r="K12" i="17" s="1"/>
  <c r="I38" i="18"/>
  <c r="L37" i="18" s="1"/>
  <c r="I62" i="47" s="1"/>
  <c r="I63" i="47"/>
  <c r="E63" i="47"/>
  <c r="G63" i="47" s="1"/>
  <c r="H63" i="47" s="1"/>
  <c r="E67" i="47"/>
  <c r="G67" i="47" s="1"/>
  <c r="F69" i="47"/>
  <c r="E69" i="47"/>
  <c r="F68" i="47"/>
  <c r="E66" i="47"/>
  <c r="G66" i="47" s="1"/>
  <c r="F65" i="47"/>
  <c r="E68" i="47"/>
  <c r="E65" i="47"/>
  <c r="G65" i="47" s="1"/>
  <c r="F62" i="47"/>
  <c r="E62" i="47"/>
  <c r="G68" i="47" l="1"/>
  <c r="H68" i="47" s="1"/>
  <c r="K16" i="17"/>
  <c r="O86" i="46"/>
  <c r="W86" i="46"/>
  <c r="O81" i="46"/>
  <c r="W85" i="46"/>
  <c r="H65" i="47"/>
  <c r="W87" i="46"/>
  <c r="G69" i="47"/>
  <c r="H69" i="47" s="1"/>
  <c r="G62" i="47"/>
  <c r="H62" i="47" s="1"/>
  <c r="BG26" i="2"/>
  <c r="AI25" i="2"/>
  <c r="AI26" i="2"/>
  <c r="S26" i="2"/>
  <c r="S25" i="2"/>
  <c r="O80" i="46" l="1"/>
  <c r="O87" i="46"/>
  <c r="U87" i="58"/>
  <c r="O85" i="46"/>
  <c r="P85" i="46" s="1"/>
  <c r="AR88" i="58"/>
  <c r="BA88" i="58" s="1"/>
  <c r="AM88" i="58"/>
  <c r="AR87" i="58"/>
  <c r="BA87" i="58" s="1"/>
  <c r="AM87" i="58"/>
  <c r="N87" i="58"/>
  <c r="J87" i="58"/>
  <c r="AR86" i="58"/>
  <c r="BA86" i="58" s="1"/>
  <c r="AM86" i="58"/>
  <c r="C86" i="58"/>
  <c r="N86" i="58"/>
  <c r="V86" i="58" s="1"/>
  <c r="J86" i="58"/>
  <c r="AR85" i="58"/>
  <c r="BA85" i="58" s="1"/>
  <c r="AM85" i="58"/>
  <c r="C85" i="58"/>
  <c r="N85" i="58"/>
  <c r="J85" i="58"/>
  <c r="AR83" i="58"/>
  <c r="BA83" i="58" s="1"/>
  <c r="AM83" i="58"/>
  <c r="AR82" i="58"/>
  <c r="BA82" i="58" s="1"/>
  <c r="AM82" i="58"/>
  <c r="AR81" i="58"/>
  <c r="BA81" i="58" s="1"/>
  <c r="AM81" i="58"/>
  <c r="P81" i="58"/>
  <c r="M81" i="58"/>
  <c r="J81" i="58"/>
  <c r="AR80" i="58"/>
  <c r="BA80" i="58" s="1"/>
  <c r="AM80" i="58"/>
  <c r="M80" i="58"/>
  <c r="T80" i="58" s="1"/>
  <c r="J80" i="58"/>
  <c r="AM83" i="46"/>
  <c r="AR83" i="46"/>
  <c r="BA83" i="46" s="1"/>
  <c r="AM88" i="46"/>
  <c r="AR88" i="46"/>
  <c r="BA88" i="46" s="1"/>
  <c r="J85" i="46"/>
  <c r="N85" i="46"/>
  <c r="AM85" i="46"/>
  <c r="AR85" i="46"/>
  <c r="BA85" i="46" s="1"/>
  <c r="J86" i="46"/>
  <c r="N86" i="46"/>
  <c r="K86" i="46" s="1"/>
  <c r="P86" i="46"/>
  <c r="T86" i="46"/>
  <c r="U86" i="46"/>
  <c r="AM86" i="46"/>
  <c r="AR86" i="46"/>
  <c r="BA86" i="46" s="1"/>
  <c r="J87" i="46"/>
  <c r="N87" i="46"/>
  <c r="C87" i="46"/>
  <c r="AM87" i="46"/>
  <c r="AR87" i="46"/>
  <c r="BA87" i="46" s="1"/>
  <c r="W81" i="46"/>
  <c r="W80" i="46"/>
  <c r="P81" i="46"/>
  <c r="M81" i="46"/>
  <c r="J81" i="46"/>
  <c r="P80" i="46"/>
  <c r="M80" i="46"/>
  <c r="J80" i="46"/>
  <c r="AR82" i="46"/>
  <c r="BA82" i="46" s="1"/>
  <c r="AM82" i="46"/>
  <c r="AR81" i="46"/>
  <c r="BA81" i="46" s="1"/>
  <c r="AM81" i="46"/>
  <c r="AR80" i="46"/>
  <c r="BA80" i="46" s="1"/>
  <c r="AM80" i="46"/>
  <c r="L39" i="17"/>
  <c r="L38" i="17"/>
  <c r="I68" i="47" s="1"/>
  <c r="I38" i="17"/>
  <c r="O11" i="17"/>
  <c r="O10" i="17"/>
  <c r="P9" i="17"/>
  <c r="P12" i="17" s="1"/>
  <c r="P28" i="17"/>
  <c r="O28" i="17"/>
  <c r="G42" i="17"/>
  <c r="I37" i="17" s="1"/>
  <c r="F42" i="17"/>
  <c r="Q20" i="17"/>
  <c r="O9" i="17"/>
  <c r="P19" i="17"/>
  <c r="P18" i="17"/>
  <c r="Q18" i="17" s="1"/>
  <c r="P17" i="17"/>
  <c r="Q17" i="17" s="1"/>
  <c r="O20" i="17"/>
  <c r="R20" i="17" s="1"/>
  <c r="O19" i="17"/>
  <c r="O18" i="17"/>
  <c r="O17" i="17"/>
  <c r="N6" i="17"/>
  <c r="K87" i="58" l="1"/>
  <c r="AD83" i="58"/>
  <c r="AD80" i="58"/>
  <c r="AD81" i="58"/>
  <c r="R19" i="17"/>
  <c r="AD85" i="58"/>
  <c r="AC86" i="46"/>
  <c r="R18" i="17"/>
  <c r="Q19" i="17"/>
  <c r="Q21" i="17" s="1"/>
  <c r="AD85" i="46"/>
  <c r="AD88" i="46"/>
  <c r="R17" i="17"/>
  <c r="AD81" i="46"/>
  <c r="AD86" i="58"/>
  <c r="AD86" i="46"/>
  <c r="AD82" i="46"/>
  <c r="P21" i="17"/>
  <c r="L37" i="17"/>
  <c r="I65" i="47" s="1"/>
  <c r="I69" i="47"/>
  <c r="AD83" i="46"/>
  <c r="AD88" i="58"/>
  <c r="N80" i="58"/>
  <c r="K80" i="58" s="1"/>
  <c r="AD82" i="58"/>
  <c r="C87" i="58"/>
  <c r="U87" i="46"/>
  <c r="T87" i="46"/>
  <c r="P87" i="46"/>
  <c r="V87" i="46"/>
  <c r="K85" i="46"/>
  <c r="U81" i="46"/>
  <c r="V86" i="46"/>
  <c r="K85" i="58"/>
  <c r="T85" i="58"/>
  <c r="U86" i="58"/>
  <c r="P85" i="58"/>
  <c r="V87" i="58"/>
  <c r="U81" i="58"/>
  <c r="C86" i="46"/>
  <c r="U80" i="58"/>
  <c r="U80" i="46"/>
  <c r="P80" i="58"/>
  <c r="C80" i="58"/>
  <c r="AD87" i="58"/>
  <c r="N81" i="58"/>
  <c r="K86" i="58"/>
  <c r="V80" i="58"/>
  <c r="P87" i="58"/>
  <c r="T81" i="58"/>
  <c r="U85" i="58"/>
  <c r="P86" i="58"/>
  <c r="T87" i="58"/>
  <c r="C81" i="58"/>
  <c r="V85" i="58"/>
  <c r="T86" i="58"/>
  <c r="AD87" i="46"/>
  <c r="V85" i="46"/>
  <c r="C85" i="46"/>
  <c r="U85" i="46"/>
  <c r="K87" i="46"/>
  <c r="T85" i="46"/>
  <c r="N81" i="46"/>
  <c r="T81" i="46"/>
  <c r="C81" i="46"/>
  <c r="N80" i="46"/>
  <c r="T80" i="46"/>
  <c r="C80" i="46"/>
  <c r="AD80" i="46"/>
  <c r="G40" i="18"/>
  <c r="G39" i="18"/>
  <c r="G38" i="18"/>
  <c r="P8" i="18"/>
  <c r="P10" i="18" s="1"/>
  <c r="O9" i="18"/>
  <c r="O8" i="18"/>
  <c r="N6" i="18"/>
  <c r="N25" i="48" l="1"/>
  <c r="R21" i="17"/>
  <c r="Q22" i="17"/>
  <c r="R22" i="17"/>
  <c r="N24" i="48"/>
  <c r="AA85" i="46"/>
  <c r="AC85" i="46"/>
  <c r="AA80" i="46"/>
  <c r="AC87" i="46"/>
  <c r="L25" i="48"/>
  <c r="AH25" i="48"/>
  <c r="K81" i="58"/>
  <c r="AH24" i="48" s="1"/>
  <c r="V81" i="58"/>
  <c r="X85" i="46"/>
  <c r="K81" i="46"/>
  <c r="AC81" i="46" s="1"/>
  <c r="V81" i="46"/>
  <c r="V80" i="46"/>
  <c r="K80" i="46"/>
  <c r="AB85" i="46" l="1"/>
  <c r="L24" i="48"/>
  <c r="AC80" i="46"/>
  <c r="AB80" i="46" s="1"/>
  <c r="X80" i="46"/>
  <c r="I59" i="47" l="1"/>
  <c r="Z76" i="46"/>
  <c r="Z75" i="46"/>
  <c r="K10" i="19"/>
  <c r="K15" i="19"/>
  <c r="F60" i="47"/>
  <c r="F59" i="47"/>
  <c r="E60" i="47"/>
  <c r="E59" i="47"/>
  <c r="C16" i="19"/>
  <c r="C17" i="19"/>
  <c r="G60" i="47" l="1"/>
  <c r="H60" i="47" s="1"/>
  <c r="G59" i="47"/>
  <c r="H59" i="47" s="1"/>
  <c r="AI24" i="2"/>
  <c r="S24" i="2"/>
  <c r="O76" i="46" l="1"/>
  <c r="O75" i="46"/>
  <c r="AR78" i="58"/>
  <c r="BA78" i="58" s="1"/>
  <c r="AM78" i="58"/>
  <c r="AR77" i="58"/>
  <c r="BA77" i="58" s="1"/>
  <c r="AM77" i="58"/>
  <c r="AR76" i="58"/>
  <c r="BA76" i="58" s="1"/>
  <c r="AM76" i="58"/>
  <c r="P76" i="58"/>
  <c r="M76" i="58"/>
  <c r="N76" i="58" s="1"/>
  <c r="J76" i="58"/>
  <c r="AR75" i="58"/>
  <c r="BA75" i="58" s="1"/>
  <c r="AM75" i="58"/>
  <c r="M75" i="58"/>
  <c r="N75" i="58" s="1"/>
  <c r="J75" i="58"/>
  <c r="AM78" i="46"/>
  <c r="AR78" i="46"/>
  <c r="BA78" i="46" s="1"/>
  <c r="W76" i="46"/>
  <c r="W75" i="46"/>
  <c r="P75" i="46"/>
  <c r="M75" i="46"/>
  <c r="U75" i="46" s="1"/>
  <c r="J75" i="46"/>
  <c r="AR77" i="46"/>
  <c r="BA77" i="46" s="1"/>
  <c r="AM77" i="46"/>
  <c r="AR76" i="46"/>
  <c r="BA76" i="46" s="1"/>
  <c r="AM76" i="46"/>
  <c r="P76" i="46"/>
  <c r="M76" i="46"/>
  <c r="J76" i="46"/>
  <c r="AR75" i="46"/>
  <c r="BA75" i="46" s="1"/>
  <c r="AM75" i="46"/>
  <c r="I38" i="19"/>
  <c r="L38" i="19" s="1"/>
  <c r="I60" i="47" s="1"/>
  <c r="AD75" i="58" l="1"/>
  <c r="AD78" i="58"/>
  <c r="AD75" i="46"/>
  <c r="AD76" i="58"/>
  <c r="AD76" i="46"/>
  <c r="AD78" i="46"/>
  <c r="U75" i="58"/>
  <c r="V75" i="58"/>
  <c r="U76" i="46"/>
  <c r="AA75" i="46" s="1"/>
  <c r="K76" i="58"/>
  <c r="C76" i="46"/>
  <c r="T76" i="46"/>
  <c r="T75" i="58"/>
  <c r="AD77" i="58"/>
  <c r="K75" i="58"/>
  <c r="T76" i="58"/>
  <c r="C76" i="58"/>
  <c r="U76" i="58"/>
  <c r="V76" i="58"/>
  <c r="P75" i="58"/>
  <c r="C75" i="58"/>
  <c r="AD77" i="46"/>
  <c r="T75" i="46"/>
  <c r="N75" i="46"/>
  <c r="C75" i="46"/>
  <c r="N76" i="46"/>
  <c r="O9" i="19"/>
  <c r="P8" i="19"/>
  <c r="P9" i="19" s="1"/>
  <c r="N23" i="48" l="1"/>
  <c r="AH23" i="48"/>
  <c r="K75" i="46"/>
  <c r="V75" i="46"/>
  <c r="K76" i="46"/>
  <c r="AC76" i="46" s="1"/>
  <c r="V76" i="46"/>
  <c r="F42" i="19"/>
  <c r="G40" i="19"/>
  <c r="G39" i="19"/>
  <c r="G38" i="19"/>
  <c r="G42" i="19" s="1"/>
  <c r="I37" i="19" s="1"/>
  <c r="O8" i="19"/>
  <c r="N6" i="19"/>
  <c r="L23" i="48" l="1"/>
  <c r="AC75" i="46"/>
  <c r="AB75" i="46" s="1"/>
  <c r="X75" i="46"/>
  <c r="K15" i="20"/>
  <c r="C17" i="20"/>
  <c r="K10" i="20" s="1"/>
  <c r="L38" i="20"/>
  <c r="I57" i="47" s="1"/>
  <c r="L37" i="20"/>
  <c r="I56" i="47" s="1"/>
  <c r="E57" i="47"/>
  <c r="G57" i="47" s="1"/>
  <c r="H57" i="47" s="1"/>
  <c r="F56" i="47"/>
  <c r="E56" i="47"/>
  <c r="G56" i="47" l="1"/>
  <c r="H56" i="47" s="1"/>
  <c r="AI23" i="2"/>
  <c r="S23" i="2"/>
  <c r="AR73" i="58" l="1"/>
  <c r="BA73" i="58" s="1"/>
  <c r="AM73" i="58"/>
  <c r="AR72" i="58"/>
  <c r="BA72" i="58" s="1"/>
  <c r="AM72" i="58"/>
  <c r="P72" i="58"/>
  <c r="M72" i="58"/>
  <c r="J72" i="58"/>
  <c r="AR71" i="58"/>
  <c r="BA71" i="58" s="1"/>
  <c r="AM71" i="58"/>
  <c r="M71" i="58"/>
  <c r="N71" i="58" s="1"/>
  <c r="J71" i="58"/>
  <c r="W72" i="46"/>
  <c r="W71" i="46"/>
  <c r="O72" i="46"/>
  <c r="P72" i="46" s="1"/>
  <c r="M72" i="46"/>
  <c r="J72" i="46"/>
  <c r="O71" i="46"/>
  <c r="P71" i="46" s="1"/>
  <c r="M71" i="46"/>
  <c r="J71" i="46"/>
  <c r="AR73" i="46"/>
  <c r="BA73" i="46" s="1"/>
  <c r="AM73" i="46"/>
  <c r="AR72" i="46"/>
  <c r="BA72" i="46" s="1"/>
  <c r="AM72" i="46"/>
  <c r="AR71" i="46"/>
  <c r="BA71" i="46" s="1"/>
  <c r="AM71" i="46"/>
  <c r="I38" i="20"/>
  <c r="F42" i="20"/>
  <c r="G40" i="20"/>
  <c r="G39" i="20"/>
  <c r="G38" i="20"/>
  <c r="O8" i="20"/>
  <c r="N6" i="20"/>
  <c r="AD72" i="46" l="1"/>
  <c r="AD72" i="58"/>
  <c r="G42" i="20"/>
  <c r="I37" i="20" s="1"/>
  <c r="AD71" i="58"/>
  <c r="U71" i="58"/>
  <c r="AD73" i="58"/>
  <c r="T72" i="46"/>
  <c r="U72" i="58"/>
  <c r="U71" i="46"/>
  <c r="K71" i="58"/>
  <c r="P71" i="58"/>
  <c r="T71" i="58"/>
  <c r="N72" i="58"/>
  <c r="C71" i="58"/>
  <c r="V71" i="58"/>
  <c r="T72" i="58"/>
  <c r="C72" i="58"/>
  <c r="AD73" i="46"/>
  <c r="AD71" i="46"/>
  <c r="U72" i="46"/>
  <c r="C72" i="46"/>
  <c r="N72" i="46"/>
  <c r="N71" i="46"/>
  <c r="T71" i="46"/>
  <c r="C71" i="46"/>
  <c r="C17" i="22"/>
  <c r="K15" i="22" s="1"/>
  <c r="C8" i="22"/>
  <c r="K14" i="22" s="1"/>
  <c r="C7" i="22"/>
  <c r="K13" i="22" s="1"/>
  <c r="I52" i="47"/>
  <c r="I51" i="47"/>
  <c r="F54" i="47"/>
  <c r="F52" i="47"/>
  <c r="E54" i="47"/>
  <c r="F51" i="47"/>
  <c r="E53" i="47"/>
  <c r="G53" i="47" s="1"/>
  <c r="E52" i="47"/>
  <c r="E51" i="47"/>
  <c r="AI22" i="2"/>
  <c r="S22" i="2"/>
  <c r="G54" i="47" l="1"/>
  <c r="G51" i="47"/>
  <c r="H51" i="47" s="1"/>
  <c r="H53" i="47"/>
  <c r="AA71" i="46"/>
  <c r="O66" i="46"/>
  <c r="N22" i="48"/>
  <c r="K72" i="58"/>
  <c r="AH22" i="48" s="1"/>
  <c r="V72" i="58"/>
  <c r="K72" i="46"/>
  <c r="AC72" i="46" s="1"/>
  <c r="V72" i="46"/>
  <c r="V71" i="46"/>
  <c r="K71" i="46"/>
  <c r="G52" i="47"/>
  <c r="H52" i="47" s="1"/>
  <c r="O68" i="46" l="1"/>
  <c r="O67" i="46"/>
  <c r="AC71" i="46"/>
  <c r="AB71" i="46" s="1"/>
  <c r="L22" i="48"/>
  <c r="X71" i="46"/>
  <c r="AR69" i="58" l="1"/>
  <c r="BA69" i="58" s="1"/>
  <c r="AM69" i="58"/>
  <c r="AR68" i="58"/>
  <c r="BA68" i="58" s="1"/>
  <c r="AM68" i="58"/>
  <c r="P68" i="58"/>
  <c r="M68" i="58"/>
  <c r="J68" i="58"/>
  <c r="AR67" i="58"/>
  <c r="BA67" i="58" s="1"/>
  <c r="AM67" i="58"/>
  <c r="P67" i="58"/>
  <c r="M67" i="58"/>
  <c r="U67" i="58" s="1"/>
  <c r="J67" i="58"/>
  <c r="AR66" i="58"/>
  <c r="BA66" i="58" s="1"/>
  <c r="AM66" i="58"/>
  <c r="M66" i="58"/>
  <c r="T66" i="58" s="1"/>
  <c r="J66" i="58"/>
  <c r="W68" i="46"/>
  <c r="W67" i="46"/>
  <c r="W66" i="46"/>
  <c r="M68" i="46"/>
  <c r="U68" i="46" s="1"/>
  <c r="M67" i="46"/>
  <c r="N67" i="46" s="1"/>
  <c r="M66" i="46"/>
  <c r="C66" i="46" s="1"/>
  <c r="J68" i="46"/>
  <c r="J67" i="46"/>
  <c r="J66" i="46"/>
  <c r="AR69" i="46"/>
  <c r="BA69" i="46" s="1"/>
  <c r="AM69" i="46"/>
  <c r="AR68" i="46"/>
  <c r="BA68" i="46" s="1"/>
  <c r="AM68" i="46"/>
  <c r="AR67" i="46"/>
  <c r="BA67" i="46" s="1"/>
  <c r="AM67" i="46"/>
  <c r="AR66" i="46"/>
  <c r="BA66" i="46" s="1"/>
  <c r="AM66" i="46"/>
  <c r="N66" i="46" l="1"/>
  <c r="V66" i="46" s="1"/>
  <c r="AD68" i="46"/>
  <c r="AD68" i="58"/>
  <c r="N68" i="46"/>
  <c r="K68" i="46" s="1"/>
  <c r="N66" i="58"/>
  <c r="K66" i="58" s="1"/>
  <c r="AD67" i="46"/>
  <c r="U68" i="58"/>
  <c r="AD67" i="58"/>
  <c r="AD66" i="58"/>
  <c r="AD69" i="58"/>
  <c r="N67" i="58"/>
  <c r="N68" i="58"/>
  <c r="P66" i="58"/>
  <c r="C66" i="58"/>
  <c r="U66" i="58"/>
  <c r="T67" i="58"/>
  <c r="T68" i="58"/>
  <c r="C67" i="58"/>
  <c r="C68" i="58"/>
  <c r="AD69" i="46"/>
  <c r="AD66" i="46"/>
  <c r="V67" i="46"/>
  <c r="C68" i="46"/>
  <c r="V68" i="46"/>
  <c r="P68" i="46"/>
  <c r="T68" i="46"/>
  <c r="P67" i="46"/>
  <c r="K67" i="46"/>
  <c r="T67" i="46"/>
  <c r="C67" i="46"/>
  <c r="U67" i="46"/>
  <c r="K66" i="46"/>
  <c r="T66" i="46"/>
  <c r="P66" i="46"/>
  <c r="U66" i="46"/>
  <c r="I38" i="22"/>
  <c r="L39" i="22" s="1"/>
  <c r="I53" i="47" s="1"/>
  <c r="P7" i="22"/>
  <c r="Q7" i="22" s="1"/>
  <c r="Q16" i="22"/>
  <c r="P17" i="22"/>
  <c r="Q17" i="22" s="1"/>
  <c r="O17" i="22"/>
  <c r="R17" i="22" s="1"/>
  <c r="O16" i="22"/>
  <c r="R16" i="22" s="1"/>
  <c r="O8" i="22"/>
  <c r="O7" i="22"/>
  <c r="N6" i="22"/>
  <c r="R18" i="22" l="1"/>
  <c r="AC67" i="46"/>
  <c r="R7" i="22"/>
  <c r="P8" i="22"/>
  <c r="P9" i="22" s="1"/>
  <c r="P18" i="22"/>
  <c r="R19" i="22" s="1"/>
  <c r="V66" i="58"/>
  <c r="AC68" i="46"/>
  <c r="AC66" i="46"/>
  <c r="Q18" i="22"/>
  <c r="N21" i="48"/>
  <c r="L21" i="48"/>
  <c r="V68" i="58"/>
  <c r="K68" i="58"/>
  <c r="V67" i="58"/>
  <c r="K67" i="58"/>
  <c r="AA66" i="46"/>
  <c r="X66" i="46"/>
  <c r="Q8" i="22" l="1"/>
  <c r="Q9" i="22" s="1"/>
  <c r="Q10" i="22" s="1"/>
  <c r="R8" i="22"/>
  <c r="R9" i="22" s="1"/>
  <c r="R10" i="22" s="1"/>
  <c r="Q19" i="22"/>
  <c r="AB66" i="46"/>
  <c r="AH21" i="48"/>
  <c r="Z62" i="46" l="1"/>
  <c r="C9" i="21" l="1"/>
  <c r="K13" i="21" s="1"/>
  <c r="C8" i="21"/>
  <c r="K12" i="21" s="1"/>
  <c r="C7" i="21"/>
  <c r="K10" i="21" s="1"/>
  <c r="I44" i="47"/>
  <c r="I43" i="47"/>
  <c r="G49" i="47"/>
  <c r="G47" i="47"/>
  <c r="F48" i="47"/>
  <c r="E48" i="47"/>
  <c r="F45" i="47"/>
  <c r="F47" i="47"/>
  <c r="E46" i="47"/>
  <c r="G46" i="47" s="1"/>
  <c r="F43" i="47"/>
  <c r="E45" i="47"/>
  <c r="E44" i="47"/>
  <c r="G44" i="47" s="1"/>
  <c r="H44" i="47" s="1"/>
  <c r="E43" i="47"/>
  <c r="H45" i="47" l="1"/>
  <c r="G48" i="47"/>
  <c r="G45" i="47"/>
  <c r="G43" i="47"/>
  <c r="H43" i="47" s="1"/>
  <c r="AI21" i="2"/>
  <c r="S21" i="2"/>
  <c r="AR64" i="58" l="1"/>
  <c r="BA64" i="58" s="1"/>
  <c r="AM64" i="58"/>
  <c r="AR63" i="58"/>
  <c r="BA63" i="58" s="1"/>
  <c r="AM63" i="58"/>
  <c r="AR62" i="58"/>
  <c r="BA62" i="58" s="1"/>
  <c r="AM62" i="58"/>
  <c r="AD62" i="58" s="1"/>
  <c r="T62" i="58"/>
  <c r="N62" i="58"/>
  <c r="J62" i="58"/>
  <c r="AR61" i="58"/>
  <c r="BA61" i="58" s="1"/>
  <c r="AM61" i="58"/>
  <c r="P61" i="58"/>
  <c r="N61" i="58"/>
  <c r="J61" i="58"/>
  <c r="AR60" i="58"/>
  <c r="BA60" i="58" s="1"/>
  <c r="AM60" i="58"/>
  <c r="U60" i="58"/>
  <c r="N60" i="58"/>
  <c r="J60" i="58"/>
  <c r="W62" i="46"/>
  <c r="W61" i="46"/>
  <c r="W60" i="46"/>
  <c r="O60" i="46"/>
  <c r="U60" i="46" s="1"/>
  <c r="N60" i="46"/>
  <c r="J60" i="46"/>
  <c r="J61" i="46"/>
  <c r="N61" i="46"/>
  <c r="O61" i="46"/>
  <c r="C61" i="46" s="1"/>
  <c r="J62" i="46"/>
  <c r="N62" i="46"/>
  <c r="O62" i="46"/>
  <c r="T62" i="46" s="1"/>
  <c r="AR64" i="46"/>
  <c r="BA64" i="46" s="1"/>
  <c r="AM64" i="46"/>
  <c r="AR63" i="46"/>
  <c r="BA63" i="46" s="1"/>
  <c r="AM63" i="46"/>
  <c r="AR62" i="46"/>
  <c r="BA62" i="46" s="1"/>
  <c r="AM62" i="46"/>
  <c r="AR61" i="46"/>
  <c r="BA61" i="46" s="1"/>
  <c r="AM61" i="46"/>
  <c r="AR60" i="46"/>
  <c r="BA60" i="46" s="1"/>
  <c r="AM60" i="46"/>
  <c r="I38" i="21"/>
  <c r="L39" i="21" s="1"/>
  <c r="I45" i="47" s="1"/>
  <c r="G42" i="21"/>
  <c r="I37" i="21" s="1"/>
  <c r="F42" i="21"/>
  <c r="O19" i="21"/>
  <c r="R19" i="21" s="1"/>
  <c r="O18" i="21"/>
  <c r="R18" i="21" s="1"/>
  <c r="Q20" i="21"/>
  <c r="P21" i="21"/>
  <c r="O20" i="21"/>
  <c r="R20" i="21" s="1"/>
  <c r="Q19" i="21"/>
  <c r="Q18" i="21"/>
  <c r="Q8" i="21"/>
  <c r="P10" i="21"/>
  <c r="Q10" i="21" s="1"/>
  <c r="P9" i="21"/>
  <c r="Q9" i="21" s="1"/>
  <c r="O10" i="21"/>
  <c r="R10" i="21" s="1"/>
  <c r="O9" i="21"/>
  <c r="R9" i="21" s="1"/>
  <c r="O8" i="21"/>
  <c r="R8" i="21" s="1"/>
  <c r="N6" i="21"/>
  <c r="AD61" i="46" l="1"/>
  <c r="V60" i="58"/>
  <c r="AD64" i="58"/>
  <c r="AD60" i="58"/>
  <c r="P11" i="21"/>
  <c r="AD63" i="46"/>
  <c r="AD61" i="58"/>
  <c r="AD63" i="58"/>
  <c r="AD62" i="46"/>
  <c r="Q21" i="21"/>
  <c r="Q22" i="21" s="1"/>
  <c r="AD64" i="46"/>
  <c r="K60" i="46"/>
  <c r="K60" i="58"/>
  <c r="V62" i="46"/>
  <c r="P60" i="58"/>
  <c r="V62" i="58"/>
  <c r="C62" i="46"/>
  <c r="T60" i="58"/>
  <c r="C60" i="58"/>
  <c r="C62" i="58"/>
  <c r="U61" i="58"/>
  <c r="V61" i="46"/>
  <c r="K61" i="46"/>
  <c r="C61" i="58"/>
  <c r="T61" i="46"/>
  <c r="U61" i="46"/>
  <c r="K61" i="58"/>
  <c r="T61" i="58"/>
  <c r="U62" i="58"/>
  <c r="V61" i="58"/>
  <c r="K62" i="58"/>
  <c r="P62" i="58"/>
  <c r="AD60" i="46"/>
  <c r="P60" i="46"/>
  <c r="T60" i="46"/>
  <c r="C60" i="46"/>
  <c r="V60" i="46"/>
  <c r="P61" i="46"/>
  <c r="K62" i="46"/>
  <c r="AC62" i="46" s="1"/>
  <c r="P62" i="46"/>
  <c r="U62" i="46"/>
  <c r="R21" i="21"/>
  <c r="R22" i="21" s="1"/>
  <c r="R11" i="21"/>
  <c r="Q11" i="21"/>
  <c r="Q12" i="21" s="1"/>
  <c r="AI20" i="2"/>
  <c r="S20" i="2"/>
  <c r="Z56" i="46"/>
  <c r="Z55" i="46"/>
  <c r="I40" i="47"/>
  <c r="F41" i="47"/>
  <c r="E41" i="47"/>
  <c r="E40" i="47"/>
  <c r="G40" i="47" s="1"/>
  <c r="E39" i="47"/>
  <c r="F38" i="47"/>
  <c r="E38" i="47"/>
  <c r="E37" i="47"/>
  <c r="G37" i="47" s="1"/>
  <c r="E36" i="47"/>
  <c r="K12" i="23"/>
  <c r="K10" i="23"/>
  <c r="C16" i="23"/>
  <c r="K13" i="23" s="1"/>
  <c r="C8" i="23"/>
  <c r="K9" i="23" s="1"/>
  <c r="R12" i="21" l="1"/>
  <c r="N20" i="48"/>
  <c r="H36" i="47"/>
  <c r="AC60" i="46"/>
  <c r="G41" i="47"/>
  <c r="H38" i="47"/>
  <c r="O55" i="46" s="1"/>
  <c r="H40" i="47"/>
  <c r="O56" i="46" s="1"/>
  <c r="W56" i="46"/>
  <c r="AH20" i="48"/>
  <c r="L20" i="48"/>
  <c r="AC61" i="46"/>
  <c r="AA60" i="46"/>
  <c r="AB60" i="46" s="1"/>
  <c r="X60" i="46"/>
  <c r="W54" i="46"/>
  <c r="G39" i="47"/>
  <c r="G36" i="47"/>
  <c r="G38" i="47"/>
  <c r="O54" i="46" l="1"/>
  <c r="T55" i="58"/>
  <c r="AR58" i="58"/>
  <c r="BA58" i="58" s="1"/>
  <c r="AM58" i="58"/>
  <c r="AD58" i="58" s="1"/>
  <c r="AR57" i="58"/>
  <c r="BA57" i="58" s="1"/>
  <c r="AM57" i="58"/>
  <c r="AR56" i="58"/>
  <c r="BA56" i="58" s="1"/>
  <c r="AM56" i="58"/>
  <c r="S56" i="58"/>
  <c r="N56" i="58"/>
  <c r="V56" i="58" s="1"/>
  <c r="J56" i="58"/>
  <c r="AR55" i="58"/>
  <c r="BA55" i="58" s="1"/>
  <c r="AM55" i="58"/>
  <c r="N55" i="58"/>
  <c r="J55" i="58"/>
  <c r="AR54" i="58"/>
  <c r="BA54" i="58" s="1"/>
  <c r="AM54" i="58"/>
  <c r="P54" i="58"/>
  <c r="N54" i="58"/>
  <c r="K54" i="58"/>
  <c r="J54" i="58"/>
  <c r="AM58" i="46"/>
  <c r="AR58" i="46"/>
  <c r="BA58" i="46" s="1"/>
  <c r="W55" i="46"/>
  <c r="S56" i="46"/>
  <c r="K55" i="58" l="1"/>
  <c r="AD56" i="58"/>
  <c r="AD54" i="58"/>
  <c r="AD55" i="58"/>
  <c r="AD58" i="46"/>
  <c r="P56" i="58"/>
  <c r="U56" i="58"/>
  <c r="T56" i="58"/>
  <c r="K56" i="58"/>
  <c r="C56" i="58"/>
  <c r="U54" i="58"/>
  <c r="T54" i="58"/>
  <c r="V54" i="58"/>
  <c r="C54" i="58"/>
  <c r="AD57" i="58"/>
  <c r="U55" i="58"/>
  <c r="V55" i="58"/>
  <c r="C55" i="58"/>
  <c r="P55" i="58"/>
  <c r="N56" i="46"/>
  <c r="N55" i="46"/>
  <c r="N54" i="46"/>
  <c r="V54" i="46" s="1"/>
  <c r="T56" i="46"/>
  <c r="J56" i="46"/>
  <c r="C56" i="46"/>
  <c r="C55" i="46"/>
  <c r="J55" i="46"/>
  <c r="AR57" i="46"/>
  <c r="BA57" i="46" s="1"/>
  <c r="AM57" i="46"/>
  <c r="AR56" i="46"/>
  <c r="BA56" i="46" s="1"/>
  <c r="AM56" i="46"/>
  <c r="AR55" i="46"/>
  <c r="BA55" i="46" s="1"/>
  <c r="AM55" i="46"/>
  <c r="AR54" i="46"/>
  <c r="BA54" i="46" s="1"/>
  <c r="AM54" i="46"/>
  <c r="T54" i="46"/>
  <c r="U54" i="46"/>
  <c r="J54" i="46"/>
  <c r="P22" i="23"/>
  <c r="Q22" i="23" s="1"/>
  <c r="O22" i="23"/>
  <c r="Q21" i="23"/>
  <c r="O21" i="23"/>
  <c r="R21" i="23" s="1"/>
  <c r="P16" i="23"/>
  <c r="P17" i="23" s="1"/>
  <c r="Q17" i="23" s="1"/>
  <c r="O17" i="23"/>
  <c r="O16" i="23"/>
  <c r="O10" i="23"/>
  <c r="O9" i="23"/>
  <c r="P8" i="23"/>
  <c r="N39" i="23"/>
  <c r="I38" i="47" s="1"/>
  <c r="I38" i="23"/>
  <c r="P9" i="23"/>
  <c r="G40" i="23"/>
  <c r="O8" i="23"/>
  <c r="N6" i="23"/>
  <c r="K54" i="46" l="1"/>
  <c r="AD55" i="46"/>
  <c r="AD57" i="46"/>
  <c r="AD56" i="46"/>
  <c r="P18" i="23"/>
  <c r="R17" i="23"/>
  <c r="Q16" i="23"/>
  <c r="Q18" i="23" s="1"/>
  <c r="Q19" i="23" s="1"/>
  <c r="R16" i="23"/>
  <c r="R18" i="23" s="1"/>
  <c r="R19" i="23" s="1"/>
  <c r="N38" i="23"/>
  <c r="I36" i="47" s="1"/>
  <c r="AH19" i="48"/>
  <c r="U56" i="46"/>
  <c r="V56" i="46"/>
  <c r="V55" i="46"/>
  <c r="K55" i="46"/>
  <c r="AC54" i="46"/>
  <c r="P54" i="46"/>
  <c r="C54" i="46"/>
  <c r="N19" i="48" s="1"/>
  <c r="K56" i="46"/>
  <c r="AC56" i="46" s="1"/>
  <c r="P55" i="46"/>
  <c r="T55" i="46"/>
  <c r="U55" i="46"/>
  <c r="P56" i="46"/>
  <c r="AD54" i="46"/>
  <c r="Q23" i="23"/>
  <c r="R22" i="23"/>
  <c r="R23" i="23" s="1"/>
  <c r="P23" i="23"/>
  <c r="P11" i="23"/>
  <c r="Q24" i="23" l="1"/>
  <c r="R24" i="23"/>
  <c r="AA54" i="46"/>
  <c r="L19" i="48"/>
  <c r="X54" i="46"/>
  <c r="AC55" i="46"/>
  <c r="AB54" i="46" l="1"/>
  <c r="AR52" i="46" l="1"/>
  <c r="BA52" i="46" s="1"/>
  <c r="AM52" i="46"/>
  <c r="AR51" i="46"/>
  <c r="BA51" i="46" s="1"/>
  <c r="AM51" i="46"/>
  <c r="AR50" i="46"/>
  <c r="BA50" i="46" s="1"/>
  <c r="AM50" i="46"/>
  <c r="AR49" i="46"/>
  <c r="BA49" i="46" s="1"/>
  <c r="AM49" i="46"/>
  <c r="N49" i="46"/>
  <c r="J49" i="46"/>
  <c r="AR47" i="46"/>
  <c r="BA47" i="46" s="1"/>
  <c r="AM47" i="46"/>
  <c r="AR46" i="46"/>
  <c r="BA46" i="46" s="1"/>
  <c r="AM46" i="46"/>
  <c r="AD46" i="46" s="1"/>
  <c r="AR45" i="46"/>
  <c r="BA45" i="46" s="1"/>
  <c r="AM45" i="46"/>
  <c r="N45" i="46"/>
  <c r="J45" i="46"/>
  <c r="AR44" i="46"/>
  <c r="BA44" i="46" s="1"/>
  <c r="AM44" i="46"/>
  <c r="Z44" i="46"/>
  <c r="N44" i="46"/>
  <c r="J44" i="46"/>
  <c r="AR52" i="58"/>
  <c r="BA52" i="58" s="1"/>
  <c r="AM52" i="58"/>
  <c r="AR51" i="58"/>
  <c r="BA51" i="58" s="1"/>
  <c r="AM51" i="58"/>
  <c r="AR50" i="58"/>
  <c r="BA50" i="58" s="1"/>
  <c r="AM50" i="58"/>
  <c r="AR49" i="58"/>
  <c r="BA49" i="58" s="1"/>
  <c r="AM49" i="58"/>
  <c r="N49" i="58"/>
  <c r="J49" i="58"/>
  <c r="AR47" i="58"/>
  <c r="BA47" i="58" s="1"/>
  <c r="AM47" i="58"/>
  <c r="AR46" i="58"/>
  <c r="BA46" i="58" s="1"/>
  <c r="AM46" i="58"/>
  <c r="AD46" i="58" s="1"/>
  <c r="AR45" i="58"/>
  <c r="BA45" i="58" s="1"/>
  <c r="AM45" i="58"/>
  <c r="N45" i="58"/>
  <c r="J45" i="58"/>
  <c r="AR44" i="58"/>
  <c r="BA44" i="58" s="1"/>
  <c r="AM44" i="58"/>
  <c r="N44" i="58"/>
  <c r="J44" i="58"/>
  <c r="K12" i="25"/>
  <c r="C25" i="25"/>
  <c r="C16" i="25"/>
  <c r="F34" i="47"/>
  <c r="E34" i="47"/>
  <c r="F32" i="47"/>
  <c r="F31" i="47"/>
  <c r="F30" i="47"/>
  <c r="E32" i="47"/>
  <c r="E31" i="47"/>
  <c r="E30" i="47"/>
  <c r="AD49" i="46" l="1"/>
  <c r="AD51" i="46"/>
  <c r="AD45" i="46"/>
  <c r="G30" i="47"/>
  <c r="G32" i="47"/>
  <c r="H32" i="47" s="1"/>
  <c r="O45" i="46" s="1"/>
  <c r="T45" i="46" s="1"/>
  <c r="AD47" i="46"/>
  <c r="K11" i="25"/>
  <c r="AD50" i="46"/>
  <c r="AD47" i="58"/>
  <c r="AD44" i="58"/>
  <c r="AD51" i="58"/>
  <c r="W45" i="46"/>
  <c r="AD45" i="58"/>
  <c r="AD52" i="46"/>
  <c r="V45" i="46"/>
  <c r="K45" i="46"/>
  <c r="AD44" i="46"/>
  <c r="AD49" i="58"/>
  <c r="H30" i="47"/>
  <c r="AD50" i="58"/>
  <c r="AD52" i="58"/>
  <c r="G34" i="47"/>
  <c r="H34" i="47" s="1"/>
  <c r="G31" i="47"/>
  <c r="C45" i="58" l="1"/>
  <c r="C45" i="46"/>
  <c r="U45" i="46"/>
  <c r="P45" i="46"/>
  <c r="W44" i="46"/>
  <c r="O49" i="46"/>
  <c r="U45" i="58"/>
  <c r="P45" i="58"/>
  <c r="T45" i="58"/>
  <c r="O44" i="46"/>
  <c r="K45" i="58"/>
  <c r="AI19" i="2"/>
  <c r="AI18" i="2"/>
  <c r="S19" i="2"/>
  <c r="S18" i="2"/>
  <c r="V45" i="58" l="1"/>
  <c r="T49" i="46"/>
  <c r="P49" i="46"/>
  <c r="K49" i="46"/>
  <c r="AC49" i="46" s="1"/>
  <c r="V49" i="46"/>
  <c r="C49" i="46"/>
  <c r="N18" i="48" s="1"/>
  <c r="U49" i="46"/>
  <c r="T49" i="58"/>
  <c r="U49" i="58"/>
  <c r="C49" i="58"/>
  <c r="K49" i="58"/>
  <c r="V49" i="58"/>
  <c r="P49" i="58"/>
  <c r="T44" i="46"/>
  <c r="C44" i="46"/>
  <c r="N17" i="48" s="1"/>
  <c r="U44" i="46"/>
  <c r="AA44" i="46" s="1"/>
  <c r="P44" i="46"/>
  <c r="V44" i="46"/>
  <c r="K44" i="46"/>
  <c r="U44" i="58"/>
  <c r="C44" i="58"/>
  <c r="P44" i="58"/>
  <c r="K44" i="58"/>
  <c r="V44" i="58"/>
  <c r="T44" i="58"/>
  <c r="I38" i="24"/>
  <c r="I34" i="47" s="1"/>
  <c r="F17" i="24"/>
  <c r="F9" i="24"/>
  <c r="Q25" i="24"/>
  <c r="R25" i="24" s="1"/>
  <c r="P25" i="24"/>
  <c r="R24" i="24"/>
  <c r="P24" i="24"/>
  <c r="S24" i="24" s="1"/>
  <c r="Q17" i="24"/>
  <c r="R17" i="24" s="1"/>
  <c r="P17" i="24"/>
  <c r="R16" i="24"/>
  <c r="P16" i="24"/>
  <c r="S16" i="24" s="1"/>
  <c r="Q7" i="24"/>
  <c r="Q8" i="24" s="1"/>
  <c r="P7" i="24"/>
  <c r="R6" i="24"/>
  <c r="P6" i="24"/>
  <c r="S6" i="24" s="1"/>
  <c r="J4" i="24"/>
  <c r="I38" i="25"/>
  <c r="I30" i="47" s="1"/>
  <c r="Q33" i="25"/>
  <c r="Q32" i="25"/>
  <c r="Q25" i="25"/>
  <c r="R25" i="25" s="1"/>
  <c r="P25" i="25"/>
  <c r="R24" i="25"/>
  <c r="R26" i="25" s="1"/>
  <c r="P24" i="25"/>
  <c r="S24" i="25" s="1"/>
  <c r="Q15" i="25"/>
  <c r="P16" i="25"/>
  <c r="P15" i="25"/>
  <c r="Q8" i="25"/>
  <c r="P7" i="25"/>
  <c r="S7" i="25" s="1"/>
  <c r="R6" i="25"/>
  <c r="P6" i="25"/>
  <c r="S6" i="25" s="1"/>
  <c r="J4" i="25"/>
  <c r="S15" i="25" l="1"/>
  <c r="S17" i="24"/>
  <c r="S18" i="24" s="1"/>
  <c r="R26" i="24"/>
  <c r="Q34" i="25"/>
  <c r="AH17" i="48"/>
  <c r="R15" i="25"/>
  <c r="Q16" i="25"/>
  <c r="R16" i="25" s="1"/>
  <c r="L18" i="48"/>
  <c r="AC44" i="46"/>
  <c r="AB44" i="46" s="1"/>
  <c r="X44" i="46"/>
  <c r="AH18" i="48"/>
  <c r="S7" i="24"/>
  <c r="S8" i="24" s="1"/>
  <c r="S9" i="24" s="1"/>
  <c r="S25" i="24"/>
  <c r="S26" i="24" s="1"/>
  <c r="Q26" i="24"/>
  <c r="R27" i="24" s="1"/>
  <c r="R18" i="24"/>
  <c r="Q18" i="24"/>
  <c r="R7" i="24"/>
  <c r="R8" i="24" s="1"/>
  <c r="R9" i="24" s="1"/>
  <c r="S25" i="25"/>
  <c r="S26" i="25" s="1"/>
  <c r="Q26" i="25"/>
  <c r="R27" i="25" s="1"/>
  <c r="S8" i="25"/>
  <c r="S9" i="25" s="1"/>
  <c r="R7" i="25"/>
  <c r="R8" i="25" s="1"/>
  <c r="R9" i="25" s="1"/>
  <c r="KV16" i="1"/>
  <c r="S19" i="24" l="1"/>
  <c r="R17" i="25"/>
  <c r="S16" i="25"/>
  <c r="S17" i="25" s="1"/>
  <c r="S27" i="24"/>
  <c r="Q17" i="25"/>
  <c r="L17" i="48"/>
  <c r="R19" i="24"/>
  <c r="S27" i="25"/>
  <c r="AI17" i="2"/>
  <c r="S17" i="2"/>
  <c r="S18" i="25" l="1"/>
  <c r="R18" i="25"/>
  <c r="Z40" i="46"/>
  <c r="AR42" i="58"/>
  <c r="BA42" i="58" s="1"/>
  <c r="AM42" i="58"/>
  <c r="AD42" i="58" s="1"/>
  <c r="AR41" i="58"/>
  <c r="BA41" i="58" s="1"/>
  <c r="AM41" i="58"/>
  <c r="AR40" i="58"/>
  <c r="BA40" i="58" s="1"/>
  <c r="AM40" i="58"/>
  <c r="N40" i="58"/>
  <c r="J40" i="58"/>
  <c r="E28" i="47"/>
  <c r="G28" i="47" s="1"/>
  <c r="H28" i="47" s="1"/>
  <c r="AD40" i="58" l="1"/>
  <c r="AD41" i="58"/>
  <c r="C40" i="58"/>
  <c r="P40" i="58"/>
  <c r="O40" i="46"/>
  <c r="K40" i="58"/>
  <c r="T40" i="58"/>
  <c r="U40" i="58"/>
  <c r="V40" i="58"/>
  <c r="AH16" i="48" l="1"/>
  <c r="U40" i="46" l="1"/>
  <c r="N40" i="46"/>
  <c r="K40" i="46" s="1"/>
  <c r="L16" i="48" s="1"/>
  <c r="J40" i="46"/>
  <c r="C40" i="46"/>
  <c r="N16" i="48" s="1"/>
  <c r="AR42" i="46"/>
  <c r="BA42" i="46" s="1"/>
  <c r="AM42" i="46"/>
  <c r="AR41" i="46"/>
  <c r="BA41" i="46" s="1"/>
  <c r="AM41" i="46"/>
  <c r="AR40" i="46"/>
  <c r="BA40" i="46" s="1"/>
  <c r="AM40" i="46"/>
  <c r="I38" i="26"/>
  <c r="I28" i="47" s="1"/>
  <c r="J4" i="26"/>
  <c r="AD42" i="46" l="1"/>
  <c r="AD41" i="46"/>
  <c r="AD40" i="46"/>
  <c r="P40" i="46"/>
  <c r="V40" i="46"/>
  <c r="T40" i="46"/>
  <c r="AC40" i="46" s="1"/>
  <c r="AI16" i="2"/>
  <c r="S16" i="2"/>
  <c r="Z35" i="46" l="1"/>
  <c r="Z34" i="46"/>
  <c r="L37" i="28" l="1"/>
  <c r="I38" i="28"/>
  <c r="L38" i="28" s="1"/>
  <c r="I26" i="47" s="1"/>
  <c r="AR38" i="58"/>
  <c r="BA38" i="58" s="1"/>
  <c r="AM38" i="58"/>
  <c r="AR37" i="58"/>
  <c r="BA37" i="58" s="1"/>
  <c r="AM37" i="58"/>
  <c r="AR36" i="58"/>
  <c r="BA36" i="58" s="1"/>
  <c r="AM36" i="58"/>
  <c r="AR35" i="58"/>
  <c r="BA35" i="58" s="1"/>
  <c r="AM35" i="58"/>
  <c r="N35" i="58"/>
  <c r="J35" i="58"/>
  <c r="AR34" i="58"/>
  <c r="BA34" i="58" s="1"/>
  <c r="AM34" i="58"/>
  <c r="Q34" i="58"/>
  <c r="M34" i="58"/>
  <c r="N34" i="58" s="1"/>
  <c r="J34" i="58"/>
  <c r="I24" i="47"/>
  <c r="F26" i="47"/>
  <c r="E25" i="47"/>
  <c r="G25" i="47" s="1"/>
  <c r="F24" i="47"/>
  <c r="E26" i="47"/>
  <c r="G26" i="47" s="1"/>
  <c r="H26" i="47" s="1"/>
  <c r="E24" i="47"/>
  <c r="H24" i="47" s="1"/>
  <c r="AD36" i="58" l="1"/>
  <c r="U34" i="58"/>
  <c r="P34" i="58"/>
  <c r="O35" i="46"/>
  <c r="C35" i="58"/>
  <c r="AD38" i="58"/>
  <c r="O34" i="46"/>
  <c r="AD34" i="58"/>
  <c r="AD35" i="58"/>
  <c r="V34" i="58"/>
  <c r="K34" i="58"/>
  <c r="AD37" i="58"/>
  <c r="C34" i="58"/>
  <c r="T34" i="58"/>
  <c r="G24" i="47"/>
  <c r="C17" i="28"/>
  <c r="K11" i="28" s="1"/>
  <c r="V35" i="58" l="1"/>
  <c r="K35" i="58"/>
  <c r="U35" i="58"/>
  <c r="P35" i="58"/>
  <c r="C16" i="28"/>
  <c r="K10" i="28" s="1"/>
  <c r="T35" i="58"/>
  <c r="CD34" i="59"/>
  <c r="CB34" i="59"/>
  <c r="BX34" i="59"/>
  <c r="BT34" i="59"/>
  <c r="CD33" i="59"/>
  <c r="CB33" i="59"/>
  <c r="BX33" i="59"/>
  <c r="BT33" i="59"/>
  <c r="CD32" i="59"/>
  <c r="CB32" i="59"/>
  <c r="BX32" i="59"/>
  <c r="BT32" i="59"/>
  <c r="CD31" i="59"/>
  <c r="CB31" i="59"/>
  <c r="BX31" i="59"/>
  <c r="BT31" i="59"/>
  <c r="CD30" i="59"/>
  <c r="CB30" i="59"/>
  <c r="BX30" i="59"/>
  <c r="BT30" i="59"/>
  <c r="CD29" i="59"/>
  <c r="CB29" i="59"/>
  <c r="BX29" i="59"/>
  <c r="BT29" i="59"/>
  <c r="CD28" i="59"/>
  <c r="CB28" i="59"/>
  <c r="BX28" i="59"/>
  <c r="BT28" i="59"/>
  <c r="CD27" i="59"/>
  <c r="CB27" i="59"/>
  <c r="BX27" i="59"/>
  <c r="BT27" i="59"/>
  <c r="CD26" i="59"/>
  <c r="CB26" i="59"/>
  <c r="BX26" i="59"/>
  <c r="BT26" i="59"/>
  <c r="CD25" i="59"/>
  <c r="CB25" i="59"/>
  <c r="BX25" i="59"/>
  <c r="BT25" i="59"/>
  <c r="CD24" i="59"/>
  <c r="CB24" i="59"/>
  <c r="BX24" i="59"/>
  <c r="BT24" i="59"/>
  <c r="CD23" i="59"/>
  <c r="CB23" i="59"/>
  <c r="BX23" i="59"/>
  <c r="CD22" i="59"/>
  <c r="CB22" i="59"/>
  <c r="BX22" i="59"/>
  <c r="BT22" i="59"/>
  <c r="CD21" i="59"/>
  <c r="CB21" i="59"/>
  <c r="BX21" i="59"/>
  <c r="BT21" i="59"/>
  <c r="CD18" i="59"/>
  <c r="CB18" i="59"/>
  <c r="BX18" i="59"/>
  <c r="CD17" i="59"/>
  <c r="CB17" i="59"/>
  <c r="BX17" i="59"/>
  <c r="CD16" i="59"/>
  <c r="CB16" i="59"/>
  <c r="BX16" i="59"/>
  <c r="BT16" i="59"/>
  <c r="CD15" i="59"/>
  <c r="CB15" i="59"/>
  <c r="BX15" i="59"/>
  <c r="CD14" i="59"/>
  <c r="CB14" i="59"/>
  <c r="BX14" i="59"/>
  <c r="CD11" i="59"/>
  <c r="CB11" i="59"/>
  <c r="BY11" i="59"/>
  <c r="BX11" i="59"/>
  <c r="BY10" i="59"/>
  <c r="BX10" i="59"/>
  <c r="BY9" i="59"/>
  <c r="BX9" i="59"/>
  <c r="BY8" i="59"/>
  <c r="BX8" i="59"/>
  <c r="BY7" i="59"/>
  <c r="BX7" i="59"/>
  <c r="BY6" i="59"/>
  <c r="BX6" i="59"/>
  <c r="BY5" i="59"/>
  <c r="BX5" i="59"/>
  <c r="BY4" i="59"/>
  <c r="BX4" i="59"/>
  <c r="AX34" i="59"/>
  <c r="AV34" i="59"/>
  <c r="AS34" i="59"/>
  <c r="AR34" i="59"/>
  <c r="AO34" i="59"/>
  <c r="AN34" i="59"/>
  <c r="AH34" i="59"/>
  <c r="AF34" i="59"/>
  <c r="AE34" i="59"/>
  <c r="AD34" i="59"/>
  <c r="AC34" i="59"/>
  <c r="AB34" i="59"/>
  <c r="AA34" i="59"/>
  <c r="Z34" i="59"/>
  <c r="AX33" i="59"/>
  <c r="AV33" i="59"/>
  <c r="AS33" i="59"/>
  <c r="AR33" i="59"/>
  <c r="AO33" i="59"/>
  <c r="AN33" i="59"/>
  <c r="AH33" i="59"/>
  <c r="AF33" i="59"/>
  <c r="AE33" i="59"/>
  <c r="AD33" i="59"/>
  <c r="AC33" i="59"/>
  <c r="AB33" i="59"/>
  <c r="AA33" i="59"/>
  <c r="Z33" i="59"/>
  <c r="AX32" i="59"/>
  <c r="AV32" i="59"/>
  <c r="AS32" i="59"/>
  <c r="AR32" i="59"/>
  <c r="AO32" i="59"/>
  <c r="AN32" i="59"/>
  <c r="AH32" i="59"/>
  <c r="AF32" i="59"/>
  <c r="AE32" i="59"/>
  <c r="AD32" i="59"/>
  <c r="AC32" i="59"/>
  <c r="AB32" i="59"/>
  <c r="AA32" i="59"/>
  <c r="Z32" i="59"/>
  <c r="AX31" i="59"/>
  <c r="AV31" i="59"/>
  <c r="AS31" i="59"/>
  <c r="AR31" i="59"/>
  <c r="AO31" i="59"/>
  <c r="AN31" i="59"/>
  <c r="AH31" i="59"/>
  <c r="AF31" i="59"/>
  <c r="AE31" i="59"/>
  <c r="AD31" i="59"/>
  <c r="AC31" i="59"/>
  <c r="AB31" i="59"/>
  <c r="AA31" i="59"/>
  <c r="Z31" i="59"/>
  <c r="AX30" i="59"/>
  <c r="AV30" i="59"/>
  <c r="AS30" i="59"/>
  <c r="AR30" i="59"/>
  <c r="AO30" i="59"/>
  <c r="AN30" i="59"/>
  <c r="AH30" i="59"/>
  <c r="AF30" i="59"/>
  <c r="AE30" i="59"/>
  <c r="AD30" i="59"/>
  <c r="AC30" i="59"/>
  <c r="AB30" i="59"/>
  <c r="AA30" i="59"/>
  <c r="Z30" i="59"/>
  <c r="AX29" i="59"/>
  <c r="AV29" i="59"/>
  <c r="AS29" i="59"/>
  <c r="AR29" i="59"/>
  <c r="AO29" i="59"/>
  <c r="AN29" i="59"/>
  <c r="AH29" i="59"/>
  <c r="AF29" i="59"/>
  <c r="AE29" i="59"/>
  <c r="AD29" i="59"/>
  <c r="AC29" i="59"/>
  <c r="AB29" i="59"/>
  <c r="AA29" i="59"/>
  <c r="Z29" i="59"/>
  <c r="AX28" i="59"/>
  <c r="AV28" i="59"/>
  <c r="AS28" i="59"/>
  <c r="AR28" i="59"/>
  <c r="AO28" i="59"/>
  <c r="AN28" i="59"/>
  <c r="AH28" i="59"/>
  <c r="AF28" i="59"/>
  <c r="AE28" i="59"/>
  <c r="AD28" i="59"/>
  <c r="AC28" i="59"/>
  <c r="AB28" i="59"/>
  <c r="AA28" i="59"/>
  <c r="Z28" i="59"/>
  <c r="AX27" i="59"/>
  <c r="AV27" i="59"/>
  <c r="AS27" i="59"/>
  <c r="AR27" i="59"/>
  <c r="AO27" i="59"/>
  <c r="AN27" i="59"/>
  <c r="AH27" i="59"/>
  <c r="AF27" i="59"/>
  <c r="AE27" i="59"/>
  <c r="AD27" i="59"/>
  <c r="AC27" i="59"/>
  <c r="AB27" i="59"/>
  <c r="AA27" i="59"/>
  <c r="Z27" i="59"/>
  <c r="AX26" i="59"/>
  <c r="AV26" i="59"/>
  <c r="AS26" i="59"/>
  <c r="AR26" i="59"/>
  <c r="AO26" i="59"/>
  <c r="AN26" i="59"/>
  <c r="AH26" i="59"/>
  <c r="AF26" i="59"/>
  <c r="AE26" i="59"/>
  <c r="AD26" i="59"/>
  <c r="AC26" i="59"/>
  <c r="AB26" i="59"/>
  <c r="AA26" i="59"/>
  <c r="Z26" i="59"/>
  <c r="AX25" i="59"/>
  <c r="AV25" i="59"/>
  <c r="AS25" i="59"/>
  <c r="AR25" i="59"/>
  <c r="AO25" i="59"/>
  <c r="AN25" i="59"/>
  <c r="AH25" i="59"/>
  <c r="AF25" i="59"/>
  <c r="AE25" i="59"/>
  <c r="AD25" i="59"/>
  <c r="AC25" i="59"/>
  <c r="AB25" i="59"/>
  <c r="AA25" i="59"/>
  <c r="Z25" i="59"/>
  <c r="AX24" i="59"/>
  <c r="AV24" i="59"/>
  <c r="AS24" i="59"/>
  <c r="AR24" i="59"/>
  <c r="AO24" i="59"/>
  <c r="AN24" i="59"/>
  <c r="AH24" i="59"/>
  <c r="AF24" i="59"/>
  <c r="AE24" i="59"/>
  <c r="AD24" i="59"/>
  <c r="AC24" i="59"/>
  <c r="AB24" i="59"/>
  <c r="AA24" i="59"/>
  <c r="Z24" i="59"/>
  <c r="AX23" i="59"/>
  <c r="AV23" i="59"/>
  <c r="AS23" i="59"/>
  <c r="AR23" i="59"/>
  <c r="AO23" i="59"/>
  <c r="AN23" i="59"/>
  <c r="AH23" i="59"/>
  <c r="AF23" i="59"/>
  <c r="AE23" i="59"/>
  <c r="AD23" i="59"/>
  <c r="AC23" i="59"/>
  <c r="AB23" i="59"/>
  <c r="AA23" i="59"/>
  <c r="Z23" i="59"/>
  <c r="AX22" i="59"/>
  <c r="AV22" i="59"/>
  <c r="AS22" i="59"/>
  <c r="AR22" i="59"/>
  <c r="AO22" i="59"/>
  <c r="AN22" i="59"/>
  <c r="AH22" i="59"/>
  <c r="AF22" i="59"/>
  <c r="AE22" i="59"/>
  <c r="AD22" i="59"/>
  <c r="AC22" i="59"/>
  <c r="AB22" i="59"/>
  <c r="AA22" i="59"/>
  <c r="Z22" i="59"/>
  <c r="AX21" i="59"/>
  <c r="AV21" i="59"/>
  <c r="AS21" i="59"/>
  <c r="AR21" i="59"/>
  <c r="AO21" i="59"/>
  <c r="AN21" i="59"/>
  <c r="AH21" i="59"/>
  <c r="AF21" i="59"/>
  <c r="AE21" i="59"/>
  <c r="AD21" i="59"/>
  <c r="AC21" i="59"/>
  <c r="AB21" i="59"/>
  <c r="AA21" i="59"/>
  <c r="Z21" i="59"/>
  <c r="AX20" i="59"/>
  <c r="AV20" i="59"/>
  <c r="AS20" i="59"/>
  <c r="AR20" i="59"/>
  <c r="AO20" i="59"/>
  <c r="AN20" i="59"/>
  <c r="AH20" i="59"/>
  <c r="AF20" i="59"/>
  <c r="AE20" i="59"/>
  <c r="AD20" i="59"/>
  <c r="AC20" i="59"/>
  <c r="AB20" i="59"/>
  <c r="AA20" i="59"/>
  <c r="Z20" i="59"/>
  <c r="AX19" i="59"/>
  <c r="AV19" i="59"/>
  <c r="AS19" i="59"/>
  <c r="AR19" i="59"/>
  <c r="AO19" i="59"/>
  <c r="AN19" i="59"/>
  <c r="AH19" i="59"/>
  <c r="AF19" i="59"/>
  <c r="AE19" i="59"/>
  <c r="AD19" i="59"/>
  <c r="AC19" i="59"/>
  <c r="AB19" i="59"/>
  <c r="AA19" i="59"/>
  <c r="Z19" i="59"/>
  <c r="AX18" i="59"/>
  <c r="AV18" i="59"/>
  <c r="AS18" i="59"/>
  <c r="AR18" i="59"/>
  <c r="AO18" i="59"/>
  <c r="AN18" i="59"/>
  <c r="AH18" i="59"/>
  <c r="AF18" i="59"/>
  <c r="AE18" i="59"/>
  <c r="AD18" i="59"/>
  <c r="AC18" i="59"/>
  <c r="AB18" i="59"/>
  <c r="AA18" i="59"/>
  <c r="Z18" i="59"/>
  <c r="AX17" i="59"/>
  <c r="AV17" i="59"/>
  <c r="AS17" i="59"/>
  <c r="AR17" i="59"/>
  <c r="AO17" i="59"/>
  <c r="AN17" i="59"/>
  <c r="AH17" i="59"/>
  <c r="AF17" i="59"/>
  <c r="AE17" i="59"/>
  <c r="AD17" i="59"/>
  <c r="AC17" i="59"/>
  <c r="AB17" i="59"/>
  <c r="AA17" i="59"/>
  <c r="Z17" i="59"/>
  <c r="AX16" i="59"/>
  <c r="AV16" i="59"/>
  <c r="AS16" i="59"/>
  <c r="AR16" i="59"/>
  <c r="AO16" i="59"/>
  <c r="AN16" i="59"/>
  <c r="AH16" i="59"/>
  <c r="AF16" i="59"/>
  <c r="AE16" i="59"/>
  <c r="AD16" i="59"/>
  <c r="AC16" i="59"/>
  <c r="AB16" i="59"/>
  <c r="AA16" i="59"/>
  <c r="Z16" i="59"/>
  <c r="AV15" i="59"/>
  <c r="AS15" i="59"/>
  <c r="AR15" i="59"/>
  <c r="AO15" i="59"/>
  <c r="AN15" i="59"/>
  <c r="AH15" i="59"/>
  <c r="AF15" i="59"/>
  <c r="AE15" i="59"/>
  <c r="AD15" i="59"/>
  <c r="AC15" i="59"/>
  <c r="AB15" i="59"/>
  <c r="AA15" i="59"/>
  <c r="Z15" i="59"/>
  <c r="AX14" i="59"/>
  <c r="AV14" i="59"/>
  <c r="AS14" i="59"/>
  <c r="AR14" i="59"/>
  <c r="AO14" i="59"/>
  <c r="AN14" i="59"/>
  <c r="AH14" i="59"/>
  <c r="AF14" i="59"/>
  <c r="AE14" i="59"/>
  <c r="AD14" i="59"/>
  <c r="AC14" i="59"/>
  <c r="AB14" i="59"/>
  <c r="AA14" i="59"/>
  <c r="Z14" i="59"/>
  <c r="AX13" i="59"/>
  <c r="AV13" i="59"/>
  <c r="AS13" i="59"/>
  <c r="AR13" i="59"/>
  <c r="AO13" i="59"/>
  <c r="AN13" i="59"/>
  <c r="AH13" i="59"/>
  <c r="AF13" i="59"/>
  <c r="AE13" i="59"/>
  <c r="AD13" i="59"/>
  <c r="AC13" i="59"/>
  <c r="AB13" i="59"/>
  <c r="AA13" i="59"/>
  <c r="Z13" i="59"/>
  <c r="AX12" i="59"/>
  <c r="AV12" i="59"/>
  <c r="AS12" i="59"/>
  <c r="AR12" i="59"/>
  <c r="AO12" i="59"/>
  <c r="AN12" i="59"/>
  <c r="AH12" i="59"/>
  <c r="AF12" i="59"/>
  <c r="AE12" i="59"/>
  <c r="AD12" i="59"/>
  <c r="AC12" i="59"/>
  <c r="AB12" i="59"/>
  <c r="AA12" i="59"/>
  <c r="Z12" i="59"/>
  <c r="AX11" i="59"/>
  <c r="AV11" i="59"/>
  <c r="AS11" i="59"/>
  <c r="AR11" i="59"/>
  <c r="AO11" i="59"/>
  <c r="AN11" i="59"/>
  <c r="AF11" i="59"/>
  <c r="AE11" i="59"/>
  <c r="AD11" i="59"/>
  <c r="AC11" i="59"/>
  <c r="AB11" i="59"/>
  <c r="AA11" i="59"/>
  <c r="Z11" i="59"/>
  <c r="AS10" i="59"/>
  <c r="AR10" i="59"/>
  <c r="AO10" i="59"/>
  <c r="AN10" i="59"/>
  <c r="AE10" i="59"/>
  <c r="AD10" i="59"/>
  <c r="AC10" i="59"/>
  <c r="AB10" i="59"/>
  <c r="AA10" i="59"/>
  <c r="Z10" i="59"/>
  <c r="AS9" i="59"/>
  <c r="AR9" i="59"/>
  <c r="AO9" i="59"/>
  <c r="AN9" i="59"/>
  <c r="AG9" i="59"/>
  <c r="AF9" i="59"/>
  <c r="AE9" i="59"/>
  <c r="AD9" i="59"/>
  <c r="AC9" i="59"/>
  <c r="AB9" i="59"/>
  <c r="AA9" i="59"/>
  <c r="Z9" i="59"/>
  <c r="AS8" i="59"/>
  <c r="AR8" i="59"/>
  <c r="AO8" i="59"/>
  <c r="AN8" i="59"/>
  <c r="AG8" i="59"/>
  <c r="AF8" i="59"/>
  <c r="AE8" i="59"/>
  <c r="AD8" i="59"/>
  <c r="AC8" i="59"/>
  <c r="AB8" i="59"/>
  <c r="AA8" i="59"/>
  <c r="Z8" i="59"/>
  <c r="AS7" i="59"/>
  <c r="AR7" i="59"/>
  <c r="AO7" i="59"/>
  <c r="AN7" i="59"/>
  <c r="AG7" i="59"/>
  <c r="AF7" i="59"/>
  <c r="AE7" i="59"/>
  <c r="AD7" i="59"/>
  <c r="AC7" i="59"/>
  <c r="AB7" i="59"/>
  <c r="AA7" i="59"/>
  <c r="Z7" i="59"/>
  <c r="AS6" i="59"/>
  <c r="AR6" i="59"/>
  <c r="AO6" i="59"/>
  <c r="AN6" i="59"/>
  <c r="AG6" i="59"/>
  <c r="AF6" i="59"/>
  <c r="AE6" i="59"/>
  <c r="AD6" i="59"/>
  <c r="AC6" i="59"/>
  <c r="AB6" i="59"/>
  <c r="AA6" i="59"/>
  <c r="Z6" i="59"/>
  <c r="AS5" i="59"/>
  <c r="AR5" i="59"/>
  <c r="AO5" i="59"/>
  <c r="AN5" i="59"/>
  <c r="AG5" i="59"/>
  <c r="AF5" i="59"/>
  <c r="AE5" i="59"/>
  <c r="AD5" i="59"/>
  <c r="AC5" i="59"/>
  <c r="AB5" i="59"/>
  <c r="AA5" i="59"/>
  <c r="Z5" i="59"/>
  <c r="AS4" i="59"/>
  <c r="AR4" i="59"/>
  <c r="AO4" i="59"/>
  <c r="AN4" i="59"/>
  <c r="AG4" i="59"/>
  <c r="AF4" i="59"/>
  <c r="AE4" i="59"/>
  <c r="AD4" i="59"/>
  <c r="AC4" i="59"/>
  <c r="AB4" i="59"/>
  <c r="AA4" i="59"/>
  <c r="Z4" i="59"/>
  <c r="AM38" i="46"/>
  <c r="AR38" i="46"/>
  <c r="BA38" i="46" s="1"/>
  <c r="AM37" i="46"/>
  <c r="AR37" i="46"/>
  <c r="BA37" i="46" s="1"/>
  <c r="W35" i="46"/>
  <c r="Q34" i="46"/>
  <c r="P35" i="46"/>
  <c r="U35" i="46"/>
  <c r="J35" i="46"/>
  <c r="AR36" i="46"/>
  <c r="BA36" i="46" s="1"/>
  <c r="AM36" i="46"/>
  <c r="AR35" i="46"/>
  <c r="BA35" i="46" s="1"/>
  <c r="AM35" i="46"/>
  <c r="AR34" i="46"/>
  <c r="BA34" i="46" s="1"/>
  <c r="AM34" i="46"/>
  <c r="M34" i="46"/>
  <c r="N34" i="46" s="1"/>
  <c r="J34" i="46"/>
  <c r="F32" i="28"/>
  <c r="F23" i="28"/>
  <c r="O9" i="28"/>
  <c r="O8" i="28"/>
  <c r="O15" i="28"/>
  <c r="P9" i="28"/>
  <c r="Q9" i="28" s="1"/>
  <c r="P8" i="28"/>
  <c r="Q8" i="28" s="1"/>
  <c r="N6" i="28"/>
  <c r="AH15" i="48" l="1"/>
  <c r="W34" i="46"/>
  <c r="R9" i="28"/>
  <c r="AD38" i="46"/>
  <c r="P10" i="28"/>
  <c r="AD35" i="46"/>
  <c r="R8" i="28"/>
  <c r="AD36" i="46"/>
  <c r="AD34" i="46"/>
  <c r="V34" i="46"/>
  <c r="AD37" i="46"/>
  <c r="T34" i="46"/>
  <c r="U34" i="46"/>
  <c r="N35" i="46"/>
  <c r="T35" i="46"/>
  <c r="C35" i="46"/>
  <c r="K34" i="46"/>
  <c r="P34" i="46"/>
  <c r="C34" i="46"/>
  <c r="Q10" i="28"/>
  <c r="F11" i="28"/>
  <c r="F14" i="28" s="1"/>
  <c r="R10" i="28" l="1"/>
  <c r="R11" i="28" s="1"/>
  <c r="Q11" i="28"/>
  <c r="N15" i="48"/>
  <c r="AC34" i="46"/>
  <c r="V35" i="46"/>
  <c r="K35" i="46"/>
  <c r="L15" i="48" s="1"/>
  <c r="AC35" i="46" l="1"/>
  <c r="X34" i="46"/>
  <c r="F22" i="47" l="1"/>
  <c r="F21" i="47"/>
  <c r="E22" i="47"/>
  <c r="E21" i="47"/>
  <c r="E20" i="47"/>
  <c r="G20" i="47" s="1"/>
  <c r="G22" i="47" l="1"/>
  <c r="H20" i="47"/>
  <c r="G21" i="47"/>
  <c r="BG15" i="2"/>
  <c r="AI15" i="2"/>
  <c r="S15" i="2"/>
  <c r="O30" i="46" l="1"/>
  <c r="AR32" i="58"/>
  <c r="BA32" i="58" s="1"/>
  <c r="AM32" i="58"/>
  <c r="AR31" i="58"/>
  <c r="BA31" i="58" s="1"/>
  <c r="AM31" i="58"/>
  <c r="AR30" i="58"/>
  <c r="BA30" i="58" s="1"/>
  <c r="AM30" i="58"/>
  <c r="P30" i="58"/>
  <c r="M30" i="58"/>
  <c r="J30" i="58"/>
  <c r="P30" i="46"/>
  <c r="M30" i="46"/>
  <c r="T30" i="46" s="1"/>
  <c r="J30" i="46"/>
  <c r="AR32" i="46"/>
  <c r="BA32" i="46" s="1"/>
  <c r="AM32" i="46"/>
  <c r="AR31" i="46"/>
  <c r="BA31" i="46" s="1"/>
  <c r="AM31" i="46"/>
  <c r="AR30" i="46"/>
  <c r="BA30" i="46" s="1"/>
  <c r="AM30" i="46"/>
  <c r="I38" i="27"/>
  <c r="I20" i="47" s="1"/>
  <c r="G40" i="27"/>
  <c r="G39" i="27"/>
  <c r="G38" i="27"/>
  <c r="O9" i="27"/>
  <c r="O10" i="27"/>
  <c r="O8" i="27"/>
  <c r="N6" i="27"/>
  <c r="AD31" i="58" l="1"/>
  <c r="C30" i="46"/>
  <c r="N14" i="48" s="1"/>
  <c r="AD30" i="58"/>
  <c r="AD32" i="58"/>
  <c r="AD30" i="46"/>
  <c r="U30" i="58"/>
  <c r="T30" i="58"/>
  <c r="N30" i="58"/>
  <c r="C30" i="58"/>
  <c r="U30" i="46"/>
  <c r="N30" i="46"/>
  <c r="AD31" i="46"/>
  <c r="AD32" i="46"/>
  <c r="V30" i="58" l="1"/>
  <c r="K30" i="58"/>
  <c r="K30" i="46"/>
  <c r="L14" i="48" s="1"/>
  <c r="V30" i="46"/>
  <c r="AH14" i="48" l="1"/>
  <c r="AC30" i="46"/>
  <c r="Z26" i="46" l="1"/>
  <c r="Z25" i="46"/>
  <c r="BG14" i="2" l="1"/>
  <c r="AI14" i="2"/>
  <c r="S14" i="2"/>
  <c r="L37" i="29" l="1"/>
  <c r="I14" i="47" s="1"/>
  <c r="L39" i="29"/>
  <c r="I38" i="29"/>
  <c r="I18" i="47"/>
  <c r="E18" i="47"/>
  <c r="H18" i="47" s="1"/>
  <c r="F16" i="47"/>
  <c r="G16" i="47" s="1"/>
  <c r="F17" i="47"/>
  <c r="E17" i="47"/>
  <c r="F14" i="47"/>
  <c r="E16" i="47"/>
  <c r="E15" i="47"/>
  <c r="G15" i="47" s="1"/>
  <c r="E14" i="47"/>
  <c r="H14" i="47" s="1"/>
  <c r="C17" i="29"/>
  <c r="K9" i="29" s="1"/>
  <c r="C16" i="29"/>
  <c r="K8" i="29" s="1"/>
  <c r="H16" i="47" l="1"/>
  <c r="G17" i="47"/>
  <c r="T25" i="58"/>
  <c r="O25" i="46"/>
  <c r="U25" i="46" s="1"/>
  <c r="L38" i="29"/>
  <c r="I16" i="47" s="1"/>
  <c r="O27" i="46"/>
  <c r="G14" i="47"/>
  <c r="AR28" i="58"/>
  <c r="BA28" i="58" s="1"/>
  <c r="AM28" i="58"/>
  <c r="AR27" i="58"/>
  <c r="BA27" i="58" s="1"/>
  <c r="AM27" i="58"/>
  <c r="P27" i="58"/>
  <c r="M27" i="58"/>
  <c r="J27" i="58"/>
  <c r="AR26" i="58"/>
  <c r="BA26" i="58" s="1"/>
  <c r="AM26" i="58"/>
  <c r="S26" i="58"/>
  <c r="M26" i="58"/>
  <c r="J26" i="58"/>
  <c r="AR25" i="58"/>
  <c r="BA25" i="58" s="1"/>
  <c r="AM25" i="58"/>
  <c r="N25" i="58"/>
  <c r="H25" i="58" s="1"/>
  <c r="AM28" i="46"/>
  <c r="AR28" i="46"/>
  <c r="BA28" i="46" s="1"/>
  <c r="W27" i="46"/>
  <c r="W26" i="46"/>
  <c r="W25" i="46"/>
  <c r="S26" i="46"/>
  <c r="M27" i="46"/>
  <c r="M26" i="46"/>
  <c r="N26" i="46" s="1"/>
  <c r="J27" i="46"/>
  <c r="AR27" i="46"/>
  <c r="BA27" i="46" s="1"/>
  <c r="AM27" i="46"/>
  <c r="AR26" i="46"/>
  <c r="BA26" i="46" s="1"/>
  <c r="AM26" i="46"/>
  <c r="AR25" i="46"/>
  <c r="BA25" i="46" s="1"/>
  <c r="AM25" i="46"/>
  <c r="N25" i="46"/>
  <c r="U22" i="29"/>
  <c r="U21" i="29"/>
  <c r="O27" i="29"/>
  <c r="O26" i="29"/>
  <c r="O18" i="29"/>
  <c r="R18" i="29" s="1"/>
  <c r="O17" i="29"/>
  <c r="R17" i="29" s="1"/>
  <c r="G42" i="29"/>
  <c r="I37" i="29" s="1"/>
  <c r="F42" i="29"/>
  <c r="X23" i="29"/>
  <c r="W23" i="29"/>
  <c r="V23" i="29"/>
  <c r="P26" i="29"/>
  <c r="Q26" i="29" s="1"/>
  <c r="P19" i="29"/>
  <c r="Q18" i="29"/>
  <c r="Q17" i="29"/>
  <c r="Q10" i="29"/>
  <c r="Q9" i="29"/>
  <c r="P11" i="29"/>
  <c r="O10" i="29"/>
  <c r="R10" i="29" s="1"/>
  <c r="O9" i="29"/>
  <c r="R9" i="29" s="1"/>
  <c r="N6" i="29"/>
  <c r="R26" i="29" l="1"/>
  <c r="T26" i="58"/>
  <c r="X24" i="29"/>
  <c r="O26" i="46"/>
  <c r="V26" i="46" s="1"/>
  <c r="W24" i="29"/>
  <c r="Q11" i="29"/>
  <c r="Q12" i="29" s="1"/>
  <c r="C27" i="46"/>
  <c r="N26" i="58"/>
  <c r="V26" i="58" s="1"/>
  <c r="AD25" i="58"/>
  <c r="AD27" i="58"/>
  <c r="P27" i="29"/>
  <c r="P28" i="29" s="1"/>
  <c r="N27" i="46"/>
  <c r="K27" i="46" s="1"/>
  <c r="AD28" i="58"/>
  <c r="AD26" i="58"/>
  <c r="Q19" i="29"/>
  <c r="Q20" i="29" s="1"/>
  <c r="AD26" i="46"/>
  <c r="P27" i="46"/>
  <c r="U26" i="58"/>
  <c r="U27" i="58"/>
  <c r="K25" i="58"/>
  <c r="U25" i="58"/>
  <c r="V25" i="58"/>
  <c r="V25" i="46"/>
  <c r="C25" i="58"/>
  <c r="N27" i="58"/>
  <c r="J25" i="58"/>
  <c r="P26" i="58"/>
  <c r="C26" i="58"/>
  <c r="T27" i="58"/>
  <c r="C27" i="58"/>
  <c r="P25" i="58"/>
  <c r="AD28" i="46"/>
  <c r="AD25" i="46"/>
  <c r="U27" i="46"/>
  <c r="T27" i="46"/>
  <c r="AD27" i="46"/>
  <c r="P25" i="46"/>
  <c r="T25" i="46"/>
  <c r="C25" i="46"/>
  <c r="H25" i="46"/>
  <c r="R19" i="29"/>
  <c r="R20" i="29" s="1"/>
  <c r="R11" i="29"/>
  <c r="R12" i="29" s="1"/>
  <c r="C26" i="46" l="1"/>
  <c r="T26" i="46"/>
  <c r="P26" i="46"/>
  <c r="U26" i="46"/>
  <c r="K26" i="58"/>
  <c r="R27" i="29"/>
  <c r="R28" i="29" s="1"/>
  <c r="R29" i="29" s="1"/>
  <c r="Q27" i="29"/>
  <c r="Q28" i="29" s="1"/>
  <c r="Q29" i="29" s="1"/>
  <c r="N13" i="48"/>
  <c r="AC27" i="46"/>
  <c r="V27" i="46"/>
  <c r="K27" i="58"/>
  <c r="V27" i="58"/>
  <c r="J26" i="46"/>
  <c r="K26" i="46"/>
  <c r="AC26" i="46" s="1"/>
  <c r="K25" i="46"/>
  <c r="J25" i="46"/>
  <c r="L13" i="48" l="1"/>
  <c r="AH13" i="48"/>
  <c r="AC25" i="46"/>
  <c r="X25" i="46"/>
  <c r="BG13" i="2" l="1"/>
  <c r="AI13" i="2"/>
  <c r="S13" i="2"/>
  <c r="E7" i="55" l="1"/>
  <c r="E6" i="55"/>
  <c r="AA34" i="46" l="1"/>
  <c r="AB34" i="46" s="1"/>
  <c r="AA25" i="46"/>
  <c r="AB25" i="46" s="1"/>
  <c r="F12" i="47"/>
  <c r="F11" i="47"/>
  <c r="E12" i="47"/>
  <c r="E11" i="47"/>
  <c r="H11" i="47" l="1"/>
  <c r="T21" i="58" s="1"/>
  <c r="G12" i="47"/>
  <c r="G11" i="47"/>
  <c r="AR23" i="58"/>
  <c r="BA23" i="58" s="1"/>
  <c r="AM23" i="58"/>
  <c r="AR22" i="58"/>
  <c r="BA22" i="58" s="1"/>
  <c r="AM22" i="58"/>
  <c r="AR21" i="58"/>
  <c r="BA21" i="58" s="1"/>
  <c r="AM21" i="58"/>
  <c r="N21" i="58"/>
  <c r="H21" i="58" s="1"/>
  <c r="N21" i="46"/>
  <c r="H21" i="46" s="1"/>
  <c r="AR23" i="46"/>
  <c r="BA23" i="46" s="1"/>
  <c r="AM23" i="46"/>
  <c r="AR22" i="46"/>
  <c r="BA22" i="46" s="1"/>
  <c r="AM22" i="46"/>
  <c r="AR21" i="46"/>
  <c r="BA21" i="46" s="1"/>
  <c r="AM21" i="46"/>
  <c r="I38" i="30"/>
  <c r="I11" i="47" s="1"/>
  <c r="G40" i="30"/>
  <c r="G39" i="30"/>
  <c r="O18" i="30"/>
  <c r="O17" i="30"/>
  <c r="Q9" i="30"/>
  <c r="Q8" i="30"/>
  <c r="P10" i="30"/>
  <c r="O9" i="30"/>
  <c r="R9" i="30" s="1"/>
  <c r="O8" i="30"/>
  <c r="R8" i="30" s="1"/>
  <c r="N6" i="30"/>
  <c r="O21" i="46" l="1"/>
  <c r="U21" i="46" s="1"/>
  <c r="AD23" i="58"/>
  <c r="AD21" i="58"/>
  <c r="AD22" i="58"/>
  <c r="V21" i="58"/>
  <c r="P21" i="58"/>
  <c r="U21" i="58"/>
  <c r="C21" i="58"/>
  <c r="K21" i="58"/>
  <c r="J21" i="58"/>
  <c r="AD23" i="46"/>
  <c r="AD22" i="46"/>
  <c r="AD21" i="46"/>
  <c r="J21" i="46"/>
  <c r="P21" i="46"/>
  <c r="AC22" i="46"/>
  <c r="Q10" i="30"/>
  <c r="Q11" i="30" s="1"/>
  <c r="R10" i="30"/>
  <c r="R11" i="30" s="1"/>
  <c r="D6" i="55"/>
  <c r="C7" i="55"/>
  <c r="C6" i="55"/>
  <c r="V21" i="46" l="1"/>
  <c r="K21" i="46"/>
  <c r="L12" i="48" s="1"/>
  <c r="C21" i="46"/>
  <c r="N12" i="48" s="1"/>
  <c r="T21" i="46"/>
  <c r="AC21" i="46" s="1"/>
  <c r="AH12" i="48"/>
  <c r="E9" i="47"/>
  <c r="G9" i="47" s="1"/>
  <c r="H9" i="47" s="1"/>
  <c r="E8" i="47"/>
  <c r="G8" i="47" s="1"/>
  <c r="H8" i="47" s="1"/>
  <c r="O17" i="46" s="1"/>
  <c r="E6" i="47"/>
  <c r="G6" i="47" s="1"/>
  <c r="H6" i="47" s="1"/>
  <c r="O11" i="46" s="1"/>
  <c r="I4" i="47"/>
  <c r="C26" i="31"/>
  <c r="BG12" i="2"/>
  <c r="BG11" i="2"/>
  <c r="S12" i="2"/>
  <c r="S11" i="2"/>
  <c r="O18" i="46" l="1"/>
  <c r="AR19" i="58" l="1"/>
  <c r="BA19" i="58" s="1"/>
  <c r="AM19" i="58"/>
  <c r="AD19" i="58" s="1"/>
  <c r="AR18" i="58"/>
  <c r="BA18" i="58" s="1"/>
  <c r="AM18" i="58"/>
  <c r="U18" i="58"/>
  <c r="N18" i="58"/>
  <c r="AR17" i="58"/>
  <c r="BA17" i="58" s="1"/>
  <c r="AM17" i="58"/>
  <c r="S17" i="58"/>
  <c r="T17" i="58"/>
  <c r="N17" i="58"/>
  <c r="H17" i="58" s="1"/>
  <c r="AR15" i="58"/>
  <c r="BA15" i="58" s="1"/>
  <c r="AM15" i="58"/>
  <c r="AR14" i="58"/>
  <c r="BA14" i="58" s="1"/>
  <c r="AM14" i="58"/>
  <c r="AR13" i="58"/>
  <c r="BA13" i="58" s="1"/>
  <c r="AM13" i="58"/>
  <c r="AR12" i="58"/>
  <c r="BA12" i="58" s="1"/>
  <c r="AM12" i="58"/>
  <c r="AR11" i="58"/>
  <c r="BA11" i="58" s="1"/>
  <c r="AM11" i="58"/>
  <c r="T11" i="58"/>
  <c r="N11" i="58"/>
  <c r="H11" i="58" s="1"/>
  <c r="S17" i="46"/>
  <c r="P18" i="46"/>
  <c r="N18" i="46"/>
  <c r="AR19" i="46"/>
  <c r="BA19" i="46" s="1"/>
  <c r="AM19" i="46"/>
  <c r="AR18" i="46"/>
  <c r="BA18" i="46" s="1"/>
  <c r="AM18" i="46"/>
  <c r="AR17" i="46"/>
  <c r="BA17" i="46" s="1"/>
  <c r="AM17" i="46"/>
  <c r="T17" i="46"/>
  <c r="N17" i="46"/>
  <c r="H17" i="46" s="1"/>
  <c r="J17" i="46" s="1"/>
  <c r="AM15" i="46"/>
  <c r="AR15" i="46"/>
  <c r="BA15" i="46" s="1"/>
  <c r="AR14" i="46"/>
  <c r="BA14" i="46" s="1"/>
  <c r="AM14" i="46"/>
  <c r="AR13" i="46"/>
  <c r="BA13" i="46" s="1"/>
  <c r="AM13" i="46"/>
  <c r="AR12" i="46"/>
  <c r="BA12" i="46" s="1"/>
  <c r="AM12" i="46"/>
  <c r="AR11" i="46"/>
  <c r="BA11" i="46" s="1"/>
  <c r="AM11" i="46"/>
  <c r="T11" i="46"/>
  <c r="N11" i="46"/>
  <c r="L39" i="31"/>
  <c r="I9" i="47" s="1"/>
  <c r="Q8" i="31"/>
  <c r="Q10" i="31"/>
  <c r="Q9" i="31"/>
  <c r="P11" i="31"/>
  <c r="K8" i="31"/>
  <c r="K7" i="31"/>
  <c r="I38" i="31"/>
  <c r="Q26" i="31"/>
  <c r="Q25" i="31"/>
  <c r="P27" i="31"/>
  <c r="O26" i="31"/>
  <c r="R26" i="31" s="1"/>
  <c r="O25" i="31"/>
  <c r="R25" i="31" s="1"/>
  <c r="O10" i="31"/>
  <c r="R10" i="31" s="1"/>
  <c r="O9" i="31"/>
  <c r="R9" i="31" s="1"/>
  <c r="O8" i="31"/>
  <c r="R8" i="31" s="1"/>
  <c r="N6" i="31"/>
  <c r="I38" i="32"/>
  <c r="I6" i="47" s="1"/>
  <c r="F42" i="32"/>
  <c r="G40" i="32"/>
  <c r="G39" i="32"/>
  <c r="G38" i="32"/>
  <c r="O10" i="32"/>
  <c r="O9" i="32"/>
  <c r="O8" i="32"/>
  <c r="N6" i="32"/>
  <c r="AD19" i="46" l="1"/>
  <c r="R11" i="31"/>
  <c r="R12" i="31" s="1"/>
  <c r="L38" i="31"/>
  <c r="I8" i="47" s="1"/>
  <c r="Q27" i="31"/>
  <c r="Q28" i="31" s="1"/>
  <c r="AD13" i="46"/>
  <c r="Q11" i="31"/>
  <c r="G42" i="32"/>
  <c r="I37" i="32" s="1"/>
  <c r="AD12" i="58"/>
  <c r="AD15" i="58"/>
  <c r="AD17" i="46"/>
  <c r="AD18" i="58"/>
  <c r="AD14" i="58"/>
  <c r="W18" i="46"/>
  <c r="AD11" i="58"/>
  <c r="AD17" i="58"/>
  <c r="U17" i="46"/>
  <c r="V17" i="46"/>
  <c r="U11" i="58"/>
  <c r="V11" i="46"/>
  <c r="C11" i="58"/>
  <c r="U17" i="58"/>
  <c r="C18" i="46"/>
  <c r="V18" i="46"/>
  <c r="C17" i="58"/>
  <c r="P11" i="58"/>
  <c r="K17" i="58"/>
  <c r="T18" i="46"/>
  <c r="V17" i="58"/>
  <c r="V18" i="58"/>
  <c r="U18" i="46"/>
  <c r="C17" i="46"/>
  <c r="P17" i="58"/>
  <c r="W17" i="46"/>
  <c r="J11" i="58"/>
  <c r="K11" i="58"/>
  <c r="AD13" i="58"/>
  <c r="J17" i="58"/>
  <c r="P18" i="58"/>
  <c r="T18" i="58"/>
  <c r="C18" i="58"/>
  <c r="H18" i="58"/>
  <c r="V11" i="58"/>
  <c r="H18" i="46"/>
  <c r="K18" i="46" s="1"/>
  <c r="AC18" i="46" s="1"/>
  <c r="AD18" i="46"/>
  <c r="K17" i="46"/>
  <c r="P17" i="46"/>
  <c r="AD14" i="46"/>
  <c r="AD15" i="46"/>
  <c r="H11" i="46"/>
  <c r="K11" i="46" s="1"/>
  <c r="AD11" i="46"/>
  <c r="AD12" i="46"/>
  <c r="C11" i="46"/>
  <c r="N10" i="48" s="1"/>
  <c r="U11" i="46"/>
  <c r="P11" i="46"/>
  <c r="Q12" i="31"/>
  <c r="R27" i="31"/>
  <c r="R28" i="31" s="1"/>
  <c r="N11" i="48" l="1"/>
  <c r="AH10" i="48"/>
  <c r="AA17" i="46"/>
  <c r="J18" i="46"/>
  <c r="J11" i="46"/>
  <c r="AC17" i="46"/>
  <c r="L11" i="48"/>
  <c r="AC11" i="46"/>
  <c r="L10" i="48"/>
  <c r="K18" i="58"/>
  <c r="AH11" i="48" s="1"/>
  <c r="J18" i="58"/>
  <c r="X17" i="46"/>
  <c r="AB17" i="46" l="1"/>
  <c r="KV39" i="1" l="1"/>
  <c r="KV38" i="1"/>
  <c r="KV37" i="1"/>
  <c r="KV36" i="1"/>
  <c r="KV35" i="1"/>
  <c r="KV34" i="1"/>
  <c r="KV33" i="1"/>
  <c r="KV32" i="1"/>
  <c r="KV30" i="1"/>
  <c r="KV29" i="1"/>
  <c r="KV28" i="1"/>
  <c r="KV27" i="1"/>
  <c r="KV26" i="1"/>
  <c r="KV25" i="1"/>
  <c r="KV24" i="1"/>
  <c r="KV23" i="1"/>
  <c r="KV22" i="1"/>
  <c r="KV21" i="1"/>
  <c r="KV20" i="1"/>
  <c r="KV19" i="1"/>
  <c r="KV18" i="1"/>
  <c r="KV17" i="1"/>
  <c r="KV15" i="1"/>
  <c r="KV14" i="1"/>
  <c r="KV13" i="1"/>
  <c r="KV12" i="1"/>
  <c r="KV11" i="1"/>
  <c r="KV10" i="1"/>
  <c r="KV9" i="1"/>
  <c r="BL34" i="59" l="1"/>
  <c r="BJ34" i="59"/>
  <c r="BH34" i="59"/>
  <c r="BF34" i="59"/>
  <c r="BL33" i="59"/>
  <c r="BJ33" i="59"/>
  <c r="BH33" i="59"/>
  <c r="BF33" i="59"/>
  <c r="BL28" i="59"/>
  <c r="BJ28" i="59"/>
  <c r="BL17" i="59"/>
  <c r="BJ17" i="59"/>
  <c r="BL15" i="59"/>
  <c r="BJ15" i="59"/>
  <c r="BL14" i="59"/>
  <c r="BJ14" i="59"/>
  <c r="BL13" i="59"/>
  <c r="BJ13" i="59"/>
  <c r="BL12" i="59"/>
  <c r="BJ12" i="59"/>
  <c r="BL11" i="59"/>
  <c r="BJ11" i="59"/>
  <c r="BJ10" i="59"/>
  <c r="BL9" i="59"/>
  <c r="BJ9" i="59"/>
  <c r="BJ8" i="59"/>
  <c r="BL7" i="59"/>
  <c r="BJ7" i="59"/>
  <c r="T34" i="59" l="1"/>
  <c r="R34" i="59"/>
  <c r="P34" i="59"/>
  <c r="N34" i="59"/>
  <c r="L34" i="59"/>
  <c r="T33" i="59"/>
  <c r="R33" i="59"/>
  <c r="P33" i="59"/>
  <c r="N33" i="59"/>
  <c r="L33" i="59"/>
  <c r="T32" i="59"/>
  <c r="R32" i="59"/>
  <c r="P32" i="59"/>
  <c r="N32" i="59"/>
  <c r="L32" i="59"/>
  <c r="T31" i="59"/>
  <c r="R31" i="59"/>
  <c r="P31" i="59"/>
  <c r="N31" i="59"/>
  <c r="L31" i="59"/>
  <c r="T30" i="59"/>
  <c r="R30" i="59"/>
  <c r="P30" i="59"/>
  <c r="N30" i="59"/>
  <c r="L30" i="59"/>
  <c r="T29" i="59"/>
  <c r="R29" i="59"/>
  <c r="P29" i="59"/>
  <c r="N29" i="59"/>
  <c r="L29" i="59"/>
  <c r="T28" i="59"/>
  <c r="R28" i="59"/>
  <c r="P28" i="59"/>
  <c r="N28" i="59"/>
  <c r="L28" i="59"/>
  <c r="T25" i="59"/>
  <c r="R25" i="59"/>
  <c r="P25" i="59"/>
  <c r="T24" i="59"/>
  <c r="R24" i="59"/>
  <c r="P24" i="59"/>
  <c r="T23" i="59"/>
  <c r="R23" i="59"/>
  <c r="P23" i="59"/>
  <c r="T22" i="59"/>
  <c r="R22" i="59"/>
  <c r="P22" i="59"/>
  <c r="T21" i="59"/>
  <c r="R21" i="59"/>
  <c r="P21" i="59"/>
  <c r="T20" i="59"/>
  <c r="R20" i="59"/>
  <c r="P20" i="59"/>
  <c r="T19" i="59"/>
  <c r="R19" i="59"/>
  <c r="P19" i="59"/>
  <c r="T18" i="59"/>
  <c r="R18" i="59"/>
  <c r="P18" i="59"/>
  <c r="U16" i="59"/>
  <c r="T16" i="59"/>
  <c r="S16" i="59"/>
  <c r="R16" i="59"/>
  <c r="Q16" i="59"/>
  <c r="P16" i="59"/>
  <c r="U15" i="59"/>
  <c r="T15" i="59"/>
  <c r="S15" i="59"/>
  <c r="R15" i="59"/>
  <c r="Q15" i="59"/>
  <c r="P15" i="59"/>
  <c r="U14" i="59"/>
  <c r="T14" i="59"/>
  <c r="S14" i="59"/>
  <c r="R14" i="59"/>
  <c r="Q14" i="59"/>
  <c r="P14" i="59"/>
  <c r="U13" i="59"/>
  <c r="T13" i="59"/>
  <c r="S13" i="59"/>
  <c r="R13" i="59"/>
  <c r="Q13" i="59"/>
  <c r="P13" i="59"/>
  <c r="U12" i="59"/>
  <c r="T12" i="59"/>
  <c r="S12" i="59"/>
  <c r="R12" i="59"/>
  <c r="Q12" i="59"/>
  <c r="P12" i="59"/>
  <c r="U11" i="59"/>
  <c r="T11" i="59"/>
  <c r="S11" i="59"/>
  <c r="R11" i="59"/>
  <c r="Q11" i="59"/>
  <c r="P11" i="59"/>
  <c r="U10" i="59"/>
  <c r="T10" i="59"/>
  <c r="S10" i="59"/>
  <c r="R10" i="59"/>
  <c r="Q10" i="59"/>
  <c r="P10" i="59"/>
  <c r="U9" i="59"/>
  <c r="T9" i="59"/>
  <c r="S9" i="59"/>
  <c r="R9" i="59"/>
  <c r="Q9" i="59"/>
  <c r="P9" i="59"/>
  <c r="U8" i="59"/>
  <c r="T8" i="59"/>
  <c r="S8" i="59"/>
  <c r="R8" i="59"/>
  <c r="Q8" i="59"/>
  <c r="P8" i="59"/>
  <c r="U7" i="59"/>
  <c r="T7" i="59"/>
  <c r="S7" i="59"/>
  <c r="R7" i="59"/>
  <c r="Q7" i="59"/>
  <c r="P7" i="59"/>
  <c r="U6" i="59"/>
  <c r="T6" i="59"/>
  <c r="S6" i="59"/>
  <c r="R6" i="59"/>
  <c r="Q6" i="59"/>
  <c r="P6" i="59"/>
  <c r="U5" i="59"/>
  <c r="T5" i="59"/>
  <c r="S5" i="59"/>
  <c r="R5" i="59"/>
  <c r="Q5" i="59"/>
  <c r="P5" i="59"/>
  <c r="P4" i="59"/>
  <c r="Q4" i="59"/>
  <c r="R4" i="59"/>
  <c r="S4" i="59"/>
  <c r="T4" i="59"/>
  <c r="U4" i="59"/>
  <c r="BG10" i="2" l="1"/>
  <c r="S10" i="2"/>
  <c r="AO38" i="45" l="1"/>
  <c r="AO37" i="45"/>
  <c r="AO36" i="45"/>
  <c r="AO35" i="45"/>
  <c r="AO34" i="45"/>
  <c r="AO33" i="45"/>
  <c r="AO32" i="45"/>
  <c r="AO31" i="45"/>
  <c r="AO30" i="45"/>
  <c r="AO29" i="45"/>
  <c r="AO28" i="45"/>
  <c r="AO27" i="45"/>
  <c r="AO26" i="45"/>
  <c r="AO25" i="45"/>
  <c r="AO24" i="45"/>
  <c r="AO23" i="45"/>
  <c r="AO22" i="45"/>
  <c r="AO21" i="45"/>
  <c r="AO20" i="45"/>
  <c r="AO19" i="45"/>
  <c r="AO18" i="45"/>
  <c r="AO17" i="45"/>
  <c r="AO16" i="45"/>
  <c r="AO15" i="45"/>
  <c r="AO14" i="45"/>
  <c r="AO13" i="45"/>
  <c r="AO12" i="45"/>
  <c r="AO11" i="45"/>
  <c r="AO10" i="45"/>
  <c r="AO9" i="45"/>
  <c r="AO8" i="45"/>
  <c r="AK38" i="45"/>
  <c r="AK37" i="45"/>
  <c r="AK36" i="45"/>
  <c r="AK35" i="45"/>
  <c r="AK34" i="45"/>
  <c r="AK33" i="45"/>
  <c r="AK32" i="45"/>
  <c r="AK31" i="45"/>
  <c r="AK30" i="45"/>
  <c r="AK29" i="45"/>
  <c r="AK28" i="45"/>
  <c r="AK27" i="45"/>
  <c r="AK26" i="45"/>
  <c r="AK25" i="45"/>
  <c r="AK24" i="45"/>
  <c r="AK23" i="45"/>
  <c r="AK22" i="45"/>
  <c r="AK21" i="45"/>
  <c r="AK20" i="45"/>
  <c r="AK19" i="45"/>
  <c r="AK18" i="45"/>
  <c r="AK17" i="45"/>
  <c r="AK16" i="45"/>
  <c r="AK15" i="45"/>
  <c r="AK14" i="45"/>
  <c r="AK13" i="45"/>
  <c r="AK12" i="45"/>
  <c r="AK11" i="45"/>
  <c r="AK10" i="45"/>
  <c r="AK9" i="45"/>
  <c r="AK8" i="45"/>
  <c r="AG38" i="45"/>
  <c r="AG37" i="45"/>
  <c r="AG36" i="45"/>
  <c r="AG35" i="45"/>
  <c r="AG34" i="45"/>
  <c r="AG33" i="45"/>
  <c r="AG32" i="45"/>
  <c r="AG31" i="45"/>
  <c r="AG30" i="45"/>
  <c r="AG29" i="45"/>
  <c r="AG28" i="45"/>
  <c r="AG27" i="45"/>
  <c r="AG26" i="45"/>
  <c r="AG25" i="45"/>
  <c r="AG24" i="45"/>
  <c r="AG23" i="45"/>
  <c r="AG22" i="45"/>
  <c r="AG21" i="45"/>
  <c r="AG20" i="45"/>
  <c r="AG19" i="45"/>
  <c r="AG18" i="45"/>
  <c r="AG17" i="45"/>
  <c r="AG16" i="45"/>
  <c r="AG15" i="45"/>
  <c r="AG14" i="45"/>
  <c r="AG13" i="45"/>
  <c r="AG12" i="45"/>
  <c r="AG11" i="45"/>
  <c r="AG10" i="45"/>
  <c r="AG9" i="45"/>
  <c r="AG8" i="45"/>
  <c r="AC38" i="45"/>
  <c r="AC37" i="45"/>
  <c r="AC36" i="45"/>
  <c r="AC35" i="45"/>
  <c r="AC34" i="45"/>
  <c r="AC33" i="45"/>
  <c r="AC32" i="45"/>
  <c r="AC31" i="45"/>
  <c r="AC30" i="45"/>
  <c r="AC29" i="45"/>
  <c r="AC28" i="45"/>
  <c r="AC27" i="45"/>
  <c r="AC26" i="45"/>
  <c r="AC25" i="45"/>
  <c r="AC24" i="45"/>
  <c r="AC23" i="45"/>
  <c r="AC22" i="45"/>
  <c r="AC21" i="45"/>
  <c r="AC20" i="45"/>
  <c r="AC19" i="45"/>
  <c r="AC18" i="45"/>
  <c r="AC17" i="45"/>
  <c r="AC16" i="45"/>
  <c r="AC15" i="45"/>
  <c r="AC14" i="45"/>
  <c r="AC13" i="45"/>
  <c r="AC12" i="45"/>
  <c r="AC11" i="45"/>
  <c r="AC10" i="45"/>
  <c r="AC9" i="45"/>
  <c r="AC8" i="45"/>
  <c r="Y38" i="45"/>
  <c r="Y37" i="45"/>
  <c r="Y36" i="45"/>
  <c r="Y35" i="45"/>
  <c r="Y34" i="45"/>
  <c r="Y33" i="45"/>
  <c r="Y32" i="45"/>
  <c r="Y31" i="45"/>
  <c r="Y30" i="45"/>
  <c r="Y29" i="45"/>
  <c r="Y28" i="45"/>
  <c r="Y27" i="45"/>
  <c r="Y26" i="45"/>
  <c r="Y25" i="45"/>
  <c r="Y24" i="45"/>
  <c r="Y23" i="45"/>
  <c r="Y22" i="45"/>
  <c r="Y21" i="45"/>
  <c r="Y20" i="45"/>
  <c r="Y19" i="45"/>
  <c r="Y18" i="45"/>
  <c r="Y17" i="45"/>
  <c r="Y16" i="45"/>
  <c r="Y15" i="45"/>
  <c r="Y14" i="45"/>
  <c r="Y13" i="45"/>
  <c r="Y12" i="45"/>
  <c r="Y11" i="45"/>
  <c r="Y10" i="45"/>
  <c r="Y9" i="45"/>
  <c r="Y8" i="45"/>
  <c r="U38" i="45"/>
  <c r="U37" i="45"/>
  <c r="U36" i="45"/>
  <c r="U35" i="45"/>
  <c r="U34" i="45"/>
  <c r="U33" i="45"/>
  <c r="U32" i="45"/>
  <c r="U31" i="45"/>
  <c r="U30" i="45"/>
  <c r="U29" i="45"/>
  <c r="U28" i="45"/>
  <c r="U27" i="45"/>
  <c r="U26" i="45"/>
  <c r="U25" i="45"/>
  <c r="U24" i="45"/>
  <c r="U23" i="45"/>
  <c r="U22" i="45"/>
  <c r="U21" i="45"/>
  <c r="U20" i="45"/>
  <c r="U19" i="45"/>
  <c r="U18" i="45"/>
  <c r="U17" i="45"/>
  <c r="U16" i="45"/>
  <c r="U15" i="45"/>
  <c r="U14" i="45"/>
  <c r="U13" i="45"/>
  <c r="U12" i="45"/>
  <c r="U11" i="45"/>
  <c r="U10" i="45"/>
  <c r="U9" i="45"/>
  <c r="U8" i="45"/>
  <c r="Q38" i="45"/>
  <c r="Q37" i="45"/>
  <c r="Q36" i="45"/>
  <c r="Q35" i="45"/>
  <c r="Q34" i="45"/>
  <c r="Q33" i="45"/>
  <c r="Q32" i="45"/>
  <c r="Q31" i="45"/>
  <c r="Q30" i="45"/>
  <c r="Q29" i="45"/>
  <c r="Q28" i="45"/>
  <c r="Q27" i="45"/>
  <c r="Q26" i="45"/>
  <c r="Q25" i="45"/>
  <c r="Q24" i="45"/>
  <c r="Q23" i="45"/>
  <c r="Q22" i="45"/>
  <c r="Q21" i="45"/>
  <c r="Q20" i="45"/>
  <c r="Q19" i="45"/>
  <c r="Q18" i="45"/>
  <c r="Q17" i="45"/>
  <c r="Q16" i="45"/>
  <c r="Q15" i="45"/>
  <c r="Q14" i="45"/>
  <c r="Q13" i="45"/>
  <c r="Q12" i="45"/>
  <c r="Q11" i="45"/>
  <c r="Q10" i="45"/>
  <c r="Q9" i="45"/>
  <c r="Q8" i="45"/>
  <c r="M38" i="45"/>
  <c r="M37" i="45"/>
  <c r="M36" i="45"/>
  <c r="M35" i="45"/>
  <c r="M34" i="45"/>
  <c r="M33" i="45"/>
  <c r="M32" i="45"/>
  <c r="M31" i="45"/>
  <c r="M30" i="45"/>
  <c r="M29" i="45"/>
  <c r="M28" i="45"/>
  <c r="M27" i="45"/>
  <c r="M26" i="45"/>
  <c r="M25" i="45"/>
  <c r="M24" i="45"/>
  <c r="M23" i="45"/>
  <c r="M22" i="45"/>
  <c r="M21" i="45"/>
  <c r="M20" i="45"/>
  <c r="M19" i="45"/>
  <c r="M18" i="45"/>
  <c r="M17" i="45"/>
  <c r="M16" i="45"/>
  <c r="M15" i="45"/>
  <c r="M14" i="45"/>
  <c r="M13" i="45"/>
  <c r="M12" i="45"/>
  <c r="M11" i="45"/>
  <c r="M10" i="45"/>
  <c r="M9" i="45"/>
  <c r="M8" i="45"/>
  <c r="I38" i="45"/>
  <c r="I37" i="45"/>
  <c r="I36" i="45"/>
  <c r="I35" i="45"/>
  <c r="I34" i="45"/>
  <c r="I33" i="45"/>
  <c r="I32" i="45"/>
  <c r="I31" i="45"/>
  <c r="I30" i="45"/>
  <c r="I29" i="45"/>
  <c r="I28" i="45"/>
  <c r="I27" i="45"/>
  <c r="I26" i="45"/>
  <c r="I25" i="45"/>
  <c r="I24" i="45"/>
  <c r="I23" i="45"/>
  <c r="I22" i="45"/>
  <c r="I21" i="45"/>
  <c r="I20" i="45"/>
  <c r="I19" i="45"/>
  <c r="I18" i="45"/>
  <c r="I17" i="45"/>
  <c r="I16" i="45"/>
  <c r="I15" i="45"/>
  <c r="I14" i="45"/>
  <c r="I13" i="45"/>
  <c r="I12" i="45"/>
  <c r="I11" i="45"/>
  <c r="I10" i="45"/>
  <c r="I9" i="45"/>
  <c r="I8" i="45"/>
  <c r="E38" i="45"/>
  <c r="E37" i="45"/>
  <c r="E36" i="45"/>
  <c r="E35" i="45"/>
  <c r="E34" i="45"/>
  <c r="E33" i="45"/>
  <c r="E32" i="45"/>
  <c r="E31" i="45"/>
  <c r="E30" i="45"/>
  <c r="E29" i="45"/>
  <c r="E28" i="45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AR9" i="58" l="1"/>
  <c r="BA9" i="58" s="1"/>
  <c r="AM9" i="58"/>
  <c r="AR8" i="58"/>
  <c r="BA8" i="58" s="1"/>
  <c r="AM8" i="58"/>
  <c r="AR7" i="58"/>
  <c r="BA7" i="58" s="1"/>
  <c r="AM7" i="58"/>
  <c r="AR6" i="58"/>
  <c r="BA6" i="58" s="1"/>
  <c r="AM6" i="58"/>
  <c r="N6" i="58"/>
  <c r="H6" i="58" s="1"/>
  <c r="A6" i="58"/>
  <c r="BR40" i="59"/>
  <c r="BN40" i="59"/>
  <c r="CJ41" i="59"/>
  <c r="CH41" i="59"/>
  <c r="CF41" i="59"/>
  <c r="CD41" i="59"/>
  <c r="CB41" i="59"/>
  <c r="BZ41" i="59"/>
  <c r="BX41" i="59"/>
  <c r="BV41" i="59"/>
  <c r="BT41" i="59"/>
  <c r="BR41" i="59"/>
  <c r="BP41" i="59"/>
  <c r="BN41" i="59"/>
  <c r="BL41" i="59"/>
  <c r="BJ41" i="59"/>
  <c r="BH41" i="59"/>
  <c r="BF41" i="59"/>
  <c r="BD41" i="59"/>
  <c r="BB41" i="59"/>
  <c r="AZ42" i="59"/>
  <c r="AZ41" i="59"/>
  <c r="AX41" i="59"/>
  <c r="AV41" i="59"/>
  <c r="AT41" i="59"/>
  <c r="AR41" i="59"/>
  <c r="AP41" i="59"/>
  <c r="AN41" i="59"/>
  <c r="AL41" i="59"/>
  <c r="AJ41" i="59"/>
  <c r="AH41" i="59"/>
  <c r="AF41" i="59"/>
  <c r="AD41" i="59"/>
  <c r="AB41" i="59"/>
  <c r="Z41" i="59"/>
  <c r="X41" i="59"/>
  <c r="V41" i="59"/>
  <c r="T41" i="59"/>
  <c r="R41" i="59"/>
  <c r="P42" i="59"/>
  <c r="P41" i="59"/>
  <c r="N41" i="59"/>
  <c r="L41" i="59"/>
  <c r="J41" i="59"/>
  <c r="H41" i="59"/>
  <c r="F41" i="59"/>
  <c r="D41" i="59"/>
  <c r="B41" i="59"/>
  <c r="CJ47" i="59"/>
  <c r="CH47" i="59"/>
  <c r="CF47" i="59"/>
  <c r="CD47" i="59"/>
  <c r="CB47" i="59"/>
  <c r="BZ47" i="59"/>
  <c r="BX47" i="59"/>
  <c r="BV47" i="59"/>
  <c r="BT47" i="59"/>
  <c r="BR47" i="59"/>
  <c r="BP47" i="59"/>
  <c r="BN47" i="59"/>
  <c r="BL47" i="59"/>
  <c r="BJ47" i="59"/>
  <c r="BH47" i="59"/>
  <c r="BF47" i="59"/>
  <c r="BD47" i="59"/>
  <c r="BB47" i="59"/>
  <c r="AZ47" i="59"/>
  <c r="AX47" i="59"/>
  <c r="AV47" i="59"/>
  <c r="AT47" i="59"/>
  <c r="AR47" i="59"/>
  <c r="AP47" i="59"/>
  <c r="AN47" i="59"/>
  <c r="AL47" i="59"/>
  <c r="AJ47" i="59"/>
  <c r="AH47" i="59"/>
  <c r="AF47" i="59"/>
  <c r="AD47" i="59"/>
  <c r="AB47" i="59"/>
  <c r="Z47" i="59"/>
  <c r="X47" i="59"/>
  <c r="V47" i="59"/>
  <c r="T47" i="59"/>
  <c r="R47" i="59"/>
  <c r="P47" i="59"/>
  <c r="N47" i="59"/>
  <c r="L47" i="59"/>
  <c r="J47" i="59"/>
  <c r="H47" i="59"/>
  <c r="F47" i="59"/>
  <c r="D47" i="59"/>
  <c r="B47" i="59"/>
  <c r="CJ46" i="59"/>
  <c r="CH46" i="59"/>
  <c r="CF46" i="59"/>
  <c r="CD46" i="59"/>
  <c r="CB46" i="59"/>
  <c r="BZ46" i="59"/>
  <c r="BX46" i="59"/>
  <c r="BV46" i="59"/>
  <c r="BT46" i="59"/>
  <c r="BR46" i="59"/>
  <c r="BP46" i="59"/>
  <c r="BN46" i="59"/>
  <c r="BL46" i="59"/>
  <c r="BJ46" i="59"/>
  <c r="BH46" i="59"/>
  <c r="BF46" i="59"/>
  <c r="BD46" i="59"/>
  <c r="BB46" i="59"/>
  <c r="AZ46" i="59"/>
  <c r="AX46" i="59"/>
  <c r="AV46" i="59"/>
  <c r="AT46" i="59"/>
  <c r="AR46" i="59"/>
  <c r="AP46" i="59"/>
  <c r="AN46" i="59"/>
  <c r="AL46" i="59"/>
  <c r="AJ46" i="59"/>
  <c r="AH46" i="59"/>
  <c r="AF46" i="59"/>
  <c r="AD46" i="59"/>
  <c r="AB46" i="59"/>
  <c r="Z46" i="59"/>
  <c r="X46" i="59"/>
  <c r="V46" i="59"/>
  <c r="T46" i="59"/>
  <c r="R46" i="59"/>
  <c r="P46" i="59"/>
  <c r="N46" i="59"/>
  <c r="L46" i="59"/>
  <c r="J46" i="59"/>
  <c r="H46" i="59"/>
  <c r="F46" i="59"/>
  <c r="D46" i="59"/>
  <c r="B46" i="59"/>
  <c r="CJ45" i="59"/>
  <c r="CH45" i="59"/>
  <c r="CF45" i="59"/>
  <c r="CD45" i="59"/>
  <c r="CB45" i="59"/>
  <c r="BZ45" i="59"/>
  <c r="BX45" i="59"/>
  <c r="BV45" i="59"/>
  <c r="BT45" i="59"/>
  <c r="BR45" i="59"/>
  <c r="BP45" i="59"/>
  <c r="BN45" i="59"/>
  <c r="BL45" i="59"/>
  <c r="BJ45" i="59"/>
  <c r="BH45" i="59"/>
  <c r="BF45" i="59"/>
  <c r="BD45" i="59"/>
  <c r="BB45" i="59"/>
  <c r="AZ45" i="59"/>
  <c r="AX45" i="59"/>
  <c r="AV45" i="59"/>
  <c r="AT45" i="59"/>
  <c r="AR45" i="59"/>
  <c r="AP45" i="59"/>
  <c r="AN45" i="59"/>
  <c r="AL45" i="59"/>
  <c r="AJ45" i="59"/>
  <c r="AH45" i="59"/>
  <c r="AF45" i="59"/>
  <c r="AD45" i="59"/>
  <c r="AB45" i="59"/>
  <c r="Z45" i="59"/>
  <c r="X45" i="59"/>
  <c r="V45" i="59"/>
  <c r="T45" i="59"/>
  <c r="R45" i="59"/>
  <c r="P45" i="59"/>
  <c r="N45" i="59"/>
  <c r="L45" i="59"/>
  <c r="J45" i="59"/>
  <c r="H45" i="59"/>
  <c r="F45" i="59"/>
  <c r="D45" i="59"/>
  <c r="B45" i="59"/>
  <c r="CJ44" i="59"/>
  <c r="CH44" i="59"/>
  <c r="CF44" i="59"/>
  <c r="CD44" i="59"/>
  <c r="CB44" i="59"/>
  <c r="BZ44" i="59"/>
  <c r="BX44" i="59"/>
  <c r="BV44" i="59"/>
  <c r="BT44" i="59"/>
  <c r="BR44" i="59"/>
  <c r="BP44" i="59"/>
  <c r="BN44" i="59"/>
  <c r="BL44" i="59"/>
  <c r="BJ44" i="59"/>
  <c r="BH44" i="59"/>
  <c r="BF44" i="59"/>
  <c r="BD44" i="59"/>
  <c r="BB44" i="59"/>
  <c r="AZ44" i="59"/>
  <c r="AX44" i="59"/>
  <c r="AV44" i="59"/>
  <c r="AT44" i="59"/>
  <c r="AR44" i="59"/>
  <c r="AP44" i="59"/>
  <c r="AN44" i="59"/>
  <c r="AL44" i="59"/>
  <c r="AJ44" i="59"/>
  <c r="AH44" i="59"/>
  <c r="AF44" i="59"/>
  <c r="AD44" i="59"/>
  <c r="AB44" i="59"/>
  <c r="Z44" i="59"/>
  <c r="X44" i="59"/>
  <c r="V44" i="59"/>
  <c r="T44" i="59"/>
  <c r="R44" i="59"/>
  <c r="P44" i="59"/>
  <c r="N44" i="59"/>
  <c r="L44" i="59"/>
  <c r="J44" i="59"/>
  <c r="H44" i="59"/>
  <c r="F44" i="59"/>
  <c r="D44" i="59"/>
  <c r="B44" i="59"/>
  <c r="CJ43" i="59"/>
  <c r="CH43" i="59"/>
  <c r="CF43" i="59"/>
  <c r="CD43" i="59"/>
  <c r="CB43" i="59"/>
  <c r="BZ43" i="59"/>
  <c r="BX43" i="59"/>
  <c r="BV43" i="59"/>
  <c r="BT43" i="59"/>
  <c r="BR43" i="59"/>
  <c r="BP43" i="59"/>
  <c r="BN43" i="59"/>
  <c r="BL43" i="59"/>
  <c r="BJ43" i="59"/>
  <c r="BH43" i="59"/>
  <c r="BF43" i="59"/>
  <c r="BD43" i="59"/>
  <c r="BB43" i="59"/>
  <c r="AZ43" i="59"/>
  <c r="AX43" i="59"/>
  <c r="AV43" i="59"/>
  <c r="AT43" i="59"/>
  <c r="AR43" i="59"/>
  <c r="AP43" i="59"/>
  <c r="AN43" i="59"/>
  <c r="AL43" i="59"/>
  <c r="AJ43" i="59"/>
  <c r="AH43" i="59"/>
  <c r="AF43" i="59"/>
  <c r="AD43" i="59"/>
  <c r="AB43" i="59"/>
  <c r="Z43" i="59"/>
  <c r="X43" i="59"/>
  <c r="V43" i="59"/>
  <c r="T43" i="59"/>
  <c r="R43" i="59"/>
  <c r="P43" i="59"/>
  <c r="N43" i="59"/>
  <c r="L43" i="59"/>
  <c r="J43" i="59"/>
  <c r="H43" i="59"/>
  <c r="F43" i="59"/>
  <c r="D43" i="59"/>
  <c r="B43" i="59"/>
  <c r="CH42" i="59"/>
  <c r="CF42" i="59"/>
  <c r="CD42" i="59"/>
  <c r="CB42" i="59"/>
  <c r="BZ42" i="59"/>
  <c r="BX42" i="59"/>
  <c r="BV42" i="59"/>
  <c r="BT42" i="59"/>
  <c r="BR42" i="59"/>
  <c r="BP42" i="59"/>
  <c r="BN42" i="59"/>
  <c r="BL42" i="59"/>
  <c r="BJ42" i="59"/>
  <c r="BH42" i="59"/>
  <c r="BF42" i="59"/>
  <c r="BD42" i="59"/>
  <c r="BB42" i="59"/>
  <c r="AX42" i="59"/>
  <c r="AV42" i="59"/>
  <c r="AT42" i="59"/>
  <c r="AR42" i="59"/>
  <c r="AP42" i="59"/>
  <c r="AN42" i="59"/>
  <c r="AL42" i="59"/>
  <c r="AJ42" i="59"/>
  <c r="AH42" i="59"/>
  <c r="AF42" i="59"/>
  <c r="AD42" i="59"/>
  <c r="AB42" i="59"/>
  <c r="Z42" i="59"/>
  <c r="X42" i="59"/>
  <c r="V42" i="59"/>
  <c r="T42" i="59"/>
  <c r="R42" i="59"/>
  <c r="N42" i="59"/>
  <c r="L42" i="59"/>
  <c r="J42" i="59"/>
  <c r="H42" i="59"/>
  <c r="F42" i="59"/>
  <c r="D42" i="59"/>
  <c r="B42" i="59"/>
  <c r="AD7" i="58" l="1"/>
  <c r="AD9" i="58"/>
  <c r="AD6" i="58"/>
  <c r="AD8" i="58"/>
  <c r="J6" i="58"/>
  <c r="G42" i="33" l="1"/>
  <c r="I37" i="33" s="1"/>
  <c r="F42" i="33"/>
  <c r="Q23" i="33"/>
  <c r="P24" i="33"/>
  <c r="P25" i="33" s="1"/>
  <c r="O24" i="33"/>
  <c r="R24" i="33" s="1"/>
  <c r="O23" i="33"/>
  <c r="R23" i="33" s="1"/>
  <c r="R25" i="33" l="1"/>
  <c r="R26" i="33" s="1"/>
  <c r="Q24" i="33"/>
  <c r="Q25" i="33" s="1"/>
  <c r="Q26" i="33" s="1"/>
  <c r="BB150" i="58"/>
  <c r="BC150" i="58"/>
  <c r="BD150" i="58"/>
  <c r="BE150" i="58"/>
  <c r="BF150" i="58"/>
  <c r="BF150" i="46"/>
  <c r="BE150" i="46"/>
  <c r="BD150" i="46"/>
  <c r="BC150" i="46"/>
  <c r="BB150" i="46"/>
  <c r="AL40" i="59" l="1"/>
  <c r="A4" i="59" l="1"/>
  <c r="A6" i="46" l="1"/>
  <c r="B1" i="47"/>
  <c r="A8" i="45"/>
  <c r="AR40" i="59" l="1"/>
  <c r="AN40" i="59"/>
  <c r="AD40" i="59"/>
  <c r="AB40" i="59"/>
  <c r="Z40" i="59"/>
  <c r="P20" i="48" l="1"/>
  <c r="F32" i="27" l="1"/>
  <c r="E32" i="27"/>
  <c r="D32" i="27"/>
  <c r="C32" i="27"/>
  <c r="C33" i="27" s="1"/>
  <c r="F23" i="27"/>
  <c r="E23" i="27"/>
  <c r="D23" i="27"/>
  <c r="C23" i="27"/>
  <c r="F14" i="27"/>
  <c r="E14" i="27"/>
  <c r="D14" i="27"/>
  <c r="C14" i="27"/>
  <c r="F32" i="29"/>
  <c r="E32" i="29"/>
  <c r="D32" i="29"/>
  <c r="C32" i="29"/>
  <c r="F23" i="29"/>
  <c r="E23" i="29"/>
  <c r="D23" i="29"/>
  <c r="C23" i="29"/>
  <c r="F14" i="29"/>
  <c r="E14" i="29"/>
  <c r="D14" i="29"/>
  <c r="C14" i="29"/>
  <c r="F32" i="30"/>
  <c r="E32" i="30"/>
  <c r="D32" i="30"/>
  <c r="C32" i="30"/>
  <c r="F23" i="30"/>
  <c r="E23" i="30"/>
  <c r="D23" i="30"/>
  <c r="C23" i="30"/>
  <c r="F14" i="30"/>
  <c r="E14" i="30"/>
  <c r="D14" i="30"/>
  <c r="C14" i="30"/>
  <c r="F32" i="31"/>
  <c r="E32" i="31"/>
  <c r="D32" i="31"/>
  <c r="C32" i="31"/>
  <c r="F23" i="31"/>
  <c r="E23" i="31"/>
  <c r="D23" i="31"/>
  <c r="C23" i="31"/>
  <c r="F14" i="31"/>
  <c r="E14" i="31"/>
  <c r="D14" i="31"/>
  <c r="C14" i="31"/>
  <c r="J8" i="32"/>
  <c r="J9" i="32"/>
  <c r="J9" i="31" s="1"/>
  <c r="E34" i="27" l="1"/>
  <c r="D33" i="29"/>
  <c r="D33" i="30"/>
  <c r="E33" i="30"/>
  <c r="C33" i="30"/>
  <c r="E33" i="29"/>
  <c r="D33" i="31"/>
  <c r="C34" i="27"/>
  <c r="E33" i="31"/>
  <c r="D34" i="27"/>
  <c r="D33" i="27"/>
  <c r="C33" i="29"/>
  <c r="E33" i="27"/>
  <c r="C34" i="30"/>
  <c r="K8" i="30" s="1"/>
  <c r="D34" i="29"/>
  <c r="D34" i="30"/>
  <c r="E34" i="29"/>
  <c r="F34" i="27"/>
  <c r="E34" i="30"/>
  <c r="F34" i="29"/>
  <c r="C33" i="31"/>
  <c r="F34" i="30"/>
  <c r="C34" i="29"/>
  <c r="E35" i="27" l="1"/>
  <c r="K10" i="27"/>
  <c r="Z30" i="46"/>
  <c r="Z21" i="46"/>
  <c r="C35" i="27"/>
  <c r="D35" i="27"/>
  <c r="F42" i="30" l="1"/>
  <c r="G42" i="30" l="1"/>
  <c r="I37" i="30" s="1"/>
  <c r="BC40" i="2" l="1"/>
  <c r="BC39" i="2"/>
  <c r="BC38" i="2"/>
  <c r="BC37" i="2"/>
  <c r="BC36" i="2"/>
  <c r="BC35" i="2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BC11" i="2" l="1"/>
  <c r="BC10" i="2" l="1"/>
  <c r="AE10" i="2" l="1"/>
  <c r="E4" i="47" l="1"/>
  <c r="AM9" i="46" l="1"/>
  <c r="AR9" i="46"/>
  <c r="BA9" i="46" s="1"/>
  <c r="AD9" i="46" l="1"/>
  <c r="T39" i="48" l="1"/>
  <c r="T38" i="48"/>
  <c r="A5" i="59" l="1"/>
  <c r="A6" i="59" s="1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F32" i="37" l="1"/>
  <c r="E32" i="37"/>
  <c r="D32" i="37"/>
  <c r="C32" i="37"/>
  <c r="F23" i="37"/>
  <c r="E23" i="37"/>
  <c r="D23" i="37"/>
  <c r="C23" i="37"/>
  <c r="F14" i="37"/>
  <c r="E14" i="37"/>
  <c r="D14" i="37"/>
  <c r="C14" i="37"/>
  <c r="F32" i="43"/>
  <c r="E32" i="43"/>
  <c r="D32" i="43"/>
  <c r="C32" i="43"/>
  <c r="F23" i="43"/>
  <c r="E23" i="43"/>
  <c r="D23" i="43"/>
  <c r="C23" i="43"/>
  <c r="F14" i="43"/>
  <c r="E14" i="43"/>
  <c r="D14" i="43"/>
  <c r="C14" i="43"/>
  <c r="F32" i="6"/>
  <c r="E32" i="6"/>
  <c r="D32" i="6"/>
  <c r="C32" i="6"/>
  <c r="F23" i="6"/>
  <c r="E23" i="6"/>
  <c r="D23" i="6"/>
  <c r="C23" i="6"/>
  <c r="F14" i="6"/>
  <c r="E14" i="6"/>
  <c r="D14" i="6"/>
  <c r="C14" i="6"/>
  <c r="F32" i="7"/>
  <c r="E32" i="7"/>
  <c r="D32" i="7"/>
  <c r="C32" i="7"/>
  <c r="F23" i="7"/>
  <c r="E23" i="7"/>
  <c r="D23" i="7"/>
  <c r="C23" i="7"/>
  <c r="F14" i="7"/>
  <c r="E14" i="7"/>
  <c r="E34" i="7" s="1"/>
  <c r="D14" i="7"/>
  <c r="C14" i="7"/>
  <c r="F32" i="8"/>
  <c r="E32" i="8"/>
  <c r="D32" i="8"/>
  <c r="C32" i="8"/>
  <c r="F23" i="8"/>
  <c r="E23" i="8"/>
  <c r="D23" i="8"/>
  <c r="C23" i="8"/>
  <c r="F14" i="8"/>
  <c r="E14" i="8"/>
  <c r="D14" i="8"/>
  <c r="C14" i="8"/>
  <c r="F32" i="9"/>
  <c r="E32" i="9"/>
  <c r="D32" i="9"/>
  <c r="C32" i="9"/>
  <c r="F23" i="9"/>
  <c r="E23" i="9"/>
  <c r="D23" i="9"/>
  <c r="C23" i="9"/>
  <c r="F14" i="9"/>
  <c r="E14" i="9"/>
  <c r="D14" i="9"/>
  <c r="C14" i="9"/>
  <c r="F32" i="10"/>
  <c r="E32" i="10"/>
  <c r="D32" i="10"/>
  <c r="C32" i="10"/>
  <c r="F23" i="10"/>
  <c r="E23" i="10"/>
  <c r="D23" i="10"/>
  <c r="C23" i="10"/>
  <c r="F14" i="10"/>
  <c r="E14" i="10"/>
  <c r="D14" i="10"/>
  <c r="C14" i="10"/>
  <c r="F32" i="11"/>
  <c r="E32" i="11"/>
  <c r="D32" i="11"/>
  <c r="C32" i="11"/>
  <c r="F23" i="11"/>
  <c r="E23" i="11"/>
  <c r="D23" i="11"/>
  <c r="C23" i="11"/>
  <c r="F14" i="11"/>
  <c r="E14" i="11"/>
  <c r="E34" i="11" s="1"/>
  <c r="D14" i="11"/>
  <c r="C14" i="11"/>
  <c r="F32" i="12"/>
  <c r="E32" i="12"/>
  <c r="D32" i="12"/>
  <c r="C32" i="12"/>
  <c r="F23" i="12"/>
  <c r="E23" i="12"/>
  <c r="D23" i="12"/>
  <c r="C23" i="12"/>
  <c r="F14" i="12"/>
  <c r="E14" i="12"/>
  <c r="D14" i="12"/>
  <c r="C14" i="12"/>
  <c r="F32" i="13"/>
  <c r="E32" i="13"/>
  <c r="D32" i="13"/>
  <c r="C32" i="13"/>
  <c r="F23" i="13"/>
  <c r="E23" i="13"/>
  <c r="D23" i="13"/>
  <c r="C23" i="13"/>
  <c r="F14" i="13"/>
  <c r="E14" i="13"/>
  <c r="D14" i="13"/>
  <c r="C14" i="13"/>
  <c r="F32" i="14"/>
  <c r="E32" i="14"/>
  <c r="D32" i="14"/>
  <c r="C32" i="14"/>
  <c r="F23" i="14"/>
  <c r="E23" i="14"/>
  <c r="D23" i="14"/>
  <c r="C23" i="14"/>
  <c r="F14" i="14"/>
  <c r="E14" i="14"/>
  <c r="D14" i="14"/>
  <c r="C14" i="14"/>
  <c r="F32" i="15"/>
  <c r="E32" i="15"/>
  <c r="D32" i="15"/>
  <c r="C32" i="15"/>
  <c r="F23" i="15"/>
  <c r="E23" i="15"/>
  <c r="D23" i="15"/>
  <c r="C23" i="15"/>
  <c r="F14" i="15"/>
  <c r="E14" i="15"/>
  <c r="D14" i="15"/>
  <c r="C14" i="15"/>
  <c r="F32" i="16"/>
  <c r="E32" i="16"/>
  <c r="D32" i="16"/>
  <c r="C32" i="16"/>
  <c r="F23" i="16"/>
  <c r="E23" i="16"/>
  <c r="D23" i="16"/>
  <c r="C23" i="16"/>
  <c r="F14" i="16"/>
  <c r="E14" i="16"/>
  <c r="D14" i="16"/>
  <c r="C14" i="16"/>
  <c r="F32" i="17"/>
  <c r="E32" i="17"/>
  <c r="D32" i="17"/>
  <c r="C32" i="17"/>
  <c r="F23" i="17"/>
  <c r="E23" i="17"/>
  <c r="D23" i="17"/>
  <c r="C23" i="17"/>
  <c r="F14" i="17"/>
  <c r="E14" i="17"/>
  <c r="D14" i="17"/>
  <c r="C14" i="17"/>
  <c r="F32" i="18"/>
  <c r="E32" i="18"/>
  <c r="D32" i="18"/>
  <c r="C32" i="18"/>
  <c r="F23" i="18"/>
  <c r="E23" i="18"/>
  <c r="D23" i="18"/>
  <c r="C23" i="18"/>
  <c r="F14" i="18"/>
  <c r="E14" i="18"/>
  <c r="D14" i="18"/>
  <c r="C14" i="18"/>
  <c r="F32" i="19"/>
  <c r="E32" i="19"/>
  <c r="D32" i="19"/>
  <c r="C32" i="19"/>
  <c r="F23" i="19"/>
  <c r="E23" i="19"/>
  <c r="D23" i="19"/>
  <c r="C23" i="19"/>
  <c r="F14" i="19"/>
  <c r="E14" i="19"/>
  <c r="D14" i="19"/>
  <c r="C14" i="19"/>
  <c r="F32" i="20"/>
  <c r="E32" i="20"/>
  <c r="D32" i="20"/>
  <c r="C32" i="20"/>
  <c r="F23" i="20"/>
  <c r="E23" i="20"/>
  <c r="D23" i="20"/>
  <c r="C23" i="20"/>
  <c r="F14" i="20"/>
  <c r="E14" i="20"/>
  <c r="D14" i="20"/>
  <c r="C14" i="20"/>
  <c r="F32" i="22"/>
  <c r="E32" i="22"/>
  <c r="D32" i="22"/>
  <c r="C32" i="22"/>
  <c r="F23" i="22"/>
  <c r="E23" i="22"/>
  <c r="D23" i="22"/>
  <c r="C23" i="22"/>
  <c r="F14" i="22"/>
  <c r="E14" i="22"/>
  <c r="D14" i="22"/>
  <c r="D34" i="22" s="1"/>
  <c r="C14" i="22"/>
  <c r="F32" i="21"/>
  <c r="E32" i="21"/>
  <c r="D32" i="21"/>
  <c r="C32" i="21"/>
  <c r="F23" i="21"/>
  <c r="E23" i="21"/>
  <c r="D23" i="21"/>
  <c r="C23" i="21"/>
  <c r="F14" i="21"/>
  <c r="E14" i="21"/>
  <c r="D14" i="21"/>
  <c r="C14" i="21"/>
  <c r="F32" i="23"/>
  <c r="E32" i="23"/>
  <c r="D32" i="23"/>
  <c r="C32" i="23"/>
  <c r="F23" i="23"/>
  <c r="E23" i="23"/>
  <c r="D23" i="23"/>
  <c r="C23" i="23"/>
  <c r="F14" i="23"/>
  <c r="E14" i="23"/>
  <c r="D14" i="23"/>
  <c r="C14" i="23"/>
  <c r="F32" i="24"/>
  <c r="E32" i="24"/>
  <c r="D32" i="24"/>
  <c r="C32" i="24"/>
  <c r="F23" i="24"/>
  <c r="E23" i="24"/>
  <c r="D23" i="24"/>
  <c r="C23" i="24"/>
  <c r="F14" i="24"/>
  <c r="E14" i="24"/>
  <c r="D14" i="24"/>
  <c r="C14" i="24"/>
  <c r="F32" i="25"/>
  <c r="E32" i="25"/>
  <c r="D32" i="25"/>
  <c r="C32" i="25"/>
  <c r="F23" i="25"/>
  <c r="E23" i="25"/>
  <c r="D23" i="25"/>
  <c r="C23" i="25"/>
  <c r="F14" i="25"/>
  <c r="E14" i="25"/>
  <c r="D14" i="25"/>
  <c r="C14" i="25"/>
  <c r="F32" i="26"/>
  <c r="E32" i="26"/>
  <c r="D32" i="26"/>
  <c r="C32" i="26"/>
  <c r="F23" i="26"/>
  <c r="E23" i="26"/>
  <c r="D23" i="26"/>
  <c r="C23" i="26"/>
  <c r="F14" i="26"/>
  <c r="E14" i="26"/>
  <c r="D14" i="26"/>
  <c r="C14" i="26"/>
  <c r="E32" i="28"/>
  <c r="D32" i="28"/>
  <c r="C32" i="28"/>
  <c r="E23" i="28"/>
  <c r="D23" i="28"/>
  <c r="C23" i="28"/>
  <c r="E14" i="28"/>
  <c r="D14" i="28"/>
  <c r="C14" i="28"/>
  <c r="F34" i="31"/>
  <c r="J9" i="30"/>
  <c r="J9" i="27" s="1"/>
  <c r="J9" i="28" s="1"/>
  <c r="J9" i="26" s="1"/>
  <c r="F32" i="32"/>
  <c r="E32" i="32"/>
  <c r="D32" i="32"/>
  <c r="C32" i="32"/>
  <c r="F23" i="32"/>
  <c r="E23" i="32"/>
  <c r="D23" i="32"/>
  <c r="C23" i="32"/>
  <c r="F14" i="32"/>
  <c r="E14" i="32"/>
  <c r="D14" i="32"/>
  <c r="C14" i="32"/>
  <c r="F14" i="33"/>
  <c r="F23" i="33"/>
  <c r="P39" i="48"/>
  <c r="P38" i="48"/>
  <c r="P37" i="48"/>
  <c r="P36" i="48"/>
  <c r="P35" i="48"/>
  <c r="P34" i="48"/>
  <c r="P33" i="48"/>
  <c r="P32" i="48"/>
  <c r="P31" i="48"/>
  <c r="P30" i="48"/>
  <c r="P29" i="48"/>
  <c r="P28" i="48"/>
  <c r="P27" i="48"/>
  <c r="P26" i="48"/>
  <c r="P25" i="48"/>
  <c r="P24" i="48"/>
  <c r="P23" i="48"/>
  <c r="P22" i="48"/>
  <c r="P21" i="48"/>
  <c r="P19" i="48"/>
  <c r="P18" i="48"/>
  <c r="P17" i="48"/>
  <c r="P16" i="48"/>
  <c r="P15" i="48"/>
  <c r="P14" i="48"/>
  <c r="P13" i="48"/>
  <c r="P12" i="48"/>
  <c r="P11" i="48"/>
  <c r="P10" i="48"/>
  <c r="P9" i="48"/>
  <c r="F34" i="7" l="1"/>
  <c r="C34" i="11"/>
  <c r="F34" i="13"/>
  <c r="D34" i="43"/>
  <c r="D34" i="15"/>
  <c r="C34" i="15"/>
  <c r="K17" i="15" s="1"/>
  <c r="D33" i="16"/>
  <c r="D34" i="19"/>
  <c r="C34" i="19"/>
  <c r="D34" i="23"/>
  <c r="C34" i="23"/>
  <c r="C34" i="25"/>
  <c r="D34" i="17"/>
  <c r="F34" i="9"/>
  <c r="C33" i="37"/>
  <c r="D34" i="28"/>
  <c r="C34" i="28"/>
  <c r="C34" i="22"/>
  <c r="F34" i="28"/>
  <c r="F34" i="15"/>
  <c r="C34" i="43"/>
  <c r="E34" i="26"/>
  <c r="E34" i="24"/>
  <c r="E34" i="21"/>
  <c r="E34" i="20"/>
  <c r="E34" i="16"/>
  <c r="E34" i="14"/>
  <c r="E34" i="12"/>
  <c r="E34" i="8"/>
  <c r="F34" i="17"/>
  <c r="D33" i="25"/>
  <c r="E33" i="23"/>
  <c r="D33" i="22"/>
  <c r="E34" i="31"/>
  <c r="E35" i="29"/>
  <c r="E34" i="28"/>
  <c r="E34" i="25"/>
  <c r="E34" i="23"/>
  <c r="E34" i="17"/>
  <c r="D33" i="26"/>
  <c r="D33" i="20"/>
  <c r="E33" i="25"/>
  <c r="E33" i="13"/>
  <c r="C34" i="26"/>
  <c r="K11" i="26" s="1"/>
  <c r="C34" i="20"/>
  <c r="C34" i="16"/>
  <c r="C33" i="16"/>
  <c r="C34" i="14"/>
  <c r="K17" i="14" s="1"/>
  <c r="C34" i="12"/>
  <c r="K17" i="12" s="1"/>
  <c r="C34" i="10"/>
  <c r="K18" i="10" s="1"/>
  <c r="C34" i="8"/>
  <c r="D34" i="26"/>
  <c r="D34" i="24"/>
  <c r="D34" i="12"/>
  <c r="D34" i="10"/>
  <c r="Z116" i="58" s="1"/>
  <c r="AA116" i="58" s="1"/>
  <c r="AB116" i="58" s="1"/>
  <c r="D34" i="8"/>
  <c r="E33" i="26"/>
  <c r="E33" i="24"/>
  <c r="C33" i="18"/>
  <c r="E33" i="16"/>
  <c r="D33" i="6"/>
  <c r="F34" i="19"/>
  <c r="F34" i="18"/>
  <c r="F34" i="12"/>
  <c r="F34" i="11"/>
  <c r="F34" i="10"/>
  <c r="E34" i="6"/>
  <c r="D34" i="25"/>
  <c r="C33" i="28"/>
  <c r="C33" i="25"/>
  <c r="C33" i="15"/>
  <c r="C33" i="11"/>
  <c r="C33" i="9"/>
  <c r="D34" i="31"/>
  <c r="D34" i="32"/>
  <c r="E34" i="15"/>
  <c r="C33" i="12"/>
  <c r="C33" i="43"/>
  <c r="C34" i="32"/>
  <c r="K7" i="32" s="1"/>
  <c r="D33" i="19"/>
  <c r="D34" i="18"/>
  <c r="D33" i="17"/>
  <c r="D33" i="14"/>
  <c r="C33" i="10"/>
  <c r="C33" i="8"/>
  <c r="D33" i="15"/>
  <c r="C33" i="6"/>
  <c r="F34" i="8"/>
  <c r="C34" i="37"/>
  <c r="C34" i="9"/>
  <c r="D34" i="37"/>
  <c r="F34" i="24"/>
  <c r="F34" i="21"/>
  <c r="E34" i="18"/>
  <c r="E34" i="13"/>
  <c r="D34" i="11"/>
  <c r="Z112" i="58" s="1"/>
  <c r="AA111" i="58" s="1"/>
  <c r="AB111" i="58" s="1"/>
  <c r="D34" i="9"/>
  <c r="C33" i="7"/>
  <c r="F34" i="6"/>
  <c r="E34" i="37"/>
  <c r="E33" i="37"/>
  <c r="E34" i="19"/>
  <c r="F34" i="14"/>
  <c r="E34" i="10"/>
  <c r="C34" i="6"/>
  <c r="F34" i="43"/>
  <c r="F34" i="37"/>
  <c r="F34" i="16"/>
  <c r="D33" i="28"/>
  <c r="C33" i="23"/>
  <c r="C33" i="22"/>
  <c r="C33" i="19"/>
  <c r="E33" i="17"/>
  <c r="D33" i="12"/>
  <c r="D33" i="37"/>
  <c r="C33" i="20"/>
  <c r="C33" i="14"/>
  <c r="D33" i="11"/>
  <c r="D33" i="10"/>
  <c r="D33" i="8"/>
  <c r="E33" i="32"/>
  <c r="F34" i="25"/>
  <c r="F34" i="23"/>
  <c r="F34" i="22"/>
  <c r="D34" i="20"/>
  <c r="D34" i="14"/>
  <c r="E33" i="8"/>
  <c r="C34" i="7"/>
  <c r="D33" i="43"/>
  <c r="E33" i="15"/>
  <c r="D34" i="7"/>
  <c r="D33" i="7"/>
  <c r="E34" i="43"/>
  <c r="E33" i="43"/>
  <c r="C34" i="31"/>
  <c r="F34" i="26"/>
  <c r="C34" i="24"/>
  <c r="K12" i="24" s="1"/>
  <c r="C34" i="21"/>
  <c r="C33" i="21"/>
  <c r="F34" i="20"/>
  <c r="C34" i="18"/>
  <c r="E33" i="18"/>
  <c r="D34" i="16"/>
  <c r="C34" i="13"/>
  <c r="K17" i="13" s="1"/>
  <c r="C33" i="13"/>
  <c r="D33" i="9"/>
  <c r="E33" i="7"/>
  <c r="D34" i="6"/>
  <c r="C33" i="26"/>
  <c r="D34" i="21"/>
  <c r="D33" i="21"/>
  <c r="E34" i="22"/>
  <c r="C35" i="22" s="1"/>
  <c r="C34" i="17"/>
  <c r="C33" i="17"/>
  <c r="D34" i="13"/>
  <c r="D33" i="13"/>
  <c r="E34" i="9"/>
  <c r="E33" i="9"/>
  <c r="E34" i="32"/>
  <c r="C33" i="32"/>
  <c r="D33" i="32"/>
  <c r="E33" i="6"/>
  <c r="E33" i="10"/>
  <c r="E33" i="11"/>
  <c r="E33" i="12"/>
  <c r="E33" i="14"/>
  <c r="D33" i="18"/>
  <c r="E33" i="19"/>
  <c r="E33" i="20"/>
  <c r="E33" i="22"/>
  <c r="E33" i="21"/>
  <c r="D33" i="23"/>
  <c r="C33" i="24"/>
  <c r="D33" i="24"/>
  <c r="E33" i="28"/>
  <c r="F34" i="32"/>
  <c r="Z128" i="46" l="1"/>
  <c r="Z128" i="58"/>
  <c r="AA128" i="58" s="1"/>
  <c r="AB128" i="58" s="1"/>
  <c r="W136" i="46"/>
  <c r="Z120" i="46"/>
  <c r="AA120" i="46" s="1"/>
  <c r="AB120" i="46" s="1"/>
  <c r="W124" i="46"/>
  <c r="E35" i="11"/>
  <c r="Z112" i="46"/>
  <c r="AA111" i="46" s="1"/>
  <c r="AB111" i="46" s="1"/>
  <c r="Z116" i="46"/>
  <c r="C35" i="19"/>
  <c r="D35" i="23"/>
  <c r="C35" i="11"/>
  <c r="E35" i="23"/>
  <c r="Z98" i="46"/>
  <c r="Z94" i="46"/>
  <c r="C35" i="23"/>
  <c r="D35" i="19"/>
  <c r="E35" i="19"/>
  <c r="Z49" i="46"/>
  <c r="D35" i="28"/>
  <c r="W49" i="46"/>
  <c r="W40" i="46"/>
  <c r="C35" i="10"/>
  <c r="D35" i="25"/>
  <c r="D35" i="43"/>
  <c r="D35" i="8"/>
  <c r="D35" i="11"/>
  <c r="D35" i="14"/>
  <c r="Z11" i="46"/>
  <c r="E35" i="10"/>
  <c r="D35" i="9"/>
  <c r="D35" i="10"/>
  <c r="D35" i="6"/>
  <c r="E35" i="8"/>
  <c r="E35" i="37"/>
  <c r="C35" i="8"/>
  <c r="C35" i="25"/>
  <c r="D35" i="37"/>
  <c r="E35" i="26"/>
  <c r="D35" i="26"/>
  <c r="E35" i="12"/>
  <c r="E35" i="14"/>
  <c r="D35" i="29"/>
  <c r="C35" i="28"/>
  <c r="C35" i="20"/>
  <c r="E35" i="28"/>
  <c r="D35" i="16"/>
  <c r="C35" i="29"/>
  <c r="C35" i="14"/>
  <c r="D35" i="21"/>
  <c r="C35" i="31"/>
  <c r="E35" i="25"/>
  <c r="E35" i="22"/>
  <c r="C35" i="12"/>
  <c r="D35" i="20"/>
  <c r="C35" i="26"/>
  <c r="D35" i="12"/>
  <c r="E35" i="6"/>
  <c r="D35" i="30"/>
  <c r="E35" i="30"/>
  <c r="E35" i="31"/>
  <c r="D35" i="31"/>
  <c r="D35" i="22"/>
  <c r="C35" i="21"/>
  <c r="C35" i="43"/>
  <c r="C35" i="6"/>
  <c r="C35" i="13"/>
  <c r="C35" i="37"/>
  <c r="E35" i="13"/>
  <c r="D35" i="13"/>
  <c r="E35" i="20"/>
  <c r="E35" i="43"/>
  <c r="C35" i="16"/>
  <c r="E35" i="9"/>
  <c r="C35" i="9"/>
  <c r="E35" i="21"/>
  <c r="E35" i="16"/>
  <c r="C35" i="30"/>
  <c r="AA136" i="46" l="1"/>
  <c r="AB136" i="46" s="1"/>
  <c r="X136" i="46"/>
  <c r="AA124" i="46"/>
  <c r="AB124" i="46" s="1"/>
  <c r="X124" i="46"/>
  <c r="X49" i="46"/>
  <c r="AA49" i="46"/>
  <c r="AB49" i="46" s="1"/>
  <c r="AA40" i="46"/>
  <c r="AB40" i="46" s="1"/>
  <c r="X40" i="46"/>
  <c r="T37" i="48"/>
  <c r="D39" i="53"/>
  <c r="D38" i="53"/>
  <c r="D37" i="53"/>
  <c r="D36" i="53"/>
  <c r="D35" i="53"/>
  <c r="D34" i="53"/>
  <c r="D33" i="53"/>
  <c r="D32" i="53"/>
  <c r="D31" i="53"/>
  <c r="D30" i="53"/>
  <c r="D29" i="53"/>
  <c r="D28" i="53"/>
  <c r="D27" i="53"/>
  <c r="D26" i="53"/>
  <c r="D25" i="53"/>
  <c r="D24" i="53"/>
  <c r="D23" i="53"/>
  <c r="D22" i="53"/>
  <c r="D21" i="53"/>
  <c r="D20" i="53"/>
  <c r="D19" i="53"/>
  <c r="D18" i="53"/>
  <c r="D17" i="53"/>
  <c r="D16" i="53"/>
  <c r="D11" i="53"/>
  <c r="D10" i="53"/>
  <c r="D9" i="53"/>
  <c r="D8" i="53"/>
  <c r="D7" i="53"/>
  <c r="D6" i="53"/>
  <c r="D5" i="53"/>
  <c r="D4" i="53"/>
  <c r="G42" i="37"/>
  <c r="F42" i="37"/>
  <c r="T36" i="48" l="1"/>
  <c r="T35" i="48" l="1"/>
  <c r="Q8" i="7"/>
  <c r="R9" i="7"/>
  <c r="R8" i="7"/>
  <c r="Q9" i="7" l="1"/>
  <c r="Q10" i="7" s="1"/>
  <c r="Q11" i="7" s="1"/>
  <c r="R10" i="7"/>
  <c r="R11" i="7" l="1"/>
  <c r="T34" i="48" l="1"/>
  <c r="T33" i="48"/>
  <c r="T32" i="48" l="1"/>
  <c r="T31" i="48" l="1"/>
  <c r="T30" i="48" l="1"/>
  <c r="T29" i="48" l="1"/>
  <c r="T28" i="48" l="1"/>
  <c r="F42" i="14" l="1"/>
  <c r="G42" i="14"/>
  <c r="I37" i="14" s="1"/>
  <c r="T27" i="48" l="1"/>
  <c r="T26" i="48"/>
  <c r="T25" i="48" l="1"/>
  <c r="T24" i="48" l="1"/>
  <c r="AR22" i="45" l="1"/>
  <c r="T23" i="48" l="1"/>
  <c r="T22" i="48" l="1"/>
  <c r="T21" i="48" l="1"/>
  <c r="F42" i="22"/>
  <c r="G42" i="22" l="1"/>
  <c r="I37" i="22" s="1"/>
  <c r="M39" i="53" l="1"/>
  <c r="T20" i="48" l="1"/>
  <c r="T19" i="48"/>
  <c r="F42" i="23" l="1"/>
  <c r="G42" i="23" l="1"/>
  <c r="I37" i="23" s="1"/>
  <c r="T18" i="48" l="1"/>
  <c r="B22" i="45" l="1"/>
  <c r="R22" i="45" l="1"/>
  <c r="J22" i="45"/>
  <c r="AP22" i="45"/>
  <c r="AH22" i="45"/>
  <c r="Z22" i="45"/>
  <c r="F22" i="45"/>
  <c r="AD22" i="45"/>
  <c r="V22" i="45"/>
  <c r="N22" i="45"/>
  <c r="AL22" i="45"/>
  <c r="AS22" i="45"/>
  <c r="F42" i="25" l="1"/>
  <c r="G42" i="25" l="1"/>
  <c r="I37" i="25" s="1"/>
  <c r="T17" i="48"/>
  <c r="T16" i="48" l="1"/>
  <c r="T15" i="48" l="1"/>
  <c r="T14" i="48" l="1"/>
  <c r="T13" i="48" l="1"/>
  <c r="T12" i="48"/>
  <c r="T11" i="48" l="1"/>
  <c r="V23" i="31" l="1"/>
  <c r="W22" i="31"/>
  <c r="U22" i="31"/>
  <c r="X22" i="31" s="1"/>
  <c r="W21" i="31"/>
  <c r="U21" i="31"/>
  <c r="X21" i="31" s="1"/>
  <c r="U15" i="31"/>
  <c r="X15" i="31" s="1"/>
  <c r="W15" i="31"/>
  <c r="W16" i="31"/>
  <c r="U16" i="31"/>
  <c r="X16" i="31" s="1"/>
  <c r="V14" i="31"/>
  <c r="V17" i="31" s="1"/>
  <c r="U14" i="31"/>
  <c r="G42" i="31"/>
  <c r="I37" i="31" s="1"/>
  <c r="F42" i="31"/>
  <c r="X23" i="31" l="1"/>
  <c r="X24" i="31" s="1"/>
  <c r="W23" i="31"/>
  <c r="W24" i="31" s="1"/>
  <c r="X14" i="31"/>
  <c r="X17" i="31" s="1"/>
  <c r="X18" i="31" s="1"/>
  <c r="W14" i="31"/>
  <c r="W17" i="31" s="1"/>
  <c r="W18" i="31" s="1"/>
  <c r="T10" i="48" l="1"/>
  <c r="G4" i="47" l="1"/>
  <c r="H4" i="47" s="1"/>
  <c r="U6" i="58" l="1"/>
  <c r="K6" i="58"/>
  <c r="V6" i="58"/>
  <c r="C6" i="58"/>
  <c r="P6" i="58"/>
  <c r="T6" i="58"/>
  <c r="O6" i="46"/>
  <c r="AH9" i="48" l="1"/>
  <c r="M38" i="53"/>
  <c r="M37" i="53"/>
  <c r="M36" i="53"/>
  <c r="M35" i="53"/>
  <c r="M34" i="53"/>
  <c r="M33" i="53"/>
  <c r="M32" i="53"/>
  <c r="M31" i="53"/>
  <c r="M30" i="53"/>
  <c r="M29" i="53"/>
  <c r="M28" i="53"/>
  <c r="M27" i="53"/>
  <c r="M26" i="53"/>
  <c r="M25" i="53"/>
  <c r="M24" i="53"/>
  <c r="M23" i="53"/>
  <c r="M22" i="53"/>
  <c r="M21" i="53"/>
  <c r="M20" i="53"/>
  <c r="M19" i="53"/>
  <c r="M18" i="53"/>
  <c r="M17" i="53"/>
  <c r="M16" i="53"/>
  <c r="M11" i="53"/>
  <c r="M10" i="53"/>
  <c r="M9" i="53"/>
  <c r="M8" i="53"/>
  <c r="M7" i="53"/>
  <c r="M6" i="53"/>
  <c r="M5" i="53"/>
  <c r="M4" i="53"/>
  <c r="E3" i="53"/>
  <c r="F3" i="53" s="1"/>
  <c r="G3" i="53" s="1"/>
  <c r="H3" i="53" s="1"/>
  <c r="M3" i="53" s="1"/>
  <c r="N3" i="53" s="1"/>
  <c r="O3" i="53" s="1"/>
  <c r="P3" i="53" s="1"/>
  <c r="Q3" i="53" s="1"/>
  <c r="AZ150" i="58"/>
  <c r="AY150" i="58"/>
  <c r="AX150" i="58"/>
  <c r="AW150" i="58"/>
  <c r="AV150" i="58"/>
  <c r="AU150" i="58"/>
  <c r="AT150" i="58"/>
  <c r="AS150" i="58"/>
  <c r="AQ150" i="58"/>
  <c r="AP150" i="58"/>
  <c r="AO150" i="58"/>
  <c r="AN150" i="58"/>
  <c r="AL150" i="58"/>
  <c r="AK150" i="58"/>
  <c r="AJ150" i="58"/>
  <c r="AI150" i="58"/>
  <c r="AH150" i="58"/>
  <c r="AG150" i="58"/>
  <c r="AF150" i="58"/>
  <c r="S150" i="58"/>
  <c r="R150" i="58"/>
  <c r="Q150" i="58"/>
  <c r="Q151" i="58" s="1"/>
  <c r="AR149" i="58"/>
  <c r="AM149" i="58"/>
  <c r="AC149" i="58"/>
  <c r="AA149" i="58"/>
  <c r="BF152" i="58" l="1"/>
  <c r="BE152" i="58"/>
  <c r="BD152" i="58"/>
  <c r="BC152" i="58"/>
  <c r="BB152" i="58"/>
  <c r="M40" i="53"/>
  <c r="D40" i="53"/>
  <c r="R151" i="58"/>
  <c r="AD150" i="58"/>
  <c r="T9" i="54" s="1"/>
  <c r="S151" i="58"/>
  <c r="AR150" i="58"/>
  <c r="BA150" i="58"/>
  <c r="R152" i="58" s="1"/>
  <c r="AM150" i="58"/>
  <c r="S152" i="58" s="1"/>
  <c r="AM8" i="46"/>
  <c r="AM7" i="46"/>
  <c r="AM6" i="46"/>
  <c r="KQ41" i="1"/>
  <c r="KN41" i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U41" i="1"/>
  <c r="IR41" i="1"/>
  <c r="IO41" i="1"/>
  <c r="IL41" i="1"/>
  <c r="II41" i="1"/>
  <c r="IF41" i="1"/>
  <c r="IC41" i="1"/>
  <c r="HZ41" i="1"/>
  <c r="HW41" i="1"/>
  <c r="HT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G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N41" i="1"/>
  <c r="EK41" i="1"/>
  <c r="EH41" i="1"/>
  <c r="EE41" i="1"/>
  <c r="EB41" i="1"/>
  <c r="DY41" i="1"/>
  <c r="DV41" i="1"/>
  <c r="DS41" i="1"/>
  <c r="DP41" i="1"/>
  <c r="DM41" i="1"/>
  <c r="DJ41" i="1"/>
  <c r="DD41" i="1"/>
  <c r="DA41" i="1"/>
  <c r="CX41" i="1"/>
  <c r="CU41" i="1"/>
  <c r="CR41" i="1"/>
  <c r="CO41" i="1"/>
  <c r="CL41" i="1"/>
  <c r="CI41" i="1"/>
  <c r="CF41" i="1"/>
  <c r="BZ41" i="1"/>
  <c r="BT41" i="1"/>
  <c r="BQ41" i="1"/>
  <c r="BN41" i="1"/>
  <c r="BK41" i="1"/>
  <c r="BH41" i="1"/>
  <c r="BE41" i="1"/>
  <c r="BB41" i="1"/>
  <c r="AY41" i="1"/>
  <c r="AV41" i="1"/>
  <c r="AS41" i="1"/>
  <c r="AP41" i="1"/>
  <c r="AJ41" i="1"/>
  <c r="AG41" i="1"/>
  <c r="AD41" i="1"/>
  <c r="AA41" i="1"/>
  <c r="X41" i="1"/>
  <c r="U41" i="1"/>
  <c r="R41" i="1"/>
  <c r="L41" i="1"/>
  <c r="I41" i="1"/>
  <c r="F41" i="1"/>
  <c r="KR39" i="1"/>
  <c r="KO39" i="1"/>
  <c r="KL39" i="1"/>
  <c r="KI39" i="1"/>
  <c r="KF39" i="1"/>
  <c r="KC39" i="1"/>
  <c r="JZ39" i="1"/>
  <c r="JW39" i="1"/>
  <c r="JT39" i="1"/>
  <c r="JQ39" i="1"/>
  <c r="JN39" i="1"/>
  <c r="JK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X39" i="1"/>
  <c r="GU39" i="1"/>
  <c r="GR39" i="1"/>
  <c r="GO39" i="1"/>
  <c r="GL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KR38" i="1"/>
  <c r="KO38" i="1"/>
  <c r="KL38" i="1"/>
  <c r="KI38" i="1"/>
  <c r="KF38" i="1"/>
  <c r="KC38" i="1"/>
  <c r="JZ38" i="1"/>
  <c r="JW38" i="1"/>
  <c r="JT38" i="1"/>
  <c r="JQ38" i="1"/>
  <c r="JN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R37" i="1"/>
  <c r="KO37" i="1"/>
  <c r="KL37" i="1"/>
  <c r="KI37" i="1"/>
  <c r="KF37" i="1"/>
  <c r="KC37" i="1"/>
  <c r="JZ37" i="1"/>
  <c r="JW37" i="1"/>
  <c r="JT37" i="1"/>
  <c r="JQ37" i="1"/>
  <c r="JN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R36" i="1"/>
  <c r="KO36" i="1"/>
  <c r="KL36" i="1"/>
  <c r="KI36" i="1"/>
  <c r="KF36" i="1"/>
  <c r="KC36" i="1"/>
  <c r="JZ36" i="1"/>
  <c r="JW36" i="1"/>
  <c r="JT36" i="1"/>
  <c r="JQ36" i="1"/>
  <c r="JN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R35" i="1"/>
  <c r="KO35" i="1"/>
  <c r="KL35" i="1"/>
  <c r="KI35" i="1"/>
  <c r="KF35" i="1"/>
  <c r="KC35" i="1"/>
  <c r="JZ35" i="1"/>
  <c r="JW35" i="1"/>
  <c r="JT35" i="1"/>
  <c r="JQ35" i="1"/>
  <c r="JN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R34" i="1"/>
  <c r="KO34" i="1"/>
  <c r="KL34" i="1"/>
  <c r="KI34" i="1"/>
  <c r="KF34" i="1"/>
  <c r="KC34" i="1"/>
  <c r="JZ34" i="1"/>
  <c r="JW34" i="1"/>
  <c r="JT34" i="1"/>
  <c r="JQ34" i="1"/>
  <c r="JN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R33" i="1"/>
  <c r="KO33" i="1"/>
  <c r="KL33" i="1"/>
  <c r="KI33" i="1"/>
  <c r="KF33" i="1"/>
  <c r="KC33" i="1"/>
  <c r="JZ33" i="1"/>
  <c r="JW33" i="1"/>
  <c r="JT33" i="1"/>
  <c r="JQ33" i="1"/>
  <c r="JN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R32" i="1"/>
  <c r="KO32" i="1"/>
  <c r="KL32" i="1"/>
  <c r="KI32" i="1"/>
  <c r="KF32" i="1"/>
  <c r="KC32" i="1"/>
  <c r="JZ32" i="1"/>
  <c r="JW32" i="1"/>
  <c r="JT32" i="1"/>
  <c r="JQ32" i="1"/>
  <c r="JN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R31" i="1"/>
  <c r="KO31" i="1"/>
  <c r="KL31" i="1"/>
  <c r="KI31" i="1"/>
  <c r="KF31" i="1"/>
  <c r="KC31" i="1"/>
  <c r="JZ31" i="1"/>
  <c r="JW31" i="1"/>
  <c r="JT31" i="1"/>
  <c r="JQ31" i="1"/>
  <c r="JN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N31" i="1"/>
  <c r="K31" i="1"/>
  <c r="H31" i="1"/>
  <c r="KR30" i="1"/>
  <c r="KO30" i="1"/>
  <c r="KL30" i="1"/>
  <c r="KI30" i="1"/>
  <c r="KF30" i="1"/>
  <c r="KC30" i="1"/>
  <c r="JZ30" i="1"/>
  <c r="JW30" i="1"/>
  <c r="JT30" i="1"/>
  <c r="JQ30" i="1"/>
  <c r="JN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R29" i="1"/>
  <c r="KO29" i="1"/>
  <c r="KL29" i="1"/>
  <c r="KI29" i="1"/>
  <c r="KF29" i="1"/>
  <c r="KC29" i="1"/>
  <c r="JZ29" i="1"/>
  <c r="JW29" i="1"/>
  <c r="JT29" i="1"/>
  <c r="JQ29" i="1"/>
  <c r="JN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R28" i="1"/>
  <c r="KO28" i="1"/>
  <c r="KL28" i="1"/>
  <c r="KI28" i="1"/>
  <c r="KF28" i="1"/>
  <c r="KC28" i="1"/>
  <c r="JZ28" i="1"/>
  <c r="JW28" i="1"/>
  <c r="JT28" i="1"/>
  <c r="JQ28" i="1"/>
  <c r="JN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R27" i="1"/>
  <c r="KO27" i="1"/>
  <c r="KL27" i="1"/>
  <c r="KI27" i="1"/>
  <c r="KF27" i="1"/>
  <c r="KC27" i="1"/>
  <c r="JZ27" i="1"/>
  <c r="JW27" i="1"/>
  <c r="JT27" i="1"/>
  <c r="JQ27" i="1"/>
  <c r="JN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R26" i="1"/>
  <c r="KO26" i="1"/>
  <c r="KL26" i="1"/>
  <c r="KI26" i="1"/>
  <c r="KF26" i="1"/>
  <c r="KC26" i="1"/>
  <c r="JZ26" i="1"/>
  <c r="JW26" i="1"/>
  <c r="JT26" i="1"/>
  <c r="JQ26" i="1"/>
  <c r="JN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R25" i="1"/>
  <c r="KO25" i="1"/>
  <c r="KL25" i="1"/>
  <c r="KI25" i="1"/>
  <c r="KF25" i="1"/>
  <c r="KC25" i="1"/>
  <c r="JZ25" i="1"/>
  <c r="JW25" i="1"/>
  <c r="JT25" i="1"/>
  <c r="JQ25" i="1"/>
  <c r="JN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R24" i="1"/>
  <c r="KO24" i="1"/>
  <c r="KL24" i="1"/>
  <c r="KI24" i="1"/>
  <c r="KF24" i="1"/>
  <c r="KC24" i="1"/>
  <c r="JZ24" i="1"/>
  <c r="JW24" i="1"/>
  <c r="JT24" i="1"/>
  <c r="JQ24" i="1"/>
  <c r="JN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R23" i="1"/>
  <c r="KO23" i="1"/>
  <c r="KL23" i="1"/>
  <c r="KI23" i="1"/>
  <c r="KF23" i="1"/>
  <c r="KC23" i="1"/>
  <c r="JZ23" i="1"/>
  <c r="JW23" i="1"/>
  <c r="JT23" i="1"/>
  <c r="JQ23" i="1"/>
  <c r="JN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R22" i="1"/>
  <c r="KO22" i="1"/>
  <c r="KL22" i="1"/>
  <c r="KI22" i="1"/>
  <c r="KF22" i="1"/>
  <c r="KC22" i="1"/>
  <c r="JZ22" i="1"/>
  <c r="JW22" i="1"/>
  <c r="JT22" i="1"/>
  <c r="JQ22" i="1"/>
  <c r="JN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R21" i="1"/>
  <c r="KO21" i="1"/>
  <c r="KL21" i="1"/>
  <c r="KI21" i="1"/>
  <c r="KF21" i="1"/>
  <c r="KC21" i="1"/>
  <c r="JZ21" i="1"/>
  <c r="JW21" i="1"/>
  <c r="JT21" i="1"/>
  <c r="JQ21" i="1"/>
  <c r="JN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R20" i="1"/>
  <c r="KO20" i="1"/>
  <c r="KL20" i="1"/>
  <c r="KI20" i="1"/>
  <c r="KF20" i="1"/>
  <c r="KC20" i="1"/>
  <c r="JZ20" i="1"/>
  <c r="JW20" i="1"/>
  <c r="JT20" i="1"/>
  <c r="JQ20" i="1"/>
  <c r="JN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R19" i="1"/>
  <c r="KO19" i="1"/>
  <c r="KL19" i="1"/>
  <c r="KI19" i="1"/>
  <c r="KF19" i="1"/>
  <c r="KC19" i="1"/>
  <c r="JZ19" i="1"/>
  <c r="JW19" i="1"/>
  <c r="JT19" i="1"/>
  <c r="JQ19" i="1"/>
  <c r="JN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R18" i="1"/>
  <c r="KO18" i="1"/>
  <c r="KL18" i="1"/>
  <c r="KI18" i="1"/>
  <c r="KF18" i="1"/>
  <c r="KC18" i="1"/>
  <c r="JZ18" i="1"/>
  <c r="JW18" i="1"/>
  <c r="JT18" i="1"/>
  <c r="JQ18" i="1"/>
  <c r="JN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R17" i="1"/>
  <c r="KO17" i="1"/>
  <c r="KL17" i="1"/>
  <c r="KI17" i="1"/>
  <c r="KF17" i="1"/>
  <c r="KC17" i="1"/>
  <c r="JZ17" i="1"/>
  <c r="JW17" i="1"/>
  <c r="JT17" i="1"/>
  <c r="JQ17" i="1"/>
  <c r="JN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R16" i="1"/>
  <c r="KO16" i="1"/>
  <c r="KL16" i="1"/>
  <c r="KI16" i="1"/>
  <c r="KF16" i="1"/>
  <c r="KC16" i="1"/>
  <c r="JZ16" i="1"/>
  <c r="JW16" i="1"/>
  <c r="JT16" i="1"/>
  <c r="JQ16" i="1"/>
  <c r="JN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R15" i="1"/>
  <c r="KO15" i="1"/>
  <c r="KL15" i="1"/>
  <c r="KI15" i="1"/>
  <c r="KF15" i="1"/>
  <c r="KC15" i="1"/>
  <c r="JZ15" i="1"/>
  <c r="JW15" i="1"/>
  <c r="JT15" i="1"/>
  <c r="JQ15" i="1"/>
  <c r="JN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R14" i="1"/>
  <c r="KO14" i="1"/>
  <c r="KL14" i="1"/>
  <c r="KI14" i="1"/>
  <c r="KF14" i="1"/>
  <c r="KC14" i="1"/>
  <c r="JZ14" i="1"/>
  <c r="JW14" i="1"/>
  <c r="JT14" i="1"/>
  <c r="JQ14" i="1"/>
  <c r="JN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R13" i="1"/>
  <c r="KO13" i="1"/>
  <c r="KL13" i="1"/>
  <c r="KI13" i="1"/>
  <c r="KF13" i="1"/>
  <c r="KC13" i="1"/>
  <c r="JZ13" i="1"/>
  <c r="JW13" i="1"/>
  <c r="JT13" i="1"/>
  <c r="JQ13" i="1"/>
  <c r="JN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R12" i="1"/>
  <c r="KO12" i="1"/>
  <c r="KL12" i="1"/>
  <c r="KI12" i="1"/>
  <c r="KF12" i="1"/>
  <c r="KC12" i="1"/>
  <c r="JZ12" i="1"/>
  <c r="JW12" i="1"/>
  <c r="JT12" i="1"/>
  <c r="JQ12" i="1"/>
  <c r="JN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R11" i="1"/>
  <c r="KO11" i="1"/>
  <c r="KL11" i="1"/>
  <c r="KI11" i="1"/>
  <c r="KF11" i="1"/>
  <c r="KC11" i="1"/>
  <c r="JZ11" i="1"/>
  <c r="JW11" i="1"/>
  <c r="JT11" i="1"/>
  <c r="JQ11" i="1"/>
  <c r="JN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KR10" i="1"/>
  <c r="KO10" i="1"/>
  <c r="KL10" i="1"/>
  <c r="KI10" i="1"/>
  <c r="KF10" i="1"/>
  <c r="KC10" i="1"/>
  <c r="JZ10" i="1"/>
  <c r="JW10" i="1"/>
  <c r="JT10" i="1"/>
  <c r="JQ10" i="1"/>
  <c r="JN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R9" i="1"/>
  <c r="KO9" i="1"/>
  <c r="KL9" i="1"/>
  <c r="KI9" i="1"/>
  <c r="KF9" i="1"/>
  <c r="KC9" i="1"/>
  <c r="JZ9" i="1"/>
  <c r="JW9" i="1"/>
  <c r="JT9" i="1"/>
  <c r="JQ9" i="1"/>
  <c r="JN9" i="1"/>
  <c r="JK9" i="1"/>
  <c r="JI9" i="1"/>
  <c r="JF9" i="1"/>
  <c r="JC9" i="1"/>
  <c r="IZ9" i="1"/>
  <c r="IW9" i="1"/>
  <c r="IT9" i="1"/>
  <c r="IQ9" i="1"/>
  <c r="IN9" i="1"/>
  <c r="IK9" i="1"/>
  <c r="IH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S9" i="1"/>
  <c r="KP9" i="1"/>
  <c r="KJ11" i="1"/>
  <c r="KA11" i="1"/>
  <c r="JU10" i="1"/>
  <c r="JO11" i="1"/>
  <c r="JL9" i="1"/>
  <c r="KG11" i="1" l="1"/>
  <c r="KG28" i="1"/>
  <c r="KF41" i="1"/>
  <c r="KS10" i="1"/>
  <c r="JU9" i="1"/>
  <c r="KT29" i="1"/>
  <c r="KT30" i="1"/>
  <c r="KT38" i="1"/>
  <c r="Y41" i="1"/>
  <c r="KT19" i="1"/>
  <c r="KT35" i="1"/>
  <c r="K41" i="1"/>
  <c r="KT23" i="1"/>
  <c r="KT39" i="1"/>
  <c r="KT25" i="1"/>
  <c r="KT24" i="1"/>
  <c r="KS11" i="1"/>
  <c r="JL12" i="1"/>
  <c r="JL11" i="1"/>
  <c r="KJ12" i="1"/>
  <c r="KT12" i="1"/>
  <c r="KG9" i="1"/>
  <c r="JL39" i="1"/>
  <c r="JL15" i="1"/>
  <c r="JL13" i="1"/>
  <c r="KJ39" i="1"/>
  <c r="KJ15" i="1"/>
  <c r="KJ13" i="1"/>
  <c r="KJ9" i="1"/>
  <c r="JU11" i="1"/>
  <c r="KT13" i="1"/>
  <c r="KT17" i="1"/>
  <c r="KT14" i="1"/>
  <c r="KT16" i="1"/>
  <c r="KT15" i="1"/>
  <c r="KT21" i="1"/>
  <c r="KT22" i="1"/>
  <c r="KT26" i="1"/>
  <c r="KT20" i="1"/>
  <c r="KT28" i="1"/>
  <c r="KT33" i="1"/>
  <c r="KT32" i="1"/>
  <c r="W41" i="1"/>
  <c r="AR41" i="1"/>
  <c r="BP41" i="1"/>
  <c r="CN41" i="1"/>
  <c r="DL41" i="1"/>
  <c r="EJ41" i="1"/>
  <c r="FH41" i="1"/>
  <c r="GF41" i="1"/>
  <c r="HC41" i="1"/>
  <c r="IA41" i="1"/>
  <c r="IY41" i="1"/>
  <c r="KT34" i="1"/>
  <c r="AU41" i="1"/>
  <c r="BS41" i="1"/>
  <c r="CQ41" i="1"/>
  <c r="DO41" i="1"/>
  <c r="EM41" i="1"/>
  <c r="FK41" i="1"/>
  <c r="GI41" i="1"/>
  <c r="HG41" i="1"/>
  <c r="IE41" i="1"/>
  <c r="JC41" i="1"/>
  <c r="AC41" i="1"/>
  <c r="AZ41" i="1"/>
  <c r="CW41" i="1"/>
  <c r="DU41" i="1"/>
  <c r="ES41" i="1"/>
  <c r="FQ41" i="1"/>
  <c r="GO41" i="1"/>
  <c r="HM41" i="1"/>
  <c r="IK41" i="1"/>
  <c r="JI41" i="1"/>
  <c r="AE41" i="1"/>
  <c r="BC41" i="1"/>
  <c r="AI41" i="1"/>
  <c r="BG41" i="1"/>
  <c r="DC41" i="1"/>
  <c r="EA41" i="1"/>
  <c r="EY41" i="1"/>
  <c r="FW41" i="1"/>
  <c r="GU41" i="1"/>
  <c r="HS41" i="1"/>
  <c r="IQ41" i="1"/>
  <c r="KT37" i="1"/>
  <c r="AL41" i="1"/>
  <c r="BJ41" i="1"/>
  <c r="CH41" i="1"/>
  <c r="DF41" i="1"/>
  <c r="ED41" i="1"/>
  <c r="FB41" i="1"/>
  <c r="FZ41" i="1"/>
  <c r="GX41" i="1"/>
  <c r="HV41" i="1"/>
  <c r="IT41" i="1"/>
  <c r="KT36" i="1"/>
  <c r="T41" i="1"/>
  <c r="JX41" i="1"/>
  <c r="JX39" i="1"/>
  <c r="JX31" i="1"/>
  <c r="JX23" i="1"/>
  <c r="JX36" i="1"/>
  <c r="JX28" i="1"/>
  <c r="JX20" i="1"/>
  <c r="JX12" i="1"/>
  <c r="JX33" i="1"/>
  <c r="JX25" i="1"/>
  <c r="JX17" i="1"/>
  <c r="JX38" i="1"/>
  <c r="JX30" i="1"/>
  <c r="JX22" i="1"/>
  <c r="JX14" i="1"/>
  <c r="JX35" i="1"/>
  <c r="JX27" i="1"/>
  <c r="JX19" i="1"/>
  <c r="JX11" i="1"/>
  <c r="JX32" i="1"/>
  <c r="JX24" i="1"/>
  <c r="JX16" i="1"/>
  <c r="JX37" i="1"/>
  <c r="JX29" i="1"/>
  <c r="JX21" i="1"/>
  <c r="JX34" i="1"/>
  <c r="JX26" i="1"/>
  <c r="JX18" i="1"/>
  <c r="JX10" i="1"/>
  <c r="JX15" i="1"/>
  <c r="JX9" i="1"/>
  <c r="KG10" i="1"/>
  <c r="KT11" i="1"/>
  <c r="KA33" i="1"/>
  <c r="KA25" i="1"/>
  <c r="KA17" i="1"/>
  <c r="KA9" i="1"/>
  <c r="KA38" i="1"/>
  <c r="KA30" i="1"/>
  <c r="KA22" i="1"/>
  <c r="KA14" i="1"/>
  <c r="KA35" i="1"/>
  <c r="KA27" i="1"/>
  <c r="KA19" i="1"/>
  <c r="KA32" i="1"/>
  <c r="KA24" i="1"/>
  <c r="KA16" i="1"/>
  <c r="KA37" i="1"/>
  <c r="KA29" i="1"/>
  <c r="KA21" i="1"/>
  <c r="KA13" i="1"/>
  <c r="KA34" i="1"/>
  <c r="KA26" i="1"/>
  <c r="KA18" i="1"/>
  <c r="KA10" i="1"/>
  <c r="KA39" i="1"/>
  <c r="KA31" i="1"/>
  <c r="KA23" i="1"/>
  <c r="KA15" i="1"/>
  <c r="KA36" i="1"/>
  <c r="KA28" i="1"/>
  <c r="KA20" i="1"/>
  <c r="KA12" i="1"/>
  <c r="KA41" i="1"/>
  <c r="KT9" i="1"/>
  <c r="JX13" i="1"/>
  <c r="JO33" i="1"/>
  <c r="JO25" i="1"/>
  <c r="JO17" i="1"/>
  <c r="JO38" i="1"/>
  <c r="JO30" i="1"/>
  <c r="JO22" i="1"/>
  <c r="JO14" i="1"/>
  <c r="JO35" i="1"/>
  <c r="JO27" i="1"/>
  <c r="JO19" i="1"/>
  <c r="JO32" i="1"/>
  <c r="JO24" i="1"/>
  <c r="JO16" i="1"/>
  <c r="JO37" i="1"/>
  <c r="JO29" i="1"/>
  <c r="JO21" i="1"/>
  <c r="JO13" i="1"/>
  <c r="JO34" i="1"/>
  <c r="JO26" i="1"/>
  <c r="JO18" i="1"/>
  <c r="JO10" i="1"/>
  <c r="JO39" i="1"/>
  <c r="JO31" i="1"/>
  <c r="JO23" i="1"/>
  <c r="JO15" i="1"/>
  <c r="JO36" i="1"/>
  <c r="JO28" i="1"/>
  <c r="JO20" i="1"/>
  <c r="JO12" i="1"/>
  <c r="JO9" i="1"/>
  <c r="JR35" i="1"/>
  <c r="JR27" i="1"/>
  <c r="JR19" i="1"/>
  <c r="JR32" i="1"/>
  <c r="JR24" i="1"/>
  <c r="JR16" i="1"/>
  <c r="JR37" i="1"/>
  <c r="JR29" i="1"/>
  <c r="JR21" i="1"/>
  <c r="JR13" i="1"/>
  <c r="JR34" i="1"/>
  <c r="JR26" i="1"/>
  <c r="JR18" i="1"/>
  <c r="JR10" i="1"/>
  <c r="JR39" i="1"/>
  <c r="JR31" i="1"/>
  <c r="JR23" i="1"/>
  <c r="JR15" i="1"/>
  <c r="JR36" i="1"/>
  <c r="JR28" i="1"/>
  <c r="JR20" i="1"/>
  <c r="JR12" i="1"/>
  <c r="JR33" i="1"/>
  <c r="JR25" i="1"/>
  <c r="JR17" i="1"/>
  <c r="JR38" i="1"/>
  <c r="JR30" i="1"/>
  <c r="JR22" i="1"/>
  <c r="JR14" i="1"/>
  <c r="JR11" i="1"/>
  <c r="KT10" i="1"/>
  <c r="KG41" i="1"/>
  <c r="KD35" i="1"/>
  <c r="KD27" i="1"/>
  <c r="KD19" i="1"/>
  <c r="KD32" i="1"/>
  <c r="KD24" i="1"/>
  <c r="KD16" i="1"/>
  <c r="KD41" i="1"/>
  <c r="KD37" i="1"/>
  <c r="KD29" i="1"/>
  <c r="KD21" i="1"/>
  <c r="KD13" i="1"/>
  <c r="KD34" i="1"/>
  <c r="KD26" i="1"/>
  <c r="KD18" i="1"/>
  <c r="KD10" i="1"/>
  <c r="KD39" i="1"/>
  <c r="KD31" i="1"/>
  <c r="KD23" i="1"/>
  <c r="KD15" i="1"/>
  <c r="KD36" i="1"/>
  <c r="KD28" i="1"/>
  <c r="KD20" i="1"/>
  <c r="KD12" i="1"/>
  <c r="KD33" i="1"/>
  <c r="KD25" i="1"/>
  <c r="KD17" i="1"/>
  <c r="KD38" i="1"/>
  <c r="KD30" i="1"/>
  <c r="KD22" i="1"/>
  <c r="KD14" i="1"/>
  <c r="KD11" i="1"/>
  <c r="KG37" i="1"/>
  <c r="KG29" i="1"/>
  <c r="KG21" i="1"/>
  <c r="KG34" i="1"/>
  <c r="KG26" i="1"/>
  <c r="KG18" i="1"/>
  <c r="KG39" i="1"/>
  <c r="KG31" i="1"/>
  <c r="KG23" i="1"/>
  <c r="KG15" i="1"/>
  <c r="KG36" i="1"/>
  <c r="KG20" i="1"/>
  <c r="KG12" i="1"/>
  <c r="KG33" i="1"/>
  <c r="KG25" i="1"/>
  <c r="KG17" i="1"/>
  <c r="KG38" i="1"/>
  <c r="KG30" i="1"/>
  <c r="KG22" i="1"/>
  <c r="KG14" i="1"/>
  <c r="KG35" i="1"/>
  <c r="KG27" i="1"/>
  <c r="KG19" i="1"/>
  <c r="KG32" i="1"/>
  <c r="KG24" i="1"/>
  <c r="KG16" i="1"/>
  <c r="KG13" i="1"/>
  <c r="KD9" i="1"/>
  <c r="JR9" i="1"/>
  <c r="JO41" i="1"/>
  <c r="KM41" i="1"/>
  <c r="JR41" i="1"/>
  <c r="KP41" i="1"/>
  <c r="KM33" i="1"/>
  <c r="KM25" i="1"/>
  <c r="KM17" i="1"/>
  <c r="KM38" i="1"/>
  <c r="KM30" i="1"/>
  <c r="KM22" i="1"/>
  <c r="KM14" i="1"/>
  <c r="KM35" i="1"/>
  <c r="KM27" i="1"/>
  <c r="KM19" i="1"/>
  <c r="KM32" i="1"/>
  <c r="KM24" i="1"/>
  <c r="KM16" i="1"/>
  <c r="KM37" i="1"/>
  <c r="KM29" i="1"/>
  <c r="KM21" i="1"/>
  <c r="KM13" i="1"/>
  <c r="KM34" i="1"/>
  <c r="KM26" i="1"/>
  <c r="KM18" i="1"/>
  <c r="KM10" i="1"/>
  <c r="KM39" i="1"/>
  <c r="KM31" i="1"/>
  <c r="KM23" i="1"/>
  <c r="KM15" i="1"/>
  <c r="KM36" i="1"/>
  <c r="KM28" i="1"/>
  <c r="KM20" i="1"/>
  <c r="KM12" i="1"/>
  <c r="KM9" i="1"/>
  <c r="KP35" i="1"/>
  <c r="KP27" i="1"/>
  <c r="KP19" i="1"/>
  <c r="KP11" i="1"/>
  <c r="KP32" i="1"/>
  <c r="KP24" i="1"/>
  <c r="KP16" i="1"/>
  <c r="KP37" i="1"/>
  <c r="KP29" i="1"/>
  <c r="KP21" i="1"/>
  <c r="KP13" i="1"/>
  <c r="KP34" i="1"/>
  <c r="KP26" i="1"/>
  <c r="KP18" i="1"/>
  <c r="KP10" i="1"/>
  <c r="KP39" i="1"/>
  <c r="KP31" i="1"/>
  <c r="KP23" i="1"/>
  <c r="KP15" i="1"/>
  <c r="KP36" i="1"/>
  <c r="KP28" i="1"/>
  <c r="KP20" i="1"/>
  <c r="KP12" i="1"/>
  <c r="KP33" i="1"/>
  <c r="KP25" i="1"/>
  <c r="KP17" i="1"/>
  <c r="KP38" i="1"/>
  <c r="KP30" i="1"/>
  <c r="KP22" i="1"/>
  <c r="KP14" i="1"/>
  <c r="JU37" i="1"/>
  <c r="JU29" i="1"/>
  <c r="JU21" i="1"/>
  <c r="JU13" i="1"/>
  <c r="JU34" i="1"/>
  <c r="JU26" i="1"/>
  <c r="JU18" i="1"/>
  <c r="JU39" i="1"/>
  <c r="JU31" i="1"/>
  <c r="JU23" i="1"/>
  <c r="JU15" i="1"/>
  <c r="JU41" i="1"/>
  <c r="JU36" i="1"/>
  <c r="JU28" i="1"/>
  <c r="JU20" i="1"/>
  <c r="JU12" i="1"/>
  <c r="JU33" i="1"/>
  <c r="JU25" i="1"/>
  <c r="JU17" i="1"/>
  <c r="JU38" i="1"/>
  <c r="JU30" i="1"/>
  <c r="JU22" i="1"/>
  <c r="JU14" i="1"/>
  <c r="JU35" i="1"/>
  <c r="JU27" i="1"/>
  <c r="JU19" i="1"/>
  <c r="JU32" i="1"/>
  <c r="JU24" i="1"/>
  <c r="JU16" i="1"/>
  <c r="KS37" i="1"/>
  <c r="KS29" i="1"/>
  <c r="KS21" i="1"/>
  <c r="KS34" i="1"/>
  <c r="KS26" i="1"/>
  <c r="KS18" i="1"/>
  <c r="KS39" i="1"/>
  <c r="KS31" i="1"/>
  <c r="KS23" i="1"/>
  <c r="KS15" i="1"/>
  <c r="KS41" i="1"/>
  <c r="KS36" i="1"/>
  <c r="KS28" i="1"/>
  <c r="KS20" i="1"/>
  <c r="KS12" i="1"/>
  <c r="KS33" i="1"/>
  <c r="KS25" i="1"/>
  <c r="KS17" i="1"/>
  <c r="KS38" i="1"/>
  <c r="KS30" i="1"/>
  <c r="KS22" i="1"/>
  <c r="KS14" i="1"/>
  <c r="KS35" i="1"/>
  <c r="KS27" i="1"/>
  <c r="KS19" i="1"/>
  <c r="KS32" i="1"/>
  <c r="KS24" i="1"/>
  <c r="KS16" i="1"/>
  <c r="KS13" i="1"/>
  <c r="KM11" i="1"/>
  <c r="JL10" i="1"/>
  <c r="KJ10" i="1"/>
  <c r="JL18" i="1"/>
  <c r="KJ18" i="1"/>
  <c r="JL26" i="1"/>
  <c r="KJ26" i="1"/>
  <c r="JL34" i="1"/>
  <c r="KJ34" i="1"/>
  <c r="M41" i="1"/>
  <c r="AK41" i="1"/>
  <c r="BA41" i="1"/>
  <c r="BI41" i="1"/>
  <c r="CG41" i="1"/>
  <c r="DE41" i="1"/>
  <c r="EC41" i="1"/>
  <c r="FA41" i="1"/>
  <c r="FY41" i="1"/>
  <c r="GW41" i="1"/>
  <c r="HU41" i="1"/>
  <c r="IS41" i="1"/>
  <c r="JQ41" i="1"/>
  <c r="KO41" i="1"/>
  <c r="JL21" i="1"/>
  <c r="KJ21" i="1"/>
  <c r="JL29" i="1"/>
  <c r="KJ29" i="1"/>
  <c r="JL37" i="1"/>
  <c r="KJ37" i="1"/>
  <c r="N41" i="1"/>
  <c r="V41" i="1"/>
  <c r="AT41" i="1"/>
  <c r="BR41" i="1"/>
  <c r="CP41" i="1"/>
  <c r="DN41" i="1"/>
  <c r="EL41" i="1"/>
  <c r="FJ41" i="1"/>
  <c r="GH41" i="1"/>
  <c r="HF41" i="1"/>
  <c r="ID41" i="1"/>
  <c r="JB41" i="1"/>
  <c r="JZ41" i="1"/>
  <c r="JL16" i="1"/>
  <c r="KJ16" i="1"/>
  <c r="JL24" i="1"/>
  <c r="KJ24" i="1"/>
  <c r="JL32" i="1"/>
  <c r="KJ32" i="1"/>
  <c r="G41" i="1"/>
  <c r="CA41" i="1"/>
  <c r="CY41" i="1"/>
  <c r="DW41" i="1"/>
  <c r="EU41" i="1"/>
  <c r="FS41" i="1"/>
  <c r="GQ41" i="1"/>
  <c r="HO41" i="1"/>
  <c r="IM41" i="1"/>
  <c r="JK41" i="1"/>
  <c r="KI41" i="1"/>
  <c r="JL19" i="1"/>
  <c r="KJ19" i="1"/>
  <c r="JL27" i="1"/>
  <c r="KJ27" i="1"/>
  <c r="JL35" i="1"/>
  <c r="KJ35" i="1"/>
  <c r="H41" i="1"/>
  <c r="AF41" i="1"/>
  <c r="AN41" i="1"/>
  <c r="BD41" i="1"/>
  <c r="BL41" i="1"/>
  <c r="CB41" i="1"/>
  <c r="CJ41" i="1"/>
  <c r="CZ41" i="1"/>
  <c r="DH41" i="1"/>
  <c r="DX41" i="1"/>
  <c r="EF41" i="1"/>
  <c r="EV41" i="1"/>
  <c r="FD41" i="1"/>
  <c r="FT41" i="1"/>
  <c r="GB41" i="1"/>
  <c r="GR41" i="1"/>
  <c r="GZ41" i="1"/>
  <c r="HP41" i="1"/>
  <c r="HX41" i="1"/>
  <c r="IN41" i="1"/>
  <c r="IV41" i="1"/>
  <c r="JL41" i="1"/>
  <c r="JT41" i="1"/>
  <c r="KJ41" i="1"/>
  <c r="KR41" i="1"/>
  <c r="JL14" i="1"/>
  <c r="KJ14" i="1"/>
  <c r="JL22" i="1"/>
  <c r="KJ22" i="1"/>
  <c r="JL30" i="1"/>
  <c r="KJ30" i="1"/>
  <c r="JL38" i="1"/>
  <c r="KJ38" i="1"/>
  <c r="AO41" i="1"/>
  <c r="AW41" i="1"/>
  <c r="BM41" i="1"/>
  <c r="BU41" i="1"/>
  <c r="CK41" i="1"/>
  <c r="CS41" i="1"/>
  <c r="DI41" i="1"/>
  <c r="DQ41" i="1"/>
  <c r="EG41" i="1"/>
  <c r="EO41" i="1"/>
  <c r="FE41" i="1"/>
  <c r="FM41" i="1"/>
  <c r="GC41" i="1"/>
  <c r="GK41" i="1"/>
  <c r="HA41" i="1"/>
  <c r="HI41" i="1"/>
  <c r="HY41" i="1"/>
  <c r="IG41" i="1"/>
  <c r="IW41" i="1"/>
  <c r="JE41" i="1"/>
  <c r="KC41" i="1"/>
  <c r="JL17" i="1"/>
  <c r="KJ17" i="1"/>
  <c r="JL25" i="1"/>
  <c r="KJ25" i="1"/>
  <c r="JL33" i="1"/>
  <c r="KJ33" i="1"/>
  <c r="J41" i="1"/>
  <c r="Z41" i="1"/>
  <c r="AH41" i="1"/>
  <c r="AX41" i="1"/>
  <c r="BF41" i="1"/>
  <c r="BV41" i="1"/>
  <c r="CT41" i="1"/>
  <c r="DB41" i="1"/>
  <c r="DR41" i="1"/>
  <c r="DZ41" i="1"/>
  <c r="EP41" i="1"/>
  <c r="EX41" i="1"/>
  <c r="FN41" i="1"/>
  <c r="FV41" i="1"/>
  <c r="GL41" i="1"/>
  <c r="GT41" i="1"/>
  <c r="HJ41" i="1"/>
  <c r="HR41" i="1"/>
  <c r="IH41" i="1"/>
  <c r="IP41" i="1"/>
  <c r="JF41" i="1"/>
  <c r="JN41" i="1"/>
  <c r="KL41" i="1"/>
  <c r="JL20" i="1"/>
  <c r="KJ20" i="1"/>
  <c r="JL28" i="1"/>
  <c r="KJ28" i="1"/>
  <c r="JL36" i="1"/>
  <c r="KJ36" i="1"/>
  <c r="S41" i="1"/>
  <c r="AQ41" i="1"/>
  <c r="BO41" i="1"/>
  <c r="CM41" i="1"/>
  <c r="DK41" i="1"/>
  <c r="EI41" i="1"/>
  <c r="FG41" i="1"/>
  <c r="GE41" i="1"/>
  <c r="JW41" i="1"/>
  <c r="JL23" i="1"/>
  <c r="KJ23" i="1"/>
  <c r="JL31" i="1"/>
  <c r="KJ31" i="1"/>
  <c r="AB41" i="1"/>
  <c r="CV41" i="1"/>
  <c r="DT41" i="1"/>
  <c r="ER41" i="1"/>
  <c r="FP41" i="1"/>
  <c r="GN41" i="1"/>
  <c r="HD41" i="1"/>
  <c r="HL41" i="1"/>
  <c r="IB41" i="1"/>
  <c r="IJ41" i="1"/>
  <c r="IZ41" i="1"/>
  <c r="JH41" i="1"/>
  <c r="KU38" i="1" l="1"/>
  <c r="KU9" i="1"/>
  <c r="KU26" i="1"/>
  <c r="KU27" i="1"/>
  <c r="KU19" i="1"/>
  <c r="KU39" i="1"/>
  <c r="KU30" i="1"/>
  <c r="KU35" i="1"/>
  <c r="KU21" i="1"/>
  <c r="KU34" i="1"/>
  <c r="KU20" i="1"/>
  <c r="KU32" i="1"/>
  <c r="KU12" i="1"/>
  <c r="KU31" i="1"/>
  <c r="KU22" i="1"/>
  <c r="KU23" i="1"/>
  <c r="KU41" i="1"/>
  <c r="KU18" i="1"/>
  <c r="KU11" i="1"/>
  <c r="KU13" i="1"/>
  <c r="KU33" i="1"/>
  <c r="KU14" i="1"/>
  <c r="KU37" i="1"/>
  <c r="KU36" i="1"/>
  <c r="KU25" i="1"/>
  <c r="KU16" i="1"/>
  <c r="KU28" i="1"/>
  <c r="KU17" i="1"/>
  <c r="KU29" i="1"/>
  <c r="KU10" i="1"/>
  <c r="KU24" i="1"/>
  <c r="KU15" i="1"/>
  <c r="AZ150" i="46" l="1"/>
  <c r="AY150" i="46"/>
  <c r="AX150" i="46"/>
  <c r="AW150" i="46"/>
  <c r="J8" i="30" l="1"/>
  <c r="J7" i="32"/>
  <c r="Y150" i="58" l="1"/>
  <c r="Y152" i="58" s="1"/>
  <c r="T9" i="48"/>
  <c r="T150" i="58" l="1"/>
  <c r="P150" i="58"/>
  <c r="O150" i="58" s="1"/>
  <c r="C150" i="58"/>
  <c r="V150" i="58"/>
  <c r="AV150" i="46"/>
  <c r="AU150" i="46"/>
  <c r="AT150" i="46"/>
  <c r="AL150" i="46"/>
  <c r="AQ150" i="46"/>
  <c r="AR8" i="46"/>
  <c r="BA8" i="46" s="1"/>
  <c r="AR7" i="46"/>
  <c r="BA7" i="46" s="1"/>
  <c r="AR6" i="46"/>
  <c r="BA6" i="46" s="1"/>
  <c r="T10" i="54" l="1"/>
  <c r="N39" i="53" s="1"/>
  <c r="AC150" i="58"/>
  <c r="K150" i="58"/>
  <c r="U150" i="58"/>
  <c r="AH41" i="48" l="1"/>
  <c r="AI9" i="48"/>
  <c r="AI10" i="48" s="1"/>
  <c r="AI11" i="48" s="1"/>
  <c r="AI12" i="48" s="1"/>
  <c r="AI13" i="48" s="1"/>
  <c r="AI14" i="48" s="1"/>
  <c r="AI15" i="48" s="1"/>
  <c r="AI16" i="48" s="1"/>
  <c r="AI17" i="48" s="1"/>
  <c r="AI18" i="48" s="1"/>
  <c r="AI19" i="48" s="1"/>
  <c r="AI20" i="48" s="1"/>
  <c r="AI21" i="48" s="1"/>
  <c r="AI22" i="48" s="1"/>
  <c r="AI23" i="48" s="1"/>
  <c r="AI24" i="48" s="1"/>
  <c r="AI25" i="48" s="1"/>
  <c r="AI26" i="48" s="1"/>
  <c r="AI27" i="48" s="1"/>
  <c r="AI28" i="48" s="1"/>
  <c r="AI29" i="48" s="1"/>
  <c r="AI30" i="48" s="1"/>
  <c r="AI31" i="48" s="1"/>
  <c r="AI32" i="48" s="1"/>
  <c r="AI33" i="48" s="1"/>
  <c r="AI34" i="48" s="1"/>
  <c r="AI35" i="48" s="1"/>
  <c r="AI36" i="48" s="1"/>
  <c r="AI37" i="48" s="1"/>
  <c r="AI38" i="48" s="1"/>
  <c r="AI39" i="48" s="1"/>
  <c r="T5" i="54"/>
  <c r="AC151" i="58"/>
  <c r="X160" i="58" s="1"/>
  <c r="T8" i="54"/>
  <c r="Y151" i="58"/>
  <c r="X158" i="58" s="1"/>
  <c r="V151" i="58"/>
  <c r="N32" i="53"/>
  <c r="N26" i="53"/>
  <c r="N11" i="53"/>
  <c r="N37" i="53"/>
  <c r="N16" i="53"/>
  <c r="N25" i="53"/>
  <c r="N30" i="53"/>
  <c r="N6" i="53"/>
  <c r="N20" i="53"/>
  <c r="N18" i="53"/>
  <c r="N22" i="53"/>
  <c r="N7" i="53"/>
  <c r="N19" i="53"/>
  <c r="N29" i="53"/>
  <c r="N8" i="53"/>
  <c r="N27" i="53"/>
  <c r="N17" i="53"/>
  <c r="N21" i="53"/>
  <c r="N24" i="53"/>
  <c r="N4" i="53"/>
  <c r="N28" i="53"/>
  <c r="N9" i="53"/>
  <c r="N10" i="53"/>
  <c r="N34" i="53"/>
  <c r="N36" i="53"/>
  <c r="N23" i="53"/>
  <c r="N31" i="53"/>
  <c r="N35" i="53"/>
  <c r="N33" i="53"/>
  <c r="N38" i="53"/>
  <c r="N5" i="53"/>
  <c r="AD6" i="46"/>
  <c r="N15" i="53" l="1"/>
  <c r="U5" i="54"/>
  <c r="O15" i="53" s="1"/>
  <c r="P15" i="53" s="1"/>
  <c r="AK151" i="58"/>
  <c r="X168" i="58" s="1"/>
  <c r="AO151" i="58"/>
  <c r="X171" i="58" s="1"/>
  <c r="AW151" i="58"/>
  <c r="X178" i="58" s="1"/>
  <c r="AJ151" i="58"/>
  <c r="X167" i="58" s="1"/>
  <c r="AR151" i="58"/>
  <c r="AL151" i="58"/>
  <c r="X169" i="58" s="1"/>
  <c r="AU151" i="58"/>
  <c r="X176" i="58" s="1"/>
  <c r="AH151" i="58"/>
  <c r="X165" i="58" s="1"/>
  <c r="AT151" i="58"/>
  <c r="X175" i="58" s="1"/>
  <c r="AZ151" i="58"/>
  <c r="X180" i="58" s="1"/>
  <c r="BA151" i="58"/>
  <c r="AS151" i="58"/>
  <c r="X174" i="58" s="1"/>
  <c r="AI151" i="58"/>
  <c r="X166" i="58" s="1"/>
  <c r="AQ151" i="58"/>
  <c r="X173" i="58" s="1"/>
  <c r="AX151" i="58"/>
  <c r="AM151" i="58"/>
  <c r="AN151" i="58"/>
  <c r="X170" i="58" s="1"/>
  <c r="AF151" i="58"/>
  <c r="X163" i="58" s="1"/>
  <c r="AV151" i="58"/>
  <c r="X177" i="58" s="1"/>
  <c r="AP151" i="58"/>
  <c r="X172" i="58" s="1"/>
  <c r="AY151" i="58"/>
  <c r="AG151" i="58"/>
  <c r="X164" i="58" s="1"/>
  <c r="T11" i="54"/>
  <c r="O39" i="53" s="1"/>
  <c r="A4" i="47"/>
  <c r="X179" i="58" l="1"/>
  <c r="O31" i="53"/>
  <c r="O32" i="53"/>
  <c r="O6" i="53"/>
  <c r="P6" i="53" s="1"/>
  <c r="O26" i="53"/>
  <c r="O20" i="53"/>
  <c r="O17" i="53"/>
  <c r="O27" i="53"/>
  <c r="O37" i="53"/>
  <c r="O22" i="53"/>
  <c r="O9" i="53"/>
  <c r="P9" i="53" s="1"/>
  <c r="O23" i="53"/>
  <c r="O24" i="53"/>
  <c r="O8" i="53"/>
  <c r="P8" i="53" s="1"/>
  <c r="O38" i="53"/>
  <c r="P38" i="53" s="1"/>
  <c r="Q38" i="53" s="1"/>
  <c r="O7" i="53"/>
  <c r="P7" i="53" s="1"/>
  <c r="O36" i="53"/>
  <c r="O10" i="53"/>
  <c r="P10" i="53" s="1"/>
  <c r="O19" i="53"/>
  <c r="O4" i="53"/>
  <c r="O35" i="53"/>
  <c r="O34" i="53"/>
  <c r="O33" i="53"/>
  <c r="O16" i="53"/>
  <c r="O18" i="53"/>
  <c r="P18" i="53" s="1"/>
  <c r="O21" i="53"/>
  <c r="O29" i="53"/>
  <c r="O5" i="53"/>
  <c r="P5" i="53" s="1"/>
  <c r="O25" i="53"/>
  <c r="O28" i="53"/>
  <c r="O30" i="53"/>
  <c r="O11" i="53"/>
  <c r="P11" i="53" s="1"/>
  <c r="P16" i="53" l="1"/>
  <c r="P31" i="53"/>
  <c r="P36" i="53"/>
  <c r="P24" i="53"/>
  <c r="P4" i="53"/>
  <c r="Q4" i="53" s="1"/>
  <c r="P19" i="53"/>
  <c r="P33" i="53"/>
  <c r="Q24" i="53" l="1"/>
  <c r="A9" i="1"/>
  <c r="C45" i="30" l="1"/>
  <c r="AF39" i="55" l="1"/>
  <c r="AE39" i="55"/>
  <c r="AD39" i="55"/>
  <c r="AC39" i="55"/>
  <c r="AB39" i="55"/>
  <c r="AA39" i="55"/>
  <c r="Z39" i="55"/>
  <c r="Y39" i="55"/>
  <c r="X39" i="55"/>
  <c r="W39" i="55"/>
  <c r="V39" i="55"/>
  <c r="U39" i="55"/>
  <c r="T39" i="55"/>
  <c r="S39" i="55"/>
  <c r="R39" i="55"/>
  <c r="Q39" i="55"/>
  <c r="P39" i="55"/>
  <c r="O39" i="55"/>
  <c r="N39" i="55"/>
  <c r="M39" i="55"/>
  <c r="L39" i="55"/>
  <c r="K39" i="55"/>
  <c r="J39" i="55"/>
  <c r="I39" i="55"/>
  <c r="H39" i="55"/>
  <c r="G39" i="55"/>
  <c r="F39" i="55"/>
  <c r="E39" i="55"/>
  <c r="D39" i="55"/>
  <c r="C39" i="55"/>
  <c r="B39" i="55"/>
  <c r="AG37" i="55"/>
  <c r="AG36" i="55"/>
  <c r="AG35" i="55"/>
  <c r="AG34" i="55"/>
  <c r="AG33" i="55"/>
  <c r="AG32" i="55"/>
  <c r="AG31" i="55"/>
  <c r="AG30" i="55"/>
  <c r="AG29" i="55"/>
  <c r="AG28" i="55"/>
  <c r="AG27" i="55"/>
  <c r="AG26" i="55"/>
  <c r="AG25" i="55"/>
  <c r="AG24" i="55"/>
  <c r="AG23" i="55"/>
  <c r="AG22" i="55"/>
  <c r="AG21" i="55"/>
  <c r="AG20" i="55"/>
  <c r="AG19" i="55"/>
  <c r="AG18" i="55"/>
  <c r="AG17" i="55"/>
  <c r="AG16" i="55"/>
  <c r="AG15" i="55"/>
  <c r="AG14" i="55"/>
  <c r="AG13" i="55"/>
  <c r="AG12" i="55"/>
  <c r="AG11" i="55"/>
  <c r="AG10" i="55"/>
  <c r="AG9" i="55"/>
  <c r="AG8" i="55"/>
  <c r="AG7" i="55"/>
  <c r="AG6" i="55"/>
  <c r="AG39" i="55" l="1"/>
  <c r="AH36" i="55" l="1"/>
  <c r="AH18" i="55"/>
  <c r="AH6" i="55"/>
  <c r="AH32" i="55"/>
  <c r="AH24" i="55"/>
  <c r="AH10" i="55"/>
  <c r="AH35" i="55"/>
  <c r="AH31" i="55"/>
  <c r="AH27" i="55"/>
  <c r="AH23" i="55"/>
  <c r="AH19" i="55"/>
  <c r="AH15" i="55"/>
  <c r="AH11" i="55"/>
  <c r="AH7" i="55"/>
  <c r="AH17" i="55"/>
  <c r="AH9" i="55"/>
  <c r="AH37" i="55"/>
  <c r="AH33" i="55"/>
  <c r="AH29" i="55"/>
  <c r="AH25" i="55"/>
  <c r="AH21" i="55"/>
  <c r="AH13" i="55"/>
  <c r="AH12" i="55"/>
  <c r="AH34" i="55"/>
  <c r="AH22" i="55"/>
  <c r="AH16" i="55"/>
  <c r="AH28" i="55"/>
  <c r="AH8" i="55"/>
  <c r="AH20" i="55"/>
  <c r="AH30" i="55"/>
  <c r="AH26" i="55"/>
  <c r="AH14" i="55"/>
  <c r="AH39" i="55" l="1"/>
  <c r="A10" i="2"/>
  <c r="BW42" i="2" l="1"/>
  <c r="BO42" i="2"/>
  <c r="BG42" i="2"/>
  <c r="AM42" i="2"/>
  <c r="AI42" i="2"/>
  <c r="AA42" i="2"/>
  <c r="BS40" i="2"/>
  <c r="BS39" i="2"/>
  <c r="BS38" i="2"/>
  <c r="BS37" i="2"/>
  <c r="BS36" i="2"/>
  <c r="BS35" i="2"/>
  <c r="BS34" i="2"/>
  <c r="BS33" i="2"/>
  <c r="BS32" i="2"/>
  <c r="BS31" i="2"/>
  <c r="BS30" i="2"/>
  <c r="BS29" i="2"/>
  <c r="BS28" i="2"/>
  <c r="BS27" i="2"/>
  <c r="BS26" i="2"/>
  <c r="BS25" i="2"/>
  <c r="BS24" i="2"/>
  <c r="AQ42" i="2"/>
  <c r="BS23" i="2"/>
  <c r="K42" i="2"/>
  <c r="BS22" i="2"/>
  <c r="BS21" i="2"/>
  <c r="BS20" i="2"/>
  <c r="BS19" i="2"/>
  <c r="BS18" i="2"/>
  <c r="BS17" i="2"/>
  <c r="BS16" i="2"/>
  <c r="BS15" i="2"/>
  <c r="BS14" i="2"/>
  <c r="BS13" i="2"/>
  <c r="BS12" i="2"/>
  <c r="BS11" i="2"/>
  <c r="BY10" i="2"/>
  <c r="BQ10" i="2"/>
  <c r="BQ11" i="2" s="1"/>
  <c r="BK42" i="2"/>
  <c r="BI10" i="2"/>
  <c r="BI11" i="2" s="1"/>
  <c r="AY42" i="2"/>
  <c r="AU42" i="2"/>
  <c r="AS10" i="2"/>
  <c r="AO10" i="2"/>
  <c r="AO11" i="2" s="1"/>
  <c r="AK10" i="2"/>
  <c r="AK11" i="2" s="1"/>
  <c r="AC10" i="2"/>
  <c r="AC11" i="2" s="1"/>
  <c r="Y10" i="2"/>
  <c r="Y11" i="2" s="1"/>
  <c r="U10" i="2"/>
  <c r="U11" i="2" s="1"/>
  <c r="Q10" i="2"/>
  <c r="Q11" i="2" s="1"/>
  <c r="M10" i="2"/>
  <c r="M11" i="2" s="1"/>
  <c r="G42" i="2"/>
  <c r="CA37" i="2" l="1"/>
  <c r="CA38" i="2"/>
  <c r="BL38" i="2" s="1"/>
  <c r="CA40" i="2"/>
  <c r="P40" i="2" s="1"/>
  <c r="U12" i="2"/>
  <c r="BI12" i="2"/>
  <c r="BQ12" i="2"/>
  <c r="M12" i="2"/>
  <c r="AC12" i="2"/>
  <c r="Q12" i="2"/>
  <c r="Y12" i="2"/>
  <c r="AK12" i="2"/>
  <c r="AO12" i="2"/>
  <c r="CA13" i="2"/>
  <c r="CA15" i="2"/>
  <c r="AW10" i="2"/>
  <c r="AW11" i="2" s="1"/>
  <c r="AW12" i="2" s="1"/>
  <c r="AW13" i="2" s="1"/>
  <c r="BA10" i="2"/>
  <c r="BM10" i="2"/>
  <c r="AS11" i="2"/>
  <c r="BY11" i="2"/>
  <c r="CA21" i="2"/>
  <c r="I10" i="2"/>
  <c r="BS10" i="2"/>
  <c r="CA19" i="2"/>
  <c r="CA26" i="2"/>
  <c r="CA30" i="2"/>
  <c r="CA31" i="2"/>
  <c r="CA29" i="2"/>
  <c r="CA27" i="2"/>
  <c r="CA28" i="2"/>
  <c r="CA32" i="2"/>
  <c r="CA35" i="2"/>
  <c r="BP37" i="2"/>
  <c r="BH37" i="2"/>
  <c r="AZ37" i="2"/>
  <c r="AR37" i="2"/>
  <c r="AB37" i="2"/>
  <c r="T37" i="2"/>
  <c r="L37" i="2"/>
  <c r="BX37" i="2"/>
  <c r="BL37" i="2"/>
  <c r="BD37" i="2"/>
  <c r="AV37" i="2"/>
  <c r="AN37" i="2"/>
  <c r="AJ37" i="2"/>
  <c r="X37" i="2"/>
  <c r="P37" i="2"/>
  <c r="H37" i="2"/>
  <c r="BT37" i="2"/>
  <c r="CA36" i="2"/>
  <c r="AF37" i="2"/>
  <c r="AV38" i="2"/>
  <c r="CA39" i="2"/>
  <c r="BD40" i="2"/>
  <c r="AV40" i="2"/>
  <c r="AN40" i="2"/>
  <c r="AR40" i="2" l="1"/>
  <c r="H40" i="2"/>
  <c r="AR38" i="2"/>
  <c r="AZ38" i="2"/>
  <c r="BH38" i="2"/>
  <c r="BP38" i="2"/>
  <c r="AF38" i="2"/>
  <c r="BX38" i="2"/>
  <c r="BD38" i="2"/>
  <c r="AJ38" i="2"/>
  <c r="AN38" i="2"/>
  <c r="BT38" i="2"/>
  <c r="BH40" i="2"/>
  <c r="BD13" i="2"/>
  <c r="BD15" i="2"/>
  <c r="AF26" i="2"/>
  <c r="BX40" i="2"/>
  <c r="BT40" i="2"/>
  <c r="AF29" i="2"/>
  <c r="AJ40" i="2"/>
  <c r="AF35" i="2"/>
  <c r="AF31" i="2"/>
  <c r="AF21" i="2"/>
  <c r="AF30" i="2"/>
  <c r="BD32" i="2"/>
  <c r="X40" i="2"/>
  <c r="AF39" i="2"/>
  <c r="BD36" i="2"/>
  <c r="BL40" i="2"/>
  <c r="BD19" i="2"/>
  <c r="BP40" i="2"/>
  <c r="AZ35" i="2"/>
  <c r="BD31" i="2"/>
  <c r="H19" i="2"/>
  <c r="BD21" i="2"/>
  <c r="L35" i="2"/>
  <c r="BD35" i="2"/>
  <c r="AZ32" i="2"/>
  <c r="BT35" i="2"/>
  <c r="L30" i="2"/>
  <c r="BT30" i="2"/>
  <c r="AB40" i="2"/>
  <c r="H15" i="2"/>
  <c r="H13" i="2"/>
  <c r="AZ21" i="2"/>
  <c r="AZ26" i="2"/>
  <c r="H21" i="2"/>
  <c r="AF40" i="2"/>
  <c r="T40" i="2"/>
  <c r="L40" i="2"/>
  <c r="AZ40" i="2"/>
  <c r="BD26" i="2"/>
  <c r="AB38" i="2"/>
  <c r="T38" i="2"/>
  <c r="L38" i="2"/>
  <c r="X38" i="2"/>
  <c r="P38" i="2"/>
  <c r="H38" i="2"/>
  <c r="BT39" i="2"/>
  <c r="AZ30" i="2"/>
  <c r="BD30" i="2"/>
  <c r="AZ19" i="2"/>
  <c r="BT26" i="2"/>
  <c r="BT19" i="2"/>
  <c r="BT21" i="2"/>
  <c r="L31" i="2"/>
  <c r="AZ29" i="2"/>
  <c r="BT29" i="2"/>
  <c r="BT15" i="2"/>
  <c r="BT13" i="2"/>
  <c r="AF32" i="2"/>
  <c r="AF15" i="2"/>
  <c r="AF19" i="2"/>
  <c r="AF13" i="2"/>
  <c r="BX27" i="2"/>
  <c r="BL27" i="2"/>
  <c r="AN27" i="2"/>
  <c r="AJ27" i="2"/>
  <c r="AB27" i="2"/>
  <c r="T27" i="2"/>
  <c r="H27" i="2"/>
  <c r="BT27" i="2"/>
  <c r="BP27" i="2"/>
  <c r="BH27" i="2"/>
  <c r="AZ27" i="2"/>
  <c r="AV27" i="2"/>
  <c r="X27" i="2"/>
  <c r="P27" i="2"/>
  <c r="AR27" i="2"/>
  <c r="AF27" i="2"/>
  <c r="L27" i="2"/>
  <c r="BX28" i="2"/>
  <c r="BL28" i="2"/>
  <c r="AN28" i="2"/>
  <c r="AJ28" i="2"/>
  <c r="AB28" i="2"/>
  <c r="T28" i="2"/>
  <c r="L28" i="2"/>
  <c r="BT28" i="2"/>
  <c r="BP28" i="2"/>
  <c r="BH28" i="2"/>
  <c r="AZ28" i="2"/>
  <c r="AV28" i="2"/>
  <c r="X28" i="2"/>
  <c r="P28" i="2"/>
  <c r="H28" i="2"/>
  <c r="AF28" i="2"/>
  <c r="AR28" i="2"/>
  <c r="BP39" i="2"/>
  <c r="BH39" i="2"/>
  <c r="AZ39" i="2"/>
  <c r="AR39" i="2"/>
  <c r="BL39" i="2"/>
  <c r="AN39" i="2"/>
  <c r="X39" i="2"/>
  <c r="P39" i="2"/>
  <c r="H39" i="2"/>
  <c r="BX39" i="2"/>
  <c r="BD39" i="2"/>
  <c r="AV39" i="2"/>
  <c r="AJ39" i="2"/>
  <c r="AB39" i="2"/>
  <c r="T39" i="2"/>
  <c r="L39" i="2"/>
  <c r="BX36" i="2"/>
  <c r="BL36" i="2"/>
  <c r="AV36" i="2"/>
  <c r="AN36" i="2"/>
  <c r="AJ36" i="2"/>
  <c r="X36" i="2"/>
  <c r="P36" i="2"/>
  <c r="H36" i="2"/>
  <c r="BT36" i="2"/>
  <c r="BP36" i="2"/>
  <c r="BH36" i="2"/>
  <c r="AZ36" i="2"/>
  <c r="AR36" i="2"/>
  <c r="AF36" i="2"/>
  <c r="AB36" i="2"/>
  <c r="T36" i="2"/>
  <c r="L36" i="2"/>
  <c r="BP35" i="2"/>
  <c r="BH35" i="2"/>
  <c r="AV35" i="2"/>
  <c r="AN35" i="2"/>
  <c r="AJ35" i="2"/>
  <c r="X35" i="2"/>
  <c r="P35" i="2"/>
  <c r="BX35" i="2"/>
  <c r="BL35" i="2"/>
  <c r="AR35" i="2"/>
  <c r="AB35" i="2"/>
  <c r="T35" i="2"/>
  <c r="H35" i="2"/>
  <c r="BT32" i="2"/>
  <c r="BP29" i="2"/>
  <c r="BH29" i="2"/>
  <c r="AV29" i="2"/>
  <c r="AN29" i="2"/>
  <c r="AJ29" i="2"/>
  <c r="AB29" i="2"/>
  <c r="T29" i="2"/>
  <c r="L29" i="2"/>
  <c r="BX29" i="2"/>
  <c r="BL29" i="2"/>
  <c r="AR29" i="2"/>
  <c r="X29" i="2"/>
  <c r="P29" i="2"/>
  <c r="H29" i="2"/>
  <c r="BP30" i="2"/>
  <c r="BH30" i="2"/>
  <c r="AV30" i="2"/>
  <c r="AN30" i="2"/>
  <c r="AJ30" i="2"/>
  <c r="AB30" i="2"/>
  <c r="T30" i="2"/>
  <c r="H30" i="2"/>
  <c r="BX30" i="2"/>
  <c r="BL30" i="2"/>
  <c r="AR30" i="2"/>
  <c r="X30" i="2"/>
  <c r="P30" i="2"/>
  <c r="BP26" i="2"/>
  <c r="BH26" i="2"/>
  <c r="AV26" i="2"/>
  <c r="AN26" i="2"/>
  <c r="AJ26" i="2"/>
  <c r="X26" i="2"/>
  <c r="P26" i="2"/>
  <c r="BX26" i="2"/>
  <c r="BL26" i="2"/>
  <c r="AR26" i="2"/>
  <c r="AB26" i="2"/>
  <c r="T26" i="2"/>
  <c r="L26" i="2"/>
  <c r="H26" i="2"/>
  <c r="CA25" i="2"/>
  <c r="CA20" i="2"/>
  <c r="BC42" i="2"/>
  <c r="BE10" i="2"/>
  <c r="BE11" i="2" s="1"/>
  <c r="CA14" i="2"/>
  <c r="BY12" i="2"/>
  <c r="BM11" i="2"/>
  <c r="BA11" i="2"/>
  <c r="AC13" i="2"/>
  <c r="M13" i="2"/>
  <c r="BQ13" i="2"/>
  <c r="BI13" i="2"/>
  <c r="CA33" i="2"/>
  <c r="BP32" i="2"/>
  <c r="BH32" i="2"/>
  <c r="AV32" i="2"/>
  <c r="AN32" i="2"/>
  <c r="AJ32" i="2"/>
  <c r="X32" i="2"/>
  <c r="P32" i="2"/>
  <c r="BX32" i="2"/>
  <c r="BL32" i="2"/>
  <c r="AR32" i="2"/>
  <c r="AB32" i="2"/>
  <c r="T32" i="2"/>
  <c r="L32" i="2"/>
  <c r="H32" i="2"/>
  <c r="CA34" i="2"/>
  <c r="BD28" i="2"/>
  <c r="BD27" i="2"/>
  <c r="CA24" i="2"/>
  <c r="BX31" i="2"/>
  <c r="BL31" i="2"/>
  <c r="AR31" i="2"/>
  <c r="AB31" i="2"/>
  <c r="T31" i="2"/>
  <c r="BT31" i="2"/>
  <c r="BP31" i="2"/>
  <c r="BH31" i="2"/>
  <c r="AV31" i="2"/>
  <c r="AJ31" i="2"/>
  <c r="P31" i="2"/>
  <c r="H31" i="2"/>
  <c r="AZ31" i="2"/>
  <c r="AN31" i="2"/>
  <c r="X31" i="2"/>
  <c r="BD29" i="2"/>
  <c r="CA23" i="2"/>
  <c r="CA22" i="2"/>
  <c r="CA18" i="2"/>
  <c r="CA17" i="2"/>
  <c r="BP19" i="2"/>
  <c r="BH19" i="2"/>
  <c r="AV19" i="2"/>
  <c r="AN19" i="2"/>
  <c r="AJ19" i="2"/>
  <c r="X19" i="2"/>
  <c r="P19" i="2"/>
  <c r="BX19" i="2"/>
  <c r="BL19" i="2"/>
  <c r="AR19" i="2"/>
  <c r="AB19" i="2"/>
  <c r="T19" i="2"/>
  <c r="L19" i="2"/>
  <c r="BS42" i="2"/>
  <c r="BU10" i="2"/>
  <c r="AE42" i="2"/>
  <c r="AG10" i="2"/>
  <c r="AG11" i="2" s="1"/>
  <c r="AG12" i="2" s="1"/>
  <c r="CA10" i="2"/>
  <c r="BP21" i="2"/>
  <c r="BH21" i="2"/>
  <c r="AV21" i="2"/>
  <c r="AN21" i="2"/>
  <c r="AJ21" i="2"/>
  <c r="X21" i="2"/>
  <c r="P21" i="2"/>
  <c r="BX21" i="2"/>
  <c r="BL21" i="2"/>
  <c r="AR21" i="2"/>
  <c r="AB21" i="2"/>
  <c r="T21" i="2"/>
  <c r="L21" i="2"/>
  <c r="CA16" i="2"/>
  <c r="AW14" i="2"/>
  <c r="CA12" i="2"/>
  <c r="AS12" i="2"/>
  <c r="CA11" i="2"/>
  <c r="I11" i="2"/>
  <c r="BP15" i="2"/>
  <c r="BH15" i="2"/>
  <c r="AZ15" i="2"/>
  <c r="AN15" i="2"/>
  <c r="AJ15" i="2"/>
  <c r="X15" i="2"/>
  <c r="P15" i="2"/>
  <c r="BX15" i="2"/>
  <c r="BL15" i="2"/>
  <c r="AV15" i="2"/>
  <c r="AR15" i="2"/>
  <c r="AB15" i="2"/>
  <c r="T15" i="2"/>
  <c r="L15" i="2"/>
  <c r="BP13" i="2"/>
  <c r="BH13" i="2"/>
  <c r="AZ13" i="2"/>
  <c r="AN13" i="2"/>
  <c r="AJ13" i="2"/>
  <c r="X13" i="2"/>
  <c r="P13" i="2"/>
  <c r="BX13" i="2"/>
  <c r="BL13" i="2"/>
  <c r="AV13" i="2"/>
  <c r="AR13" i="2"/>
  <c r="AB13" i="2"/>
  <c r="T13" i="2"/>
  <c r="L13" i="2"/>
  <c r="AO13" i="2"/>
  <c r="AK13" i="2"/>
  <c r="Y13" i="2"/>
  <c r="Q13" i="2"/>
  <c r="U13" i="2"/>
  <c r="BT10" i="2" l="1"/>
  <c r="AF18" i="2"/>
  <c r="AF14" i="2"/>
  <c r="BD12" i="2"/>
  <c r="AF17" i="2"/>
  <c r="AF23" i="2"/>
  <c r="BD25" i="2"/>
  <c r="AF20" i="2"/>
  <c r="AF12" i="2"/>
  <c r="AF10" i="2"/>
  <c r="BD23" i="2"/>
  <c r="BD14" i="2"/>
  <c r="Q14" i="2"/>
  <c r="I12" i="2"/>
  <c r="BX11" i="2"/>
  <c r="BL11" i="2"/>
  <c r="AR11" i="2"/>
  <c r="X11" i="2"/>
  <c r="P11" i="2"/>
  <c r="BT11" i="2"/>
  <c r="BP11" i="2"/>
  <c r="BH11" i="2"/>
  <c r="AZ11" i="2"/>
  <c r="AN11" i="2"/>
  <c r="AJ11" i="2"/>
  <c r="AB11" i="2"/>
  <c r="T11" i="2"/>
  <c r="L11" i="2"/>
  <c r="AV11" i="2"/>
  <c r="H11" i="2"/>
  <c r="AS13" i="2"/>
  <c r="AG13" i="2"/>
  <c r="BX16" i="2"/>
  <c r="BP16" i="2"/>
  <c r="BH16" i="2"/>
  <c r="AR16" i="2"/>
  <c r="AB16" i="2"/>
  <c r="T16" i="2"/>
  <c r="L16" i="2"/>
  <c r="BL16" i="2"/>
  <c r="AN16" i="2"/>
  <c r="AJ16" i="2"/>
  <c r="X16" i="2"/>
  <c r="P16" i="2"/>
  <c r="H16" i="2"/>
  <c r="BT16" i="2"/>
  <c r="BD16" i="2"/>
  <c r="AZ16" i="2"/>
  <c r="AV16" i="2"/>
  <c r="BX22" i="2"/>
  <c r="BL22" i="2"/>
  <c r="AR22" i="2"/>
  <c r="AB22" i="2"/>
  <c r="T22" i="2"/>
  <c r="L22" i="2"/>
  <c r="BT22" i="2"/>
  <c r="BP22" i="2"/>
  <c r="BH22" i="2"/>
  <c r="AZ22" i="2"/>
  <c r="AV22" i="2"/>
  <c r="AN22" i="2"/>
  <c r="AJ22" i="2"/>
  <c r="X22" i="2"/>
  <c r="P22" i="2"/>
  <c r="H22" i="2"/>
  <c r="BD22" i="2"/>
  <c r="BX34" i="2"/>
  <c r="BP34" i="2"/>
  <c r="BH34" i="2"/>
  <c r="AV34" i="2"/>
  <c r="AN34" i="2"/>
  <c r="AJ34" i="2"/>
  <c r="X34" i="2"/>
  <c r="P34" i="2"/>
  <c r="BL34" i="2"/>
  <c r="AR34" i="2"/>
  <c r="AB34" i="2"/>
  <c r="T34" i="2"/>
  <c r="L34" i="2"/>
  <c r="H34" i="2"/>
  <c r="AF34" i="2"/>
  <c r="AZ34" i="2"/>
  <c r="BT34" i="2"/>
  <c r="BX33" i="2"/>
  <c r="BL33" i="2"/>
  <c r="AR33" i="2"/>
  <c r="AB33" i="2"/>
  <c r="T33" i="2"/>
  <c r="H33" i="2"/>
  <c r="BT33" i="2"/>
  <c r="BP33" i="2"/>
  <c r="BH33" i="2"/>
  <c r="AZ33" i="2"/>
  <c r="AV33" i="2"/>
  <c r="AN33" i="2"/>
  <c r="AJ33" i="2"/>
  <c r="X33" i="2"/>
  <c r="P33" i="2"/>
  <c r="L33" i="2"/>
  <c r="BD33" i="2"/>
  <c r="BA12" i="2"/>
  <c r="Y14" i="2"/>
  <c r="U14" i="2"/>
  <c r="AK14" i="2"/>
  <c r="AO14" i="2"/>
  <c r="AF11" i="2"/>
  <c r="BD11" i="2"/>
  <c r="BX12" i="2"/>
  <c r="BL12" i="2"/>
  <c r="AR12" i="2"/>
  <c r="X12" i="2"/>
  <c r="P12" i="2"/>
  <c r="BT12" i="2"/>
  <c r="BP12" i="2"/>
  <c r="BH12" i="2"/>
  <c r="AZ12" i="2"/>
  <c r="AN12" i="2"/>
  <c r="AJ12" i="2"/>
  <c r="AB12" i="2"/>
  <c r="T12" i="2"/>
  <c r="L12" i="2"/>
  <c r="AV12" i="2"/>
  <c r="H12" i="2"/>
  <c r="BE12" i="2"/>
  <c r="AW15" i="2"/>
  <c r="AF16" i="2"/>
  <c r="CA42" i="2"/>
  <c r="CB10" i="2"/>
  <c r="BX10" i="2"/>
  <c r="BH10" i="2"/>
  <c r="AR10" i="2"/>
  <c r="AB10" i="2"/>
  <c r="T10" i="2"/>
  <c r="L10" i="2"/>
  <c r="P10" i="2"/>
  <c r="BP10" i="2"/>
  <c r="AN10" i="2"/>
  <c r="AJ10" i="2"/>
  <c r="X10" i="2"/>
  <c r="H10" i="2"/>
  <c r="AZ10" i="2"/>
  <c r="AV10" i="2"/>
  <c r="BL10" i="2"/>
  <c r="BU11" i="2"/>
  <c r="BP17" i="2"/>
  <c r="BH17" i="2"/>
  <c r="AR17" i="2"/>
  <c r="AB17" i="2"/>
  <c r="T17" i="2"/>
  <c r="L17" i="2"/>
  <c r="BX17" i="2"/>
  <c r="BL17" i="2"/>
  <c r="AN17" i="2"/>
  <c r="AJ17" i="2"/>
  <c r="X17" i="2"/>
  <c r="P17" i="2"/>
  <c r="H17" i="2"/>
  <c r="BD17" i="2"/>
  <c r="AV17" i="2"/>
  <c r="AZ17" i="2"/>
  <c r="BT17" i="2"/>
  <c r="BX18" i="2"/>
  <c r="BL18" i="2"/>
  <c r="AR18" i="2"/>
  <c r="AB18" i="2"/>
  <c r="T18" i="2"/>
  <c r="L18" i="2"/>
  <c r="BT18" i="2"/>
  <c r="BP18" i="2"/>
  <c r="BH18" i="2"/>
  <c r="AZ18" i="2"/>
  <c r="AV18" i="2"/>
  <c r="AN18" i="2"/>
  <c r="AJ18" i="2"/>
  <c r="X18" i="2"/>
  <c r="P18" i="2"/>
  <c r="H18" i="2"/>
  <c r="AF22" i="2"/>
  <c r="BX23" i="2"/>
  <c r="BL23" i="2"/>
  <c r="AR23" i="2"/>
  <c r="AB23" i="2"/>
  <c r="T23" i="2"/>
  <c r="BP23" i="2"/>
  <c r="BH23" i="2"/>
  <c r="AV23" i="2"/>
  <c r="AN23" i="2"/>
  <c r="AJ23" i="2"/>
  <c r="X23" i="2"/>
  <c r="P23" i="2"/>
  <c r="H23" i="2"/>
  <c r="AZ23" i="2"/>
  <c r="BT23" i="2"/>
  <c r="L23" i="2"/>
  <c r="BT24" i="2"/>
  <c r="BP24" i="2"/>
  <c r="BH24" i="2"/>
  <c r="AZ24" i="2"/>
  <c r="AN24" i="2"/>
  <c r="AJ24" i="2"/>
  <c r="X24" i="2"/>
  <c r="P24" i="2"/>
  <c r="BX24" i="2"/>
  <c r="BL24" i="2"/>
  <c r="AB24" i="2"/>
  <c r="T24" i="2"/>
  <c r="L24" i="2"/>
  <c r="H24" i="2"/>
  <c r="AV24" i="2"/>
  <c r="AF24" i="2"/>
  <c r="AR24" i="2"/>
  <c r="BD24" i="2"/>
  <c r="AF33" i="2"/>
  <c r="BI14" i="2"/>
  <c r="BQ14" i="2"/>
  <c r="M14" i="2"/>
  <c r="AC14" i="2"/>
  <c r="BM12" i="2"/>
  <c r="BY13" i="2"/>
  <c r="BX14" i="2"/>
  <c r="BL14" i="2"/>
  <c r="AR14" i="2"/>
  <c r="AB14" i="2"/>
  <c r="T14" i="2"/>
  <c r="L14" i="2"/>
  <c r="BT14" i="2"/>
  <c r="BP14" i="2"/>
  <c r="BH14" i="2"/>
  <c r="AZ14" i="2"/>
  <c r="AN14" i="2"/>
  <c r="AJ14" i="2"/>
  <c r="X14" i="2"/>
  <c r="P14" i="2"/>
  <c r="H14" i="2"/>
  <c r="AV14" i="2"/>
  <c r="BD10" i="2"/>
  <c r="BD18" i="2"/>
  <c r="BX20" i="2"/>
  <c r="BL20" i="2"/>
  <c r="AR20" i="2"/>
  <c r="AB20" i="2"/>
  <c r="T20" i="2"/>
  <c r="L20" i="2"/>
  <c r="BT20" i="2"/>
  <c r="BP20" i="2"/>
  <c r="BH20" i="2"/>
  <c r="AZ20" i="2"/>
  <c r="AV20" i="2"/>
  <c r="AN20" i="2"/>
  <c r="AJ20" i="2"/>
  <c r="X20" i="2"/>
  <c r="P20" i="2"/>
  <c r="H20" i="2"/>
  <c r="BD20" i="2"/>
  <c r="BX25" i="2"/>
  <c r="BL25" i="2"/>
  <c r="AN25" i="2"/>
  <c r="AJ25" i="2"/>
  <c r="X25" i="2"/>
  <c r="P25" i="2"/>
  <c r="BT25" i="2"/>
  <c r="BP25" i="2"/>
  <c r="BH25" i="2"/>
  <c r="AZ25" i="2"/>
  <c r="AV25" i="2"/>
  <c r="AB25" i="2"/>
  <c r="T25" i="2"/>
  <c r="L25" i="2"/>
  <c r="AF25" i="2"/>
  <c r="AR25" i="2"/>
  <c r="H25" i="2"/>
  <c r="BD34" i="2"/>
  <c r="BF10" i="2" l="1"/>
  <c r="AF42" i="2"/>
  <c r="BD42" i="2"/>
  <c r="BV10" i="2"/>
  <c r="BM13" i="2"/>
  <c r="CB42" i="2"/>
  <c r="BP42" i="2"/>
  <c r="AN42" i="2"/>
  <c r="AJ42" i="2"/>
  <c r="AB42" i="2"/>
  <c r="BX42" i="2"/>
  <c r="BH42" i="2"/>
  <c r="AV42" i="2"/>
  <c r="AZ42" i="2"/>
  <c r="BL42" i="2"/>
  <c r="H42" i="2"/>
  <c r="AR42" i="2"/>
  <c r="AW16" i="2"/>
  <c r="BE13" i="2"/>
  <c r="BA13" i="2"/>
  <c r="BT42" i="2"/>
  <c r="I13" i="2"/>
  <c r="BY14" i="2"/>
  <c r="AC15" i="2"/>
  <c r="M15" i="2"/>
  <c r="BQ15" i="2"/>
  <c r="BI15" i="2"/>
  <c r="BU12" i="2"/>
  <c r="BR10" i="2"/>
  <c r="AP10" i="2"/>
  <c r="AL10" i="2"/>
  <c r="Z10" i="2"/>
  <c r="R10" i="2"/>
  <c r="AT10" i="2"/>
  <c r="BZ10" i="2"/>
  <c r="N10" i="2"/>
  <c r="AD10" i="2"/>
  <c r="BJ10" i="2"/>
  <c r="V10" i="2"/>
  <c r="J10" i="2"/>
  <c r="BB10" i="2"/>
  <c r="BN10" i="2"/>
  <c r="AX10" i="2"/>
  <c r="AO15" i="2"/>
  <c r="AK15" i="2"/>
  <c r="U15" i="2"/>
  <c r="Y15" i="2"/>
  <c r="AH10" i="2"/>
  <c r="AG14" i="2"/>
  <c r="AS14" i="2"/>
  <c r="CB11" i="2"/>
  <c r="Q15" i="2"/>
  <c r="AG15" i="2" l="1"/>
  <c r="BJ11" i="2"/>
  <c r="BR11" i="2"/>
  <c r="N11" i="2"/>
  <c r="AD11" i="2"/>
  <c r="V11" i="2"/>
  <c r="R11" i="2"/>
  <c r="Z11" i="2"/>
  <c r="AL11" i="2"/>
  <c r="AP11" i="2"/>
  <c r="AT11" i="2"/>
  <c r="BZ11" i="2"/>
  <c r="AX11" i="2"/>
  <c r="J11" i="2"/>
  <c r="BF11" i="2"/>
  <c r="BB11" i="2"/>
  <c r="AH11" i="2"/>
  <c r="BN11" i="2"/>
  <c r="CB12" i="2"/>
  <c r="AS15" i="2"/>
  <c r="BU13" i="2"/>
  <c r="I14" i="2"/>
  <c r="BA14" i="2"/>
  <c r="Q16" i="2"/>
  <c r="Y16" i="2"/>
  <c r="U16" i="2"/>
  <c r="AK16" i="2"/>
  <c r="AO16" i="2"/>
  <c r="BV11" i="2"/>
  <c r="BI16" i="2"/>
  <c r="BQ16" i="2"/>
  <c r="M16" i="2"/>
  <c r="AC16" i="2"/>
  <c r="BY15" i="2"/>
  <c r="BE14" i="2"/>
  <c r="AW17" i="2"/>
  <c r="BM14" i="2"/>
  <c r="BV12" i="2" l="1"/>
  <c r="AW18" i="2"/>
  <c r="BE15" i="2"/>
  <c r="BQ17" i="2"/>
  <c r="BI17" i="2"/>
  <c r="AO17" i="2"/>
  <c r="AK17" i="2"/>
  <c r="U17" i="2"/>
  <c r="Y17" i="2"/>
  <c r="Q17" i="2"/>
  <c r="BA15" i="2"/>
  <c r="AS16" i="2"/>
  <c r="AG16" i="2"/>
  <c r="BM15" i="2"/>
  <c r="BY16" i="2"/>
  <c r="AC17" i="2"/>
  <c r="M17" i="2"/>
  <c r="I15" i="2"/>
  <c r="BU14" i="2"/>
  <c r="AX12" i="2"/>
  <c r="CB13" i="2"/>
  <c r="Z12" i="2"/>
  <c r="R12" i="2"/>
  <c r="AP12" i="2"/>
  <c r="AL12" i="2"/>
  <c r="AD12" i="2"/>
  <c r="N12" i="2"/>
  <c r="BR12" i="2"/>
  <c r="BJ12" i="2"/>
  <c r="V12" i="2"/>
  <c r="AT12" i="2"/>
  <c r="AH12" i="2"/>
  <c r="BZ12" i="2"/>
  <c r="BB12" i="2"/>
  <c r="J12" i="2"/>
  <c r="BN12" i="2"/>
  <c r="BF12" i="2"/>
  <c r="BU15" i="2" l="1"/>
  <c r="I16" i="2"/>
  <c r="AG17" i="2"/>
  <c r="BE16" i="2"/>
  <c r="AX13" i="2"/>
  <c r="CB14" i="2"/>
  <c r="R13" i="2"/>
  <c r="Z13" i="2"/>
  <c r="V13" i="2"/>
  <c r="AL13" i="2"/>
  <c r="AP13" i="2"/>
  <c r="BJ13" i="2"/>
  <c r="BR13" i="2"/>
  <c r="N13" i="2"/>
  <c r="AD13" i="2"/>
  <c r="AT13" i="2"/>
  <c r="BZ13" i="2"/>
  <c r="AH13" i="2"/>
  <c r="BB13" i="2"/>
  <c r="BF13" i="2"/>
  <c r="BN13" i="2"/>
  <c r="J13" i="2"/>
  <c r="BV13" i="2"/>
  <c r="M18" i="2"/>
  <c r="AC18" i="2"/>
  <c r="BY17" i="2"/>
  <c r="BM16" i="2"/>
  <c r="AS17" i="2"/>
  <c r="BA16" i="2"/>
  <c r="Q18" i="2"/>
  <c r="Y18" i="2"/>
  <c r="U18" i="2"/>
  <c r="AK18" i="2"/>
  <c r="AO18" i="2"/>
  <c r="BI18" i="2"/>
  <c r="BQ18" i="2"/>
  <c r="AW19" i="2"/>
  <c r="U19" i="2" l="1"/>
  <c r="BA17" i="2"/>
  <c r="AC19" i="2"/>
  <c r="M19" i="2"/>
  <c r="BE17" i="2"/>
  <c r="AG18" i="2"/>
  <c r="I17" i="2"/>
  <c r="BU16" i="2"/>
  <c r="AW20" i="2"/>
  <c r="BQ19" i="2"/>
  <c r="BI19" i="2"/>
  <c r="AO19" i="2"/>
  <c r="AK19" i="2"/>
  <c r="Y19" i="2"/>
  <c r="Q19" i="2"/>
  <c r="AS18" i="2"/>
  <c r="BM17" i="2"/>
  <c r="BY18" i="2"/>
  <c r="CB15" i="2"/>
  <c r="AX14" i="2"/>
  <c r="AD14" i="2"/>
  <c r="N14" i="2"/>
  <c r="BR14" i="2"/>
  <c r="BJ14" i="2"/>
  <c r="AP14" i="2"/>
  <c r="AL14" i="2"/>
  <c r="V14" i="2"/>
  <c r="Z14" i="2"/>
  <c r="R14" i="2"/>
  <c r="AH14" i="2"/>
  <c r="AT14" i="2"/>
  <c r="BZ14" i="2"/>
  <c r="BF14" i="2"/>
  <c r="J14" i="2"/>
  <c r="BB14" i="2"/>
  <c r="BN14" i="2"/>
  <c r="BV14" i="2"/>
  <c r="CB16" i="2" l="1"/>
  <c r="AX15" i="2"/>
  <c r="R15" i="2"/>
  <c r="Z15" i="2"/>
  <c r="V15" i="2"/>
  <c r="AL15" i="2"/>
  <c r="AP15" i="2"/>
  <c r="BJ15" i="2"/>
  <c r="BR15" i="2"/>
  <c r="N15" i="2"/>
  <c r="AD15" i="2"/>
  <c r="AH15" i="2"/>
  <c r="AT15" i="2"/>
  <c r="BZ15" i="2"/>
  <c r="J15" i="2"/>
  <c r="BF15" i="2"/>
  <c r="BB15" i="2"/>
  <c r="BN15" i="2"/>
  <c r="AS19" i="2"/>
  <c r="BU17" i="2"/>
  <c r="I18" i="2"/>
  <c r="AG19" i="2"/>
  <c r="BE18" i="2"/>
  <c r="BA18" i="2"/>
  <c r="BY19" i="2"/>
  <c r="BM18" i="2"/>
  <c r="Q20" i="2"/>
  <c r="Y20" i="2"/>
  <c r="AK20" i="2"/>
  <c r="AO20" i="2"/>
  <c r="BI20" i="2"/>
  <c r="BQ20" i="2"/>
  <c r="AW21" i="2"/>
  <c r="BV15" i="2"/>
  <c r="M20" i="2"/>
  <c r="AC20" i="2"/>
  <c r="U20" i="2"/>
  <c r="BV16" i="2" l="1"/>
  <c r="AW22" i="2"/>
  <c r="BQ21" i="2"/>
  <c r="BI21" i="2"/>
  <c r="AO21" i="2"/>
  <c r="AK21" i="2"/>
  <c r="Y21" i="2"/>
  <c r="Q21" i="2"/>
  <c r="BM19" i="2"/>
  <c r="BY20" i="2"/>
  <c r="AS20" i="2"/>
  <c r="CB17" i="2"/>
  <c r="AX16" i="2"/>
  <c r="BR16" i="2"/>
  <c r="BJ16" i="2"/>
  <c r="AP16" i="2"/>
  <c r="AL16" i="2"/>
  <c r="V16" i="2"/>
  <c r="Z16" i="2"/>
  <c r="R16" i="2"/>
  <c r="AD16" i="2"/>
  <c r="N16" i="2"/>
  <c r="AH16" i="2"/>
  <c r="BZ16" i="2"/>
  <c r="AT16" i="2"/>
  <c r="BB16" i="2"/>
  <c r="BF16" i="2"/>
  <c r="J16" i="2"/>
  <c r="BN16" i="2"/>
  <c r="U21" i="2"/>
  <c r="AC21" i="2"/>
  <c r="M21" i="2"/>
  <c r="BA19" i="2"/>
  <c r="BE19" i="2"/>
  <c r="AG20" i="2"/>
  <c r="I19" i="2"/>
  <c r="BU18" i="2"/>
  <c r="BV17" i="2" l="1"/>
  <c r="M22" i="2"/>
  <c r="AC22" i="2"/>
  <c r="U22" i="2"/>
  <c r="CB18" i="2"/>
  <c r="AX17" i="2"/>
  <c r="N17" i="2"/>
  <c r="AD17" i="2"/>
  <c r="V17" i="2"/>
  <c r="AP17" i="2"/>
  <c r="BR17" i="2"/>
  <c r="R17" i="2"/>
  <c r="Z17" i="2"/>
  <c r="AL17" i="2"/>
  <c r="BJ17" i="2"/>
  <c r="AH17" i="2"/>
  <c r="AT17" i="2"/>
  <c r="BZ17" i="2"/>
  <c r="BN17" i="2"/>
  <c r="J17" i="2"/>
  <c r="BF17" i="2"/>
  <c r="BB17" i="2"/>
  <c r="BU19" i="2"/>
  <c r="I20" i="2"/>
  <c r="AG21" i="2"/>
  <c r="BE20" i="2"/>
  <c r="BA20" i="2"/>
  <c r="AS21" i="2"/>
  <c r="BY21" i="2"/>
  <c r="BM20" i="2"/>
  <c r="Q22" i="2"/>
  <c r="Y22" i="2"/>
  <c r="AK22" i="2"/>
  <c r="AO22" i="2"/>
  <c r="BI22" i="2"/>
  <c r="BQ22" i="2"/>
  <c r="AW23" i="2"/>
  <c r="BV18" i="2" l="1"/>
  <c r="AW24" i="2"/>
  <c r="BQ23" i="2"/>
  <c r="BI23" i="2"/>
  <c r="AO23" i="2"/>
  <c r="AK23" i="2"/>
  <c r="Y23" i="2"/>
  <c r="Q23" i="2"/>
  <c r="BM21" i="2"/>
  <c r="BY22" i="2"/>
  <c r="AS22" i="2"/>
  <c r="CB19" i="2"/>
  <c r="AX18" i="2"/>
  <c r="V18" i="2"/>
  <c r="AD18" i="2"/>
  <c r="N18" i="2"/>
  <c r="BR18" i="2"/>
  <c r="BJ18" i="2"/>
  <c r="AP18" i="2"/>
  <c r="AL18" i="2"/>
  <c r="Z18" i="2"/>
  <c r="R18" i="2"/>
  <c r="AT18" i="2"/>
  <c r="BZ18" i="2"/>
  <c r="AH18" i="2"/>
  <c r="BN18" i="2"/>
  <c r="BB18" i="2"/>
  <c r="BF18" i="2"/>
  <c r="J18" i="2"/>
  <c r="BA21" i="2"/>
  <c r="BE21" i="2"/>
  <c r="AG22" i="2"/>
  <c r="I21" i="2"/>
  <c r="BU20" i="2"/>
  <c r="U23" i="2"/>
  <c r="AC23" i="2"/>
  <c r="M23" i="2"/>
  <c r="BV19" i="2" l="1"/>
  <c r="CB20" i="2"/>
  <c r="AX19" i="2"/>
  <c r="R19" i="2"/>
  <c r="Z19" i="2"/>
  <c r="AL19" i="2"/>
  <c r="AP19" i="2"/>
  <c r="BJ19" i="2"/>
  <c r="BR19" i="2"/>
  <c r="AD19" i="2"/>
  <c r="N19" i="2"/>
  <c r="V19" i="2"/>
  <c r="BZ19" i="2"/>
  <c r="AT19" i="2"/>
  <c r="AH19" i="2"/>
  <c r="BN19" i="2"/>
  <c r="J19" i="2"/>
  <c r="BF19" i="2"/>
  <c r="BB19" i="2"/>
  <c r="AW25" i="2"/>
  <c r="M24" i="2"/>
  <c r="AC24" i="2"/>
  <c r="U24" i="2"/>
  <c r="BV20" i="2"/>
  <c r="BU21" i="2"/>
  <c r="I22" i="2"/>
  <c r="AG23" i="2"/>
  <c r="BE22" i="2"/>
  <c r="BA22" i="2"/>
  <c r="AS23" i="2"/>
  <c r="BY23" i="2"/>
  <c r="BM22" i="2"/>
  <c r="Q24" i="2"/>
  <c r="Y24" i="2"/>
  <c r="AK24" i="2"/>
  <c r="AO24" i="2"/>
  <c r="BI24" i="2"/>
  <c r="BQ24" i="2"/>
  <c r="BQ25" i="2" l="1"/>
  <c r="AO25" i="2"/>
  <c r="Y25" i="2"/>
  <c r="Q25" i="2"/>
  <c r="BM23" i="2"/>
  <c r="U25" i="2"/>
  <c r="AC25" i="2"/>
  <c r="AW26" i="2"/>
  <c r="CB21" i="2"/>
  <c r="AX20" i="2"/>
  <c r="V20" i="2"/>
  <c r="AD20" i="2"/>
  <c r="N20" i="2"/>
  <c r="BR20" i="2"/>
  <c r="BJ20" i="2"/>
  <c r="AP20" i="2"/>
  <c r="AL20" i="2"/>
  <c r="Z20" i="2"/>
  <c r="R20" i="2"/>
  <c r="AT20" i="2"/>
  <c r="BZ20" i="2"/>
  <c r="AH20" i="2"/>
  <c r="BN20" i="2"/>
  <c r="BB20" i="2"/>
  <c r="BF20" i="2"/>
  <c r="J20" i="2"/>
  <c r="BI25" i="2"/>
  <c r="AK25" i="2"/>
  <c r="BY24" i="2"/>
  <c r="AS24" i="2"/>
  <c r="BA23" i="2"/>
  <c r="BE23" i="2"/>
  <c r="AG24" i="2"/>
  <c r="I23" i="2"/>
  <c r="BU22" i="2"/>
  <c r="M25" i="2"/>
  <c r="BV21" i="2" l="1"/>
  <c r="BY25" i="2"/>
  <c r="BI26" i="2"/>
  <c r="CB22" i="2"/>
  <c r="AX21" i="2"/>
  <c r="R21" i="2"/>
  <c r="Z21" i="2"/>
  <c r="AL21" i="2"/>
  <c r="AP21" i="2"/>
  <c r="BJ21" i="2"/>
  <c r="BR21" i="2"/>
  <c r="N21" i="2"/>
  <c r="AD21" i="2"/>
  <c r="V21" i="2"/>
  <c r="BZ21" i="2"/>
  <c r="AT21" i="2"/>
  <c r="AH21" i="2"/>
  <c r="BN21" i="2"/>
  <c r="J21" i="2"/>
  <c r="BF21" i="2"/>
  <c r="BB21" i="2"/>
  <c r="BM24" i="2"/>
  <c r="Q26" i="2"/>
  <c r="Y26" i="2"/>
  <c r="AO26" i="2"/>
  <c r="M26" i="2"/>
  <c r="BU23" i="2"/>
  <c r="I24" i="2"/>
  <c r="AG25" i="2"/>
  <c r="BE24" i="2"/>
  <c r="BA24" i="2"/>
  <c r="AS25" i="2"/>
  <c r="AK26" i="2"/>
  <c r="AW27" i="2"/>
  <c r="AC26" i="2"/>
  <c r="U26" i="2"/>
  <c r="BQ26" i="2"/>
  <c r="BV22" i="2" l="1"/>
  <c r="BQ27" i="2"/>
  <c r="U27" i="2"/>
  <c r="AC27" i="2"/>
  <c r="AW28" i="2"/>
  <c r="I25" i="2"/>
  <c r="BM25" i="2"/>
  <c r="CB23" i="2"/>
  <c r="AX22" i="2"/>
  <c r="BR22" i="2"/>
  <c r="BJ22" i="2"/>
  <c r="AP22" i="2"/>
  <c r="AL22" i="2"/>
  <c r="Z22" i="2"/>
  <c r="R22" i="2"/>
  <c r="V22" i="2"/>
  <c r="AD22" i="2"/>
  <c r="N22" i="2"/>
  <c r="AH22" i="2"/>
  <c r="AT22" i="2"/>
  <c r="BZ22" i="2"/>
  <c r="BN22" i="2"/>
  <c r="BB22" i="2"/>
  <c r="BF22" i="2"/>
  <c r="J22" i="2"/>
  <c r="AK27" i="2"/>
  <c r="AS26" i="2"/>
  <c r="BA25" i="2"/>
  <c r="BE25" i="2"/>
  <c r="AG26" i="2"/>
  <c r="BU24" i="2"/>
  <c r="M27" i="2"/>
  <c r="AO27" i="2"/>
  <c r="Y27" i="2"/>
  <c r="Q27" i="2"/>
  <c r="BI27" i="2"/>
  <c r="BY26" i="2"/>
  <c r="BV23" i="2" l="1"/>
  <c r="BY27" i="2"/>
  <c r="BI28" i="2"/>
  <c r="Q28" i="2"/>
  <c r="Y28" i="2"/>
  <c r="AS27" i="2"/>
  <c r="CB24" i="2"/>
  <c r="AX23" i="2"/>
  <c r="AD23" i="2"/>
  <c r="V23" i="2"/>
  <c r="R23" i="2"/>
  <c r="Z23" i="2"/>
  <c r="AL23" i="2"/>
  <c r="AP23" i="2"/>
  <c r="BJ23" i="2"/>
  <c r="BR23" i="2"/>
  <c r="N23" i="2"/>
  <c r="BZ23" i="2"/>
  <c r="AT23" i="2"/>
  <c r="AH23" i="2"/>
  <c r="BN23" i="2"/>
  <c r="J23" i="2"/>
  <c r="BF23" i="2"/>
  <c r="BB23" i="2"/>
  <c r="I26" i="2"/>
  <c r="AO28" i="2"/>
  <c r="M28" i="2"/>
  <c r="BU25" i="2"/>
  <c r="AG27" i="2"/>
  <c r="BE26" i="2"/>
  <c r="BA26" i="2"/>
  <c r="AK28" i="2"/>
  <c r="BM26" i="2"/>
  <c r="AW29" i="2"/>
  <c r="AC28" i="2"/>
  <c r="U28" i="2"/>
  <c r="BQ28" i="2"/>
  <c r="BV24" i="2" l="1"/>
  <c r="BQ29" i="2"/>
  <c r="AW30" i="2"/>
  <c r="BM27" i="2"/>
  <c r="I27" i="2"/>
  <c r="CB25" i="2"/>
  <c r="AX24" i="2"/>
  <c r="AP24" i="2"/>
  <c r="Z24" i="2"/>
  <c r="R24" i="2"/>
  <c r="BJ24" i="2"/>
  <c r="BR24" i="2"/>
  <c r="V24" i="2"/>
  <c r="AD24" i="2"/>
  <c r="AL24" i="2"/>
  <c r="N24" i="2"/>
  <c r="BZ24" i="2"/>
  <c r="AH24" i="2"/>
  <c r="AT24" i="2"/>
  <c r="J24" i="2"/>
  <c r="BN24" i="2"/>
  <c r="BB24" i="2"/>
  <c r="BF24" i="2"/>
  <c r="AS28" i="2"/>
  <c r="U29" i="2"/>
  <c r="AC29" i="2"/>
  <c r="AK29" i="2"/>
  <c r="BA27" i="2"/>
  <c r="BE27" i="2"/>
  <c r="AG28" i="2"/>
  <c r="BU26" i="2"/>
  <c r="M29" i="2"/>
  <c r="AO29" i="2"/>
  <c r="Y29" i="2"/>
  <c r="Q29" i="2"/>
  <c r="BI29" i="2"/>
  <c r="BY28" i="2"/>
  <c r="BV25" i="2" l="1"/>
  <c r="BI30" i="2"/>
  <c r="Q30" i="2"/>
  <c r="Y30" i="2"/>
  <c r="CB26" i="2"/>
  <c r="AX25" i="2"/>
  <c r="AD25" i="2"/>
  <c r="V25" i="2"/>
  <c r="BR25" i="2"/>
  <c r="BJ25" i="2"/>
  <c r="R25" i="2"/>
  <c r="Z25" i="2"/>
  <c r="AP25" i="2"/>
  <c r="N25" i="2"/>
  <c r="AL25" i="2"/>
  <c r="AT25" i="2"/>
  <c r="BZ25" i="2"/>
  <c r="AH25" i="2"/>
  <c r="J25" i="2"/>
  <c r="BN25" i="2"/>
  <c r="BF25" i="2"/>
  <c r="BB25" i="2"/>
  <c r="AW31" i="2"/>
  <c r="BY29" i="2"/>
  <c r="AO30" i="2"/>
  <c r="M30" i="2"/>
  <c r="BU27" i="2"/>
  <c r="AG29" i="2"/>
  <c r="BE28" i="2"/>
  <c r="BA28" i="2"/>
  <c r="AK30" i="2"/>
  <c r="AC30" i="2"/>
  <c r="U30" i="2"/>
  <c r="AS29" i="2"/>
  <c r="I28" i="2"/>
  <c r="BM28" i="2"/>
  <c r="BQ30" i="2"/>
  <c r="BV26" i="2" l="1"/>
  <c r="I29" i="2"/>
  <c r="AW32" i="2"/>
  <c r="CB27" i="2"/>
  <c r="AX26" i="2"/>
  <c r="Z26" i="2"/>
  <c r="R26" i="2"/>
  <c r="BJ26" i="2"/>
  <c r="BR26" i="2"/>
  <c r="V26" i="2"/>
  <c r="AD26" i="2"/>
  <c r="AL26" i="2"/>
  <c r="N26" i="2"/>
  <c r="AP26" i="2"/>
  <c r="AT26" i="2"/>
  <c r="BZ26" i="2"/>
  <c r="AH26" i="2"/>
  <c r="BN26" i="2"/>
  <c r="J26" i="2"/>
  <c r="BB26" i="2"/>
  <c r="BF26" i="2"/>
  <c r="BI31" i="2"/>
  <c r="AS30" i="2"/>
  <c r="BY30" i="2"/>
  <c r="BQ31" i="2"/>
  <c r="BM29" i="2"/>
  <c r="U31" i="2"/>
  <c r="AC31" i="2"/>
  <c r="AK31" i="2"/>
  <c r="BA29" i="2"/>
  <c r="BE29" i="2"/>
  <c r="AG30" i="2"/>
  <c r="BU28" i="2"/>
  <c r="M31" i="2"/>
  <c r="AO31" i="2"/>
  <c r="Y31" i="2"/>
  <c r="Q31" i="2"/>
  <c r="BV27" i="2" l="1"/>
  <c r="Y32" i="2"/>
  <c r="AO32" i="2"/>
  <c r="AK32" i="2"/>
  <c r="U32" i="2"/>
  <c r="BM30" i="2"/>
  <c r="BQ32" i="2"/>
  <c r="BY31" i="2"/>
  <c r="AS31" i="2"/>
  <c r="BI32" i="2"/>
  <c r="CB28" i="2"/>
  <c r="AX27" i="2"/>
  <c r="BR27" i="2"/>
  <c r="BJ27" i="2"/>
  <c r="R27" i="2"/>
  <c r="Z27" i="2"/>
  <c r="AP27" i="2"/>
  <c r="N27" i="2"/>
  <c r="AL27" i="2"/>
  <c r="AD27" i="2"/>
  <c r="V27" i="2"/>
  <c r="AT27" i="2"/>
  <c r="AH27" i="2"/>
  <c r="BZ27" i="2"/>
  <c r="J27" i="2"/>
  <c r="BB27" i="2"/>
  <c r="BN27" i="2"/>
  <c r="BF27" i="2"/>
  <c r="Q32" i="2"/>
  <c r="M32" i="2"/>
  <c r="BU29" i="2"/>
  <c r="AG31" i="2"/>
  <c r="BE30" i="2"/>
  <c r="BA30" i="2"/>
  <c r="AC32" i="2"/>
  <c r="AW33" i="2"/>
  <c r="I30" i="2"/>
  <c r="BV28" i="2" l="1"/>
  <c r="I31" i="2"/>
  <c r="AW34" i="2"/>
  <c r="AC33" i="2"/>
  <c r="Q33" i="2"/>
  <c r="CB29" i="2"/>
  <c r="AX28" i="2"/>
  <c r="Z28" i="2"/>
  <c r="R28" i="2"/>
  <c r="BJ28" i="2"/>
  <c r="BR28" i="2"/>
  <c r="V28" i="2"/>
  <c r="AD28" i="2"/>
  <c r="AL28" i="2"/>
  <c r="N28" i="2"/>
  <c r="AP28" i="2"/>
  <c r="BZ28" i="2"/>
  <c r="AT28" i="2"/>
  <c r="AH28" i="2"/>
  <c r="BN28" i="2"/>
  <c r="J28" i="2"/>
  <c r="BB28" i="2"/>
  <c r="BF28" i="2"/>
  <c r="BA31" i="2"/>
  <c r="BE31" i="2"/>
  <c r="AG32" i="2"/>
  <c r="BU30" i="2"/>
  <c r="M33" i="2"/>
  <c r="BI33" i="2"/>
  <c r="AS32" i="2"/>
  <c r="BY32" i="2"/>
  <c r="BQ33" i="2"/>
  <c r="BM31" i="2"/>
  <c r="U33" i="2"/>
  <c r="AK33" i="2"/>
  <c r="AO33" i="2"/>
  <c r="Y33" i="2"/>
  <c r="BV29" i="2" l="1"/>
  <c r="Y34" i="2"/>
  <c r="AO34" i="2"/>
  <c r="AK34" i="2"/>
  <c r="U34" i="2"/>
  <c r="BM32" i="2"/>
  <c r="BQ34" i="2"/>
  <c r="BY33" i="2"/>
  <c r="AS33" i="2"/>
  <c r="BI34" i="2"/>
  <c r="BE32" i="2"/>
  <c r="CB30" i="2"/>
  <c r="AX29" i="2"/>
  <c r="BJ29" i="2"/>
  <c r="AP29" i="2"/>
  <c r="AL29" i="2"/>
  <c r="AD29" i="2"/>
  <c r="V29" i="2"/>
  <c r="BR29" i="2"/>
  <c r="R29" i="2"/>
  <c r="Z29" i="2"/>
  <c r="N29" i="2"/>
  <c r="AT29" i="2"/>
  <c r="BZ29" i="2"/>
  <c r="AH29" i="2"/>
  <c r="J29" i="2"/>
  <c r="BN29" i="2"/>
  <c r="BF29" i="2"/>
  <c r="BB29" i="2"/>
  <c r="I32" i="2"/>
  <c r="M34" i="2"/>
  <c r="BU31" i="2"/>
  <c r="AG33" i="2"/>
  <c r="BA32" i="2"/>
  <c r="Q34" i="2"/>
  <c r="AC34" i="2"/>
  <c r="AW35" i="2"/>
  <c r="BV30" i="2" l="1"/>
  <c r="AW36" i="2"/>
  <c r="AC35" i="2"/>
  <c r="Q35" i="2"/>
  <c r="I33" i="2"/>
  <c r="CB31" i="2"/>
  <c r="AX30" i="2"/>
  <c r="BJ30" i="2"/>
  <c r="BR30" i="2"/>
  <c r="V30" i="2"/>
  <c r="AL30" i="2"/>
  <c r="AP30" i="2"/>
  <c r="Z30" i="2"/>
  <c r="R30" i="2"/>
  <c r="AD30" i="2"/>
  <c r="N30" i="2"/>
  <c r="BZ30" i="2"/>
  <c r="AT30" i="2"/>
  <c r="AH30" i="2"/>
  <c r="J30" i="2"/>
  <c r="BF30" i="2"/>
  <c r="BN30" i="2"/>
  <c r="BB30" i="2"/>
  <c r="BE33" i="2"/>
  <c r="BA33" i="2"/>
  <c r="AG34" i="2"/>
  <c r="BU32" i="2"/>
  <c r="M35" i="2"/>
  <c r="BI35" i="2"/>
  <c r="AS34" i="2"/>
  <c r="BY34" i="2"/>
  <c r="BQ35" i="2"/>
  <c r="BM33" i="2"/>
  <c r="U35" i="2"/>
  <c r="AK35" i="2"/>
  <c r="AO35" i="2"/>
  <c r="Y35" i="2"/>
  <c r="BV31" i="2" l="1"/>
  <c r="AO36" i="2"/>
  <c r="AK36" i="2"/>
  <c r="U36" i="2"/>
  <c r="BM34" i="2"/>
  <c r="BQ36" i="2"/>
  <c r="BY35" i="2"/>
  <c r="AS35" i="2"/>
  <c r="BI36" i="2"/>
  <c r="CB32" i="2"/>
  <c r="AX31" i="2"/>
  <c r="R31" i="2"/>
  <c r="AD31" i="2"/>
  <c r="Z31" i="2"/>
  <c r="AP31" i="2"/>
  <c r="AL31" i="2"/>
  <c r="V31" i="2"/>
  <c r="BR31" i="2"/>
  <c r="BJ31" i="2"/>
  <c r="N31" i="2"/>
  <c r="AT31" i="2"/>
  <c r="BZ31" i="2"/>
  <c r="AH31" i="2"/>
  <c r="BF31" i="2"/>
  <c r="J31" i="2"/>
  <c r="BN31" i="2"/>
  <c r="BB31" i="2"/>
  <c r="AW37" i="2"/>
  <c r="Y36" i="2"/>
  <c r="M36" i="2"/>
  <c r="BU33" i="2"/>
  <c r="AG35" i="2"/>
  <c r="BA34" i="2"/>
  <c r="BE34" i="2"/>
  <c r="I34" i="2"/>
  <c r="Q36" i="2"/>
  <c r="AC36" i="2"/>
  <c r="BV32" i="2" l="1"/>
  <c r="I35" i="2"/>
  <c r="BA35" i="2"/>
  <c r="M37" i="2"/>
  <c r="AW38" i="2"/>
  <c r="CB33" i="2"/>
  <c r="AX32" i="2"/>
  <c r="BJ32" i="2"/>
  <c r="BR32" i="2"/>
  <c r="V32" i="2"/>
  <c r="AL32" i="2"/>
  <c r="AP32" i="2"/>
  <c r="Z32" i="2"/>
  <c r="AD32" i="2"/>
  <c r="R32" i="2"/>
  <c r="N32" i="2"/>
  <c r="BZ32" i="2"/>
  <c r="AT32" i="2"/>
  <c r="AH32" i="2"/>
  <c r="BN32" i="2"/>
  <c r="J32" i="2"/>
  <c r="BF32" i="2"/>
  <c r="BB32" i="2"/>
  <c r="AK37" i="2"/>
  <c r="AO37" i="2"/>
  <c r="AC37" i="2"/>
  <c r="Q37" i="2"/>
  <c r="BE35" i="2"/>
  <c r="AG36" i="2"/>
  <c r="BU34" i="2"/>
  <c r="Y37" i="2"/>
  <c r="BI37" i="2"/>
  <c r="AS36" i="2"/>
  <c r="BY36" i="2"/>
  <c r="BQ37" i="2"/>
  <c r="BM35" i="2"/>
  <c r="U37" i="2"/>
  <c r="BV33" i="2" l="1"/>
  <c r="BM36" i="2"/>
  <c r="BY37" i="2"/>
  <c r="BI38" i="2"/>
  <c r="Y38" i="2"/>
  <c r="Q38" i="2"/>
  <c r="AC38" i="2"/>
  <c r="AO38" i="2"/>
  <c r="AK38" i="2"/>
  <c r="CB34" i="2"/>
  <c r="AX33" i="2"/>
  <c r="R33" i="2"/>
  <c r="AD33" i="2"/>
  <c r="Z33" i="2"/>
  <c r="AP33" i="2"/>
  <c r="AL33" i="2"/>
  <c r="V33" i="2"/>
  <c r="BR33" i="2"/>
  <c r="BJ33" i="2"/>
  <c r="N33" i="2"/>
  <c r="AT33" i="2"/>
  <c r="BZ33" i="2"/>
  <c r="AH33" i="2"/>
  <c r="BB33" i="2"/>
  <c r="J33" i="2"/>
  <c r="BN33" i="2"/>
  <c r="BF33" i="2"/>
  <c r="BA36" i="2"/>
  <c r="U38" i="2"/>
  <c r="BQ38" i="2"/>
  <c r="AS37" i="2"/>
  <c r="BU35" i="2"/>
  <c r="AG37" i="2"/>
  <c r="BE36" i="2"/>
  <c r="AW39" i="2"/>
  <c r="M38" i="2"/>
  <c r="I36" i="2"/>
  <c r="BV34" i="2" l="1"/>
  <c r="I37" i="2"/>
  <c r="M39" i="2"/>
  <c r="AW40" i="2"/>
  <c r="AS38" i="2"/>
  <c r="BQ39" i="2"/>
  <c r="U39" i="2"/>
  <c r="BA37" i="2"/>
  <c r="CB35" i="2"/>
  <c r="AX34" i="2"/>
  <c r="BJ34" i="2"/>
  <c r="BR34" i="2"/>
  <c r="V34" i="2"/>
  <c r="AL34" i="2"/>
  <c r="AP34" i="2"/>
  <c r="Z34" i="2"/>
  <c r="AD34" i="2"/>
  <c r="R34" i="2"/>
  <c r="N34" i="2"/>
  <c r="BZ34" i="2"/>
  <c r="AT34" i="2"/>
  <c r="AH34" i="2"/>
  <c r="BB34" i="2"/>
  <c r="BN34" i="2"/>
  <c r="J34" i="2"/>
  <c r="BF34" i="2"/>
  <c r="BE37" i="2"/>
  <c r="AG38" i="2"/>
  <c r="BU36" i="2"/>
  <c r="AK39" i="2"/>
  <c r="AO39" i="2"/>
  <c r="AC39" i="2"/>
  <c r="Q39" i="2"/>
  <c r="Y39" i="2"/>
  <c r="BI39" i="2"/>
  <c r="BY38" i="2"/>
  <c r="BM37" i="2"/>
  <c r="BV35" i="2" l="1"/>
  <c r="BM38" i="2"/>
  <c r="Y40" i="2"/>
  <c r="Q40" i="2"/>
  <c r="AC40" i="2"/>
  <c r="AO40" i="2"/>
  <c r="AK40" i="2"/>
  <c r="CB36" i="2"/>
  <c r="AX35" i="2"/>
  <c r="AP35" i="2"/>
  <c r="AL35" i="2"/>
  <c r="N35" i="2"/>
  <c r="AD35" i="2"/>
  <c r="V35" i="2"/>
  <c r="BR35" i="2"/>
  <c r="BJ35" i="2"/>
  <c r="Z35" i="2"/>
  <c r="R35" i="2"/>
  <c r="AT35" i="2"/>
  <c r="BZ35" i="2"/>
  <c r="AH35" i="2"/>
  <c r="BB35" i="2"/>
  <c r="J35" i="2"/>
  <c r="BN35" i="2"/>
  <c r="BF35" i="2"/>
  <c r="BY39" i="2"/>
  <c r="BI40" i="2"/>
  <c r="BU37" i="2"/>
  <c r="AG39" i="2"/>
  <c r="BE38" i="2"/>
  <c r="BA38" i="2"/>
  <c r="U40" i="2"/>
  <c r="BQ40" i="2"/>
  <c r="AS39" i="2"/>
  <c r="M40" i="2"/>
  <c r="I38" i="2"/>
  <c r="BV36" i="2" l="1"/>
  <c r="AS40" i="2"/>
  <c r="BE39" i="2"/>
  <c r="BU38" i="2"/>
  <c r="CB37" i="2"/>
  <c r="AX36" i="2"/>
  <c r="AL36" i="2"/>
  <c r="AP36" i="2"/>
  <c r="AD36" i="2"/>
  <c r="R36" i="2"/>
  <c r="Z36" i="2"/>
  <c r="BJ36" i="2"/>
  <c r="BR36" i="2"/>
  <c r="V36" i="2"/>
  <c r="N36" i="2"/>
  <c r="AT36" i="2"/>
  <c r="BZ36" i="2"/>
  <c r="AH36" i="2"/>
  <c r="BN36" i="2"/>
  <c r="J36" i="2"/>
  <c r="BB36" i="2"/>
  <c r="BF36" i="2"/>
  <c r="I39" i="2"/>
  <c r="BA39" i="2"/>
  <c r="AG40" i="2"/>
  <c r="BY40" i="2"/>
  <c r="BM39" i="2"/>
  <c r="BM40" i="2" l="1"/>
  <c r="CB38" i="2"/>
  <c r="AX37" i="2"/>
  <c r="V37" i="2"/>
  <c r="BR37" i="2"/>
  <c r="N37" i="2"/>
  <c r="BJ37" i="2"/>
  <c r="Z37" i="2"/>
  <c r="R37" i="2"/>
  <c r="AD37" i="2"/>
  <c r="AP37" i="2"/>
  <c r="AL37" i="2"/>
  <c r="BZ37" i="2"/>
  <c r="AT37" i="2"/>
  <c r="AH37" i="2"/>
  <c r="BF37" i="2"/>
  <c r="BN37" i="2"/>
  <c r="BB37" i="2"/>
  <c r="J37" i="2"/>
  <c r="BU39" i="2"/>
  <c r="BE40" i="2"/>
  <c r="BA40" i="2"/>
  <c r="I40" i="2"/>
  <c r="BV37" i="2"/>
  <c r="BV38" i="2" l="1"/>
  <c r="BU40" i="2"/>
  <c r="CB39" i="2"/>
  <c r="AX38" i="2"/>
  <c r="AL38" i="2"/>
  <c r="AP38" i="2"/>
  <c r="AD38" i="2"/>
  <c r="R38" i="2"/>
  <c r="Z38" i="2"/>
  <c r="N38" i="2"/>
  <c r="BR38" i="2"/>
  <c r="V38" i="2"/>
  <c r="BJ38" i="2"/>
  <c r="BZ38" i="2"/>
  <c r="AH38" i="2"/>
  <c r="AT38" i="2"/>
  <c r="BF38" i="2"/>
  <c r="BN38" i="2"/>
  <c r="J38" i="2"/>
  <c r="BB38" i="2"/>
  <c r="CB40" i="2" l="1"/>
  <c r="AX39" i="2"/>
  <c r="Z39" i="2"/>
  <c r="AL39" i="2"/>
  <c r="R39" i="2"/>
  <c r="AD39" i="2"/>
  <c r="AP39" i="2"/>
  <c r="BJ39" i="2"/>
  <c r="V39" i="2"/>
  <c r="BR39" i="2"/>
  <c r="N39" i="2"/>
  <c r="BZ39" i="2"/>
  <c r="AT39" i="2"/>
  <c r="AH39" i="2"/>
  <c r="BB39" i="2"/>
  <c r="BN39" i="2"/>
  <c r="BF39" i="2"/>
  <c r="J39" i="2"/>
  <c r="BV39" i="2"/>
  <c r="BV40" i="2" l="1"/>
  <c r="AX40" i="2"/>
  <c r="BR40" i="2"/>
  <c r="R40" i="2"/>
  <c r="N40" i="2"/>
  <c r="AL40" i="2"/>
  <c r="Z40" i="2"/>
  <c r="V40" i="2"/>
  <c r="BJ40" i="2"/>
  <c r="AP40" i="2"/>
  <c r="AD40" i="2"/>
  <c r="BZ40" i="2"/>
  <c r="AH40" i="2"/>
  <c r="AT40" i="2"/>
  <c r="BB40" i="2"/>
  <c r="J40" i="2"/>
  <c r="BF40" i="2"/>
  <c r="BN40" i="2"/>
  <c r="C43" i="11" l="1"/>
  <c r="C43" i="12" l="1"/>
  <c r="G42" i="13" l="1"/>
  <c r="I37" i="13" s="1"/>
  <c r="F42" i="13"/>
  <c r="C43" i="13"/>
  <c r="F42" i="16" l="1"/>
  <c r="G42" i="16"/>
  <c r="I37" i="16" s="1"/>
  <c r="C43" i="16"/>
  <c r="C43" i="17" l="1"/>
  <c r="C43" i="26" l="1"/>
  <c r="C43" i="25" l="1"/>
  <c r="C43" i="31" l="1"/>
  <c r="AI150" i="46" l="1"/>
  <c r="AH150" i="46"/>
  <c r="AG150" i="46"/>
  <c r="C51" i="24" l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E40" i="1" l="1"/>
  <c r="D39" i="48" l="1"/>
  <c r="G42" i="43"/>
  <c r="G42" i="4"/>
  <c r="F42" i="4"/>
  <c r="D38" i="48" s="1"/>
  <c r="E35" i="48"/>
  <c r="D35" i="48"/>
  <c r="D37" i="48"/>
  <c r="G42" i="6"/>
  <c r="F42" i="6"/>
  <c r="D36" i="48" s="1"/>
  <c r="D34" i="48"/>
  <c r="G42" i="9"/>
  <c r="I37" i="9" s="1"/>
  <c r="F42" i="9"/>
  <c r="D33" i="48" s="1"/>
  <c r="G42" i="10"/>
  <c r="I37" i="10" s="1"/>
  <c r="F42" i="10"/>
  <c r="D32" i="48" s="1"/>
  <c r="G42" i="11"/>
  <c r="I37" i="11" s="1"/>
  <c r="F42" i="11"/>
  <c r="D31" i="48" s="1"/>
  <c r="D29" i="48"/>
  <c r="G42" i="12"/>
  <c r="I37" i="12" s="1"/>
  <c r="F42" i="12"/>
  <c r="D30" i="48" s="1"/>
  <c r="D12" i="48"/>
  <c r="E12" i="48"/>
  <c r="D13" i="48"/>
  <c r="D17" i="48"/>
  <c r="E17" i="48"/>
  <c r="D25" i="48"/>
  <c r="E25" i="48"/>
  <c r="D28" i="48"/>
  <c r="D27" i="48"/>
  <c r="D26" i="48"/>
  <c r="G42" i="18"/>
  <c r="I37" i="18" s="1"/>
  <c r="F42" i="18"/>
  <c r="D24" i="48" s="1"/>
  <c r="D23" i="48"/>
  <c r="D22" i="48"/>
  <c r="D21" i="48"/>
  <c r="H8" i="45"/>
  <c r="H9" i="45" s="1"/>
  <c r="H10" i="45" s="1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L8" i="45"/>
  <c r="L9" i="45" s="1"/>
  <c r="L10" i="45" s="1"/>
  <c r="L11" i="45" s="1"/>
  <c r="L12" i="45" s="1"/>
  <c r="L13" i="45" s="1"/>
  <c r="L14" i="45" s="1"/>
  <c r="L15" i="45" s="1"/>
  <c r="L16" i="45" s="1"/>
  <c r="L17" i="45" s="1"/>
  <c r="L18" i="45" s="1"/>
  <c r="L19" i="45" s="1"/>
  <c r="L20" i="45" s="1"/>
  <c r="L21" i="45" s="1"/>
  <c r="P8" i="45"/>
  <c r="P9" i="45" s="1"/>
  <c r="P10" i="45" s="1"/>
  <c r="P11" i="45" s="1"/>
  <c r="P12" i="45" s="1"/>
  <c r="P13" i="45" s="1"/>
  <c r="P14" i="45" s="1"/>
  <c r="P15" i="45" s="1"/>
  <c r="P16" i="45" s="1"/>
  <c r="P17" i="45" s="1"/>
  <c r="P18" i="45" s="1"/>
  <c r="P19" i="45" s="1"/>
  <c r="P20" i="45" s="1"/>
  <c r="P21" i="45" s="1"/>
  <c r="T8" i="45"/>
  <c r="T9" i="45" s="1"/>
  <c r="T10" i="45" s="1"/>
  <c r="T11" i="45" s="1"/>
  <c r="T12" i="45" s="1"/>
  <c r="T13" i="45" s="1"/>
  <c r="T14" i="45" s="1"/>
  <c r="T15" i="45" s="1"/>
  <c r="T16" i="45" s="1"/>
  <c r="T17" i="45" s="1"/>
  <c r="T18" i="45" s="1"/>
  <c r="T19" i="45" s="1"/>
  <c r="T20" i="45" s="1"/>
  <c r="T21" i="45" s="1"/>
  <c r="X8" i="45"/>
  <c r="X9" i="45" s="1"/>
  <c r="X10" i="45" s="1"/>
  <c r="X11" i="45" s="1"/>
  <c r="X12" i="45" s="1"/>
  <c r="X13" i="45" s="1"/>
  <c r="X14" i="45" s="1"/>
  <c r="X15" i="45" s="1"/>
  <c r="X16" i="45" s="1"/>
  <c r="X17" i="45" s="1"/>
  <c r="X18" i="45" s="1"/>
  <c r="X19" i="45" s="1"/>
  <c r="X20" i="45" s="1"/>
  <c r="X21" i="45" s="1"/>
  <c r="D20" i="48"/>
  <c r="I43" i="43"/>
  <c r="I44" i="43" s="1"/>
  <c r="I43" i="4"/>
  <c r="I44" i="4" s="1"/>
  <c r="I43" i="37"/>
  <c r="I44" i="37" s="1"/>
  <c r="I43" i="6"/>
  <c r="I44" i="6" s="1"/>
  <c r="I43" i="7"/>
  <c r="I44" i="7" s="1"/>
  <c r="I43" i="8"/>
  <c r="I44" i="8" s="1"/>
  <c r="I43" i="9"/>
  <c r="I44" i="9" s="1"/>
  <c r="I43" i="10"/>
  <c r="I44" i="10" s="1"/>
  <c r="I43" i="11"/>
  <c r="I44" i="11" s="1"/>
  <c r="I43" i="12"/>
  <c r="I44" i="12" s="1"/>
  <c r="I43" i="13"/>
  <c r="I44" i="13" s="1"/>
  <c r="I43" i="14"/>
  <c r="I43" i="15"/>
  <c r="I44" i="15" s="1"/>
  <c r="I43" i="16"/>
  <c r="I44" i="16" s="1"/>
  <c r="I43" i="17"/>
  <c r="I44" i="17" s="1"/>
  <c r="I43" i="18"/>
  <c r="I44" i="18" s="1"/>
  <c r="I43" i="19"/>
  <c r="I44" i="19" s="1"/>
  <c r="I43" i="20"/>
  <c r="I44" i="20" s="1"/>
  <c r="I43" i="22"/>
  <c r="I44" i="22" s="1"/>
  <c r="I43" i="21"/>
  <c r="I43" i="23"/>
  <c r="I44" i="23" s="1"/>
  <c r="I43" i="24"/>
  <c r="I44" i="24" s="1"/>
  <c r="I43" i="25"/>
  <c r="I44" i="25" s="1"/>
  <c r="I43" i="26"/>
  <c r="I44" i="26" s="1"/>
  <c r="I43" i="28"/>
  <c r="I44" i="28" s="1"/>
  <c r="I43" i="27"/>
  <c r="I44" i="27" s="1"/>
  <c r="I43" i="29"/>
  <c r="I44" i="29" s="1"/>
  <c r="I44" i="30"/>
  <c r="I43" i="30"/>
  <c r="I43" i="31"/>
  <c r="I44" i="31" s="1"/>
  <c r="I50" i="31"/>
  <c r="I43" i="32"/>
  <c r="I44" i="32" s="1"/>
  <c r="I43" i="33"/>
  <c r="J43" i="33" s="1"/>
  <c r="C10" i="1"/>
  <c r="C11" i="2" s="1"/>
  <c r="C11" i="1"/>
  <c r="C12" i="2" s="1"/>
  <c r="C12" i="1"/>
  <c r="C13" i="2" s="1"/>
  <c r="C13" i="1"/>
  <c r="C14" i="2" s="1"/>
  <c r="C14" i="1"/>
  <c r="C15" i="2" s="1"/>
  <c r="C15" i="1"/>
  <c r="C16" i="2" s="1"/>
  <c r="C16" i="1"/>
  <c r="C17" i="2" s="1"/>
  <c r="C17" i="1"/>
  <c r="C18" i="2" s="1"/>
  <c r="C18" i="1"/>
  <c r="C19" i="2" s="1"/>
  <c r="C19" i="1"/>
  <c r="C20" i="2" s="1"/>
  <c r="C20" i="1"/>
  <c r="C21" i="2" s="1"/>
  <c r="C21" i="1"/>
  <c r="C22" i="2" s="1"/>
  <c r="C22" i="1"/>
  <c r="C23" i="2" s="1"/>
  <c r="C23" i="1"/>
  <c r="C24" i="2" s="1"/>
  <c r="C24" i="1"/>
  <c r="C25" i="2" s="1"/>
  <c r="C25" i="1"/>
  <c r="C26" i="2" s="1"/>
  <c r="C26" i="1"/>
  <c r="C27" i="2" s="1"/>
  <c r="C27" i="1"/>
  <c r="C28" i="2" s="1"/>
  <c r="C28" i="1"/>
  <c r="C29" i="2" s="1"/>
  <c r="C29" i="1"/>
  <c r="C30" i="2" s="1"/>
  <c r="C30" i="1"/>
  <c r="C31" i="2" s="1"/>
  <c r="C31" i="1"/>
  <c r="C32" i="2" s="1"/>
  <c r="C32" i="1"/>
  <c r="C33" i="2" s="1"/>
  <c r="C33" i="1"/>
  <c r="C34" i="2" s="1"/>
  <c r="C34" i="1"/>
  <c r="C35" i="2" s="1"/>
  <c r="C35" i="1"/>
  <c r="C36" i="2" s="1"/>
  <c r="C36" i="1"/>
  <c r="C37" i="2" s="1"/>
  <c r="C37" i="1"/>
  <c r="C38" i="2" s="1"/>
  <c r="C38" i="1"/>
  <c r="C39" i="2" s="1"/>
  <c r="C39" i="1"/>
  <c r="C40" i="2" s="1"/>
  <c r="C9" i="1"/>
  <c r="C10" i="2" s="1"/>
  <c r="B10" i="1"/>
  <c r="B11" i="1"/>
  <c r="B12" i="2" s="1"/>
  <c r="B12" i="1"/>
  <c r="B13" i="1"/>
  <c r="B14" i="2" s="1"/>
  <c r="B14" i="1"/>
  <c r="B15" i="1"/>
  <c r="B16" i="2" s="1"/>
  <c r="B16" i="1"/>
  <c r="B17" i="1"/>
  <c r="B18" i="2" s="1"/>
  <c r="B18" i="1"/>
  <c r="B19" i="1"/>
  <c r="B20" i="2" s="1"/>
  <c r="B20" i="1"/>
  <c r="B21" i="1"/>
  <c r="B22" i="2" s="1"/>
  <c r="B22" i="1"/>
  <c r="B23" i="1"/>
  <c r="B24" i="2" s="1"/>
  <c r="B24" i="1"/>
  <c r="B25" i="1"/>
  <c r="B26" i="1"/>
  <c r="B27" i="1"/>
  <c r="B28" i="2" s="1"/>
  <c r="B28" i="1"/>
  <c r="B29" i="1"/>
  <c r="B30" i="2" s="1"/>
  <c r="B30" i="1"/>
  <c r="B31" i="1"/>
  <c r="B32" i="2" s="1"/>
  <c r="B32" i="1"/>
  <c r="B33" i="1"/>
  <c r="B34" i="2" s="1"/>
  <c r="B34" i="1"/>
  <c r="B35" i="1"/>
  <c r="B36" i="2" s="1"/>
  <c r="B36" i="1"/>
  <c r="B37" i="1"/>
  <c r="B38" i="2" s="1"/>
  <c r="B38" i="1"/>
  <c r="B39" i="1"/>
  <c r="B40" i="2" s="1"/>
  <c r="B9" i="1"/>
  <c r="D39" i="1"/>
  <c r="D40" i="2" s="1"/>
  <c r="D38" i="1"/>
  <c r="D39" i="2" s="1"/>
  <c r="D37" i="1"/>
  <c r="D38" i="2" s="1"/>
  <c r="D36" i="1"/>
  <c r="D37" i="2" s="1"/>
  <c r="D35" i="1"/>
  <c r="D36" i="2" s="1"/>
  <c r="D34" i="1"/>
  <c r="D35" i="2" s="1"/>
  <c r="D33" i="1"/>
  <c r="D34" i="2" s="1"/>
  <c r="D32" i="1"/>
  <c r="D33" i="2" s="1"/>
  <c r="D31" i="1"/>
  <c r="D32" i="2" s="1"/>
  <c r="D30" i="1"/>
  <c r="D31" i="2" s="1"/>
  <c r="D28" i="1"/>
  <c r="D29" i="2" s="1"/>
  <c r="D26" i="1"/>
  <c r="D27" i="2" s="1"/>
  <c r="D25" i="1"/>
  <c r="D26" i="2" s="1"/>
  <c r="G24" i="48"/>
  <c r="D23" i="1"/>
  <c r="D24" i="2" s="1"/>
  <c r="D22" i="1"/>
  <c r="D23" i="2" s="1"/>
  <c r="D18" i="1"/>
  <c r="D19" i="2" s="1"/>
  <c r="D16" i="1"/>
  <c r="D17" i="2" s="1"/>
  <c r="V15" i="48"/>
  <c r="V14" i="48"/>
  <c r="V11" i="48"/>
  <c r="D10" i="1"/>
  <c r="D11" i="2" s="1"/>
  <c r="U9" i="48"/>
  <c r="U10" i="48" s="1"/>
  <c r="U11" i="48" s="1"/>
  <c r="U12" i="48" s="1"/>
  <c r="U13" i="48" s="1"/>
  <c r="U14" i="48" s="1"/>
  <c r="U15" i="48" s="1"/>
  <c r="U16" i="48" s="1"/>
  <c r="U17" i="48" s="1"/>
  <c r="U18" i="48" s="1"/>
  <c r="U19" i="48" s="1"/>
  <c r="U20" i="48" s="1"/>
  <c r="U21" i="48" s="1"/>
  <c r="U22" i="48" s="1"/>
  <c r="U23" i="48" s="1"/>
  <c r="U24" i="48" s="1"/>
  <c r="U25" i="48" s="1"/>
  <c r="U26" i="48" s="1"/>
  <c r="U27" i="48" s="1"/>
  <c r="U28" i="48" s="1"/>
  <c r="U29" i="48" s="1"/>
  <c r="U30" i="48" s="1"/>
  <c r="U31" i="48" s="1"/>
  <c r="U32" i="48" s="1"/>
  <c r="U33" i="48" s="1"/>
  <c r="U34" i="48" s="1"/>
  <c r="U35" i="48" s="1"/>
  <c r="U36" i="48" s="1"/>
  <c r="U37" i="48" s="1"/>
  <c r="U38" i="48" s="1"/>
  <c r="U39" i="48" s="1"/>
  <c r="A10" i="48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D19" i="48"/>
  <c r="G42" i="24"/>
  <c r="I37" i="24" s="1"/>
  <c r="F42" i="24"/>
  <c r="D18" i="48" s="1"/>
  <c r="G42" i="26"/>
  <c r="I37" i="26" s="1"/>
  <c r="F42" i="26"/>
  <c r="D16" i="48" s="1"/>
  <c r="G42" i="28"/>
  <c r="I37" i="28" s="1"/>
  <c r="F42" i="28"/>
  <c r="D15" i="48" s="1"/>
  <c r="G42" i="27"/>
  <c r="I37" i="27" s="1"/>
  <c r="F42" i="27"/>
  <c r="D14" i="48" s="1"/>
  <c r="E13" i="48"/>
  <c r="D11" i="48"/>
  <c r="L34" i="26"/>
  <c r="K34" i="26"/>
  <c r="D10" i="48"/>
  <c r="D9" i="48"/>
  <c r="AY21" i="45"/>
  <c r="AX21" i="45"/>
  <c r="AY20" i="45"/>
  <c r="AX20" i="45"/>
  <c r="AY18" i="45"/>
  <c r="AX18" i="45"/>
  <c r="AY17" i="45"/>
  <c r="AX17" i="45"/>
  <c r="AY15" i="45"/>
  <c r="AX15" i="45"/>
  <c r="AY14" i="45"/>
  <c r="AX14" i="45"/>
  <c r="AY13" i="45"/>
  <c r="AX13" i="45"/>
  <c r="AY12" i="45"/>
  <c r="AX12" i="45"/>
  <c r="AY11" i="45"/>
  <c r="AX11" i="45"/>
  <c r="AY10" i="45"/>
  <c r="AX10" i="45"/>
  <c r="AD8" i="46"/>
  <c r="AN8" i="45"/>
  <c r="AN9" i="45" s="1"/>
  <c r="AN10" i="45" s="1"/>
  <c r="AN11" i="45" s="1"/>
  <c r="AN12" i="45" s="1"/>
  <c r="AN13" i="45" s="1"/>
  <c r="AN14" i="45" s="1"/>
  <c r="AN15" i="45" s="1"/>
  <c r="AN16" i="45" s="1"/>
  <c r="AN17" i="45" s="1"/>
  <c r="AN18" i="45" s="1"/>
  <c r="AN19" i="45" s="1"/>
  <c r="AN20" i="45" s="1"/>
  <c r="AN21" i="45" s="1"/>
  <c r="AJ8" i="45"/>
  <c r="AJ9" i="45" s="1"/>
  <c r="AJ10" i="45" s="1"/>
  <c r="AJ11" i="45" s="1"/>
  <c r="AJ12" i="45" s="1"/>
  <c r="AJ13" i="45" s="1"/>
  <c r="AJ14" i="45" s="1"/>
  <c r="AJ15" i="45" s="1"/>
  <c r="AJ16" i="45" s="1"/>
  <c r="AJ17" i="45" s="1"/>
  <c r="AJ18" i="45" s="1"/>
  <c r="AJ19" i="45" s="1"/>
  <c r="AJ20" i="45" s="1"/>
  <c r="AJ21" i="45" s="1"/>
  <c r="AF8" i="45"/>
  <c r="AF9" i="45" s="1"/>
  <c r="AF10" i="45" s="1"/>
  <c r="AF11" i="45" s="1"/>
  <c r="AF12" i="45" s="1"/>
  <c r="AF13" i="45" s="1"/>
  <c r="AF14" i="45" s="1"/>
  <c r="AF15" i="45" s="1"/>
  <c r="AF16" i="45" s="1"/>
  <c r="AF17" i="45" s="1"/>
  <c r="AF18" i="45" s="1"/>
  <c r="AF19" i="45" s="1"/>
  <c r="AF20" i="45" s="1"/>
  <c r="AF21" i="45" s="1"/>
  <c r="AB8" i="45"/>
  <c r="AB9" i="45" s="1"/>
  <c r="AB10" i="45" s="1"/>
  <c r="AB11" i="45" s="1"/>
  <c r="AB12" i="45" s="1"/>
  <c r="AB13" i="45" s="1"/>
  <c r="AB14" i="45" s="1"/>
  <c r="AB15" i="45" s="1"/>
  <c r="AB16" i="45" s="1"/>
  <c r="AB17" i="45" s="1"/>
  <c r="AB18" i="45" s="1"/>
  <c r="AB19" i="45" s="1"/>
  <c r="AB20" i="45" s="1"/>
  <c r="AB21" i="45" s="1"/>
  <c r="I40" i="45"/>
  <c r="H4" i="43"/>
  <c r="K34" i="43"/>
  <c r="L34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H4" i="4"/>
  <c r="C14" i="4"/>
  <c r="D14" i="4"/>
  <c r="E14" i="4"/>
  <c r="F14" i="4"/>
  <c r="C23" i="4"/>
  <c r="D23" i="4"/>
  <c r="E23" i="4"/>
  <c r="F23" i="4"/>
  <c r="C32" i="4"/>
  <c r="D32" i="4"/>
  <c r="E32" i="4"/>
  <c r="F32" i="4"/>
  <c r="K34" i="4"/>
  <c r="L34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I50" i="4"/>
  <c r="C51" i="4"/>
  <c r="H4" i="37"/>
  <c r="L34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H4" i="6"/>
  <c r="K34" i="6"/>
  <c r="L34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I50" i="6"/>
  <c r="C51" i="6"/>
  <c r="H4" i="7"/>
  <c r="L34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H4" i="8"/>
  <c r="K34" i="8"/>
  <c r="L34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H4" i="9"/>
  <c r="L34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H4" i="10"/>
  <c r="L34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H4" i="11"/>
  <c r="L34" i="11"/>
  <c r="C38" i="11"/>
  <c r="C39" i="11"/>
  <c r="C40" i="11"/>
  <c r="C41" i="11"/>
  <c r="C42" i="11"/>
  <c r="C44" i="11"/>
  <c r="C45" i="11"/>
  <c r="C46" i="11"/>
  <c r="C47" i="11"/>
  <c r="C48" i="11"/>
  <c r="C49" i="11"/>
  <c r="C50" i="11"/>
  <c r="I50" i="11"/>
  <c r="C51" i="11"/>
  <c r="H4" i="12"/>
  <c r="L34" i="12"/>
  <c r="C38" i="12"/>
  <c r="C39" i="12"/>
  <c r="C40" i="12"/>
  <c r="C41" i="12"/>
  <c r="C42" i="12"/>
  <c r="C44" i="12"/>
  <c r="C45" i="12"/>
  <c r="C46" i="12"/>
  <c r="C47" i="12"/>
  <c r="C48" i="12"/>
  <c r="C49" i="12"/>
  <c r="C50" i="12"/>
  <c r="C51" i="12"/>
  <c r="H4" i="13"/>
  <c r="K34" i="13"/>
  <c r="L34" i="13"/>
  <c r="C38" i="13"/>
  <c r="C39" i="13"/>
  <c r="C40" i="13"/>
  <c r="C41" i="13"/>
  <c r="C42" i="13"/>
  <c r="C44" i="13"/>
  <c r="C45" i="13"/>
  <c r="C46" i="13"/>
  <c r="C47" i="13"/>
  <c r="C48" i="13"/>
  <c r="C49" i="13"/>
  <c r="C50" i="13"/>
  <c r="I50" i="13"/>
  <c r="C51" i="13"/>
  <c r="H4" i="14"/>
  <c r="L34" i="14"/>
  <c r="C38" i="14"/>
  <c r="C39" i="14"/>
  <c r="C40" i="14"/>
  <c r="C41" i="14"/>
  <c r="C42" i="14"/>
  <c r="C43" i="14"/>
  <c r="C44" i="14"/>
  <c r="I44" i="14"/>
  <c r="C45" i="14"/>
  <c r="C46" i="14"/>
  <c r="C47" i="14"/>
  <c r="C48" i="14"/>
  <c r="C49" i="14"/>
  <c r="C50" i="14"/>
  <c r="I50" i="14"/>
  <c r="C51" i="14"/>
  <c r="H4" i="15"/>
  <c r="L34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I50" i="15"/>
  <c r="C51" i="15"/>
  <c r="H4" i="16"/>
  <c r="L34" i="16"/>
  <c r="C38" i="16"/>
  <c r="C39" i="16"/>
  <c r="C40" i="16"/>
  <c r="C41" i="16"/>
  <c r="C42" i="16"/>
  <c r="C44" i="16"/>
  <c r="C45" i="16"/>
  <c r="C46" i="16"/>
  <c r="C47" i="16"/>
  <c r="C48" i="16"/>
  <c r="C49" i="16"/>
  <c r="C50" i="16"/>
  <c r="I50" i="16"/>
  <c r="C51" i="16"/>
  <c r="H4" i="17"/>
  <c r="L34" i="17"/>
  <c r="C38" i="17"/>
  <c r="C39" i="17"/>
  <c r="C40" i="17"/>
  <c r="C41" i="17"/>
  <c r="C42" i="17"/>
  <c r="C44" i="17"/>
  <c r="C45" i="17"/>
  <c r="C46" i="17"/>
  <c r="C47" i="17"/>
  <c r="C48" i="17"/>
  <c r="C49" i="17"/>
  <c r="C50" i="17"/>
  <c r="I50" i="17"/>
  <c r="C51" i="17"/>
  <c r="H4" i="18"/>
  <c r="L34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I50" i="18"/>
  <c r="C51" i="18"/>
  <c r="H4" i="19"/>
  <c r="L34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I50" i="19"/>
  <c r="C51" i="19"/>
  <c r="H4" i="20"/>
  <c r="L34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I50" i="20"/>
  <c r="C51" i="20"/>
  <c r="H4" i="22"/>
  <c r="L34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I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J32" i="11" s="1"/>
  <c r="J32" i="10" s="1"/>
  <c r="L34" i="21"/>
  <c r="C38" i="21"/>
  <c r="C39" i="21"/>
  <c r="C40" i="21"/>
  <c r="C41" i="21"/>
  <c r="C42" i="21"/>
  <c r="C43" i="21"/>
  <c r="C44" i="21"/>
  <c r="I44" i="21"/>
  <c r="C45" i="21"/>
  <c r="C46" i="21"/>
  <c r="C47" i="21"/>
  <c r="C48" i="21"/>
  <c r="C49" i="21"/>
  <c r="C50" i="21"/>
  <c r="C51" i="21"/>
  <c r="H4" i="23"/>
  <c r="L34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H4" i="24"/>
  <c r="L34" i="24"/>
  <c r="H4" i="25"/>
  <c r="K34" i="25"/>
  <c r="L34" i="25"/>
  <c r="C38" i="25"/>
  <c r="C39" i="25"/>
  <c r="C40" i="25"/>
  <c r="C41" i="25"/>
  <c r="C42" i="25"/>
  <c r="C44" i="25"/>
  <c r="C45" i="25"/>
  <c r="C46" i="25"/>
  <c r="C47" i="25"/>
  <c r="C48" i="25"/>
  <c r="C49" i="25"/>
  <c r="C50" i="25"/>
  <c r="C51" i="25"/>
  <c r="H4" i="26"/>
  <c r="C38" i="26"/>
  <c r="C39" i="26"/>
  <c r="C40" i="26"/>
  <c r="C41" i="26"/>
  <c r="C42" i="26"/>
  <c r="C44" i="26"/>
  <c r="C45" i="26"/>
  <c r="C46" i="26"/>
  <c r="C47" i="26"/>
  <c r="C48" i="26"/>
  <c r="C49" i="26"/>
  <c r="C50" i="26"/>
  <c r="I50" i="26"/>
  <c r="C51" i="26"/>
  <c r="H4" i="28"/>
  <c r="L34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I50" i="28"/>
  <c r="C51" i="28"/>
  <c r="H4" i="27"/>
  <c r="L34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H4" i="29"/>
  <c r="L34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H4" i="30"/>
  <c r="L34" i="30"/>
  <c r="C38" i="30"/>
  <c r="C39" i="30"/>
  <c r="C40" i="30"/>
  <c r="C41" i="30"/>
  <c r="C42" i="30"/>
  <c r="C43" i="30"/>
  <c r="C44" i="30"/>
  <c r="C46" i="30"/>
  <c r="C47" i="30"/>
  <c r="C48" i="30"/>
  <c r="C49" i="30"/>
  <c r="C50" i="30"/>
  <c r="C51" i="30"/>
  <c r="H4" i="31"/>
  <c r="L34" i="31"/>
  <c r="C38" i="31"/>
  <c r="C39" i="31"/>
  <c r="C40" i="31"/>
  <c r="C41" i="31"/>
  <c r="C42" i="31"/>
  <c r="C44" i="31"/>
  <c r="C45" i="31"/>
  <c r="C46" i="31"/>
  <c r="C47" i="31"/>
  <c r="C48" i="31"/>
  <c r="C49" i="31"/>
  <c r="C50" i="31"/>
  <c r="C51" i="31"/>
  <c r="H4" i="32"/>
  <c r="J7" i="31"/>
  <c r="J7" i="30" s="1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J8" i="29"/>
  <c r="J8" i="27" s="1"/>
  <c r="J10" i="32"/>
  <c r="J11" i="32"/>
  <c r="J11" i="31" s="1"/>
  <c r="J12" i="32"/>
  <c r="J12" i="31" s="1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L34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M9" i="33"/>
  <c r="M9" i="32" s="1"/>
  <c r="M9" i="31" s="1"/>
  <c r="M9" i="30" s="1"/>
  <c r="M10" i="33"/>
  <c r="M10" i="32" s="1"/>
  <c r="M10" i="31" s="1"/>
  <c r="M10" i="30" s="1"/>
  <c r="M10" i="29" s="1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1" i="33"/>
  <c r="M11" i="32" s="1"/>
  <c r="M11" i="31" s="1"/>
  <c r="M12" i="33"/>
  <c r="M12" i="32" s="1"/>
  <c r="M12" i="31" s="1"/>
  <c r="M12" i="30" s="1"/>
  <c r="M12" i="29" s="1"/>
  <c r="M12" i="27" s="1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3" i="33"/>
  <c r="M13" i="32" s="1"/>
  <c r="M13" i="31" s="1"/>
  <c r="M13" i="30" s="1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C14" i="33"/>
  <c r="D14" i="33"/>
  <c r="E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4" i="37" s="1"/>
  <c r="M14" i="4" s="1"/>
  <c r="M14" i="43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5" i="37" s="1"/>
  <c r="M15" i="4" s="1"/>
  <c r="M15" i="43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7" i="33"/>
  <c r="M17" i="32" s="1"/>
  <c r="M17" i="31" s="1"/>
  <c r="M17" i="30" s="1"/>
  <c r="M17" i="29" s="1"/>
  <c r="M17" i="27" s="1"/>
  <c r="M17" i="28" s="1"/>
  <c r="M17" i="26" s="1"/>
  <c r="M17" i="25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8" i="19" s="1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M18" i="37" s="1"/>
  <c r="M18" i="4" s="1"/>
  <c r="M18" i="43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19" i="37" s="1"/>
  <c r="M19" i="4" s="1"/>
  <c r="M19" i="43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1" i="33"/>
  <c r="M21" i="32" s="1"/>
  <c r="M21" i="31" s="1"/>
  <c r="M21" i="30" s="1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1" i="14" s="1"/>
  <c r="M21" i="13" s="1"/>
  <c r="M21" i="12" s="1"/>
  <c r="M21" i="11" s="1"/>
  <c r="M21" i="10" s="1"/>
  <c r="M21" i="9" s="1"/>
  <c r="M21" i="8" s="1"/>
  <c r="M21" i="7" s="1"/>
  <c r="M21" i="6" s="1"/>
  <c r="M21" i="37" s="1"/>
  <c r="M21" i="4" s="1"/>
  <c r="M21" i="43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M22" i="14" s="1"/>
  <c r="M22" i="13" s="1"/>
  <c r="M22" i="12" s="1"/>
  <c r="M22" i="11" s="1"/>
  <c r="M22" i="10" s="1"/>
  <c r="M22" i="9" s="1"/>
  <c r="M22" i="8" s="1"/>
  <c r="C23" i="33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3" i="14" s="1"/>
  <c r="M23" i="13" s="1"/>
  <c r="M23" i="12" s="1"/>
  <c r="M23" i="11" s="1"/>
  <c r="M23" i="10" s="1"/>
  <c r="M23" i="9" s="1"/>
  <c r="M23" i="8" s="1"/>
  <c r="M23" i="7" s="1"/>
  <c r="M23" i="6" s="1"/>
  <c r="M23" i="37" s="1"/>
  <c r="M23" i="4" s="1"/>
  <c r="M23" i="43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4" i="14" s="1"/>
  <c r="M24" i="13" s="1"/>
  <c r="M24" i="12" s="1"/>
  <c r="M24" i="11" s="1"/>
  <c r="M24" i="10" s="1"/>
  <c r="M24" i="9" s="1"/>
  <c r="M24" i="8" s="1"/>
  <c r="M24" i="7" s="1"/>
  <c r="M24" i="6" s="1"/>
  <c r="M24" i="37" s="1"/>
  <c r="M24" i="4" s="1"/>
  <c r="M24" i="43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5" i="14" s="1"/>
  <c r="M25" i="13" s="1"/>
  <c r="M25" i="12" s="1"/>
  <c r="M25" i="11" s="1"/>
  <c r="M25" i="10" s="1"/>
  <c r="M25" i="9" s="1"/>
  <c r="M25" i="8" s="1"/>
  <c r="M25" i="7" s="1"/>
  <c r="M25" i="6" s="1"/>
  <c r="M25" i="37" s="1"/>
  <c r="M25" i="4" s="1"/>
  <c r="M25" i="43" s="1"/>
  <c r="M26" i="33"/>
  <c r="M26" i="32" s="1"/>
  <c r="M26" i="31" s="1"/>
  <c r="M26" i="30" s="1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6" i="14" s="1"/>
  <c r="M26" i="13" s="1"/>
  <c r="M26" i="12" s="1"/>
  <c r="M26" i="11" s="1"/>
  <c r="M26" i="10" s="1"/>
  <c r="M26" i="9" s="1"/>
  <c r="M26" i="8" s="1"/>
  <c r="M26" i="7" s="1"/>
  <c r="M26" i="6" s="1"/>
  <c r="M26" i="37" s="1"/>
  <c r="M26" i="4" s="1"/>
  <c r="M26" i="43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7" i="14" s="1"/>
  <c r="M27" i="13" s="1"/>
  <c r="M27" i="12" s="1"/>
  <c r="M27" i="11" s="1"/>
  <c r="M27" i="10" s="1"/>
  <c r="M27" i="9" s="1"/>
  <c r="M27" i="8" s="1"/>
  <c r="M27" i="7" s="1"/>
  <c r="M27" i="6" s="1"/>
  <c r="M27" i="37" s="1"/>
  <c r="M27" i="4" s="1"/>
  <c r="M27" i="43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8" i="14" s="1"/>
  <c r="M28" i="13" s="1"/>
  <c r="M28" i="12" s="1"/>
  <c r="M28" i="11" s="1"/>
  <c r="M28" i="10" s="1"/>
  <c r="M28" i="9" s="1"/>
  <c r="M28" i="8" s="1"/>
  <c r="M28" i="7" s="1"/>
  <c r="M28" i="6" s="1"/>
  <c r="M28" i="37" s="1"/>
  <c r="M28" i="4" s="1"/>
  <c r="M28" i="43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29" i="14" s="1"/>
  <c r="M29" i="13" s="1"/>
  <c r="M29" i="12" s="1"/>
  <c r="M29" i="11" s="1"/>
  <c r="M29" i="10" s="1"/>
  <c r="M29" i="9" s="1"/>
  <c r="M29" i="8" s="1"/>
  <c r="M29" i="7" s="1"/>
  <c r="M29" i="6" s="1"/>
  <c r="M29" i="37" s="1"/>
  <c r="M29" i="4" s="1"/>
  <c r="M29" i="43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0" i="8" s="1"/>
  <c r="M30" i="7" s="1"/>
  <c r="M30" i="6" s="1"/>
  <c r="M30" i="37" s="1"/>
  <c r="M30" i="4" s="1"/>
  <c r="M30" i="43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C32" i="33"/>
  <c r="D32" i="33"/>
  <c r="E32" i="33"/>
  <c r="F32" i="33"/>
  <c r="F34" i="33" s="1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C38" i="33"/>
  <c r="D38" i="33" s="1"/>
  <c r="J38" i="33"/>
  <c r="J38" i="32" s="1"/>
  <c r="C39" i="33"/>
  <c r="D39" i="33" s="1"/>
  <c r="E39" i="33" s="1"/>
  <c r="C40" i="33"/>
  <c r="D40" i="33" s="1"/>
  <c r="C41" i="33"/>
  <c r="D41" i="33" s="1"/>
  <c r="E41" i="33" s="1"/>
  <c r="C42" i="33"/>
  <c r="D42" i="33" s="1"/>
  <c r="E42" i="33" s="1"/>
  <c r="C43" i="33"/>
  <c r="D43" i="33" s="1"/>
  <c r="E43" i="33" s="1"/>
  <c r="C44" i="33"/>
  <c r="D44" i="33" s="1"/>
  <c r="E44" i="33" s="1"/>
  <c r="C45" i="33"/>
  <c r="D45" i="33" s="1"/>
  <c r="E45" i="33" s="1"/>
  <c r="C46" i="33"/>
  <c r="D46" i="33" s="1"/>
  <c r="E46" i="33" s="1"/>
  <c r="C47" i="33"/>
  <c r="D47" i="33" s="1"/>
  <c r="E47" i="33" s="1"/>
  <c r="C48" i="33"/>
  <c r="D48" i="33" s="1"/>
  <c r="E48" i="33" s="1"/>
  <c r="C49" i="33"/>
  <c r="D49" i="33" s="1"/>
  <c r="E49" i="33" s="1"/>
  <c r="J49" i="33"/>
  <c r="J49" i="32" s="1"/>
  <c r="C50" i="33"/>
  <c r="D50" i="33" s="1"/>
  <c r="E50" i="33" s="1"/>
  <c r="I50" i="33"/>
  <c r="C51" i="33"/>
  <c r="D51" i="33" s="1"/>
  <c r="E51" i="33" s="1"/>
  <c r="AD7" i="46"/>
  <c r="AA149" i="46"/>
  <c r="AC149" i="46"/>
  <c r="Q150" i="46"/>
  <c r="Q151" i="46" s="1"/>
  <c r="R150" i="46"/>
  <c r="Y150" i="46"/>
  <c r="Y152" i="46" s="1"/>
  <c r="AJ150" i="46"/>
  <c r="AK150" i="46"/>
  <c r="AO150" i="46"/>
  <c r="AP150" i="46"/>
  <c r="AS150" i="46"/>
  <c r="M40" i="45"/>
  <c r="Q40" i="45"/>
  <c r="U40" i="45"/>
  <c r="Y40" i="45"/>
  <c r="AC40" i="45"/>
  <c r="AG40" i="45"/>
  <c r="AK40" i="45"/>
  <c r="AO40" i="45"/>
  <c r="I50" i="29"/>
  <c r="I50" i="27"/>
  <c r="AN150" i="46"/>
  <c r="AF150" i="46"/>
  <c r="I50" i="30"/>
  <c r="I50" i="12"/>
  <c r="I50" i="25"/>
  <c r="I50" i="24"/>
  <c r="I50" i="23"/>
  <c r="I50" i="21"/>
  <c r="I50" i="8"/>
  <c r="I50" i="37"/>
  <c r="I50" i="43"/>
  <c r="I50" i="10"/>
  <c r="I50" i="9"/>
  <c r="I50" i="7"/>
  <c r="N6" i="46"/>
  <c r="H6" i="46" s="1"/>
  <c r="J6" i="46" s="1"/>
  <c r="A10" i="1"/>
  <c r="V12" i="48"/>
  <c r="V13" i="48"/>
  <c r="Q9" i="48"/>
  <c r="T41" i="48"/>
  <c r="V9" i="48"/>
  <c r="V25" i="48"/>
  <c r="V17" i="48"/>
  <c r="V19" i="48"/>
  <c r="V21" i="48"/>
  <c r="H21" i="48"/>
  <c r="B24" i="45"/>
  <c r="N24" i="45" s="1"/>
  <c r="V27" i="48"/>
  <c r="V28" i="48"/>
  <c r="B27" i="45"/>
  <c r="AL27" i="45" s="1"/>
  <c r="B28" i="45"/>
  <c r="AP28" i="45" s="1"/>
  <c r="G19" i="48"/>
  <c r="G25" i="48"/>
  <c r="V33" i="48"/>
  <c r="B32" i="45"/>
  <c r="AH32" i="45" s="1"/>
  <c r="H17" i="48"/>
  <c r="H22" i="48"/>
  <c r="V34" i="48"/>
  <c r="B33" i="45"/>
  <c r="G33" i="48"/>
  <c r="V35" i="48"/>
  <c r="B34" i="45"/>
  <c r="R34" i="45" s="1"/>
  <c r="V37" i="48"/>
  <c r="B36" i="45"/>
  <c r="R36" i="45" s="1"/>
  <c r="V36" i="48"/>
  <c r="B35" i="45"/>
  <c r="Z35" i="45" s="1"/>
  <c r="G36" i="48"/>
  <c r="G37" i="48"/>
  <c r="G17" i="48"/>
  <c r="G27" i="48"/>
  <c r="E28" i="48"/>
  <c r="E23" i="48"/>
  <c r="G20" i="48"/>
  <c r="V20" i="48"/>
  <c r="H27" i="48"/>
  <c r="H13" i="48"/>
  <c r="H36" i="48"/>
  <c r="W102" i="46" l="1"/>
  <c r="J10" i="31"/>
  <c r="J10" i="30" s="1"/>
  <c r="J10" i="27" s="1"/>
  <c r="J10" i="28" s="1"/>
  <c r="J10" i="26" s="1"/>
  <c r="J10" i="25" s="1"/>
  <c r="J10" i="24" s="1"/>
  <c r="J10" i="23" s="1"/>
  <c r="J10" i="21" s="1"/>
  <c r="J10" i="22" s="1"/>
  <c r="J10" i="20" s="1"/>
  <c r="J10" i="19" s="1"/>
  <c r="J10" i="18" s="1"/>
  <c r="J10" i="17" s="1"/>
  <c r="F23" i="48"/>
  <c r="BC152" i="46"/>
  <c r="BB152" i="46"/>
  <c r="BD152" i="46"/>
  <c r="BF152" i="46"/>
  <c r="BE152" i="46"/>
  <c r="E36" i="48"/>
  <c r="F36" i="48" s="1"/>
  <c r="J26" i="31"/>
  <c r="J26" i="30" s="1"/>
  <c r="J26" i="29" s="1"/>
  <c r="J26" i="27" s="1"/>
  <c r="J26" i="28" s="1"/>
  <c r="J26" i="26" s="1"/>
  <c r="J18" i="31"/>
  <c r="J18" i="30" s="1"/>
  <c r="J18" i="29" s="1"/>
  <c r="J18" i="27" s="1"/>
  <c r="J18" i="28" s="1"/>
  <c r="J25" i="31"/>
  <c r="J25" i="30" s="1"/>
  <c r="J25" i="29" s="1"/>
  <c r="J25" i="27" s="1"/>
  <c r="J25" i="28" s="1"/>
  <c r="J25" i="26" s="1"/>
  <c r="J17" i="31"/>
  <c r="J17" i="30" s="1"/>
  <c r="J17" i="29" s="1"/>
  <c r="J17" i="27" s="1"/>
  <c r="J17" i="28" s="1"/>
  <c r="J32" i="31"/>
  <c r="J32" i="30" s="1"/>
  <c r="J32" i="29" s="1"/>
  <c r="J32" i="27" s="1"/>
  <c r="J32" i="28" s="1"/>
  <c r="J32" i="26" s="1"/>
  <c r="J24" i="31"/>
  <c r="J24" i="30" s="1"/>
  <c r="J24" i="29" s="1"/>
  <c r="J24" i="27" s="1"/>
  <c r="J24" i="28" s="1"/>
  <c r="J24" i="26" s="1"/>
  <c r="J16" i="31"/>
  <c r="J16" i="30" s="1"/>
  <c r="J16" i="29" s="1"/>
  <c r="J16" i="27" s="1"/>
  <c r="J16" i="28" s="1"/>
  <c r="J16" i="26" s="1"/>
  <c r="J16" i="25" s="1"/>
  <c r="J16" i="24" s="1"/>
  <c r="J16" i="23" s="1"/>
  <c r="J31" i="31"/>
  <c r="J31" i="30" s="1"/>
  <c r="J31" i="29" s="1"/>
  <c r="J31" i="27" s="1"/>
  <c r="J31" i="28" s="1"/>
  <c r="J31" i="26" s="1"/>
  <c r="J23" i="31"/>
  <c r="J23" i="30" s="1"/>
  <c r="J23" i="29" s="1"/>
  <c r="J23" i="27" s="1"/>
  <c r="J23" i="28" s="1"/>
  <c r="J23" i="26" s="1"/>
  <c r="J23" i="25" s="1"/>
  <c r="J23" i="24" s="1"/>
  <c r="J15" i="31"/>
  <c r="J15" i="30" s="1"/>
  <c r="J15" i="29" s="1"/>
  <c r="J15" i="27" s="1"/>
  <c r="J30" i="31"/>
  <c r="J30" i="30" s="1"/>
  <c r="J30" i="29" s="1"/>
  <c r="J30" i="27" s="1"/>
  <c r="J30" i="28" s="1"/>
  <c r="J30" i="26" s="1"/>
  <c r="J22" i="31"/>
  <c r="J22" i="30" s="1"/>
  <c r="J22" i="29" s="1"/>
  <c r="J22" i="27" s="1"/>
  <c r="J22" i="28" s="1"/>
  <c r="J22" i="26" s="1"/>
  <c r="J14" i="31"/>
  <c r="J14" i="30" s="1"/>
  <c r="J14" i="29" s="1"/>
  <c r="J14" i="27" s="1"/>
  <c r="J29" i="31"/>
  <c r="J29" i="30" s="1"/>
  <c r="J29" i="29" s="1"/>
  <c r="J29" i="27" s="1"/>
  <c r="J29" i="28" s="1"/>
  <c r="J29" i="26" s="1"/>
  <c r="J21" i="31"/>
  <c r="J21" i="30" s="1"/>
  <c r="J21" i="29" s="1"/>
  <c r="J21" i="27" s="1"/>
  <c r="J21" i="28" s="1"/>
  <c r="J13" i="31"/>
  <c r="J13" i="30" s="1"/>
  <c r="J13" i="29" s="1"/>
  <c r="J13" i="27" s="1"/>
  <c r="J28" i="31"/>
  <c r="J28" i="30" s="1"/>
  <c r="J28" i="29" s="1"/>
  <c r="J28" i="27" s="1"/>
  <c r="J28" i="28" s="1"/>
  <c r="J28" i="26" s="1"/>
  <c r="J20" i="31"/>
  <c r="J20" i="30" s="1"/>
  <c r="J20" i="29" s="1"/>
  <c r="J20" i="27" s="1"/>
  <c r="J20" i="28" s="1"/>
  <c r="J12" i="30"/>
  <c r="J12" i="29" s="1"/>
  <c r="J12" i="27" s="1"/>
  <c r="J12" i="28" s="1"/>
  <c r="J12" i="26" s="1"/>
  <c r="J12" i="23" s="1"/>
  <c r="J12" i="21" s="1"/>
  <c r="J12" i="22" s="1"/>
  <c r="J12" i="20" s="1"/>
  <c r="J12" i="19" s="1"/>
  <c r="J12" i="18" s="1"/>
  <c r="J12" i="17" s="1"/>
  <c r="J27" i="31"/>
  <c r="J27" i="30" s="1"/>
  <c r="J27" i="29" s="1"/>
  <c r="J27" i="27" s="1"/>
  <c r="J27" i="28" s="1"/>
  <c r="J27" i="26" s="1"/>
  <c r="J19" i="31"/>
  <c r="J19" i="30" s="1"/>
  <c r="J19" i="29" s="1"/>
  <c r="J19" i="27" s="1"/>
  <c r="J19" i="28" s="1"/>
  <c r="J11" i="30"/>
  <c r="J11" i="29" s="1"/>
  <c r="J11" i="27" s="1"/>
  <c r="J11" i="26" s="1"/>
  <c r="J11" i="25" s="1"/>
  <c r="J11" i="24" s="1"/>
  <c r="J11" i="23" s="1"/>
  <c r="J11" i="21" s="1"/>
  <c r="J11" i="22" s="1"/>
  <c r="J11" i="20" s="1"/>
  <c r="J11" i="19" s="1"/>
  <c r="J11" i="18" s="1"/>
  <c r="J11" i="17" s="1"/>
  <c r="E30" i="48"/>
  <c r="F30" i="48" s="1"/>
  <c r="F25" i="48"/>
  <c r="J32" i="9"/>
  <c r="J32" i="8" s="1"/>
  <c r="J32" i="7" s="1"/>
  <c r="J32" i="6" s="1"/>
  <c r="J32" i="37" s="1"/>
  <c r="J32" i="4" s="1"/>
  <c r="J32" i="43" s="1"/>
  <c r="AR150" i="46"/>
  <c r="BA150" i="46"/>
  <c r="R152" i="46" s="1"/>
  <c r="F17" i="48"/>
  <c r="I40" i="43"/>
  <c r="R39" i="48" s="1"/>
  <c r="F34" i="59" s="1"/>
  <c r="E15" i="48"/>
  <c r="F15" i="48" s="1"/>
  <c r="P22" i="45"/>
  <c r="P23" i="45" s="1"/>
  <c r="P24" i="45" s="1"/>
  <c r="P25" i="45" s="1"/>
  <c r="P26" i="45" s="1"/>
  <c r="P27" i="45" s="1"/>
  <c r="P28" i="45" s="1"/>
  <c r="P29" i="45" s="1"/>
  <c r="P30" i="45" s="1"/>
  <c r="P31" i="45" s="1"/>
  <c r="P32" i="45" s="1"/>
  <c r="P33" i="45" s="1"/>
  <c r="P34" i="45" s="1"/>
  <c r="P35" i="45" s="1"/>
  <c r="P36" i="45" s="1"/>
  <c r="P37" i="45" s="1"/>
  <c r="P38" i="45" s="1"/>
  <c r="K34" i="19"/>
  <c r="I40" i="19" s="1"/>
  <c r="R23" i="48" s="1"/>
  <c r="F18" i="59" s="1"/>
  <c r="L22" i="45"/>
  <c r="L23" i="45" s="1"/>
  <c r="L24" i="45" s="1"/>
  <c r="L25" i="45" s="1"/>
  <c r="L26" i="45" s="1"/>
  <c r="L27" i="45" s="1"/>
  <c r="L28" i="45" s="1"/>
  <c r="L29" i="45" s="1"/>
  <c r="L30" i="45" s="1"/>
  <c r="L31" i="45" s="1"/>
  <c r="L32" i="45" s="1"/>
  <c r="L33" i="45" s="1"/>
  <c r="L34" i="45" s="1"/>
  <c r="L35" i="45" s="1"/>
  <c r="L36" i="45" s="1"/>
  <c r="L37" i="45" s="1"/>
  <c r="L38" i="45" s="1"/>
  <c r="AB22" i="45"/>
  <c r="AB23" i="45" s="1"/>
  <c r="AB24" i="45" s="1"/>
  <c r="AB25" i="45" s="1"/>
  <c r="AB26" i="45" s="1"/>
  <c r="AB27" i="45" s="1"/>
  <c r="AB28" i="45" s="1"/>
  <c r="AB29" i="45" s="1"/>
  <c r="AB30" i="45" s="1"/>
  <c r="AB31" i="45" s="1"/>
  <c r="AB32" i="45" s="1"/>
  <c r="AB33" i="45" s="1"/>
  <c r="AB34" i="45" s="1"/>
  <c r="AB35" i="45" s="1"/>
  <c r="AB36" i="45" s="1"/>
  <c r="AB37" i="45" s="1"/>
  <c r="AB38" i="45" s="1"/>
  <c r="H22" i="45"/>
  <c r="H23" i="45" s="1"/>
  <c r="H24" i="45" s="1"/>
  <c r="H25" i="45" s="1"/>
  <c r="H26" i="45" s="1"/>
  <c r="H27" i="45" s="1"/>
  <c r="H28" i="45" s="1"/>
  <c r="H29" i="45" s="1"/>
  <c r="H30" i="45" s="1"/>
  <c r="H31" i="45" s="1"/>
  <c r="H32" i="45" s="1"/>
  <c r="H33" i="45" s="1"/>
  <c r="H34" i="45" s="1"/>
  <c r="H35" i="45" s="1"/>
  <c r="H36" i="45" s="1"/>
  <c r="H37" i="45" s="1"/>
  <c r="H38" i="45" s="1"/>
  <c r="AF22" i="45"/>
  <c r="AF23" i="45" s="1"/>
  <c r="AF24" i="45" s="1"/>
  <c r="AF25" i="45" s="1"/>
  <c r="AF26" i="45" s="1"/>
  <c r="AF27" i="45" s="1"/>
  <c r="AF28" i="45" s="1"/>
  <c r="AF29" i="45" s="1"/>
  <c r="AF30" i="45" s="1"/>
  <c r="AF31" i="45" s="1"/>
  <c r="AF32" i="45" s="1"/>
  <c r="AF33" i="45" s="1"/>
  <c r="AF34" i="45" s="1"/>
  <c r="AF35" i="45" s="1"/>
  <c r="AF36" i="45" s="1"/>
  <c r="AF37" i="45" s="1"/>
  <c r="AF38" i="45" s="1"/>
  <c r="AJ22" i="45"/>
  <c r="AJ23" i="45" s="1"/>
  <c r="AJ24" i="45" s="1"/>
  <c r="AJ25" i="45" s="1"/>
  <c r="AJ26" i="45" s="1"/>
  <c r="AJ27" i="45" s="1"/>
  <c r="AJ28" i="45" s="1"/>
  <c r="AJ29" i="45" s="1"/>
  <c r="AJ30" i="45" s="1"/>
  <c r="AJ31" i="45" s="1"/>
  <c r="AJ32" i="45" s="1"/>
  <c r="AJ33" i="45" s="1"/>
  <c r="AJ34" i="45" s="1"/>
  <c r="AJ35" i="45" s="1"/>
  <c r="AJ36" i="45" s="1"/>
  <c r="AJ37" i="45" s="1"/>
  <c r="AJ38" i="45" s="1"/>
  <c r="AN22" i="45"/>
  <c r="AN23" i="45" s="1"/>
  <c r="AN24" i="45" s="1"/>
  <c r="AN25" i="45" s="1"/>
  <c r="AN26" i="45" s="1"/>
  <c r="AN27" i="45" s="1"/>
  <c r="AN28" i="45" s="1"/>
  <c r="AN29" i="45" s="1"/>
  <c r="AN30" i="45" s="1"/>
  <c r="AN31" i="45" s="1"/>
  <c r="AN32" i="45" s="1"/>
  <c r="AN33" i="45" s="1"/>
  <c r="AN34" i="45" s="1"/>
  <c r="AN35" i="45" s="1"/>
  <c r="AN36" i="45" s="1"/>
  <c r="AN37" i="45" s="1"/>
  <c r="AN38" i="45" s="1"/>
  <c r="X22" i="45"/>
  <c r="X23" i="45" s="1"/>
  <c r="X24" i="45" s="1"/>
  <c r="X25" i="45" s="1"/>
  <c r="X26" i="45" s="1"/>
  <c r="X27" i="45" s="1"/>
  <c r="X28" i="45" s="1"/>
  <c r="X29" i="45" s="1"/>
  <c r="X30" i="45" s="1"/>
  <c r="X31" i="45" s="1"/>
  <c r="X32" i="45" s="1"/>
  <c r="X33" i="45" s="1"/>
  <c r="X34" i="45" s="1"/>
  <c r="X35" i="45" s="1"/>
  <c r="X36" i="45" s="1"/>
  <c r="X37" i="45" s="1"/>
  <c r="X38" i="45" s="1"/>
  <c r="T22" i="45"/>
  <c r="T23" i="45" s="1"/>
  <c r="T24" i="45" s="1"/>
  <c r="T25" i="45" s="1"/>
  <c r="T26" i="45" s="1"/>
  <c r="T27" i="45" s="1"/>
  <c r="T28" i="45" s="1"/>
  <c r="T29" i="45" s="1"/>
  <c r="T30" i="45" s="1"/>
  <c r="T31" i="45" s="1"/>
  <c r="T32" i="45" s="1"/>
  <c r="T33" i="45" s="1"/>
  <c r="T34" i="45" s="1"/>
  <c r="T35" i="45" s="1"/>
  <c r="T36" i="45" s="1"/>
  <c r="T37" i="45" s="1"/>
  <c r="T38" i="45" s="1"/>
  <c r="F34" i="4"/>
  <c r="D24" i="4"/>
  <c r="K34" i="10"/>
  <c r="V24" i="48"/>
  <c r="J8" i="28"/>
  <c r="J8" i="26" s="1"/>
  <c r="J8" i="25" s="1"/>
  <c r="J8" i="24" s="1"/>
  <c r="J8" i="23" s="1"/>
  <c r="J8" i="21" s="1"/>
  <c r="J8" i="22" s="1"/>
  <c r="J8" i="20" s="1"/>
  <c r="K34" i="28"/>
  <c r="I40" i="28" s="1"/>
  <c r="R15" i="48" s="1"/>
  <c r="F10" i="59" s="1"/>
  <c r="K34" i="14"/>
  <c r="I40" i="8"/>
  <c r="V22" i="48"/>
  <c r="B21" i="45"/>
  <c r="AD21" i="45" s="1"/>
  <c r="B37" i="45"/>
  <c r="AL37" i="45" s="1"/>
  <c r="V30" i="48"/>
  <c r="C24" i="4"/>
  <c r="G22" i="48"/>
  <c r="G30" i="48"/>
  <c r="F13" i="48"/>
  <c r="K34" i="7"/>
  <c r="E15" i="4"/>
  <c r="H32" i="48"/>
  <c r="G32" i="48"/>
  <c r="E27" i="48"/>
  <c r="F27" i="48" s="1"/>
  <c r="B31" i="45"/>
  <c r="V31" i="45" s="1"/>
  <c r="V32" i="48"/>
  <c r="D34" i="4"/>
  <c r="C33" i="33"/>
  <c r="D15" i="4"/>
  <c r="C52" i="14"/>
  <c r="C53" i="14" s="1"/>
  <c r="AY19" i="45"/>
  <c r="B29" i="45"/>
  <c r="J29" i="45" s="1"/>
  <c r="K34" i="20"/>
  <c r="H38" i="48"/>
  <c r="V38" i="48"/>
  <c r="H30" i="48"/>
  <c r="J57" i="23"/>
  <c r="C52" i="6"/>
  <c r="C53" i="6" s="1"/>
  <c r="C33" i="4"/>
  <c r="AX19" i="45"/>
  <c r="C52" i="37"/>
  <c r="C53" i="37" s="1"/>
  <c r="C52" i="4"/>
  <c r="C53" i="4" s="1"/>
  <c r="C34" i="4"/>
  <c r="C52" i="43"/>
  <c r="C53" i="43" s="1"/>
  <c r="C52" i="16"/>
  <c r="C53" i="16" s="1"/>
  <c r="C52" i="13"/>
  <c r="C53" i="13" s="1"/>
  <c r="C52" i="25"/>
  <c r="C53" i="25" s="1"/>
  <c r="K34" i="21"/>
  <c r="C52" i="22"/>
  <c r="C53" i="22" s="1"/>
  <c r="V28" i="45"/>
  <c r="N35" i="45"/>
  <c r="B30" i="45"/>
  <c r="J30" i="45" s="1"/>
  <c r="E33" i="33"/>
  <c r="V31" i="48"/>
  <c r="J50" i="32"/>
  <c r="H39" i="48"/>
  <c r="E33" i="4"/>
  <c r="H23" i="48"/>
  <c r="B38" i="45"/>
  <c r="N38" i="45" s="1"/>
  <c r="V39" i="48"/>
  <c r="N34" i="45"/>
  <c r="G15" i="48"/>
  <c r="K34" i="24"/>
  <c r="I40" i="24" s="1"/>
  <c r="R18" i="48" s="1"/>
  <c r="F13" i="59" s="1"/>
  <c r="AY16" i="45"/>
  <c r="AH34" i="45"/>
  <c r="H31" i="48"/>
  <c r="V23" i="48"/>
  <c r="I44" i="33"/>
  <c r="AD150" i="46"/>
  <c r="AP36" i="45"/>
  <c r="E34" i="33"/>
  <c r="J57" i="33" s="1"/>
  <c r="C52" i="18"/>
  <c r="C53" i="18" s="1"/>
  <c r="D33" i="4"/>
  <c r="C52" i="15"/>
  <c r="C53" i="15" s="1"/>
  <c r="I40" i="6"/>
  <c r="J38" i="31"/>
  <c r="J38" i="30" s="1"/>
  <c r="J38" i="29" s="1"/>
  <c r="J38" i="27" s="1"/>
  <c r="J38" i="28" s="1"/>
  <c r="J38" i="26" s="1"/>
  <c r="J38" i="25" s="1"/>
  <c r="J38" i="24" s="1"/>
  <c r="J38" i="23" s="1"/>
  <c r="J38" i="21" s="1"/>
  <c r="J38" i="22" s="1"/>
  <c r="J38" i="20" s="1"/>
  <c r="J38" i="19" s="1"/>
  <c r="J38" i="18" s="1"/>
  <c r="J38" i="17" s="1"/>
  <c r="J38" i="16" s="1"/>
  <c r="J38" i="15" s="1"/>
  <c r="J38" i="14" s="1"/>
  <c r="J38" i="13" s="1"/>
  <c r="J38" i="12" s="1"/>
  <c r="J38" i="11" s="1"/>
  <c r="J38" i="10" s="1"/>
  <c r="J38" i="9" s="1"/>
  <c r="J38" i="8" s="1"/>
  <c r="J38" i="7" s="1"/>
  <c r="J38" i="6" s="1"/>
  <c r="J38" i="37" s="1"/>
  <c r="J38" i="4" s="1"/>
  <c r="J38" i="43" s="1"/>
  <c r="K6" i="46"/>
  <c r="L9" i="48" s="1"/>
  <c r="W9" i="48"/>
  <c r="J43" i="32"/>
  <c r="J43" i="31" s="1"/>
  <c r="J35" i="45"/>
  <c r="R35" i="45"/>
  <c r="AD34" i="45"/>
  <c r="J34" i="45"/>
  <c r="AD32" i="45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26" i="2"/>
  <c r="B10" i="2"/>
  <c r="B11" i="2"/>
  <c r="A11" i="1"/>
  <c r="A12" i="2" s="1"/>
  <c r="A11" i="2"/>
  <c r="C52" i="12"/>
  <c r="C53" i="12" s="1"/>
  <c r="C52" i="9"/>
  <c r="C53" i="9" s="1"/>
  <c r="C52" i="7"/>
  <c r="C53" i="7" s="1"/>
  <c r="C52" i="8"/>
  <c r="C53" i="8" s="1"/>
  <c r="K34" i="9"/>
  <c r="N32" i="45"/>
  <c r="C52" i="10"/>
  <c r="C53" i="10" s="1"/>
  <c r="AP35" i="45"/>
  <c r="R33" i="45"/>
  <c r="V32" i="45"/>
  <c r="J32" i="45"/>
  <c r="N27" i="45"/>
  <c r="J27" i="45"/>
  <c r="S150" i="46"/>
  <c r="G39" i="48"/>
  <c r="F28" i="48"/>
  <c r="K34" i="16"/>
  <c r="K34" i="17"/>
  <c r="C52" i="17"/>
  <c r="C53" i="17" s="1"/>
  <c r="E24" i="48"/>
  <c r="C52" i="19"/>
  <c r="C53" i="19" s="1"/>
  <c r="C52" i="20"/>
  <c r="C53" i="20" s="1"/>
  <c r="C52" i="21"/>
  <c r="C53" i="21" s="1"/>
  <c r="C52" i="23"/>
  <c r="C53" i="23" s="1"/>
  <c r="I40" i="25"/>
  <c r="R17" i="48" s="1"/>
  <c r="F12" i="59" s="1"/>
  <c r="B17" i="45"/>
  <c r="V18" i="48"/>
  <c r="H18" i="48"/>
  <c r="E18" i="48"/>
  <c r="I40" i="26"/>
  <c r="R16" i="48" s="1"/>
  <c r="F11" i="59" s="1"/>
  <c r="C52" i="28"/>
  <c r="C53" i="28" s="1"/>
  <c r="C52" i="27"/>
  <c r="C53" i="27" s="1"/>
  <c r="AD35" i="45"/>
  <c r="AH35" i="45"/>
  <c r="V35" i="45"/>
  <c r="N36" i="45"/>
  <c r="AD33" i="45"/>
  <c r="R27" i="45"/>
  <c r="AH27" i="45"/>
  <c r="AD27" i="45"/>
  <c r="D34" i="33"/>
  <c r="I40" i="13"/>
  <c r="R29" i="48" s="1"/>
  <c r="F24" i="59" s="1"/>
  <c r="E14" i="48"/>
  <c r="E19" i="48"/>
  <c r="J50" i="33"/>
  <c r="E32" i="48"/>
  <c r="C52" i="29"/>
  <c r="C53" i="29" s="1"/>
  <c r="G11" i="48"/>
  <c r="C52" i="30"/>
  <c r="C53" i="30" s="1"/>
  <c r="M8" i="33"/>
  <c r="C34" i="33"/>
  <c r="K7" i="33" s="1"/>
  <c r="G10" i="48"/>
  <c r="H24" i="48"/>
  <c r="G12" i="48"/>
  <c r="H20" i="48"/>
  <c r="G34" i="48"/>
  <c r="G29" i="48"/>
  <c r="G14" i="48"/>
  <c r="H15" i="48"/>
  <c r="H14" i="48"/>
  <c r="G21" i="48"/>
  <c r="H28" i="48"/>
  <c r="G23" i="48"/>
  <c r="H19" i="48"/>
  <c r="AM150" i="46"/>
  <c r="G18" i="48"/>
  <c r="H35" i="48"/>
  <c r="H34" i="48"/>
  <c r="R151" i="46"/>
  <c r="J44" i="33"/>
  <c r="C52" i="33"/>
  <c r="C53" i="33" s="1"/>
  <c r="E40" i="33"/>
  <c r="D40" i="32"/>
  <c r="E40" i="32" s="1"/>
  <c r="D52" i="33"/>
  <c r="D53" i="33" s="1"/>
  <c r="E38" i="33"/>
  <c r="D50" i="32"/>
  <c r="D50" i="31" s="1"/>
  <c r="D50" i="30" s="1"/>
  <c r="E50" i="30" s="1"/>
  <c r="D48" i="32"/>
  <c r="E48" i="32" s="1"/>
  <c r="D46" i="32"/>
  <c r="E46" i="32" s="1"/>
  <c r="D43" i="32"/>
  <c r="E43" i="32" s="1"/>
  <c r="D41" i="32"/>
  <c r="E41" i="32" s="1"/>
  <c r="D39" i="32"/>
  <c r="D39" i="31" s="1"/>
  <c r="D51" i="32"/>
  <c r="E51" i="32" s="1"/>
  <c r="D49" i="32"/>
  <c r="E49" i="32" s="1"/>
  <c r="D47" i="32"/>
  <c r="E47" i="32" s="1"/>
  <c r="D45" i="32"/>
  <c r="E45" i="32" s="1"/>
  <c r="D44" i="32"/>
  <c r="E44" i="32" s="1"/>
  <c r="D42" i="32"/>
  <c r="E42" i="32" s="1"/>
  <c r="D38" i="32"/>
  <c r="E38" i="32" s="1"/>
  <c r="Q10" i="48"/>
  <c r="W10" i="48" s="1"/>
  <c r="V10" i="48"/>
  <c r="C52" i="32"/>
  <c r="C53" i="32" s="1"/>
  <c r="C52" i="31"/>
  <c r="C53" i="31" s="1"/>
  <c r="AL35" i="45"/>
  <c r="Z34" i="45"/>
  <c r="AL34" i="45"/>
  <c r="V34" i="45"/>
  <c r="AP34" i="45"/>
  <c r="V27" i="45"/>
  <c r="AP27" i="45"/>
  <c r="Z27" i="45"/>
  <c r="H10" i="48"/>
  <c r="AP24" i="45"/>
  <c r="D33" i="33"/>
  <c r="E10" i="48"/>
  <c r="D9" i="1"/>
  <c r="D10" i="2" s="1"/>
  <c r="B10" i="45"/>
  <c r="D11" i="1"/>
  <c r="D12" i="2" s="1"/>
  <c r="B12" i="45"/>
  <c r="D13" i="1"/>
  <c r="D14" i="2" s="1"/>
  <c r="B14" i="45"/>
  <c r="D15" i="1"/>
  <c r="D16" i="2" s="1"/>
  <c r="B16" i="45"/>
  <c r="D17" i="1"/>
  <c r="D18" i="2" s="1"/>
  <c r="B18" i="45"/>
  <c r="Z18" i="45" s="1"/>
  <c r="D19" i="1"/>
  <c r="D20" i="2" s="1"/>
  <c r="B20" i="45"/>
  <c r="Z20" i="45" s="1"/>
  <c r="D21" i="1"/>
  <c r="D22" i="2" s="1"/>
  <c r="B26" i="45"/>
  <c r="D27" i="1"/>
  <c r="D28" i="2" s="1"/>
  <c r="V29" i="48"/>
  <c r="D29" i="1"/>
  <c r="D30" i="2" s="1"/>
  <c r="E20" i="48"/>
  <c r="E31" i="48"/>
  <c r="E33" i="48"/>
  <c r="I40" i="4"/>
  <c r="R38" i="48" s="1"/>
  <c r="F33" i="59" s="1"/>
  <c r="AX16" i="45"/>
  <c r="B11" i="45"/>
  <c r="D12" i="1"/>
  <c r="D13" i="2" s="1"/>
  <c r="B13" i="45"/>
  <c r="D14" i="1"/>
  <c r="D15" i="2" s="1"/>
  <c r="B19" i="45"/>
  <c r="AP19" i="45" s="1"/>
  <c r="D20" i="1"/>
  <c r="D21" i="2" s="1"/>
  <c r="B23" i="45"/>
  <c r="AP23" i="45" s="1"/>
  <c r="D24" i="1"/>
  <c r="D25" i="2" s="1"/>
  <c r="E21" i="48"/>
  <c r="E22" i="48"/>
  <c r="E39" i="48"/>
  <c r="C52" i="26"/>
  <c r="C53" i="26" s="1"/>
  <c r="C52" i="24"/>
  <c r="C53" i="24" s="1"/>
  <c r="C52" i="11"/>
  <c r="C53" i="11" s="1"/>
  <c r="E24" i="4"/>
  <c r="E34" i="4"/>
  <c r="C15" i="4"/>
  <c r="E11" i="48"/>
  <c r="E16" i="48"/>
  <c r="B9" i="45"/>
  <c r="E26" i="48"/>
  <c r="J37" i="33"/>
  <c r="E9" i="48"/>
  <c r="E29" i="48"/>
  <c r="E34" i="48"/>
  <c r="E38" i="48"/>
  <c r="F12" i="48"/>
  <c r="E37" i="48"/>
  <c r="B8" i="45"/>
  <c r="N8" i="45" s="1"/>
  <c r="F35" i="48"/>
  <c r="G38" i="48"/>
  <c r="H33" i="48"/>
  <c r="AH28" i="45"/>
  <c r="J28" i="45"/>
  <c r="Z28" i="45"/>
  <c r="AD28" i="45"/>
  <c r="N28" i="45"/>
  <c r="R28" i="45"/>
  <c r="A7" i="45"/>
  <c r="A9" i="45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B15" i="45"/>
  <c r="V16" i="48"/>
  <c r="P41" i="48"/>
  <c r="H16" i="48"/>
  <c r="G16" i="48"/>
  <c r="B25" i="45"/>
  <c r="H26" i="48"/>
  <c r="G26" i="48"/>
  <c r="AL36" i="45"/>
  <c r="AH36" i="45"/>
  <c r="V36" i="45"/>
  <c r="AD36" i="45"/>
  <c r="Z36" i="45"/>
  <c r="J36" i="45"/>
  <c r="H37" i="48"/>
  <c r="AP33" i="45"/>
  <c r="Z33" i="45"/>
  <c r="V33" i="45"/>
  <c r="AL33" i="45"/>
  <c r="N33" i="45"/>
  <c r="AH33" i="45"/>
  <c r="J33" i="45"/>
  <c r="G28" i="48"/>
  <c r="H11" i="48"/>
  <c r="H12" i="48"/>
  <c r="G31" i="48"/>
  <c r="AH24" i="45"/>
  <c r="J24" i="45"/>
  <c r="Z24" i="45"/>
  <c r="AL24" i="45"/>
  <c r="V24" i="45"/>
  <c r="R24" i="45"/>
  <c r="AD24" i="45"/>
  <c r="J49" i="31"/>
  <c r="AL28" i="45"/>
  <c r="V26" i="48"/>
  <c r="G35" i="48"/>
  <c r="G13" i="48"/>
  <c r="H25" i="48"/>
  <c r="H29" i="48"/>
  <c r="AP32" i="45"/>
  <c r="Z32" i="45"/>
  <c r="AL32" i="45"/>
  <c r="R32" i="45"/>
  <c r="I40" i="7" l="1"/>
  <c r="W128" i="46"/>
  <c r="W116" i="46"/>
  <c r="AA102" i="46"/>
  <c r="AB102" i="46" s="1"/>
  <c r="X102" i="46"/>
  <c r="W98" i="46"/>
  <c r="W90" i="46"/>
  <c r="I45" i="43"/>
  <c r="J39" i="48"/>
  <c r="B34" i="59" s="1"/>
  <c r="I51" i="43"/>
  <c r="Z6" i="46"/>
  <c r="R37" i="45"/>
  <c r="AP37" i="45"/>
  <c r="N37" i="45"/>
  <c r="J32" i="24"/>
  <c r="J32" i="23" s="1"/>
  <c r="J32" i="25"/>
  <c r="I45" i="6"/>
  <c r="R36" i="48"/>
  <c r="F31" i="59" s="1"/>
  <c r="I45" i="7"/>
  <c r="R35" i="48"/>
  <c r="F30" i="59" s="1"/>
  <c r="R34" i="48"/>
  <c r="C33" i="45" s="1"/>
  <c r="K33" i="45" s="1"/>
  <c r="K34" i="37"/>
  <c r="I40" i="37" s="1"/>
  <c r="R37" i="48" s="1"/>
  <c r="F32" i="59" s="1"/>
  <c r="M10" i="37"/>
  <c r="M10" i="4" s="1"/>
  <c r="M10" i="43" s="1"/>
  <c r="I40" i="9"/>
  <c r="R33" i="48" s="1"/>
  <c r="F28" i="59" s="1"/>
  <c r="I40" i="21"/>
  <c r="R20" i="48" s="1"/>
  <c r="I40" i="14"/>
  <c r="R28" i="48" s="1"/>
  <c r="F23" i="59" s="1"/>
  <c r="I40" i="10"/>
  <c r="I51" i="10" s="1"/>
  <c r="M16" i="10"/>
  <c r="M16" i="9" s="1"/>
  <c r="M16" i="8" s="1"/>
  <c r="M16" i="7" s="1"/>
  <c r="M16" i="6" s="1"/>
  <c r="M16" i="37" s="1"/>
  <c r="M16" i="4" s="1"/>
  <c r="M16" i="43" s="1"/>
  <c r="AP31" i="45"/>
  <c r="K34" i="12"/>
  <c r="S151" i="46"/>
  <c r="S152" i="46"/>
  <c r="M13" i="14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K34" i="15"/>
  <c r="I40" i="16"/>
  <c r="R26" i="48" s="1"/>
  <c r="F21" i="59" s="1"/>
  <c r="I40" i="17"/>
  <c r="M12" i="17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V37" i="45"/>
  <c r="AD37" i="45"/>
  <c r="J37" i="45"/>
  <c r="Z37" i="45"/>
  <c r="I40" i="20"/>
  <c r="I51" i="20" s="1"/>
  <c r="AH37" i="45"/>
  <c r="K34" i="18"/>
  <c r="I40" i="18" s="1"/>
  <c r="R24" i="48" s="1"/>
  <c r="F19" i="59" s="1"/>
  <c r="AH21" i="45"/>
  <c r="I45" i="8"/>
  <c r="A22" i="45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P18" i="45"/>
  <c r="I51" i="8"/>
  <c r="N31" i="45"/>
  <c r="R31" i="45"/>
  <c r="Z31" i="45"/>
  <c r="J18" i="45"/>
  <c r="J31" i="45"/>
  <c r="AL31" i="45"/>
  <c r="AH31" i="45"/>
  <c r="AD31" i="45"/>
  <c r="J8" i="19"/>
  <c r="J8" i="18" s="1"/>
  <c r="J21" i="45"/>
  <c r="V21" i="45"/>
  <c r="K34" i="22"/>
  <c r="J23" i="23"/>
  <c r="J23" i="21" s="1"/>
  <c r="J23" i="22" s="1"/>
  <c r="I51" i="26"/>
  <c r="J19" i="26"/>
  <c r="J19" i="25" s="1"/>
  <c r="J19" i="24" s="1"/>
  <c r="J21" i="26"/>
  <c r="J21" i="25" s="1"/>
  <c r="J21" i="24" s="1"/>
  <c r="J17" i="26"/>
  <c r="J17" i="25" s="1"/>
  <c r="J17" i="24" s="1"/>
  <c r="J20" i="26"/>
  <c r="J20" i="25" s="1"/>
  <c r="J20" i="24" s="1"/>
  <c r="J9" i="25"/>
  <c r="J9" i="24" s="1"/>
  <c r="J22" i="25"/>
  <c r="J22" i="24" s="1"/>
  <c r="V18" i="45"/>
  <c r="J18" i="26"/>
  <c r="J18" i="25" s="1"/>
  <c r="J31" i="24"/>
  <c r="J31" i="23" s="1"/>
  <c r="J31" i="21" s="1"/>
  <c r="J31" i="22" s="1"/>
  <c r="J31" i="25"/>
  <c r="J24" i="24"/>
  <c r="J24" i="25"/>
  <c r="J26" i="25"/>
  <c r="J26" i="24"/>
  <c r="J26" i="23" s="1"/>
  <c r="J26" i="21" s="1"/>
  <c r="J26" i="22" s="1"/>
  <c r="J29" i="25"/>
  <c r="J29" i="24"/>
  <c r="J29" i="23" s="1"/>
  <c r="J29" i="21" s="1"/>
  <c r="J29" i="22" s="1"/>
  <c r="J28" i="24"/>
  <c r="J28" i="23" s="1"/>
  <c r="J28" i="21" s="1"/>
  <c r="J28" i="22" s="1"/>
  <c r="J28" i="25"/>
  <c r="J30" i="25"/>
  <c r="J30" i="24"/>
  <c r="J30" i="23" s="1"/>
  <c r="J30" i="21" s="1"/>
  <c r="J30" i="22" s="1"/>
  <c r="J25" i="24"/>
  <c r="J25" i="23" s="1"/>
  <c r="J25" i="21" s="1"/>
  <c r="J25" i="22" s="1"/>
  <c r="J25" i="25"/>
  <c r="J27" i="24"/>
  <c r="J27" i="23" s="1"/>
  <c r="J27" i="21" s="1"/>
  <c r="J27" i="22" s="1"/>
  <c r="J27" i="25"/>
  <c r="J15" i="28"/>
  <c r="J15" i="26" s="1"/>
  <c r="J15" i="25" s="1"/>
  <c r="J15" i="24" s="1"/>
  <c r="J15" i="23" s="1"/>
  <c r="J15" i="21" s="1"/>
  <c r="J15" i="20" s="1"/>
  <c r="J15" i="19" s="1"/>
  <c r="J15" i="18" s="1"/>
  <c r="J15" i="17" s="1"/>
  <c r="J13" i="28"/>
  <c r="J13" i="26" s="1"/>
  <c r="J13" i="25" s="1"/>
  <c r="J13" i="24" s="1"/>
  <c r="J13" i="21" s="1"/>
  <c r="J13" i="22" s="1"/>
  <c r="J13" i="20" s="1"/>
  <c r="J13" i="19" s="1"/>
  <c r="J13" i="18" s="1"/>
  <c r="J13" i="17" s="1"/>
  <c r="J19" i="45"/>
  <c r="J14" i="28"/>
  <c r="J14" i="26" s="1"/>
  <c r="J14" i="25" s="1"/>
  <c r="J14" i="24" s="1"/>
  <c r="J14" i="21" s="1"/>
  <c r="J14" i="20" s="1"/>
  <c r="J14" i="19" s="1"/>
  <c r="J14" i="18" s="1"/>
  <c r="J14" i="17" s="1"/>
  <c r="N18" i="45"/>
  <c r="AH30" i="45"/>
  <c r="AD20" i="45"/>
  <c r="N29" i="45"/>
  <c r="M22" i="7"/>
  <c r="M22" i="6" s="1"/>
  <c r="M22" i="37" s="1"/>
  <c r="M22" i="4" s="1"/>
  <c r="M22" i="43" s="1"/>
  <c r="AD38" i="45"/>
  <c r="R30" i="45"/>
  <c r="J38" i="45"/>
  <c r="AL21" i="45"/>
  <c r="R21" i="45"/>
  <c r="Z30" i="45"/>
  <c r="N21" i="45"/>
  <c r="K34" i="27"/>
  <c r="AP30" i="45"/>
  <c r="V30" i="45"/>
  <c r="Z21" i="45"/>
  <c r="AP21" i="45"/>
  <c r="AL30" i="45"/>
  <c r="J57" i="32"/>
  <c r="J57" i="31" s="1"/>
  <c r="J57" i="30" s="1"/>
  <c r="J57" i="29" s="1"/>
  <c r="J57" i="27" s="1"/>
  <c r="V38" i="45"/>
  <c r="M9" i="29"/>
  <c r="C35" i="24"/>
  <c r="J20" i="45"/>
  <c r="R18" i="45"/>
  <c r="R20" i="45"/>
  <c r="AD18" i="45"/>
  <c r="I51" i="6"/>
  <c r="E35" i="32"/>
  <c r="AH18" i="45"/>
  <c r="AL18" i="45"/>
  <c r="AH23" i="45"/>
  <c r="V19" i="45"/>
  <c r="AP38" i="45"/>
  <c r="K34" i="23"/>
  <c r="K34" i="31"/>
  <c r="AH20" i="45"/>
  <c r="V29" i="45"/>
  <c r="AD29" i="45"/>
  <c r="Z29" i="45"/>
  <c r="AP29" i="45"/>
  <c r="D35" i="32"/>
  <c r="R29" i="45"/>
  <c r="AL29" i="45"/>
  <c r="AH29" i="45"/>
  <c r="J56" i="33"/>
  <c r="J56" i="32" s="1"/>
  <c r="J56" i="31" s="1"/>
  <c r="J56" i="30" s="1"/>
  <c r="J56" i="29" s="1"/>
  <c r="J56" i="27" s="1"/>
  <c r="J56" i="28" s="1"/>
  <c r="J56" i="26" s="1"/>
  <c r="J56" i="25" s="1"/>
  <c r="J56" i="24" s="1"/>
  <c r="J56" i="23" s="1"/>
  <c r="A12" i="1"/>
  <c r="A13" i="2" s="1"/>
  <c r="M7" i="33"/>
  <c r="E39" i="1"/>
  <c r="FV39" i="1" s="1"/>
  <c r="AL38" i="45"/>
  <c r="AJ16" i="48"/>
  <c r="D11" i="59" s="1"/>
  <c r="D43" i="31"/>
  <c r="E43" i="31" s="1"/>
  <c r="AJ17" i="48"/>
  <c r="D12" i="59" s="1"/>
  <c r="AJ39" i="48"/>
  <c r="D34" i="59" s="1"/>
  <c r="I9" i="54"/>
  <c r="C35" i="32"/>
  <c r="N20" i="45"/>
  <c r="V20" i="45"/>
  <c r="N17" i="45"/>
  <c r="AL20" i="45"/>
  <c r="AP20" i="45"/>
  <c r="AP17" i="45"/>
  <c r="M17" i="24"/>
  <c r="C35" i="17"/>
  <c r="D44" i="31"/>
  <c r="D44" i="30" s="1"/>
  <c r="E44" i="30" s="1"/>
  <c r="R38" i="45"/>
  <c r="Z38" i="45"/>
  <c r="N30" i="45"/>
  <c r="AD30" i="45"/>
  <c r="AH38" i="45"/>
  <c r="D40" i="31"/>
  <c r="D40" i="30" s="1"/>
  <c r="E40" i="30" s="1"/>
  <c r="J44" i="32"/>
  <c r="AL23" i="45"/>
  <c r="AL17" i="45"/>
  <c r="V17" i="45"/>
  <c r="Z23" i="45"/>
  <c r="R23" i="45"/>
  <c r="R19" i="45"/>
  <c r="AL19" i="45"/>
  <c r="E50" i="32"/>
  <c r="D41" i="31"/>
  <c r="E41" i="31" s="1"/>
  <c r="I45" i="24"/>
  <c r="D42" i="2"/>
  <c r="I51" i="7"/>
  <c r="Q11" i="48"/>
  <c r="Q12" i="48" s="1"/>
  <c r="AD23" i="45"/>
  <c r="J23" i="45"/>
  <c r="V23" i="45"/>
  <c r="N23" i="45"/>
  <c r="N19" i="45"/>
  <c r="Z19" i="45"/>
  <c r="AH19" i="45"/>
  <c r="AD19" i="45"/>
  <c r="I51" i="28"/>
  <c r="I45" i="25"/>
  <c r="F24" i="48"/>
  <c r="E35" i="24"/>
  <c r="I51" i="25"/>
  <c r="AH17" i="45"/>
  <c r="Z17" i="45"/>
  <c r="J17" i="45"/>
  <c r="R17" i="45"/>
  <c r="AD17" i="45"/>
  <c r="F18" i="48"/>
  <c r="I16" i="48"/>
  <c r="I45" i="26"/>
  <c r="I45" i="28"/>
  <c r="F32" i="48"/>
  <c r="I45" i="9"/>
  <c r="F19" i="48"/>
  <c r="F14" i="48"/>
  <c r="D35" i="24"/>
  <c r="I51" i="13"/>
  <c r="I45" i="13"/>
  <c r="I39" i="48"/>
  <c r="C38" i="45"/>
  <c r="X39" i="48"/>
  <c r="H34" i="59" s="1"/>
  <c r="I51" i="24"/>
  <c r="P6" i="46"/>
  <c r="P150" i="46" s="1"/>
  <c r="O150" i="46" s="1"/>
  <c r="AP8" i="45"/>
  <c r="D35" i="33"/>
  <c r="C35" i="33"/>
  <c r="E35" i="33"/>
  <c r="D47" i="31"/>
  <c r="D47" i="30" s="1"/>
  <c r="D46" i="31"/>
  <c r="D46" i="30" s="1"/>
  <c r="E39" i="32"/>
  <c r="D48" i="31"/>
  <c r="D48" i="30" s="1"/>
  <c r="D48" i="29" s="1"/>
  <c r="D48" i="27" s="1"/>
  <c r="D48" i="28" s="1"/>
  <c r="E48" i="28" s="1"/>
  <c r="D38" i="31"/>
  <c r="D38" i="30" s="1"/>
  <c r="D51" i="31"/>
  <c r="E51" i="31" s="1"/>
  <c r="E52" i="33"/>
  <c r="E53" i="33" s="1"/>
  <c r="D52" i="32"/>
  <c r="D42" i="31"/>
  <c r="D42" i="30" s="1"/>
  <c r="D45" i="31"/>
  <c r="D45" i="30" s="1"/>
  <c r="D45" i="29" s="1"/>
  <c r="D49" i="31"/>
  <c r="E49" i="31" s="1"/>
  <c r="D50" i="29"/>
  <c r="E50" i="29" s="1"/>
  <c r="E50" i="31"/>
  <c r="D39" i="30"/>
  <c r="E39" i="31"/>
  <c r="F22" i="48"/>
  <c r="C35" i="7"/>
  <c r="E35" i="7"/>
  <c r="F31" i="48"/>
  <c r="F20" i="48"/>
  <c r="D41" i="1"/>
  <c r="F10" i="48"/>
  <c r="E35" i="17"/>
  <c r="D35" i="7"/>
  <c r="E16" i="1"/>
  <c r="F39" i="48"/>
  <c r="F21" i="48"/>
  <c r="Z13" i="45"/>
  <c r="AL13" i="45"/>
  <c r="AP13" i="45"/>
  <c r="V13" i="45"/>
  <c r="J13" i="45"/>
  <c r="AD13" i="45"/>
  <c r="N13" i="45"/>
  <c r="R13" i="45"/>
  <c r="AH13" i="45"/>
  <c r="AD11" i="45"/>
  <c r="AH11" i="45"/>
  <c r="Z11" i="45"/>
  <c r="AL11" i="45"/>
  <c r="N11" i="45"/>
  <c r="R11" i="45"/>
  <c r="V11" i="45"/>
  <c r="AP11" i="45"/>
  <c r="J11" i="45"/>
  <c r="I45" i="4"/>
  <c r="I51" i="4"/>
  <c r="F33" i="48"/>
  <c r="AD26" i="45"/>
  <c r="R26" i="45"/>
  <c r="AH26" i="45"/>
  <c r="Z26" i="45"/>
  <c r="N26" i="45"/>
  <c r="AL26" i="45"/>
  <c r="J26" i="45"/>
  <c r="AP26" i="45"/>
  <c r="V26" i="45"/>
  <c r="AH16" i="45"/>
  <c r="R16" i="45"/>
  <c r="AL16" i="45"/>
  <c r="Z16" i="45"/>
  <c r="V16" i="45"/>
  <c r="N16" i="45"/>
  <c r="AD16" i="45"/>
  <c r="AP16" i="45"/>
  <c r="J16" i="45"/>
  <c r="Z14" i="45"/>
  <c r="AL14" i="45"/>
  <c r="AH14" i="45"/>
  <c r="N14" i="45"/>
  <c r="J14" i="45"/>
  <c r="AD14" i="45"/>
  <c r="V14" i="45"/>
  <c r="R14" i="45"/>
  <c r="AP14" i="45"/>
  <c r="AP12" i="45"/>
  <c r="Z12" i="45"/>
  <c r="V12" i="45"/>
  <c r="AL12" i="45"/>
  <c r="R12" i="45"/>
  <c r="AH12" i="45"/>
  <c r="J12" i="45"/>
  <c r="AD12" i="45"/>
  <c r="N12" i="45"/>
  <c r="R10" i="45"/>
  <c r="N10" i="45"/>
  <c r="AH10" i="45"/>
  <c r="Z10" i="45"/>
  <c r="AL10" i="45"/>
  <c r="J10" i="45"/>
  <c r="AP10" i="45"/>
  <c r="V10" i="45"/>
  <c r="AD10" i="45"/>
  <c r="D35" i="17"/>
  <c r="E17" i="1"/>
  <c r="I17" i="48"/>
  <c r="X17" i="48"/>
  <c r="H12" i="59" s="1"/>
  <c r="C16" i="45"/>
  <c r="J17" i="48"/>
  <c r="B12" i="59" s="1"/>
  <c r="F9" i="48"/>
  <c r="F26" i="48"/>
  <c r="AP9" i="45"/>
  <c r="R9" i="45"/>
  <c r="J9" i="45"/>
  <c r="AD9" i="45"/>
  <c r="N9" i="45"/>
  <c r="Z9" i="45"/>
  <c r="AH9" i="45"/>
  <c r="V9" i="45"/>
  <c r="AL9" i="45"/>
  <c r="F16" i="48"/>
  <c r="F11" i="48"/>
  <c r="C22" i="45"/>
  <c r="I45" i="19"/>
  <c r="I51" i="19"/>
  <c r="J57" i="21"/>
  <c r="J57" i="22" s="1"/>
  <c r="J57" i="20" s="1"/>
  <c r="J57" i="19" s="1"/>
  <c r="J57" i="18" s="1"/>
  <c r="J57" i="17" s="1"/>
  <c r="I45" i="21"/>
  <c r="C15" i="45"/>
  <c r="J16" i="48"/>
  <c r="B11" i="59" s="1"/>
  <c r="X16" i="48"/>
  <c r="H11" i="59" s="1"/>
  <c r="E35" i="15"/>
  <c r="D35" i="15"/>
  <c r="C35" i="15"/>
  <c r="F37" i="48"/>
  <c r="F38" i="48"/>
  <c r="F34" i="48"/>
  <c r="F29" i="48"/>
  <c r="J39" i="33"/>
  <c r="J37" i="32"/>
  <c r="D35" i="4"/>
  <c r="C35" i="4"/>
  <c r="E35" i="4"/>
  <c r="E35" i="18"/>
  <c r="D35" i="18"/>
  <c r="C35" i="18"/>
  <c r="AD8" i="45"/>
  <c r="AL8" i="45"/>
  <c r="Z8" i="45"/>
  <c r="V8" i="45"/>
  <c r="AH8" i="45"/>
  <c r="R8" i="45"/>
  <c r="J8" i="45"/>
  <c r="J44" i="31"/>
  <c r="J43" i="30"/>
  <c r="AL25" i="45"/>
  <c r="Z25" i="45"/>
  <c r="N25" i="45"/>
  <c r="AH25" i="45"/>
  <c r="R25" i="45"/>
  <c r="J25" i="45"/>
  <c r="AP25" i="45"/>
  <c r="AD25" i="45"/>
  <c r="V25" i="45"/>
  <c r="J50" i="31"/>
  <c r="J49" i="30"/>
  <c r="V41" i="48"/>
  <c r="AL15" i="45"/>
  <c r="R15" i="45"/>
  <c r="AH15" i="45"/>
  <c r="AD15" i="45"/>
  <c r="V15" i="45"/>
  <c r="B40" i="45"/>
  <c r="J15" i="45"/>
  <c r="Z15" i="45"/>
  <c r="AP15" i="45"/>
  <c r="N15" i="45"/>
  <c r="AA128" i="46" l="1"/>
  <c r="AB128" i="46" s="1"/>
  <c r="X128" i="46"/>
  <c r="I51" i="9"/>
  <c r="X116" i="46"/>
  <c r="AA116" i="46"/>
  <c r="AB116" i="46" s="1"/>
  <c r="W106" i="46"/>
  <c r="AA98" i="46"/>
  <c r="AB98" i="46" s="1"/>
  <c r="X98" i="46"/>
  <c r="I40" i="15"/>
  <c r="R27" i="48" s="1"/>
  <c r="F22" i="59" s="1"/>
  <c r="W94" i="46"/>
  <c r="AA90" i="46"/>
  <c r="AB90" i="46" s="1"/>
  <c r="X90" i="46"/>
  <c r="I45" i="14"/>
  <c r="I51" i="14"/>
  <c r="J36" i="48"/>
  <c r="B31" i="59" s="1"/>
  <c r="J34" i="48"/>
  <c r="B29" i="59" s="1"/>
  <c r="E34" i="1"/>
  <c r="ID34" i="1" s="1"/>
  <c r="W30" i="46"/>
  <c r="I51" i="21"/>
  <c r="AJ34" i="48"/>
  <c r="D29" i="59" s="1"/>
  <c r="F29" i="59"/>
  <c r="I34" i="48"/>
  <c r="I45" i="37"/>
  <c r="X34" i="48"/>
  <c r="H29" i="59" s="1"/>
  <c r="J9" i="23"/>
  <c r="J9" i="21" s="1"/>
  <c r="J9" i="22" s="1"/>
  <c r="J9" i="20" s="1"/>
  <c r="J9" i="19" s="1"/>
  <c r="J9" i="18" s="1"/>
  <c r="I51" i="37"/>
  <c r="I45" i="10"/>
  <c r="R32" i="48"/>
  <c r="F27" i="59" s="1"/>
  <c r="R25" i="48"/>
  <c r="E25" i="1" s="1"/>
  <c r="I45" i="20"/>
  <c r="R22" i="48"/>
  <c r="F17" i="59" s="1"/>
  <c r="AI33" i="45"/>
  <c r="I40" i="31"/>
  <c r="P34" i="1"/>
  <c r="AZ34" i="1"/>
  <c r="DT34" i="1"/>
  <c r="HI34" i="1"/>
  <c r="M34" i="1"/>
  <c r="DE34" i="1"/>
  <c r="GW34" i="1"/>
  <c r="JB34" i="1"/>
  <c r="I45" i="16"/>
  <c r="EF34" i="1"/>
  <c r="G34" i="1"/>
  <c r="EO34" i="1"/>
  <c r="IG34" i="1"/>
  <c r="JH34" i="1"/>
  <c r="FS34" i="1"/>
  <c r="J34" i="1"/>
  <c r="DB34" i="1"/>
  <c r="GT34" i="1"/>
  <c r="I51" i="18"/>
  <c r="AQ34" i="1"/>
  <c r="CV34" i="1"/>
  <c r="AN34" i="1"/>
  <c r="BI34" i="1"/>
  <c r="FA34" i="1"/>
  <c r="IS34" i="1"/>
  <c r="CM34" i="1"/>
  <c r="GE34" i="1"/>
  <c r="V34" i="1"/>
  <c r="DN34" i="1"/>
  <c r="HF34" i="1"/>
  <c r="I45" i="18"/>
  <c r="BX34" i="1"/>
  <c r="GN34" i="1"/>
  <c r="BC34" i="1"/>
  <c r="BU34" i="1"/>
  <c r="FM34" i="1"/>
  <c r="JE34" i="1"/>
  <c r="CY34" i="1"/>
  <c r="GQ34" i="1"/>
  <c r="AH34" i="1"/>
  <c r="DZ34" i="1"/>
  <c r="HR34" i="1"/>
  <c r="DH34" i="1"/>
  <c r="S34" i="1"/>
  <c r="CJ34" i="1"/>
  <c r="CG34" i="1"/>
  <c r="FY34" i="1"/>
  <c r="GZ34" i="1"/>
  <c r="DK34" i="1"/>
  <c r="HC34" i="1"/>
  <c r="AT34" i="1"/>
  <c r="EL34" i="1"/>
  <c r="I40" i="12"/>
  <c r="R30" i="48" s="1"/>
  <c r="F25" i="59" s="1"/>
  <c r="I45" i="17"/>
  <c r="I51" i="17"/>
  <c r="I45" i="15"/>
  <c r="I51" i="15"/>
  <c r="O33" i="45"/>
  <c r="AJ32" i="48"/>
  <c r="D27" i="59" s="1"/>
  <c r="AA33" i="45"/>
  <c r="AM33" i="45"/>
  <c r="J32" i="48"/>
  <c r="B27" i="59" s="1"/>
  <c r="AQ33" i="45"/>
  <c r="E32" i="1"/>
  <c r="GE32" i="1" s="1"/>
  <c r="W33" i="45"/>
  <c r="C31" i="45"/>
  <c r="AE31" i="45" s="1"/>
  <c r="AE33" i="45"/>
  <c r="S33" i="45"/>
  <c r="I51" i="16"/>
  <c r="J10" i="16"/>
  <c r="J10" i="15" s="1"/>
  <c r="J10" i="14" s="1"/>
  <c r="J10" i="13" s="1"/>
  <c r="J8" i="17"/>
  <c r="J8" i="16" s="1"/>
  <c r="J8" i="15" s="1"/>
  <c r="J8" i="14" s="1"/>
  <c r="J8" i="13" s="1"/>
  <c r="S22" i="45"/>
  <c r="AM22" i="45"/>
  <c r="K22" i="45"/>
  <c r="G22" i="45"/>
  <c r="W22" i="45"/>
  <c r="O22" i="45"/>
  <c r="AQ22" i="45"/>
  <c r="AI22" i="45"/>
  <c r="AA22" i="45"/>
  <c r="AE22" i="45"/>
  <c r="AT22" i="45"/>
  <c r="J29" i="20"/>
  <c r="J29" i="19" s="1"/>
  <c r="J29" i="18" s="1"/>
  <c r="J27" i="20"/>
  <c r="J27" i="19" s="1"/>
  <c r="J27" i="18" s="1"/>
  <c r="J23" i="20"/>
  <c r="J23" i="19" s="1"/>
  <c r="J23" i="18" s="1"/>
  <c r="J26" i="20"/>
  <c r="J26" i="19" s="1"/>
  <c r="J26" i="18" s="1"/>
  <c r="J25" i="20"/>
  <c r="J25" i="19" s="1"/>
  <c r="J25" i="18" s="1"/>
  <c r="J30" i="20"/>
  <c r="J30" i="19" s="1"/>
  <c r="J30" i="18" s="1"/>
  <c r="J28" i="20"/>
  <c r="J28" i="19" s="1"/>
  <c r="J28" i="18" s="1"/>
  <c r="J31" i="20"/>
  <c r="J31" i="19" s="1"/>
  <c r="J31" i="18" s="1"/>
  <c r="I40" i="22"/>
  <c r="R21" i="48" s="1"/>
  <c r="F16" i="59" s="1"/>
  <c r="J19" i="23"/>
  <c r="J19" i="21" s="1"/>
  <c r="J19" i="22" s="1"/>
  <c r="A13" i="1"/>
  <c r="A14" i="2" s="1"/>
  <c r="J22" i="23"/>
  <c r="J22" i="21" s="1"/>
  <c r="J22" i="22" s="1"/>
  <c r="J24" i="23"/>
  <c r="J24" i="21" s="1"/>
  <c r="J24" i="22" s="1"/>
  <c r="J20" i="23"/>
  <c r="J20" i="21" s="1"/>
  <c r="J20" i="22" s="1"/>
  <c r="J16" i="21"/>
  <c r="J16" i="22" s="1"/>
  <c r="J16" i="20" s="1"/>
  <c r="J16" i="19" s="1"/>
  <c r="J16" i="18" s="1"/>
  <c r="J17" i="23"/>
  <c r="J17" i="21" s="1"/>
  <c r="J17" i="22" s="1"/>
  <c r="J17" i="20" s="1"/>
  <c r="J17" i="19" s="1"/>
  <c r="J17" i="18" s="1"/>
  <c r="J21" i="23"/>
  <c r="J21" i="21" s="1"/>
  <c r="J21" i="22" s="1"/>
  <c r="I40" i="23"/>
  <c r="BL39" i="1"/>
  <c r="M17" i="23"/>
  <c r="M17" i="21" s="1"/>
  <c r="M17" i="22" s="1"/>
  <c r="M17" i="20" s="1"/>
  <c r="M17" i="19" s="1"/>
  <c r="M17" i="18" s="1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M17" i="37" s="1"/>
  <c r="M17" i="4" s="1"/>
  <c r="M17" i="43" s="1"/>
  <c r="J18" i="24"/>
  <c r="I36" i="48"/>
  <c r="E44" i="31"/>
  <c r="FD39" i="1"/>
  <c r="K34" i="29"/>
  <c r="EC39" i="1"/>
  <c r="DB39" i="1"/>
  <c r="HU39" i="1"/>
  <c r="GT39" i="1"/>
  <c r="IV39" i="1"/>
  <c r="CA39" i="1"/>
  <c r="FS39" i="1"/>
  <c r="I40" i="27"/>
  <c r="R14" i="48" s="1"/>
  <c r="F9" i="59" s="1"/>
  <c r="AK39" i="1"/>
  <c r="J39" i="1"/>
  <c r="M9" i="27"/>
  <c r="M9" i="28" s="1"/>
  <c r="M9" i="26" s="1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C35" i="45"/>
  <c r="AM35" i="45" s="1"/>
  <c r="AJ36" i="48"/>
  <c r="D31" i="59" s="1"/>
  <c r="E36" i="1"/>
  <c r="HF36" i="1" s="1"/>
  <c r="Z150" i="58"/>
  <c r="AW39" i="1"/>
  <c r="DN39" i="1"/>
  <c r="Y39" i="1"/>
  <c r="DQ39" i="1"/>
  <c r="HI39" i="1"/>
  <c r="AZ39" i="1"/>
  <c r="ER39" i="1"/>
  <c r="IJ39" i="1"/>
  <c r="BO39" i="1"/>
  <c r="FG39" i="1"/>
  <c r="IY39" i="1"/>
  <c r="CP39" i="1"/>
  <c r="GH39" i="1"/>
  <c r="X36" i="48"/>
  <c r="H31" i="59" s="1"/>
  <c r="E40" i="2"/>
  <c r="CC40" i="2" s="1"/>
  <c r="BI39" i="1"/>
  <c r="FA39" i="1"/>
  <c r="IS39" i="1"/>
  <c r="CJ39" i="1"/>
  <c r="GB39" i="1"/>
  <c r="G39" i="1"/>
  <c r="CY39" i="1"/>
  <c r="GQ39" i="1"/>
  <c r="AH39" i="1"/>
  <c r="DZ39" i="1"/>
  <c r="HR39" i="1"/>
  <c r="EO39" i="1"/>
  <c r="FP39" i="1"/>
  <c r="CM39" i="1"/>
  <c r="HF39" i="1"/>
  <c r="K34" i="33"/>
  <c r="BU39" i="1"/>
  <c r="FM39" i="1"/>
  <c r="JE39" i="1"/>
  <c r="CV39" i="1"/>
  <c r="GN39" i="1"/>
  <c r="S39" i="1"/>
  <c r="DK39" i="1"/>
  <c r="HC39" i="1"/>
  <c r="AT39" i="1"/>
  <c r="EL39" i="1"/>
  <c r="ID39" i="1"/>
  <c r="IG39" i="1"/>
  <c r="GE39" i="1"/>
  <c r="CG39" i="1"/>
  <c r="FY39" i="1"/>
  <c r="P39" i="1"/>
  <c r="DH39" i="1"/>
  <c r="GZ39" i="1"/>
  <c r="AE39" i="1"/>
  <c r="DW39" i="1"/>
  <c r="HO39" i="1"/>
  <c r="BF39" i="1"/>
  <c r="EX39" i="1"/>
  <c r="IP39" i="1"/>
  <c r="V39" i="1"/>
  <c r="CS39" i="1"/>
  <c r="GK39" i="1"/>
  <c r="AB39" i="1"/>
  <c r="DT39" i="1"/>
  <c r="HL39" i="1"/>
  <c r="AQ39" i="1"/>
  <c r="EI39" i="1"/>
  <c r="IA39" i="1"/>
  <c r="BR39" i="1"/>
  <c r="FJ39" i="1"/>
  <c r="JB39" i="1"/>
  <c r="BX39" i="1"/>
  <c r="JH39" i="1"/>
  <c r="M39" i="1"/>
  <c r="DE39" i="1"/>
  <c r="GW39" i="1"/>
  <c r="AN39" i="1"/>
  <c r="EF39" i="1"/>
  <c r="HX39" i="1"/>
  <c r="BC39" i="1"/>
  <c r="EU39" i="1"/>
  <c r="IM39" i="1"/>
  <c r="CD39" i="1"/>
  <c r="D43" i="30"/>
  <c r="E43" i="30" s="1"/>
  <c r="D44" i="29"/>
  <c r="D44" i="27" s="1"/>
  <c r="D44" i="28" s="1"/>
  <c r="D44" i="26" s="1"/>
  <c r="E44" i="26" s="1"/>
  <c r="M34" i="33"/>
  <c r="J40" i="33" s="1"/>
  <c r="J45" i="33" s="1"/>
  <c r="M7" i="32"/>
  <c r="M7" i="31" s="1"/>
  <c r="M7" i="30" s="1"/>
  <c r="M7" i="29" s="1"/>
  <c r="M7" i="27" s="1"/>
  <c r="M7" i="28" s="1"/>
  <c r="E40" i="31"/>
  <c r="D40" i="29"/>
  <c r="D40" i="27" s="1"/>
  <c r="E40" i="27" s="1"/>
  <c r="AJ33" i="48"/>
  <c r="D28" i="59" s="1"/>
  <c r="AJ15" i="48"/>
  <c r="D10" i="59" s="1"/>
  <c r="AJ37" i="48"/>
  <c r="D32" i="59" s="1"/>
  <c r="AJ24" i="48"/>
  <c r="D19" i="59" s="1"/>
  <c r="AJ35" i="48"/>
  <c r="D30" i="59" s="1"/>
  <c r="AJ23" i="48"/>
  <c r="D18" i="59" s="1"/>
  <c r="AJ28" i="48"/>
  <c r="D23" i="59" s="1"/>
  <c r="AJ38" i="48"/>
  <c r="D33" i="59" s="1"/>
  <c r="AJ18" i="48"/>
  <c r="D13" i="59" s="1"/>
  <c r="AJ27" i="48"/>
  <c r="D22" i="59" s="1"/>
  <c r="AJ29" i="48"/>
  <c r="D24" i="59" s="1"/>
  <c r="AJ26" i="48"/>
  <c r="D21" i="59" s="1"/>
  <c r="IY17" i="1"/>
  <c r="IM17" i="1"/>
  <c r="IA17" i="1"/>
  <c r="HO17" i="1"/>
  <c r="HC17" i="1"/>
  <c r="GQ17" i="1"/>
  <c r="GE17" i="1"/>
  <c r="FS17" i="1"/>
  <c r="FG17" i="1"/>
  <c r="EU17" i="1"/>
  <c r="EI17" i="1"/>
  <c r="DW17" i="1"/>
  <c r="DK17" i="1"/>
  <c r="CY17" i="1"/>
  <c r="CM17" i="1"/>
  <c r="CA17" i="1"/>
  <c r="BO17" i="1"/>
  <c r="BC17" i="1"/>
  <c r="AQ17" i="1"/>
  <c r="AE17" i="1"/>
  <c r="S17" i="1"/>
  <c r="G17" i="1"/>
  <c r="JH17" i="1"/>
  <c r="IV17" i="1"/>
  <c r="IJ17" i="1"/>
  <c r="HX17" i="1"/>
  <c r="HL17" i="1"/>
  <c r="GZ17" i="1"/>
  <c r="GN17" i="1"/>
  <c r="GB17" i="1"/>
  <c r="FP17" i="1"/>
  <c r="FD17" i="1"/>
  <c r="ER17" i="1"/>
  <c r="EF17" i="1"/>
  <c r="DT17" i="1"/>
  <c r="DH17" i="1"/>
  <c r="CV17" i="1"/>
  <c r="CJ17" i="1"/>
  <c r="BX17" i="1"/>
  <c r="BL17" i="1"/>
  <c r="AZ17" i="1"/>
  <c r="AN17" i="1"/>
  <c r="AB17" i="1"/>
  <c r="P17" i="1"/>
  <c r="JE17" i="1"/>
  <c r="IS17" i="1"/>
  <c r="IG17" i="1"/>
  <c r="HU17" i="1"/>
  <c r="HI17" i="1"/>
  <c r="GW17" i="1"/>
  <c r="GK17" i="1"/>
  <c r="FY17" i="1"/>
  <c r="FM17" i="1"/>
  <c r="FA17" i="1"/>
  <c r="EO17" i="1"/>
  <c r="EC17" i="1"/>
  <c r="DQ17" i="1"/>
  <c r="DE17" i="1"/>
  <c r="CS17" i="1"/>
  <c r="CG17" i="1"/>
  <c r="BU17" i="1"/>
  <c r="BI17" i="1"/>
  <c r="AW17" i="1"/>
  <c r="AK17" i="1"/>
  <c r="Y17" i="1"/>
  <c r="M17" i="1"/>
  <c r="JB17" i="1"/>
  <c r="IP17" i="1"/>
  <c r="ID17" i="1"/>
  <c r="HR17" i="1"/>
  <c r="HF17" i="1"/>
  <c r="GT17" i="1"/>
  <c r="GH17" i="1"/>
  <c r="FV17" i="1"/>
  <c r="FJ17" i="1"/>
  <c r="EX17" i="1"/>
  <c r="EL17" i="1"/>
  <c r="DZ17" i="1"/>
  <c r="DN17" i="1"/>
  <c r="DB17" i="1"/>
  <c r="CP17" i="1"/>
  <c r="CD17" i="1"/>
  <c r="BR17" i="1"/>
  <c r="BF17" i="1"/>
  <c r="AT17" i="1"/>
  <c r="AH17" i="1"/>
  <c r="V17" i="1"/>
  <c r="J17" i="1"/>
  <c r="E17" i="2"/>
  <c r="CC17" i="2" s="1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JB16" i="1"/>
  <c r="IP16" i="1"/>
  <c r="ID16" i="1"/>
  <c r="HR16" i="1"/>
  <c r="HF16" i="1"/>
  <c r="GT16" i="1"/>
  <c r="GH16" i="1"/>
  <c r="FV16" i="1"/>
  <c r="FJ16" i="1"/>
  <c r="EX16" i="1"/>
  <c r="EL16" i="1"/>
  <c r="DZ16" i="1"/>
  <c r="DN16" i="1"/>
  <c r="DB16" i="1"/>
  <c r="CP16" i="1"/>
  <c r="CD16" i="1"/>
  <c r="BR16" i="1"/>
  <c r="BF16" i="1"/>
  <c r="AT16" i="1"/>
  <c r="AH16" i="1"/>
  <c r="V16" i="1"/>
  <c r="J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JH16" i="1"/>
  <c r="IV16" i="1"/>
  <c r="IJ16" i="1"/>
  <c r="HX16" i="1"/>
  <c r="HL16" i="1"/>
  <c r="GZ16" i="1"/>
  <c r="GN16" i="1"/>
  <c r="GB16" i="1"/>
  <c r="FP16" i="1"/>
  <c r="FD16" i="1"/>
  <c r="ER16" i="1"/>
  <c r="EF16" i="1"/>
  <c r="DT16" i="1"/>
  <c r="DH16" i="1"/>
  <c r="CV16" i="1"/>
  <c r="CJ16" i="1"/>
  <c r="BX16" i="1"/>
  <c r="BL16" i="1"/>
  <c r="AZ16" i="1"/>
  <c r="AN16" i="1"/>
  <c r="AB16" i="1"/>
  <c r="P16" i="1"/>
  <c r="M8" i="32"/>
  <c r="M8" i="31" s="1"/>
  <c r="M8" i="30" s="1"/>
  <c r="M8" i="29" s="1"/>
  <c r="M8" i="27" s="1"/>
  <c r="M8" i="28" s="1"/>
  <c r="M8" i="26" s="1"/>
  <c r="M8" i="25" s="1"/>
  <c r="M8" i="24" s="1"/>
  <c r="M8" i="23" s="1"/>
  <c r="M8" i="21" s="1"/>
  <c r="M8" i="22" s="1"/>
  <c r="M8" i="20" s="1"/>
  <c r="M8" i="19" s="1"/>
  <c r="M8" i="18" s="1"/>
  <c r="M8" i="17" s="1"/>
  <c r="M8" i="16" s="1"/>
  <c r="M8" i="15" s="1"/>
  <c r="M8" i="14" s="1"/>
  <c r="M8" i="13" s="1"/>
  <c r="M8" i="12" s="1"/>
  <c r="M8" i="11" s="1"/>
  <c r="M8" i="10" s="1"/>
  <c r="M8" i="9" s="1"/>
  <c r="M8" i="8" s="1"/>
  <c r="M8" i="7" s="1"/>
  <c r="M8" i="6" s="1"/>
  <c r="M8" i="37" s="1"/>
  <c r="M8" i="4" s="1"/>
  <c r="M8" i="43" s="1"/>
  <c r="D53" i="32"/>
  <c r="K34" i="32"/>
  <c r="E52" i="32"/>
  <c r="E53" i="32" s="1"/>
  <c r="U6" i="46"/>
  <c r="W11" i="48"/>
  <c r="D41" i="30"/>
  <c r="D41" i="29" s="1"/>
  <c r="D41" i="27" s="1"/>
  <c r="E48" i="30"/>
  <c r="E45" i="30"/>
  <c r="D49" i="30"/>
  <c r="D49" i="29" s="1"/>
  <c r="E49" i="29" s="1"/>
  <c r="E18" i="2"/>
  <c r="X35" i="48"/>
  <c r="H30" i="59" s="1"/>
  <c r="I35" i="48"/>
  <c r="E35" i="1"/>
  <c r="C34" i="45"/>
  <c r="J35" i="48"/>
  <c r="B30" i="59" s="1"/>
  <c r="K34" i="11"/>
  <c r="M20" i="11"/>
  <c r="M20" i="10" s="1"/>
  <c r="M20" i="9" s="1"/>
  <c r="M20" i="8" s="1"/>
  <c r="M20" i="7" s="1"/>
  <c r="M20" i="6" s="1"/>
  <c r="M20" i="37" s="1"/>
  <c r="M20" i="4" s="1"/>
  <c r="M20" i="43" s="1"/>
  <c r="C6" i="46"/>
  <c r="N9" i="48" s="1"/>
  <c r="V6" i="46"/>
  <c r="V150" i="46" s="1"/>
  <c r="I10" i="54" s="1"/>
  <c r="E39" i="53" s="1"/>
  <c r="T6" i="46"/>
  <c r="C26" i="45"/>
  <c r="X27" i="48"/>
  <c r="H22" i="59" s="1"/>
  <c r="I27" i="48"/>
  <c r="E27" i="1"/>
  <c r="J27" i="48"/>
  <c r="B22" i="59" s="1"/>
  <c r="X26" i="48"/>
  <c r="H21" i="59" s="1"/>
  <c r="C25" i="45"/>
  <c r="J26" i="48"/>
  <c r="B21" i="59" s="1"/>
  <c r="E26" i="1"/>
  <c r="I26" i="48"/>
  <c r="I15" i="48"/>
  <c r="E15" i="1"/>
  <c r="C14" i="45"/>
  <c r="X15" i="48"/>
  <c r="H10" i="59" s="1"/>
  <c r="J15" i="48"/>
  <c r="B10" i="59" s="1"/>
  <c r="K34" i="30"/>
  <c r="M11" i="30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E33" i="1"/>
  <c r="X33" i="48"/>
  <c r="H28" i="59" s="1"/>
  <c r="C32" i="45"/>
  <c r="J33" i="48"/>
  <c r="B28" i="59" s="1"/>
  <c r="I33" i="48"/>
  <c r="J18" i="48"/>
  <c r="B13" i="59" s="1"/>
  <c r="C17" i="45"/>
  <c r="X18" i="48"/>
  <c r="H13" i="59" s="1"/>
  <c r="I18" i="48"/>
  <c r="E18" i="1"/>
  <c r="O38" i="45"/>
  <c r="AI38" i="45"/>
  <c r="AA38" i="45"/>
  <c r="K38" i="45"/>
  <c r="AE38" i="45"/>
  <c r="W38" i="45"/>
  <c r="AQ38" i="45"/>
  <c r="S38" i="45"/>
  <c r="AM38" i="45"/>
  <c r="I29" i="48"/>
  <c r="X29" i="48"/>
  <c r="H24" i="59" s="1"/>
  <c r="C28" i="45"/>
  <c r="J29" i="48"/>
  <c r="B24" i="59" s="1"/>
  <c r="E29" i="1"/>
  <c r="E47" i="31"/>
  <c r="E46" i="31"/>
  <c r="E38" i="31"/>
  <c r="D48" i="26"/>
  <c r="D48" i="25" s="1"/>
  <c r="E48" i="31"/>
  <c r="E48" i="27"/>
  <c r="E48" i="29"/>
  <c r="E42" i="31"/>
  <c r="D52" i="31"/>
  <c r="D53" i="31" s="1"/>
  <c r="D51" i="30"/>
  <c r="D51" i="29" s="1"/>
  <c r="E51" i="29" s="1"/>
  <c r="E45" i="31"/>
  <c r="E45" i="29"/>
  <c r="D45" i="27"/>
  <c r="D50" i="27"/>
  <c r="D50" i="28" s="1"/>
  <c r="D42" i="29"/>
  <c r="E42" i="30"/>
  <c r="D46" i="29"/>
  <c r="E46" i="30"/>
  <c r="D39" i="29"/>
  <c r="E39" i="30"/>
  <c r="E47" i="30"/>
  <c r="D47" i="29"/>
  <c r="E37" i="1"/>
  <c r="E23" i="1"/>
  <c r="W16" i="45"/>
  <c r="AA16" i="45"/>
  <c r="O16" i="45"/>
  <c r="K16" i="45"/>
  <c r="AE16" i="45"/>
  <c r="AM16" i="45"/>
  <c r="S16" i="45"/>
  <c r="AQ16" i="45"/>
  <c r="AI16" i="45"/>
  <c r="E24" i="1"/>
  <c r="I24" i="48"/>
  <c r="C23" i="45"/>
  <c r="J24" i="48"/>
  <c r="B19" i="59" s="1"/>
  <c r="X24" i="48"/>
  <c r="H19" i="59" s="1"/>
  <c r="E28" i="1"/>
  <c r="E38" i="1"/>
  <c r="C37" i="45"/>
  <c r="J38" i="48"/>
  <c r="B33" i="59" s="1"/>
  <c r="I38" i="48"/>
  <c r="X38" i="48"/>
  <c r="H33" i="59" s="1"/>
  <c r="J37" i="31"/>
  <c r="J39" i="32"/>
  <c r="AI15" i="45"/>
  <c r="K15" i="45"/>
  <c r="AE15" i="45"/>
  <c r="AA15" i="45"/>
  <c r="S15" i="45"/>
  <c r="O15" i="45"/>
  <c r="AQ15" i="45"/>
  <c r="AM15" i="45"/>
  <c r="W15" i="45"/>
  <c r="I28" i="48"/>
  <c r="C27" i="45"/>
  <c r="J28" i="48"/>
  <c r="B23" i="59" s="1"/>
  <c r="X28" i="48"/>
  <c r="H23" i="59" s="1"/>
  <c r="J37" i="48"/>
  <c r="B32" i="59" s="1"/>
  <c r="C36" i="45"/>
  <c r="I37" i="48"/>
  <c r="X37" i="48"/>
  <c r="H32" i="59" s="1"/>
  <c r="X23" i="48"/>
  <c r="H18" i="59" s="1"/>
  <c r="I23" i="48"/>
  <c r="J23" i="48"/>
  <c r="B18" i="59" s="1"/>
  <c r="AD40" i="45"/>
  <c r="AP40" i="45"/>
  <c r="AX22" i="45" s="1"/>
  <c r="AX24" i="45" s="1"/>
  <c r="AH40" i="45"/>
  <c r="Z40" i="45"/>
  <c r="R40" i="45"/>
  <c r="N40" i="45"/>
  <c r="J40" i="45"/>
  <c r="V40" i="45"/>
  <c r="AL40" i="45"/>
  <c r="D38" i="29"/>
  <c r="E38" i="30"/>
  <c r="J49" i="29"/>
  <c r="J50" i="30"/>
  <c r="J57" i="16"/>
  <c r="J57" i="28"/>
  <c r="J56" i="21"/>
  <c r="J43" i="29"/>
  <c r="J44" i="30"/>
  <c r="W12" i="48"/>
  <c r="Q13" i="48"/>
  <c r="AB34" i="1" l="1"/>
  <c r="HO34" i="1"/>
  <c r="EI34" i="1"/>
  <c r="IJ34" i="1"/>
  <c r="HX34" i="1"/>
  <c r="EC34" i="1"/>
  <c r="AA106" i="46"/>
  <c r="AB106" i="46" s="1"/>
  <c r="X106" i="46"/>
  <c r="DQ34" i="1"/>
  <c r="FV34" i="1"/>
  <c r="CA34" i="1"/>
  <c r="FJ34" i="1"/>
  <c r="BO34" i="1"/>
  <c r="FD34" i="1"/>
  <c r="CS34" i="1"/>
  <c r="BR34" i="1"/>
  <c r="AE34" i="1"/>
  <c r="EX34" i="1"/>
  <c r="BL34" i="1"/>
  <c r="AW34" i="1"/>
  <c r="IA34" i="1"/>
  <c r="GH34" i="1"/>
  <c r="EU34" i="1"/>
  <c r="BF34" i="1"/>
  <c r="AK34" i="1"/>
  <c r="FG34" i="1"/>
  <c r="CP34" i="1"/>
  <c r="IM34" i="1"/>
  <c r="ER34" i="1"/>
  <c r="GK34" i="1"/>
  <c r="DW34" i="1"/>
  <c r="FP34" i="1"/>
  <c r="X94" i="46"/>
  <c r="AA94" i="46"/>
  <c r="AB94" i="46" s="1"/>
  <c r="IP34" i="1"/>
  <c r="IY34" i="1"/>
  <c r="CD34" i="1"/>
  <c r="HU34" i="1"/>
  <c r="IV34" i="1"/>
  <c r="GB34" i="1"/>
  <c r="HL34" i="1"/>
  <c r="E35" i="2"/>
  <c r="CC35" i="2" s="1"/>
  <c r="AJ22" i="48"/>
  <c r="D17" i="59" s="1"/>
  <c r="J22" i="48"/>
  <c r="B17" i="59" s="1"/>
  <c r="I22" i="48"/>
  <c r="E22" i="1"/>
  <c r="X22" i="48"/>
  <c r="H17" i="59" s="1"/>
  <c r="C21" i="45"/>
  <c r="AA21" i="45" s="1"/>
  <c r="Y34" i="1"/>
  <c r="AA30" i="46"/>
  <c r="AB30" i="46" s="1"/>
  <c r="X30" i="46"/>
  <c r="W21" i="46"/>
  <c r="W11" i="46"/>
  <c r="W6" i="46"/>
  <c r="AQ31" i="45"/>
  <c r="AA31" i="45"/>
  <c r="AM31" i="45"/>
  <c r="W31" i="45"/>
  <c r="O31" i="45"/>
  <c r="S31" i="45"/>
  <c r="IM25" i="1"/>
  <c r="EU25" i="1"/>
  <c r="BC25" i="1"/>
  <c r="HX25" i="1"/>
  <c r="EF25" i="1"/>
  <c r="AN25" i="1"/>
  <c r="GW25" i="1"/>
  <c r="DE25" i="1"/>
  <c r="M25" i="1"/>
  <c r="FV25" i="1"/>
  <c r="CD25" i="1"/>
  <c r="Y25" i="1"/>
  <c r="IA25" i="1"/>
  <c r="EI25" i="1"/>
  <c r="AQ25" i="1"/>
  <c r="HL25" i="1"/>
  <c r="DT25" i="1"/>
  <c r="AB25" i="1"/>
  <c r="GK25" i="1"/>
  <c r="CS25" i="1"/>
  <c r="JB25" i="1"/>
  <c r="FJ25" i="1"/>
  <c r="BR25" i="1"/>
  <c r="S25" i="1"/>
  <c r="JE25" i="1"/>
  <c r="ID25" i="1"/>
  <c r="IJ25" i="1"/>
  <c r="DQ25" i="1"/>
  <c r="HO25" i="1"/>
  <c r="DW25" i="1"/>
  <c r="AE25" i="1"/>
  <c r="GZ25" i="1"/>
  <c r="DH25" i="1"/>
  <c r="P25" i="1"/>
  <c r="FY25" i="1"/>
  <c r="CG25" i="1"/>
  <c r="IP25" i="1"/>
  <c r="EX25" i="1"/>
  <c r="BF25" i="1"/>
  <c r="DK25" i="1"/>
  <c r="CV25" i="1"/>
  <c r="BU25" i="1"/>
  <c r="AT25" i="1"/>
  <c r="IY25" i="1"/>
  <c r="AZ25" i="1"/>
  <c r="HC25" i="1"/>
  <c r="GN25" i="1"/>
  <c r="FM25" i="1"/>
  <c r="EL25" i="1"/>
  <c r="FG25" i="1"/>
  <c r="GH25" i="1"/>
  <c r="GQ25" i="1"/>
  <c r="CY25" i="1"/>
  <c r="G25" i="1"/>
  <c r="GB25" i="1"/>
  <c r="CJ25" i="1"/>
  <c r="IS25" i="1"/>
  <c r="FA25" i="1"/>
  <c r="BI25" i="1"/>
  <c r="HR25" i="1"/>
  <c r="DZ25" i="1"/>
  <c r="AH25" i="1"/>
  <c r="BO25" i="1"/>
  <c r="HI25" i="1"/>
  <c r="CP25" i="1"/>
  <c r="GE25" i="1"/>
  <c r="CM25" i="1"/>
  <c r="JH25" i="1"/>
  <c r="FP25" i="1"/>
  <c r="BX25" i="1"/>
  <c r="IG25" i="1"/>
  <c r="EO25" i="1"/>
  <c r="AW25" i="1"/>
  <c r="HF25" i="1"/>
  <c r="DN25" i="1"/>
  <c r="V25" i="1"/>
  <c r="E26" i="2"/>
  <c r="CC26" i="2" s="1"/>
  <c r="FS25" i="1"/>
  <c r="CA25" i="1"/>
  <c r="IV25" i="1"/>
  <c r="FD25" i="1"/>
  <c r="BL25" i="1"/>
  <c r="HU25" i="1"/>
  <c r="EC25" i="1"/>
  <c r="AK25" i="1"/>
  <c r="GT25" i="1"/>
  <c r="DB25" i="1"/>
  <c r="J25" i="1"/>
  <c r="ER25" i="1"/>
  <c r="X25" i="48"/>
  <c r="H20" i="59" s="1"/>
  <c r="C24" i="45"/>
  <c r="AM24" i="45" s="1"/>
  <c r="J25" i="48"/>
  <c r="B20" i="59" s="1"/>
  <c r="I25" i="48"/>
  <c r="F20" i="59"/>
  <c r="X32" i="48"/>
  <c r="H27" i="59" s="1"/>
  <c r="AJ25" i="48"/>
  <c r="D20" i="59" s="1"/>
  <c r="K31" i="45"/>
  <c r="R19" i="48"/>
  <c r="J19" i="48" s="1"/>
  <c r="B14" i="59" s="1"/>
  <c r="F15" i="59"/>
  <c r="I45" i="31"/>
  <c r="R11" i="48"/>
  <c r="F6" i="59" s="1"/>
  <c r="AI31" i="45"/>
  <c r="FP32" i="1"/>
  <c r="CS32" i="1"/>
  <c r="GQ32" i="1"/>
  <c r="I51" i="31"/>
  <c r="I32" i="48"/>
  <c r="I45" i="12"/>
  <c r="I51" i="12"/>
  <c r="AK32" i="1"/>
  <c r="HU32" i="1"/>
  <c r="CD32" i="1"/>
  <c r="FV32" i="1"/>
  <c r="BU32" i="1"/>
  <c r="G32" i="1"/>
  <c r="JE32" i="1"/>
  <c r="CY32" i="1"/>
  <c r="J10" i="12"/>
  <c r="J10" i="11" s="1"/>
  <c r="J8" i="12"/>
  <c r="J8" i="11" s="1"/>
  <c r="J8" i="10" s="1"/>
  <c r="A14" i="1"/>
  <c r="A15" i="2" s="1"/>
  <c r="J41" i="33"/>
  <c r="J51" i="33"/>
  <c r="K56" i="33"/>
  <c r="CJ32" i="1"/>
  <c r="M32" i="1"/>
  <c r="GW32" i="1"/>
  <c r="DH32" i="1"/>
  <c r="AZ32" i="1"/>
  <c r="IJ32" i="1"/>
  <c r="CP32" i="1"/>
  <c r="GH32" i="1"/>
  <c r="S32" i="1"/>
  <c r="DK32" i="1"/>
  <c r="HC32" i="1"/>
  <c r="K57" i="33"/>
  <c r="DQ32" i="1"/>
  <c r="AB32" i="1"/>
  <c r="HL32" i="1"/>
  <c r="EO32" i="1"/>
  <c r="CG32" i="1"/>
  <c r="J32" i="1"/>
  <c r="DB32" i="1"/>
  <c r="GT32" i="1"/>
  <c r="AE32" i="1"/>
  <c r="DW32" i="1"/>
  <c r="HO32" i="1"/>
  <c r="EF32" i="1"/>
  <c r="BI32" i="1"/>
  <c r="IS32" i="1"/>
  <c r="FD32" i="1"/>
  <c r="CV32" i="1"/>
  <c r="V32" i="1"/>
  <c r="DN32" i="1"/>
  <c r="HF32" i="1"/>
  <c r="AQ32" i="1"/>
  <c r="EI32" i="1"/>
  <c r="IA32" i="1"/>
  <c r="FM32" i="1"/>
  <c r="BX32" i="1"/>
  <c r="JH32" i="1"/>
  <c r="GK32" i="1"/>
  <c r="EC32" i="1"/>
  <c r="AH32" i="1"/>
  <c r="DZ32" i="1"/>
  <c r="HR32" i="1"/>
  <c r="BC32" i="1"/>
  <c r="EU32" i="1"/>
  <c r="IM32" i="1"/>
  <c r="GB32" i="1"/>
  <c r="DE32" i="1"/>
  <c r="P32" i="1"/>
  <c r="GZ32" i="1"/>
  <c r="ER32" i="1"/>
  <c r="AT32" i="1"/>
  <c r="EL32" i="1"/>
  <c r="ID32" i="1"/>
  <c r="BO32" i="1"/>
  <c r="FG32" i="1"/>
  <c r="IY32" i="1"/>
  <c r="Y32" i="1"/>
  <c r="HI32" i="1"/>
  <c r="DT32" i="1"/>
  <c r="AW32" i="1"/>
  <c r="IG32" i="1"/>
  <c r="FY32" i="1"/>
  <c r="BF32" i="1"/>
  <c r="EX32" i="1"/>
  <c r="IP32" i="1"/>
  <c r="CA32" i="1"/>
  <c r="FS32" i="1"/>
  <c r="E33" i="2"/>
  <c r="CC33" i="2" s="1"/>
  <c r="AN32" i="1"/>
  <c r="HX32" i="1"/>
  <c r="FA32" i="1"/>
  <c r="BL32" i="1"/>
  <c r="IV32" i="1"/>
  <c r="GN32" i="1"/>
  <c r="BR32" i="1"/>
  <c r="FJ32" i="1"/>
  <c r="JB32" i="1"/>
  <c r="CM32" i="1"/>
  <c r="J31" i="17"/>
  <c r="J31" i="16" s="1"/>
  <c r="J31" i="15" s="1"/>
  <c r="J31" i="14" s="1"/>
  <c r="J31" i="13" s="1"/>
  <c r="J31" i="12" s="1"/>
  <c r="J31" i="11" s="1"/>
  <c r="J31" i="10" s="1"/>
  <c r="J23" i="17"/>
  <c r="J23" i="16" s="1"/>
  <c r="J28" i="17"/>
  <c r="J28" i="16" s="1"/>
  <c r="J28" i="15" s="1"/>
  <c r="J28" i="14" s="1"/>
  <c r="J28" i="13" s="1"/>
  <c r="J27" i="17"/>
  <c r="J27" i="16" s="1"/>
  <c r="J27" i="15" s="1"/>
  <c r="J27" i="14" s="1"/>
  <c r="J27" i="13" s="1"/>
  <c r="J29" i="17"/>
  <c r="J29" i="16" s="1"/>
  <c r="J29" i="15" s="1"/>
  <c r="J29" i="14" s="1"/>
  <c r="J29" i="13" s="1"/>
  <c r="J11" i="16"/>
  <c r="J9" i="17"/>
  <c r="J9" i="16" s="1"/>
  <c r="J9" i="15" s="1"/>
  <c r="J9" i="14" s="1"/>
  <c r="J9" i="13" s="1"/>
  <c r="J30" i="17"/>
  <c r="J30" i="16" s="1"/>
  <c r="J30" i="15" s="1"/>
  <c r="J30" i="14" s="1"/>
  <c r="J30" i="13" s="1"/>
  <c r="J30" i="12" s="1"/>
  <c r="J30" i="11" s="1"/>
  <c r="J30" i="10" s="1"/>
  <c r="J26" i="17"/>
  <c r="J26" i="16" s="1"/>
  <c r="J26" i="15" s="1"/>
  <c r="J25" i="17"/>
  <c r="J25" i="16" s="1"/>
  <c r="J25" i="15" s="1"/>
  <c r="I45" i="22"/>
  <c r="I51" i="22"/>
  <c r="J21" i="20"/>
  <c r="J21" i="19" s="1"/>
  <c r="J21" i="18" s="1"/>
  <c r="J12" i="16"/>
  <c r="J12" i="15" s="1"/>
  <c r="J12" i="14" s="1"/>
  <c r="J12" i="13" s="1"/>
  <c r="J12" i="12" s="1"/>
  <c r="J12" i="11" s="1"/>
  <c r="J22" i="20"/>
  <c r="J22" i="19" s="1"/>
  <c r="J22" i="18" s="1"/>
  <c r="J20" i="20"/>
  <c r="J20" i="19" s="1"/>
  <c r="J20" i="18" s="1"/>
  <c r="J24" i="20"/>
  <c r="J24" i="19" s="1"/>
  <c r="J24" i="18" s="1"/>
  <c r="J19" i="20"/>
  <c r="J19" i="19" s="1"/>
  <c r="J19" i="18" s="1"/>
  <c r="I21" i="48"/>
  <c r="C20" i="45"/>
  <c r="E21" i="1"/>
  <c r="AJ21" i="48"/>
  <c r="D16" i="59" s="1"/>
  <c r="X21" i="48"/>
  <c r="H16" i="59" s="1"/>
  <c r="J21" i="48"/>
  <c r="B16" i="59" s="1"/>
  <c r="J18" i="23"/>
  <c r="J18" i="21" s="1"/>
  <c r="J18" i="22" s="1"/>
  <c r="I45" i="23"/>
  <c r="I51" i="23"/>
  <c r="P36" i="1"/>
  <c r="E44" i="29"/>
  <c r="BL36" i="1"/>
  <c r="FG36" i="1"/>
  <c r="GH36" i="1"/>
  <c r="GW36" i="1"/>
  <c r="AQ36" i="1"/>
  <c r="BR36" i="1"/>
  <c r="FP36" i="1"/>
  <c r="I40" i="33"/>
  <c r="I40" i="29"/>
  <c r="R13" i="48" s="1"/>
  <c r="F8" i="59" s="1"/>
  <c r="K35" i="45"/>
  <c r="HU36" i="1"/>
  <c r="BO36" i="1"/>
  <c r="FY36" i="1"/>
  <c r="W35" i="45"/>
  <c r="IV36" i="1"/>
  <c r="J36" i="1"/>
  <c r="DQ36" i="1"/>
  <c r="EF36" i="1"/>
  <c r="AE35" i="45"/>
  <c r="IA36" i="1"/>
  <c r="JB36" i="1"/>
  <c r="GZ36" i="1"/>
  <c r="CM36" i="1"/>
  <c r="DN36" i="1"/>
  <c r="I45" i="27"/>
  <c r="I51" i="27"/>
  <c r="AI35" i="45"/>
  <c r="FD36" i="1"/>
  <c r="AQ35" i="45"/>
  <c r="IY36" i="1"/>
  <c r="Y36" i="1"/>
  <c r="AN36" i="1"/>
  <c r="EI36" i="1"/>
  <c r="FJ36" i="1"/>
  <c r="DH36" i="1"/>
  <c r="O35" i="45"/>
  <c r="JH36" i="1"/>
  <c r="V36" i="1"/>
  <c r="EC36" i="1"/>
  <c r="IJ36" i="1"/>
  <c r="IM36" i="1"/>
  <c r="M36" i="1"/>
  <c r="DT36" i="1"/>
  <c r="CG36" i="1"/>
  <c r="IG36" i="1"/>
  <c r="DE36" i="1"/>
  <c r="BX36" i="1"/>
  <c r="AK36" i="1"/>
  <c r="ER36" i="1"/>
  <c r="AA35" i="45"/>
  <c r="EU36" i="1"/>
  <c r="FV36" i="1"/>
  <c r="AB36" i="1"/>
  <c r="S35" i="45"/>
  <c r="HO36" i="1"/>
  <c r="IP36" i="1"/>
  <c r="EO36" i="1"/>
  <c r="CP36" i="1"/>
  <c r="GT36" i="1"/>
  <c r="AZ36" i="1"/>
  <c r="BC36" i="1"/>
  <c r="CD36" i="1"/>
  <c r="GK36" i="1"/>
  <c r="DW36" i="1"/>
  <c r="EX36" i="1"/>
  <c r="AW36" i="1"/>
  <c r="HL36" i="1"/>
  <c r="CA36" i="1"/>
  <c r="DB36" i="1"/>
  <c r="HI36" i="1"/>
  <c r="HX36" i="1"/>
  <c r="CS36" i="1"/>
  <c r="AE36" i="1"/>
  <c r="BF36" i="1"/>
  <c r="GE36" i="1"/>
  <c r="E44" i="28"/>
  <c r="FS36" i="1"/>
  <c r="S36" i="1"/>
  <c r="FM36" i="1"/>
  <c r="AT36" i="1"/>
  <c r="G36" i="1"/>
  <c r="FA36" i="1"/>
  <c r="AH36" i="1"/>
  <c r="ID36" i="1"/>
  <c r="GN36" i="1"/>
  <c r="BU36" i="1"/>
  <c r="E37" i="2"/>
  <c r="CC37" i="2" s="1"/>
  <c r="GB36" i="1"/>
  <c r="BI36" i="1"/>
  <c r="HC36" i="1"/>
  <c r="CV36" i="1"/>
  <c r="GQ36" i="1"/>
  <c r="CJ36" i="1"/>
  <c r="HR36" i="1"/>
  <c r="CY36" i="1"/>
  <c r="DZ36" i="1"/>
  <c r="DK36" i="1"/>
  <c r="JE36" i="1"/>
  <c r="EL36" i="1"/>
  <c r="IS36" i="1"/>
  <c r="T2" i="54"/>
  <c r="Z151" i="58"/>
  <c r="X159" i="58" s="1"/>
  <c r="D44" i="25"/>
  <c r="D44" i="24" s="1"/>
  <c r="D44" i="23" s="1"/>
  <c r="D44" i="21" s="1"/>
  <c r="E44" i="27"/>
  <c r="D43" i="29"/>
  <c r="D43" i="27" s="1"/>
  <c r="D43" i="28" s="1"/>
  <c r="E43" i="28" s="1"/>
  <c r="D40" i="28"/>
  <c r="E40" i="28" s="1"/>
  <c r="E40" i="29"/>
  <c r="E35" i="53"/>
  <c r="E32" i="53"/>
  <c r="E36" i="53"/>
  <c r="E4" i="53"/>
  <c r="E24" i="53"/>
  <c r="E16" i="53"/>
  <c r="E8" i="53"/>
  <c r="E37" i="53"/>
  <c r="E31" i="53"/>
  <c r="E28" i="53"/>
  <c r="E20" i="53"/>
  <c r="E26" i="53"/>
  <c r="E25" i="53"/>
  <c r="E21" i="53"/>
  <c r="E19" i="53"/>
  <c r="E30" i="53"/>
  <c r="E29" i="53"/>
  <c r="E34" i="53"/>
  <c r="E33" i="53"/>
  <c r="E7" i="53"/>
  <c r="E23" i="53"/>
  <c r="E38" i="53"/>
  <c r="E22" i="53"/>
  <c r="E11" i="53"/>
  <c r="E27" i="53"/>
  <c r="E6" i="53"/>
  <c r="E5" i="53"/>
  <c r="E10" i="53"/>
  <c r="E9" i="53"/>
  <c r="E18" i="53"/>
  <c r="E17" i="53"/>
  <c r="E19" i="2"/>
  <c r="CC19" i="2" s="1"/>
  <c r="JB18" i="1"/>
  <c r="IP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BR18" i="1"/>
  <c r="BF18" i="1"/>
  <c r="AT18" i="1"/>
  <c r="AH18" i="1"/>
  <c r="V18" i="1"/>
  <c r="J18" i="1"/>
  <c r="IY18" i="1"/>
  <c r="IM18" i="1"/>
  <c r="IA18" i="1"/>
  <c r="HO18" i="1"/>
  <c r="HC18" i="1"/>
  <c r="GQ18" i="1"/>
  <c r="GE18" i="1"/>
  <c r="FS18" i="1"/>
  <c r="FG18" i="1"/>
  <c r="EU18" i="1"/>
  <c r="EI18" i="1"/>
  <c r="DW18" i="1"/>
  <c r="DK18" i="1"/>
  <c r="CY18" i="1"/>
  <c r="CM18" i="1"/>
  <c r="CA18" i="1"/>
  <c r="BO18" i="1"/>
  <c r="BC18" i="1"/>
  <c r="AQ18" i="1"/>
  <c r="AE18" i="1"/>
  <c r="S18" i="1"/>
  <c r="G18" i="1"/>
  <c r="JH18" i="1"/>
  <c r="IV18" i="1"/>
  <c r="IJ18" i="1"/>
  <c r="HX18" i="1"/>
  <c r="HL18" i="1"/>
  <c r="GZ18" i="1"/>
  <c r="GN18" i="1"/>
  <c r="GB18" i="1"/>
  <c r="FP18" i="1"/>
  <c r="FD18" i="1"/>
  <c r="ER18" i="1"/>
  <c r="EF18" i="1"/>
  <c r="DT18" i="1"/>
  <c r="DH18" i="1"/>
  <c r="CV18" i="1"/>
  <c r="CJ18" i="1"/>
  <c r="BX18" i="1"/>
  <c r="BL18" i="1"/>
  <c r="AZ18" i="1"/>
  <c r="AN18" i="1"/>
  <c r="AB18" i="1"/>
  <c r="P18" i="1"/>
  <c r="JE18" i="1"/>
  <c r="IS18" i="1"/>
  <c r="IG18" i="1"/>
  <c r="HU18" i="1"/>
  <c r="HI18" i="1"/>
  <c r="GW18" i="1"/>
  <c r="GK18" i="1"/>
  <c r="FY18" i="1"/>
  <c r="FM18" i="1"/>
  <c r="FA18" i="1"/>
  <c r="EO18" i="1"/>
  <c r="EC18" i="1"/>
  <c r="DQ18" i="1"/>
  <c r="DE18" i="1"/>
  <c r="CS18" i="1"/>
  <c r="CG18" i="1"/>
  <c r="BU18" i="1"/>
  <c r="BI18" i="1"/>
  <c r="AW18" i="1"/>
  <c r="AK18" i="1"/>
  <c r="Y18" i="1"/>
  <c r="M18" i="1"/>
  <c r="E24" i="2"/>
  <c r="CC24" i="2" s="1"/>
  <c r="JB23" i="1"/>
  <c r="IP23" i="1"/>
  <c r="ID23" i="1"/>
  <c r="HR23" i="1"/>
  <c r="HF23" i="1"/>
  <c r="GT23" i="1"/>
  <c r="GH23" i="1"/>
  <c r="FV23" i="1"/>
  <c r="FJ23" i="1"/>
  <c r="EX23" i="1"/>
  <c r="EL23" i="1"/>
  <c r="DZ23" i="1"/>
  <c r="DN23" i="1"/>
  <c r="DB23" i="1"/>
  <c r="CP23" i="1"/>
  <c r="CD23" i="1"/>
  <c r="BR23" i="1"/>
  <c r="BF23" i="1"/>
  <c r="AT23" i="1"/>
  <c r="AH23" i="1"/>
  <c r="V23" i="1"/>
  <c r="J23" i="1"/>
  <c r="IY23" i="1"/>
  <c r="IM23" i="1"/>
  <c r="IA23" i="1"/>
  <c r="HO23" i="1"/>
  <c r="HC23" i="1"/>
  <c r="GQ23" i="1"/>
  <c r="GE23" i="1"/>
  <c r="FS23" i="1"/>
  <c r="FG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JH23" i="1"/>
  <c r="IV23" i="1"/>
  <c r="IJ23" i="1"/>
  <c r="HX23" i="1"/>
  <c r="HL23" i="1"/>
  <c r="GZ23" i="1"/>
  <c r="GN23" i="1"/>
  <c r="GB23" i="1"/>
  <c r="FP23" i="1"/>
  <c r="FD23" i="1"/>
  <c r="ER23" i="1"/>
  <c r="EF23" i="1"/>
  <c r="DT23" i="1"/>
  <c r="DH23" i="1"/>
  <c r="CV23" i="1"/>
  <c r="CJ23" i="1"/>
  <c r="BX23" i="1"/>
  <c r="BL23" i="1"/>
  <c r="AZ23" i="1"/>
  <c r="AN23" i="1"/>
  <c r="AB23" i="1"/>
  <c r="P23" i="1"/>
  <c r="JE23" i="1"/>
  <c r="IS23" i="1"/>
  <c r="IG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E39" i="2"/>
  <c r="CC39" i="2" s="1"/>
  <c r="JH38" i="1"/>
  <c r="IV38" i="1"/>
  <c r="IJ38" i="1"/>
  <c r="HX38" i="1"/>
  <c r="HL38" i="1"/>
  <c r="GZ38" i="1"/>
  <c r="GN38" i="1"/>
  <c r="GB38" i="1"/>
  <c r="FP38" i="1"/>
  <c r="FD38" i="1"/>
  <c r="ER38" i="1"/>
  <c r="EF38" i="1"/>
  <c r="DT38" i="1"/>
  <c r="DH38" i="1"/>
  <c r="CV38" i="1"/>
  <c r="CJ38" i="1"/>
  <c r="BX38" i="1"/>
  <c r="BL38" i="1"/>
  <c r="AZ38" i="1"/>
  <c r="AN38" i="1"/>
  <c r="AB38" i="1"/>
  <c r="P38" i="1"/>
  <c r="JE38" i="1"/>
  <c r="IS38" i="1"/>
  <c r="IG38" i="1"/>
  <c r="HU38" i="1"/>
  <c r="HI38" i="1"/>
  <c r="GW38" i="1"/>
  <c r="GK38" i="1"/>
  <c r="FY38" i="1"/>
  <c r="FM38" i="1"/>
  <c r="FA38" i="1"/>
  <c r="EO38" i="1"/>
  <c r="EC38" i="1"/>
  <c r="DQ38" i="1"/>
  <c r="DE38" i="1"/>
  <c r="CS38" i="1"/>
  <c r="CG38" i="1"/>
  <c r="BU38" i="1"/>
  <c r="BI38" i="1"/>
  <c r="AW38" i="1"/>
  <c r="AK38" i="1"/>
  <c r="Y38" i="1"/>
  <c r="M38" i="1"/>
  <c r="JB38" i="1"/>
  <c r="IP38" i="1"/>
  <c r="ID38" i="1"/>
  <c r="HR38" i="1"/>
  <c r="HF38" i="1"/>
  <c r="GT38" i="1"/>
  <c r="GH38" i="1"/>
  <c r="FV38" i="1"/>
  <c r="FJ38" i="1"/>
  <c r="EX38" i="1"/>
  <c r="EL38" i="1"/>
  <c r="DZ38" i="1"/>
  <c r="DN38" i="1"/>
  <c r="DB38" i="1"/>
  <c r="CP38" i="1"/>
  <c r="CD38" i="1"/>
  <c r="BR38" i="1"/>
  <c r="BF38" i="1"/>
  <c r="AT38" i="1"/>
  <c r="AH38" i="1"/>
  <c r="V38" i="1"/>
  <c r="J38" i="1"/>
  <c r="IY38" i="1"/>
  <c r="IM38" i="1"/>
  <c r="IA38" i="1"/>
  <c r="HO38" i="1"/>
  <c r="HC38" i="1"/>
  <c r="GQ38" i="1"/>
  <c r="GE38" i="1"/>
  <c r="FS38" i="1"/>
  <c r="FG38" i="1"/>
  <c r="EU38" i="1"/>
  <c r="EI38" i="1"/>
  <c r="DW38" i="1"/>
  <c r="DK38" i="1"/>
  <c r="CY38" i="1"/>
  <c r="CM38" i="1"/>
  <c r="CA38" i="1"/>
  <c r="BO38" i="1"/>
  <c r="BC38" i="1"/>
  <c r="AQ38" i="1"/>
  <c r="AE38" i="1"/>
  <c r="S38" i="1"/>
  <c r="G38" i="1"/>
  <c r="E34" i="2"/>
  <c r="CC34" i="2" s="1"/>
  <c r="IY33" i="1"/>
  <c r="IM33" i="1"/>
  <c r="IA33" i="1"/>
  <c r="HO33" i="1"/>
  <c r="HC33" i="1"/>
  <c r="GQ33" i="1"/>
  <c r="GE33" i="1"/>
  <c r="FS33" i="1"/>
  <c r="FG33" i="1"/>
  <c r="EU33" i="1"/>
  <c r="EI33" i="1"/>
  <c r="DW33" i="1"/>
  <c r="DK33" i="1"/>
  <c r="CY33" i="1"/>
  <c r="CM33" i="1"/>
  <c r="CA33" i="1"/>
  <c r="BO33" i="1"/>
  <c r="IS33" i="1"/>
  <c r="HR33" i="1"/>
  <c r="GB33" i="1"/>
  <c r="FA33" i="1"/>
  <c r="DZ33" i="1"/>
  <c r="CJ33" i="1"/>
  <c r="BI33" i="1"/>
  <c r="AW33" i="1"/>
  <c r="AK33" i="1"/>
  <c r="Y33" i="1"/>
  <c r="M33" i="1"/>
  <c r="JE33" i="1"/>
  <c r="ID33" i="1"/>
  <c r="GN33" i="1"/>
  <c r="FM33" i="1"/>
  <c r="EL33" i="1"/>
  <c r="CV33" i="1"/>
  <c r="BU33" i="1"/>
  <c r="IP33" i="1"/>
  <c r="GZ33" i="1"/>
  <c r="FY33" i="1"/>
  <c r="EX33" i="1"/>
  <c r="DH33" i="1"/>
  <c r="CG33" i="1"/>
  <c r="BF33" i="1"/>
  <c r="AT33" i="1"/>
  <c r="AH33" i="1"/>
  <c r="V33" i="1"/>
  <c r="J33" i="1"/>
  <c r="JB33" i="1"/>
  <c r="HL33" i="1"/>
  <c r="GK33" i="1"/>
  <c r="FJ33" i="1"/>
  <c r="DT33" i="1"/>
  <c r="CS33" i="1"/>
  <c r="BR33" i="1"/>
  <c r="HX33" i="1"/>
  <c r="GW33" i="1"/>
  <c r="FV33" i="1"/>
  <c r="EF33" i="1"/>
  <c r="DE33" i="1"/>
  <c r="CD33" i="1"/>
  <c r="BC33" i="1"/>
  <c r="AQ33" i="1"/>
  <c r="AE33" i="1"/>
  <c r="S33" i="1"/>
  <c r="G33" i="1"/>
  <c r="IV33" i="1"/>
  <c r="HU33" i="1"/>
  <c r="GT33" i="1"/>
  <c r="FD33" i="1"/>
  <c r="EC33" i="1"/>
  <c r="DB33" i="1"/>
  <c r="BL33" i="1"/>
  <c r="AZ33" i="1"/>
  <c r="AN33" i="1"/>
  <c r="AB33" i="1"/>
  <c r="P33" i="1"/>
  <c r="JH33" i="1"/>
  <c r="IG33" i="1"/>
  <c r="HF33" i="1"/>
  <c r="FP33" i="1"/>
  <c r="EO33" i="1"/>
  <c r="DN33" i="1"/>
  <c r="BX33" i="1"/>
  <c r="CP33" i="1"/>
  <c r="IJ33" i="1"/>
  <c r="HI33" i="1"/>
  <c r="ER33" i="1"/>
  <c r="GH33" i="1"/>
  <c r="DQ33" i="1"/>
  <c r="E25" i="2"/>
  <c r="CC25" i="2" s="1"/>
  <c r="JH24" i="1"/>
  <c r="IV24" i="1"/>
  <c r="IJ24" i="1"/>
  <c r="HX24" i="1"/>
  <c r="HL24" i="1"/>
  <c r="GZ24" i="1"/>
  <c r="GN24" i="1"/>
  <c r="GB24" i="1"/>
  <c r="FP24" i="1"/>
  <c r="FD24" i="1"/>
  <c r="ER24" i="1"/>
  <c r="EF24" i="1"/>
  <c r="DT24" i="1"/>
  <c r="DH24" i="1"/>
  <c r="CV24" i="1"/>
  <c r="CJ24" i="1"/>
  <c r="BX24" i="1"/>
  <c r="BL24" i="1"/>
  <c r="AZ24" i="1"/>
  <c r="AN24" i="1"/>
  <c r="AB24" i="1"/>
  <c r="P24" i="1"/>
  <c r="JE24" i="1"/>
  <c r="IS24" i="1"/>
  <c r="IG24" i="1"/>
  <c r="HU24" i="1"/>
  <c r="HI24" i="1"/>
  <c r="GW24" i="1"/>
  <c r="GK24" i="1"/>
  <c r="FY24" i="1"/>
  <c r="FM24" i="1"/>
  <c r="FA24" i="1"/>
  <c r="EO24" i="1"/>
  <c r="EC24" i="1"/>
  <c r="DQ24" i="1"/>
  <c r="DE24" i="1"/>
  <c r="CS24" i="1"/>
  <c r="CG24" i="1"/>
  <c r="BU24" i="1"/>
  <c r="BI24" i="1"/>
  <c r="AW24" i="1"/>
  <c r="AK24" i="1"/>
  <c r="Y24" i="1"/>
  <c r="M24" i="1"/>
  <c r="JB24" i="1"/>
  <c r="IP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IY24" i="1"/>
  <c r="IM24" i="1"/>
  <c r="IA24" i="1"/>
  <c r="HO24" i="1"/>
  <c r="HC24" i="1"/>
  <c r="GQ24" i="1"/>
  <c r="GE24" i="1"/>
  <c r="FS24" i="1"/>
  <c r="FG24" i="1"/>
  <c r="EU24" i="1"/>
  <c r="EI24" i="1"/>
  <c r="DW24" i="1"/>
  <c r="DK24" i="1"/>
  <c r="CY24" i="1"/>
  <c r="CM24" i="1"/>
  <c r="CA24" i="1"/>
  <c r="BO24" i="1"/>
  <c r="BC24" i="1"/>
  <c r="AQ24" i="1"/>
  <c r="AE24" i="1"/>
  <c r="S24" i="1"/>
  <c r="G24" i="1"/>
  <c r="E16" i="2"/>
  <c r="CC16" i="2" s="1"/>
  <c r="JE15" i="1"/>
  <c r="IS15" i="1"/>
  <c r="IG15" i="1"/>
  <c r="HU15" i="1"/>
  <c r="HI15" i="1"/>
  <c r="GW15" i="1"/>
  <c r="GK15" i="1"/>
  <c r="FY15" i="1"/>
  <c r="FM15" i="1"/>
  <c r="FA15" i="1"/>
  <c r="EO15" i="1"/>
  <c r="EC15" i="1"/>
  <c r="DQ15" i="1"/>
  <c r="DE15" i="1"/>
  <c r="CS15" i="1"/>
  <c r="CG15" i="1"/>
  <c r="BU15" i="1"/>
  <c r="BI15" i="1"/>
  <c r="AW15" i="1"/>
  <c r="AK15" i="1"/>
  <c r="Y15" i="1"/>
  <c r="M15" i="1"/>
  <c r="JB15" i="1"/>
  <c r="IP15" i="1"/>
  <c r="ID15" i="1"/>
  <c r="HR15" i="1"/>
  <c r="HF15" i="1"/>
  <c r="GT15" i="1"/>
  <c r="GH15" i="1"/>
  <c r="FV15" i="1"/>
  <c r="FJ15" i="1"/>
  <c r="EX15" i="1"/>
  <c r="EL15" i="1"/>
  <c r="DZ15" i="1"/>
  <c r="DN15" i="1"/>
  <c r="DB15" i="1"/>
  <c r="CP15" i="1"/>
  <c r="CD15" i="1"/>
  <c r="BR15" i="1"/>
  <c r="BF15" i="1"/>
  <c r="AT15" i="1"/>
  <c r="IY15" i="1"/>
  <c r="IM15" i="1"/>
  <c r="IA15" i="1"/>
  <c r="HO15" i="1"/>
  <c r="HC15" i="1"/>
  <c r="GQ15" i="1"/>
  <c r="GE15" i="1"/>
  <c r="FS15" i="1"/>
  <c r="FG15" i="1"/>
  <c r="EU15" i="1"/>
  <c r="EI15" i="1"/>
  <c r="DW15" i="1"/>
  <c r="DK15" i="1"/>
  <c r="CY15" i="1"/>
  <c r="CM15" i="1"/>
  <c r="CA15" i="1"/>
  <c r="BO15" i="1"/>
  <c r="BC15" i="1"/>
  <c r="AQ15" i="1"/>
  <c r="AE15" i="1"/>
  <c r="S15" i="1"/>
  <c r="G15" i="1"/>
  <c r="JH15" i="1"/>
  <c r="IV15" i="1"/>
  <c r="IJ15" i="1"/>
  <c r="HX15" i="1"/>
  <c r="HL15" i="1"/>
  <c r="GZ15" i="1"/>
  <c r="GN15" i="1"/>
  <c r="GB15" i="1"/>
  <c r="FP15" i="1"/>
  <c r="FD15" i="1"/>
  <c r="ER15" i="1"/>
  <c r="EF15" i="1"/>
  <c r="DT15" i="1"/>
  <c r="DH15" i="1"/>
  <c r="CV15" i="1"/>
  <c r="CJ15" i="1"/>
  <c r="BX15" i="1"/>
  <c r="BL15" i="1"/>
  <c r="AZ15" i="1"/>
  <c r="AN15" i="1"/>
  <c r="AB15" i="1"/>
  <c r="P15" i="1"/>
  <c r="AH15" i="1"/>
  <c r="J15" i="1"/>
  <c r="V15" i="1"/>
  <c r="E29" i="2"/>
  <c r="CC29" i="2" s="1"/>
  <c r="JE28" i="1"/>
  <c r="IS28" i="1"/>
  <c r="IG28" i="1"/>
  <c r="HU28" i="1"/>
  <c r="HI28" i="1"/>
  <c r="GW28" i="1"/>
  <c r="GK28" i="1"/>
  <c r="FY28" i="1"/>
  <c r="FM28" i="1"/>
  <c r="FA28" i="1"/>
  <c r="EO28" i="1"/>
  <c r="EC28" i="1"/>
  <c r="DQ28" i="1"/>
  <c r="DE28" i="1"/>
  <c r="CS28" i="1"/>
  <c r="CG28" i="1"/>
  <c r="BU28" i="1"/>
  <c r="BI28" i="1"/>
  <c r="AW28" i="1"/>
  <c r="AK28" i="1"/>
  <c r="Y28" i="1"/>
  <c r="M28" i="1"/>
  <c r="JH28" i="1"/>
  <c r="IV28" i="1"/>
  <c r="IJ28" i="1"/>
  <c r="HX28" i="1"/>
  <c r="HL28" i="1"/>
  <c r="GZ28" i="1"/>
  <c r="GN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IP28" i="1"/>
  <c r="IA28" i="1"/>
  <c r="GT28" i="1"/>
  <c r="GE28" i="1"/>
  <c r="EX28" i="1"/>
  <c r="EI28" i="1"/>
  <c r="DB28" i="1"/>
  <c r="CM28" i="1"/>
  <c r="BF28" i="1"/>
  <c r="AQ28" i="1"/>
  <c r="J28" i="1"/>
  <c r="JB28" i="1"/>
  <c r="IM28" i="1"/>
  <c r="HF28" i="1"/>
  <c r="GQ28" i="1"/>
  <c r="FJ28" i="1"/>
  <c r="EU28" i="1"/>
  <c r="DN28" i="1"/>
  <c r="CY28" i="1"/>
  <c r="BR28" i="1"/>
  <c r="BC28" i="1"/>
  <c r="V28" i="1"/>
  <c r="G28" i="1"/>
  <c r="IY28" i="1"/>
  <c r="HR28" i="1"/>
  <c r="HC28" i="1"/>
  <c r="FV28" i="1"/>
  <c r="FG28" i="1"/>
  <c r="DZ28" i="1"/>
  <c r="DK28" i="1"/>
  <c r="CD28" i="1"/>
  <c r="BO28" i="1"/>
  <c r="AH28" i="1"/>
  <c r="S28" i="1"/>
  <c r="ID28" i="1"/>
  <c r="HO28" i="1"/>
  <c r="GH28" i="1"/>
  <c r="FS28" i="1"/>
  <c r="EL28" i="1"/>
  <c r="DW28" i="1"/>
  <c r="CP28" i="1"/>
  <c r="CA28" i="1"/>
  <c r="AT28" i="1"/>
  <c r="AE28" i="1"/>
  <c r="E38" i="2"/>
  <c r="CC38" i="2" s="1"/>
  <c r="JE37" i="1"/>
  <c r="IS37" i="1"/>
  <c r="IG37" i="1"/>
  <c r="HU37" i="1"/>
  <c r="HI37" i="1"/>
  <c r="GW37" i="1"/>
  <c r="GK37" i="1"/>
  <c r="FY37" i="1"/>
  <c r="FM37" i="1"/>
  <c r="FA37" i="1"/>
  <c r="EO37" i="1"/>
  <c r="EC37" i="1"/>
  <c r="DQ37" i="1"/>
  <c r="DE37" i="1"/>
  <c r="CS37" i="1"/>
  <c r="CG37" i="1"/>
  <c r="BU37" i="1"/>
  <c r="BI37" i="1"/>
  <c r="AW37" i="1"/>
  <c r="AK37" i="1"/>
  <c r="Y37" i="1"/>
  <c r="M37" i="1"/>
  <c r="JB37" i="1"/>
  <c r="IP37" i="1"/>
  <c r="ID37" i="1"/>
  <c r="HR37" i="1"/>
  <c r="HF37" i="1"/>
  <c r="GT37" i="1"/>
  <c r="GH37" i="1"/>
  <c r="FV37" i="1"/>
  <c r="FJ37" i="1"/>
  <c r="EX37" i="1"/>
  <c r="EL37" i="1"/>
  <c r="DZ37" i="1"/>
  <c r="DN37" i="1"/>
  <c r="DB37" i="1"/>
  <c r="CP37" i="1"/>
  <c r="CD37" i="1"/>
  <c r="BR37" i="1"/>
  <c r="BF37" i="1"/>
  <c r="AT37" i="1"/>
  <c r="AH37" i="1"/>
  <c r="V37" i="1"/>
  <c r="J37" i="1"/>
  <c r="IY37" i="1"/>
  <c r="IM37" i="1"/>
  <c r="IA37" i="1"/>
  <c r="HO37" i="1"/>
  <c r="HC37" i="1"/>
  <c r="GQ37" i="1"/>
  <c r="GE37" i="1"/>
  <c r="FS37" i="1"/>
  <c r="FG37" i="1"/>
  <c r="EU37" i="1"/>
  <c r="EI37" i="1"/>
  <c r="DW37" i="1"/>
  <c r="DK37" i="1"/>
  <c r="CY37" i="1"/>
  <c r="CM37" i="1"/>
  <c r="CA37" i="1"/>
  <c r="BO37" i="1"/>
  <c r="BC37" i="1"/>
  <c r="AQ37" i="1"/>
  <c r="AE37" i="1"/>
  <c r="S37" i="1"/>
  <c r="G37" i="1"/>
  <c r="JH37" i="1"/>
  <c r="IV37" i="1"/>
  <c r="IJ37" i="1"/>
  <c r="HX37" i="1"/>
  <c r="HL37" i="1"/>
  <c r="GZ37" i="1"/>
  <c r="GN37" i="1"/>
  <c r="GB37" i="1"/>
  <c r="FP37" i="1"/>
  <c r="FD37" i="1"/>
  <c r="ER37" i="1"/>
  <c r="EF37" i="1"/>
  <c r="DT37" i="1"/>
  <c r="DH37" i="1"/>
  <c r="CV37" i="1"/>
  <c r="CJ37" i="1"/>
  <c r="BX37" i="1"/>
  <c r="BL37" i="1"/>
  <c r="AZ37" i="1"/>
  <c r="AN37" i="1"/>
  <c r="AB37" i="1"/>
  <c r="P37" i="1"/>
  <c r="E27" i="2"/>
  <c r="CC27" i="2" s="1"/>
  <c r="JH26" i="1"/>
  <c r="IV26" i="1"/>
  <c r="IJ26" i="1"/>
  <c r="HX26" i="1"/>
  <c r="HL26" i="1"/>
  <c r="GZ26" i="1"/>
  <c r="GN26" i="1"/>
  <c r="GB26" i="1"/>
  <c r="FP26" i="1"/>
  <c r="FD26" i="1"/>
  <c r="IY26" i="1"/>
  <c r="IM26" i="1"/>
  <c r="IA26" i="1"/>
  <c r="HO26" i="1"/>
  <c r="HC26" i="1"/>
  <c r="GQ26" i="1"/>
  <c r="GE26" i="1"/>
  <c r="FS26" i="1"/>
  <c r="FG26" i="1"/>
  <c r="EU26" i="1"/>
  <c r="IS26" i="1"/>
  <c r="ID26" i="1"/>
  <c r="GW26" i="1"/>
  <c r="GH26" i="1"/>
  <c r="FA26" i="1"/>
  <c r="EL26" i="1"/>
  <c r="DZ26" i="1"/>
  <c r="DN26" i="1"/>
  <c r="DB26" i="1"/>
  <c r="CP26" i="1"/>
  <c r="CD26" i="1"/>
  <c r="BR26" i="1"/>
  <c r="BF26" i="1"/>
  <c r="AT26" i="1"/>
  <c r="AH26" i="1"/>
  <c r="V26" i="1"/>
  <c r="J26" i="1"/>
  <c r="JE26" i="1"/>
  <c r="IP26" i="1"/>
  <c r="HI26" i="1"/>
  <c r="GT26" i="1"/>
  <c r="FM26" i="1"/>
  <c r="EX26" i="1"/>
  <c r="EI26" i="1"/>
  <c r="DW26" i="1"/>
  <c r="DK26" i="1"/>
  <c r="CY26" i="1"/>
  <c r="CM26" i="1"/>
  <c r="CA26" i="1"/>
  <c r="BO26" i="1"/>
  <c r="BC26" i="1"/>
  <c r="AQ26" i="1"/>
  <c r="AE26" i="1"/>
  <c r="S26" i="1"/>
  <c r="G26" i="1"/>
  <c r="JB26" i="1"/>
  <c r="HU26" i="1"/>
  <c r="HF26" i="1"/>
  <c r="FY26" i="1"/>
  <c r="FJ26" i="1"/>
  <c r="ER26" i="1"/>
  <c r="EF26" i="1"/>
  <c r="DT26" i="1"/>
  <c r="DH26" i="1"/>
  <c r="CV26" i="1"/>
  <c r="CJ26" i="1"/>
  <c r="BX26" i="1"/>
  <c r="BL26" i="1"/>
  <c r="AZ26" i="1"/>
  <c r="AN26" i="1"/>
  <c r="AB26" i="1"/>
  <c r="P26" i="1"/>
  <c r="IG26" i="1"/>
  <c r="HR26" i="1"/>
  <c r="GK26" i="1"/>
  <c r="FV26" i="1"/>
  <c r="EO26" i="1"/>
  <c r="EC26" i="1"/>
  <c r="DQ26" i="1"/>
  <c r="DE26" i="1"/>
  <c r="CS26" i="1"/>
  <c r="CG26" i="1"/>
  <c r="BU26" i="1"/>
  <c r="BI26" i="1"/>
  <c r="AW26" i="1"/>
  <c r="AK26" i="1"/>
  <c r="Y26" i="1"/>
  <c r="M26" i="1"/>
  <c r="E36" i="2"/>
  <c r="CC36" i="2" s="1"/>
  <c r="JH35" i="1"/>
  <c r="IV35" i="1"/>
  <c r="IJ35" i="1"/>
  <c r="HX35" i="1"/>
  <c r="HL35" i="1"/>
  <c r="GZ35" i="1"/>
  <c r="GN35" i="1"/>
  <c r="GB35" i="1"/>
  <c r="FP35" i="1"/>
  <c r="FD35" i="1"/>
  <c r="ER35" i="1"/>
  <c r="EF35" i="1"/>
  <c r="DT35" i="1"/>
  <c r="DH35" i="1"/>
  <c r="CV35" i="1"/>
  <c r="CJ35" i="1"/>
  <c r="BX35" i="1"/>
  <c r="BL35" i="1"/>
  <c r="AZ35" i="1"/>
  <c r="AN35" i="1"/>
  <c r="AB35" i="1"/>
  <c r="P35" i="1"/>
  <c r="JE35" i="1"/>
  <c r="IS35" i="1"/>
  <c r="IG35" i="1"/>
  <c r="HU35" i="1"/>
  <c r="HI35" i="1"/>
  <c r="GW35" i="1"/>
  <c r="GK35" i="1"/>
  <c r="FY35" i="1"/>
  <c r="FM35" i="1"/>
  <c r="FA35" i="1"/>
  <c r="EO35" i="1"/>
  <c r="EC35" i="1"/>
  <c r="DQ35" i="1"/>
  <c r="DE35" i="1"/>
  <c r="CS35" i="1"/>
  <c r="CG35" i="1"/>
  <c r="BU35" i="1"/>
  <c r="BI35" i="1"/>
  <c r="AW35" i="1"/>
  <c r="AK35" i="1"/>
  <c r="Y35" i="1"/>
  <c r="M35" i="1"/>
  <c r="JB35" i="1"/>
  <c r="IP35" i="1"/>
  <c r="ID35" i="1"/>
  <c r="HR35" i="1"/>
  <c r="HF35" i="1"/>
  <c r="GT35" i="1"/>
  <c r="GH35" i="1"/>
  <c r="FV35" i="1"/>
  <c r="FJ35" i="1"/>
  <c r="EX35" i="1"/>
  <c r="EL35" i="1"/>
  <c r="DZ35" i="1"/>
  <c r="DN35" i="1"/>
  <c r="DB35" i="1"/>
  <c r="CP35" i="1"/>
  <c r="CD35" i="1"/>
  <c r="BR35" i="1"/>
  <c r="BF35" i="1"/>
  <c r="AT35" i="1"/>
  <c r="AH35" i="1"/>
  <c r="V35" i="1"/>
  <c r="J35" i="1"/>
  <c r="IY35" i="1"/>
  <c r="IM35" i="1"/>
  <c r="IA35" i="1"/>
  <c r="HO35" i="1"/>
  <c r="HC35" i="1"/>
  <c r="GQ35" i="1"/>
  <c r="GE35" i="1"/>
  <c r="FS35" i="1"/>
  <c r="FG35" i="1"/>
  <c r="EU35" i="1"/>
  <c r="EI35" i="1"/>
  <c r="DW35" i="1"/>
  <c r="DK35" i="1"/>
  <c r="CY35" i="1"/>
  <c r="CM35" i="1"/>
  <c r="CA35" i="1"/>
  <c r="BO35" i="1"/>
  <c r="BC35" i="1"/>
  <c r="AQ35" i="1"/>
  <c r="AE35" i="1"/>
  <c r="S35" i="1"/>
  <c r="G35" i="1"/>
  <c r="E28" i="2"/>
  <c r="CC28" i="2" s="1"/>
  <c r="JB27" i="1"/>
  <c r="IP27" i="1"/>
  <c r="ID27" i="1"/>
  <c r="HR27" i="1"/>
  <c r="HF27" i="1"/>
  <c r="GT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IY27" i="1"/>
  <c r="IM27" i="1"/>
  <c r="IA27" i="1"/>
  <c r="HO27" i="1"/>
  <c r="HC27" i="1"/>
  <c r="GQ27" i="1"/>
  <c r="GE27" i="1"/>
  <c r="FS27" i="1"/>
  <c r="FG27" i="1"/>
  <c r="EU27" i="1"/>
  <c r="EI27" i="1"/>
  <c r="DW27" i="1"/>
  <c r="DK27" i="1"/>
  <c r="CY27" i="1"/>
  <c r="CM27" i="1"/>
  <c r="CA27" i="1"/>
  <c r="BO27" i="1"/>
  <c r="BC27" i="1"/>
  <c r="AQ27" i="1"/>
  <c r="JH27" i="1"/>
  <c r="IV27" i="1"/>
  <c r="IJ27" i="1"/>
  <c r="HX27" i="1"/>
  <c r="HL27" i="1"/>
  <c r="GZ27" i="1"/>
  <c r="GN27" i="1"/>
  <c r="GB27" i="1"/>
  <c r="FP27" i="1"/>
  <c r="FD27" i="1"/>
  <c r="ER27" i="1"/>
  <c r="EF27" i="1"/>
  <c r="DT27" i="1"/>
  <c r="DH27" i="1"/>
  <c r="CV27" i="1"/>
  <c r="CJ27" i="1"/>
  <c r="BL27" i="1"/>
  <c r="AZ27" i="1"/>
  <c r="AN27" i="1"/>
  <c r="AB27" i="1"/>
  <c r="P27" i="1"/>
  <c r="JE27" i="1"/>
  <c r="IS27" i="1"/>
  <c r="IG27" i="1"/>
  <c r="HU27" i="1"/>
  <c r="HI27" i="1"/>
  <c r="GW27" i="1"/>
  <c r="GK27" i="1"/>
  <c r="FY27" i="1"/>
  <c r="FM27" i="1"/>
  <c r="FA27" i="1"/>
  <c r="EO27" i="1"/>
  <c r="EC27" i="1"/>
  <c r="DQ27" i="1"/>
  <c r="DE27" i="1"/>
  <c r="CS27" i="1"/>
  <c r="CG27" i="1"/>
  <c r="BU27" i="1"/>
  <c r="BI27" i="1"/>
  <c r="AW27" i="1"/>
  <c r="AK27" i="1"/>
  <c r="Y27" i="1"/>
  <c r="M27" i="1"/>
  <c r="AE27" i="1"/>
  <c r="G27" i="1"/>
  <c r="S27" i="1"/>
  <c r="E23" i="2"/>
  <c r="CC23" i="2" s="1"/>
  <c r="IY22" i="1"/>
  <c r="IM22" i="1"/>
  <c r="IA22" i="1"/>
  <c r="HO22" i="1"/>
  <c r="HC22" i="1"/>
  <c r="GQ22" i="1"/>
  <c r="GE22" i="1"/>
  <c r="FS22" i="1"/>
  <c r="FG22" i="1"/>
  <c r="EU22" i="1"/>
  <c r="EI22" i="1"/>
  <c r="DW22" i="1"/>
  <c r="DK22" i="1"/>
  <c r="CY22" i="1"/>
  <c r="CM22" i="1"/>
  <c r="CA22" i="1"/>
  <c r="BO22" i="1"/>
  <c r="BC22" i="1"/>
  <c r="AQ22" i="1"/>
  <c r="AE22" i="1"/>
  <c r="S22" i="1"/>
  <c r="G22" i="1"/>
  <c r="JH22" i="1"/>
  <c r="IV22" i="1"/>
  <c r="IJ22" i="1"/>
  <c r="HX22" i="1"/>
  <c r="HL22" i="1"/>
  <c r="JE22" i="1"/>
  <c r="IS22" i="1"/>
  <c r="IG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JB22" i="1"/>
  <c r="IP22" i="1"/>
  <c r="ID22" i="1"/>
  <c r="HR22" i="1"/>
  <c r="HF22" i="1"/>
  <c r="GT22" i="1"/>
  <c r="GH22" i="1"/>
  <c r="FV22" i="1"/>
  <c r="FJ22" i="1"/>
  <c r="EX22" i="1"/>
  <c r="EL22" i="1"/>
  <c r="DZ22" i="1"/>
  <c r="DN22" i="1"/>
  <c r="DB22" i="1"/>
  <c r="CP22" i="1"/>
  <c r="CD22" i="1"/>
  <c r="BR22" i="1"/>
  <c r="BF22" i="1"/>
  <c r="AT22" i="1"/>
  <c r="AH22" i="1"/>
  <c r="V22" i="1"/>
  <c r="J22" i="1"/>
  <c r="GN22" i="1"/>
  <c r="CV22" i="1"/>
  <c r="EF22" i="1"/>
  <c r="AN22" i="1"/>
  <c r="FP22" i="1"/>
  <c r="BX22" i="1"/>
  <c r="GZ22" i="1"/>
  <c r="DH22" i="1"/>
  <c r="P22" i="1"/>
  <c r="ER22" i="1"/>
  <c r="AZ22" i="1"/>
  <c r="GB22" i="1"/>
  <c r="CJ22" i="1"/>
  <c r="DT22" i="1"/>
  <c r="AB22" i="1"/>
  <c r="FD22" i="1"/>
  <c r="BL22" i="1"/>
  <c r="E30" i="2"/>
  <c r="CC30" i="2" s="1"/>
  <c r="IY29" i="1"/>
  <c r="IM29" i="1"/>
  <c r="IA29" i="1"/>
  <c r="HO29" i="1"/>
  <c r="HC29" i="1"/>
  <c r="GQ29" i="1"/>
  <c r="GE29" i="1"/>
  <c r="FS29" i="1"/>
  <c r="FG29" i="1"/>
  <c r="EU29" i="1"/>
  <c r="EI29" i="1"/>
  <c r="DW29" i="1"/>
  <c r="DK29" i="1"/>
  <c r="CY29" i="1"/>
  <c r="CM29" i="1"/>
  <c r="CA29" i="1"/>
  <c r="BO29" i="1"/>
  <c r="BC29" i="1"/>
  <c r="AQ29" i="1"/>
  <c r="AE29" i="1"/>
  <c r="S29" i="1"/>
  <c r="G29" i="1"/>
  <c r="JH29" i="1"/>
  <c r="IV29" i="1"/>
  <c r="IJ29" i="1"/>
  <c r="HX29" i="1"/>
  <c r="HL29" i="1"/>
  <c r="GZ29" i="1"/>
  <c r="GN29" i="1"/>
  <c r="GB29" i="1"/>
  <c r="FP29" i="1"/>
  <c r="FD29" i="1"/>
  <c r="ER29" i="1"/>
  <c r="EF29" i="1"/>
  <c r="DT29" i="1"/>
  <c r="DH29" i="1"/>
  <c r="CV29" i="1"/>
  <c r="CJ29" i="1"/>
  <c r="BX29" i="1"/>
  <c r="BL29" i="1"/>
  <c r="AZ29" i="1"/>
  <c r="AN29" i="1"/>
  <c r="AB29" i="1"/>
  <c r="P29" i="1"/>
  <c r="JE29" i="1"/>
  <c r="IS29" i="1"/>
  <c r="IG29" i="1"/>
  <c r="HU29" i="1"/>
  <c r="HI29" i="1"/>
  <c r="GW29" i="1"/>
  <c r="GK29" i="1"/>
  <c r="FY29" i="1"/>
  <c r="FM29" i="1"/>
  <c r="FA29" i="1"/>
  <c r="EO29" i="1"/>
  <c r="EC29" i="1"/>
  <c r="DQ29" i="1"/>
  <c r="DE29" i="1"/>
  <c r="CS29" i="1"/>
  <c r="CG29" i="1"/>
  <c r="BU29" i="1"/>
  <c r="BI29" i="1"/>
  <c r="AW29" i="1"/>
  <c r="AK29" i="1"/>
  <c r="Y29" i="1"/>
  <c r="M29" i="1"/>
  <c r="JB29" i="1"/>
  <c r="IP29" i="1"/>
  <c r="ID29" i="1"/>
  <c r="HR29" i="1"/>
  <c r="HF29" i="1"/>
  <c r="GT29" i="1"/>
  <c r="GH29" i="1"/>
  <c r="FV29" i="1"/>
  <c r="FJ29" i="1"/>
  <c r="EX29" i="1"/>
  <c r="EL29" i="1"/>
  <c r="DZ29" i="1"/>
  <c r="DN29" i="1"/>
  <c r="DB29" i="1"/>
  <c r="CP29" i="1"/>
  <c r="CD29" i="1"/>
  <c r="BR29" i="1"/>
  <c r="BF29" i="1"/>
  <c r="AT29" i="1"/>
  <c r="AH29" i="1"/>
  <c r="V29" i="1"/>
  <c r="J29" i="1"/>
  <c r="M34" i="31"/>
  <c r="M34" i="32"/>
  <c r="I40" i="32"/>
  <c r="R10" i="48" s="1"/>
  <c r="F5" i="59" s="1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U150" i="46"/>
  <c r="M34" i="30"/>
  <c r="E41" i="29"/>
  <c r="C150" i="46"/>
  <c r="M34" i="29"/>
  <c r="E41" i="30"/>
  <c r="E51" i="30"/>
  <c r="E49" i="30"/>
  <c r="D49" i="27"/>
  <c r="E49" i="27" s="1"/>
  <c r="M34" i="27"/>
  <c r="CC18" i="2"/>
  <c r="O34" i="45"/>
  <c r="S34" i="45"/>
  <c r="AI34" i="45"/>
  <c r="AE34" i="45"/>
  <c r="AA34" i="45"/>
  <c r="AQ34" i="45"/>
  <c r="W34" i="45"/>
  <c r="K34" i="45"/>
  <c r="AM34" i="45"/>
  <c r="I40" i="11"/>
  <c r="R31" i="48" s="1"/>
  <c r="F26" i="59" s="1"/>
  <c r="K150" i="46"/>
  <c r="AC6" i="46"/>
  <c r="T150" i="46"/>
  <c r="AM26" i="45"/>
  <c r="W26" i="45"/>
  <c r="K26" i="45"/>
  <c r="O26" i="45"/>
  <c r="S26" i="45"/>
  <c r="AQ26" i="45"/>
  <c r="AA26" i="45"/>
  <c r="AE26" i="45"/>
  <c r="AI26" i="45"/>
  <c r="AI25" i="45"/>
  <c r="K25" i="45"/>
  <c r="W25" i="45"/>
  <c r="AE25" i="45"/>
  <c r="AA25" i="45"/>
  <c r="O25" i="45"/>
  <c r="AM25" i="45"/>
  <c r="S25" i="45"/>
  <c r="AQ25" i="45"/>
  <c r="AQ14" i="45"/>
  <c r="AM14" i="45"/>
  <c r="AI14" i="45"/>
  <c r="AE14" i="45"/>
  <c r="W14" i="45"/>
  <c r="S14" i="45"/>
  <c r="K14" i="45"/>
  <c r="O14" i="45"/>
  <c r="AA14" i="45"/>
  <c r="S17" i="45"/>
  <c r="AI17" i="45"/>
  <c r="AA17" i="45"/>
  <c r="K17" i="45"/>
  <c r="O17" i="45"/>
  <c r="W17" i="45"/>
  <c r="AE17" i="45"/>
  <c r="AM17" i="45"/>
  <c r="AQ17" i="45"/>
  <c r="AM32" i="45"/>
  <c r="AI32" i="45"/>
  <c r="S32" i="45"/>
  <c r="AE32" i="45"/>
  <c r="AQ32" i="45"/>
  <c r="O32" i="45"/>
  <c r="W32" i="45"/>
  <c r="AA32" i="45"/>
  <c r="K32" i="45"/>
  <c r="AI28" i="45"/>
  <c r="AE28" i="45"/>
  <c r="S28" i="45"/>
  <c r="W28" i="45"/>
  <c r="K28" i="45"/>
  <c r="AQ28" i="45"/>
  <c r="AA28" i="45"/>
  <c r="O28" i="45"/>
  <c r="AM28" i="45"/>
  <c r="I40" i="30"/>
  <c r="R12" i="48" s="1"/>
  <c r="F7" i="59" s="1"/>
  <c r="D51" i="27"/>
  <c r="D51" i="28" s="1"/>
  <c r="E48" i="26"/>
  <c r="D52" i="30"/>
  <c r="D53" i="30" s="1"/>
  <c r="E52" i="31"/>
  <c r="E53" i="31" s="1"/>
  <c r="E45" i="27"/>
  <c r="D45" i="28"/>
  <c r="E50" i="27"/>
  <c r="E42" i="29"/>
  <c r="D42" i="27"/>
  <c r="D39" i="27"/>
  <c r="E39" i="29"/>
  <c r="D48" i="24"/>
  <c r="E48" i="25"/>
  <c r="D47" i="27"/>
  <c r="E47" i="29"/>
  <c r="E46" i="29"/>
  <c r="D46" i="27"/>
  <c r="AQ37" i="45"/>
  <c r="AE37" i="45"/>
  <c r="AA37" i="45"/>
  <c r="AI37" i="45"/>
  <c r="AM37" i="45"/>
  <c r="W37" i="45"/>
  <c r="S37" i="45"/>
  <c r="K37" i="45"/>
  <c r="O37" i="45"/>
  <c r="AI23" i="45"/>
  <c r="S23" i="45"/>
  <c r="O23" i="45"/>
  <c r="W23" i="45"/>
  <c r="AE23" i="45"/>
  <c r="AM23" i="45"/>
  <c r="K23" i="45"/>
  <c r="AA23" i="45"/>
  <c r="AQ23" i="45"/>
  <c r="S36" i="45"/>
  <c r="AA36" i="45"/>
  <c r="W36" i="45"/>
  <c r="K36" i="45"/>
  <c r="AE36" i="45"/>
  <c r="AM36" i="45"/>
  <c r="O36" i="45"/>
  <c r="AI36" i="45"/>
  <c r="AQ36" i="45"/>
  <c r="AE27" i="45"/>
  <c r="S27" i="45"/>
  <c r="K27" i="45"/>
  <c r="AQ27" i="45"/>
  <c r="AI27" i="45"/>
  <c r="O27" i="45"/>
  <c r="AM27" i="45"/>
  <c r="AA27" i="45"/>
  <c r="W27" i="45"/>
  <c r="D50" i="26"/>
  <c r="E50" i="28"/>
  <c r="J37" i="30"/>
  <c r="J39" i="31"/>
  <c r="Q14" i="48"/>
  <c r="W13" i="48"/>
  <c r="J43" i="27"/>
  <c r="J44" i="29"/>
  <c r="M7" i="26"/>
  <c r="M34" i="28"/>
  <c r="D38" i="27"/>
  <c r="E38" i="29"/>
  <c r="E41" i="27"/>
  <c r="D41" i="28"/>
  <c r="J56" i="22"/>
  <c r="J57" i="26"/>
  <c r="J57" i="15"/>
  <c r="J49" i="27"/>
  <c r="J50" i="29"/>
  <c r="AI21" i="45" l="1"/>
  <c r="O21" i="45"/>
  <c r="W21" i="45"/>
  <c r="AQ21" i="45"/>
  <c r="K21" i="45"/>
  <c r="S21" i="45"/>
  <c r="AM21" i="45"/>
  <c r="AE21" i="45"/>
  <c r="AJ19" i="48"/>
  <c r="D14" i="59" s="1"/>
  <c r="E19" i="1"/>
  <c r="GZ19" i="1" s="1"/>
  <c r="I19" i="48"/>
  <c r="C18" i="45"/>
  <c r="AE18" i="45" s="1"/>
  <c r="X11" i="48"/>
  <c r="H6" i="59" s="1"/>
  <c r="X21" i="46"/>
  <c r="AA21" i="46"/>
  <c r="AB21" i="46" s="1"/>
  <c r="C10" i="45"/>
  <c r="W10" i="45" s="1"/>
  <c r="E11" i="1"/>
  <c r="HU11" i="1" s="1"/>
  <c r="J11" i="48"/>
  <c r="B6" i="59" s="1"/>
  <c r="I11" i="48"/>
  <c r="AJ11" i="48"/>
  <c r="D6" i="59" s="1"/>
  <c r="X11" i="46"/>
  <c r="AA11" i="46"/>
  <c r="AB11" i="46" s="1"/>
  <c r="A15" i="1"/>
  <c r="A16" i="2" s="1"/>
  <c r="AA24" i="45"/>
  <c r="AQ24" i="45"/>
  <c r="O24" i="45"/>
  <c r="AE24" i="45"/>
  <c r="X19" i="48"/>
  <c r="H14" i="59" s="1"/>
  <c r="F14" i="59"/>
  <c r="S24" i="45"/>
  <c r="K24" i="45"/>
  <c r="J11" i="15"/>
  <c r="J11" i="14" s="1"/>
  <c r="J11" i="13" s="1"/>
  <c r="J11" i="12" s="1"/>
  <c r="J11" i="11" s="1"/>
  <c r="AI24" i="45"/>
  <c r="W24" i="45"/>
  <c r="IA19" i="1"/>
  <c r="AJ20" i="48"/>
  <c r="D15" i="59" s="1"/>
  <c r="J20" i="48"/>
  <c r="B15" i="59" s="1"/>
  <c r="I20" i="48"/>
  <c r="X20" i="48"/>
  <c r="H15" i="59" s="1"/>
  <c r="C19" i="45"/>
  <c r="E20" i="1"/>
  <c r="I45" i="33"/>
  <c r="R9" i="48"/>
  <c r="F4" i="59" s="1"/>
  <c r="J30" i="9"/>
  <c r="J30" i="8" s="1"/>
  <c r="J30" i="7" s="1"/>
  <c r="J30" i="6" s="1"/>
  <c r="J30" i="37" s="1"/>
  <c r="J30" i="4" s="1"/>
  <c r="J30" i="43" s="1"/>
  <c r="J8" i="9"/>
  <c r="J8" i="8" s="1"/>
  <c r="J8" i="7" s="1"/>
  <c r="J8" i="6" s="1"/>
  <c r="J8" i="37" s="1"/>
  <c r="J8" i="4" s="1"/>
  <c r="J8" i="43" s="1"/>
  <c r="J31" i="9"/>
  <c r="J31" i="8" s="1"/>
  <c r="J31" i="7" s="1"/>
  <c r="J31" i="6" s="1"/>
  <c r="J31" i="37" s="1"/>
  <c r="J31" i="4" s="1"/>
  <c r="J31" i="43" s="1"/>
  <c r="J10" i="10"/>
  <c r="AK19" i="1"/>
  <c r="AJ30" i="48"/>
  <c r="D25" i="59" s="1"/>
  <c r="X30" i="48"/>
  <c r="H25" i="59" s="1"/>
  <c r="I30" i="48"/>
  <c r="E30" i="1"/>
  <c r="J30" i="48"/>
  <c r="B25" i="59" s="1"/>
  <c r="C29" i="45"/>
  <c r="CV19" i="1"/>
  <c r="AZ19" i="1"/>
  <c r="AT19" i="1"/>
  <c r="BO19" i="1"/>
  <c r="DK19" i="1"/>
  <c r="CD19" i="1"/>
  <c r="J9" i="12"/>
  <c r="J9" i="11" s="1"/>
  <c r="J9" i="10" s="1"/>
  <c r="EU19" i="1"/>
  <c r="CS19" i="1"/>
  <c r="JH19" i="1"/>
  <c r="J29" i="12"/>
  <c r="J29" i="11" s="1"/>
  <c r="J29" i="10" s="1"/>
  <c r="DN19" i="1"/>
  <c r="J27" i="12"/>
  <c r="J27" i="11" s="1"/>
  <c r="J27" i="10" s="1"/>
  <c r="JE19" i="1"/>
  <c r="GE19" i="1"/>
  <c r="AB19" i="1"/>
  <c r="J28" i="12"/>
  <c r="J28" i="11" s="1"/>
  <c r="J28" i="10" s="1"/>
  <c r="J25" i="14"/>
  <c r="J25" i="13" s="1"/>
  <c r="J26" i="14"/>
  <c r="J26" i="13" s="1"/>
  <c r="G19" i="1"/>
  <c r="J23" i="15"/>
  <c r="AA18" i="45"/>
  <c r="DB19" i="1"/>
  <c r="IS19" i="1"/>
  <c r="AI18" i="45"/>
  <c r="FY19" i="1"/>
  <c r="BI19" i="1"/>
  <c r="DQ19" i="1"/>
  <c r="FP19" i="1"/>
  <c r="EF19" i="1"/>
  <c r="J17" i="16"/>
  <c r="J17" i="15" s="1"/>
  <c r="J17" i="14" s="1"/>
  <c r="J17" i="13" s="1"/>
  <c r="J19" i="17"/>
  <c r="J19" i="16" s="1"/>
  <c r="J21" i="17"/>
  <c r="J21" i="16" s="1"/>
  <c r="J24" i="17"/>
  <c r="J24" i="16" s="1"/>
  <c r="J13" i="16"/>
  <c r="J13" i="15" s="1"/>
  <c r="J13" i="14" s="1"/>
  <c r="J13" i="13" s="1"/>
  <c r="J13" i="12" s="1"/>
  <c r="J13" i="11" s="1"/>
  <c r="J13" i="10" s="1"/>
  <c r="J13" i="9" s="1"/>
  <c r="J13" i="8" s="1"/>
  <c r="J13" i="7" s="1"/>
  <c r="J15" i="16"/>
  <c r="J15" i="15" s="1"/>
  <c r="J15" i="14" s="1"/>
  <c r="J15" i="13" s="1"/>
  <c r="J15" i="12" s="1"/>
  <c r="J15" i="11" s="1"/>
  <c r="J15" i="10" s="1"/>
  <c r="J15" i="9" s="1"/>
  <c r="J15" i="8" s="1"/>
  <c r="J15" i="7" s="1"/>
  <c r="J20" i="17"/>
  <c r="J20" i="16" s="1"/>
  <c r="J22" i="17"/>
  <c r="J22" i="16" s="1"/>
  <c r="J22" i="15" s="1"/>
  <c r="J16" i="16"/>
  <c r="J16" i="15" s="1"/>
  <c r="J16" i="14" s="1"/>
  <c r="J16" i="13" s="1"/>
  <c r="J16" i="12" s="1"/>
  <c r="J16" i="11" s="1"/>
  <c r="J16" i="10" s="1"/>
  <c r="J16" i="9" s="1"/>
  <c r="J16" i="8" s="1"/>
  <c r="J16" i="7" s="1"/>
  <c r="AM18" i="45"/>
  <c r="CG19" i="1"/>
  <c r="GN19" i="1"/>
  <c r="HC19" i="1"/>
  <c r="FA19" i="1"/>
  <c r="IY19" i="1"/>
  <c r="V19" i="1"/>
  <c r="GT19" i="1"/>
  <c r="HI19" i="1"/>
  <c r="HX19" i="1"/>
  <c r="JB19" i="1"/>
  <c r="CM19" i="1"/>
  <c r="S18" i="45"/>
  <c r="EX19" i="1"/>
  <c r="IV19" i="1"/>
  <c r="S19" i="1"/>
  <c r="HR19" i="1"/>
  <c r="BX19" i="1"/>
  <c r="IM19" i="1"/>
  <c r="J19" i="1"/>
  <c r="Y19" i="1"/>
  <c r="AN19" i="1"/>
  <c r="BC19" i="1"/>
  <c r="W18" i="45"/>
  <c r="BF19" i="1"/>
  <c r="FM19" i="1"/>
  <c r="DZ19" i="1"/>
  <c r="IG19" i="1"/>
  <c r="FD19" i="1"/>
  <c r="FS19" i="1"/>
  <c r="GH19" i="1"/>
  <c r="GW19" i="1"/>
  <c r="GK19" i="1"/>
  <c r="BR19" i="1"/>
  <c r="AQ18" i="45"/>
  <c r="HO19" i="1"/>
  <c r="BU19" i="1"/>
  <c r="E20" i="2"/>
  <c r="CC20" i="2" s="1"/>
  <c r="AH19" i="1"/>
  <c r="EO19" i="1"/>
  <c r="BL19" i="1"/>
  <c r="CA19" i="1"/>
  <c r="CP19" i="1"/>
  <c r="DE19" i="1"/>
  <c r="DT19" i="1"/>
  <c r="AQ19" i="1"/>
  <c r="K18" i="45"/>
  <c r="DH19" i="1"/>
  <c r="DW19" i="1"/>
  <c r="ID19" i="1"/>
  <c r="GB19" i="1"/>
  <c r="GQ19" i="1"/>
  <c r="AW19" i="1"/>
  <c r="HU19" i="1"/>
  <c r="IJ19" i="1"/>
  <c r="IP19" i="1"/>
  <c r="M19" i="1"/>
  <c r="EI19" i="1"/>
  <c r="HL19" i="1"/>
  <c r="O18" i="45"/>
  <c r="P19" i="1"/>
  <c r="AE19" i="1"/>
  <c r="EL19" i="1"/>
  <c r="CJ19" i="1"/>
  <c r="CY19" i="1"/>
  <c r="HF19" i="1"/>
  <c r="EC19" i="1"/>
  <c r="ER19" i="1"/>
  <c r="FG19" i="1"/>
  <c r="FV19" i="1"/>
  <c r="FJ19" i="1"/>
  <c r="J18" i="20"/>
  <c r="J18" i="19" s="1"/>
  <c r="J18" i="18" s="1"/>
  <c r="J18" i="17" s="1"/>
  <c r="FY21" i="1"/>
  <c r="JB21" i="1"/>
  <c r="FV21" i="1"/>
  <c r="GN21" i="1"/>
  <c r="DH21" i="1"/>
  <c r="AQ21" i="1"/>
  <c r="CS21" i="1"/>
  <c r="AB21" i="1"/>
  <c r="HI21" i="1"/>
  <c r="DB21" i="1"/>
  <c r="AZ21" i="1"/>
  <c r="E22" i="2"/>
  <c r="CC22" i="2" s="1"/>
  <c r="HR21" i="1"/>
  <c r="S21" i="1"/>
  <c r="FM21" i="1"/>
  <c r="BF21" i="1"/>
  <c r="IG21" i="1"/>
  <c r="GZ21" i="1"/>
  <c r="HC21" i="1"/>
  <c r="DT21" i="1"/>
  <c r="GT21" i="1"/>
  <c r="ER21" i="1"/>
  <c r="GQ21" i="1"/>
  <c r="BI21" i="1"/>
  <c r="BX21" i="1"/>
  <c r="JE21" i="1"/>
  <c r="EX21" i="1"/>
  <c r="CY21" i="1"/>
  <c r="M21" i="1"/>
  <c r="BR21" i="1"/>
  <c r="HL21" i="1"/>
  <c r="G21" i="1"/>
  <c r="AK21" i="1"/>
  <c r="IJ21" i="1"/>
  <c r="EU21" i="1"/>
  <c r="FA21" i="1"/>
  <c r="FP21" i="1"/>
  <c r="CA21" i="1"/>
  <c r="IP21" i="1"/>
  <c r="GK21" i="1"/>
  <c r="HX21" i="1"/>
  <c r="ID21" i="1"/>
  <c r="AE21" i="1"/>
  <c r="DE21" i="1"/>
  <c r="IY21" i="1"/>
  <c r="GE21" i="1"/>
  <c r="EC21" i="1"/>
  <c r="V21" i="1"/>
  <c r="BL21" i="1"/>
  <c r="IS21" i="1"/>
  <c r="JH21" i="1"/>
  <c r="FG21" i="1"/>
  <c r="CG21" i="1"/>
  <c r="IA21" i="1"/>
  <c r="P21" i="1"/>
  <c r="CP21" i="1"/>
  <c r="AN21" i="1"/>
  <c r="HU21" i="1"/>
  <c r="DN21" i="1"/>
  <c r="FD21" i="1"/>
  <c r="AT21" i="1"/>
  <c r="DK21" i="1"/>
  <c r="EI21" i="1"/>
  <c r="AH21" i="1"/>
  <c r="CV21" i="1"/>
  <c r="AW21" i="1"/>
  <c r="CD21" i="1"/>
  <c r="GH21" i="1"/>
  <c r="EF21" i="1"/>
  <c r="HF21" i="1"/>
  <c r="IV21" i="1"/>
  <c r="EL21" i="1"/>
  <c r="CJ21" i="1"/>
  <c r="DW21" i="1"/>
  <c r="FS21" i="1"/>
  <c r="GW21" i="1"/>
  <c r="IM21" i="1"/>
  <c r="CM21" i="1"/>
  <c r="DQ21" i="1"/>
  <c r="J21" i="1"/>
  <c r="BC21" i="1"/>
  <c r="DZ21" i="1"/>
  <c r="BO21" i="1"/>
  <c r="BU21" i="1"/>
  <c r="HO21" i="1"/>
  <c r="FJ21" i="1"/>
  <c r="Y21" i="1"/>
  <c r="EO21" i="1"/>
  <c r="GB21" i="1"/>
  <c r="AQ20" i="45"/>
  <c r="S20" i="45"/>
  <c r="K20" i="45"/>
  <c r="W20" i="45"/>
  <c r="O20" i="45"/>
  <c r="AM20" i="45"/>
  <c r="AI20" i="45"/>
  <c r="AA20" i="45"/>
  <c r="AE20" i="45"/>
  <c r="E43" i="29"/>
  <c r="E52" i="29" s="1"/>
  <c r="E53" i="29" s="1"/>
  <c r="D43" i="26"/>
  <c r="E43" i="26" s="1"/>
  <c r="W150" i="58"/>
  <c r="X155" i="58" s="1"/>
  <c r="I51" i="33"/>
  <c r="I51" i="29"/>
  <c r="I45" i="29"/>
  <c r="AA6" i="46"/>
  <c r="AB6" i="46" s="1"/>
  <c r="X6" i="46"/>
  <c r="C13" i="45"/>
  <c r="E14" i="1"/>
  <c r="X14" i="48"/>
  <c r="H9" i="59" s="1"/>
  <c r="AJ14" i="48"/>
  <c r="D9" i="59" s="1"/>
  <c r="I14" i="48"/>
  <c r="J14" i="48"/>
  <c r="B9" i="59" s="1"/>
  <c r="E44" i="25"/>
  <c r="E44" i="23"/>
  <c r="E44" i="24"/>
  <c r="N12" i="53"/>
  <c r="U2" i="54"/>
  <c r="O12" i="53" s="1"/>
  <c r="D40" i="26"/>
  <c r="E40" i="26" s="1"/>
  <c r="E43" i="27"/>
  <c r="D52" i="29"/>
  <c r="D53" i="29" s="1"/>
  <c r="I8" i="54"/>
  <c r="I11" i="54" s="1"/>
  <c r="F39" i="53" s="1"/>
  <c r="AH3" i="55"/>
  <c r="AH4" i="55"/>
  <c r="AH38" i="55"/>
  <c r="IS11" i="1"/>
  <c r="IG11" i="1"/>
  <c r="EO11" i="1"/>
  <c r="BI11" i="1"/>
  <c r="AW11" i="1"/>
  <c r="IJ11" i="1"/>
  <c r="FD11" i="1"/>
  <c r="HF11" i="1"/>
  <c r="GT11" i="1"/>
  <c r="DB11" i="1"/>
  <c r="V11" i="1"/>
  <c r="J11" i="1"/>
  <c r="IY11" i="1"/>
  <c r="IM11" i="1"/>
  <c r="FG11" i="1"/>
  <c r="EU11" i="1"/>
  <c r="BC11" i="1"/>
  <c r="FP11" i="1"/>
  <c r="CV11" i="1"/>
  <c r="N41" i="48"/>
  <c r="G41" i="48" s="1"/>
  <c r="G9" i="48"/>
  <c r="I51" i="32"/>
  <c r="I45" i="32"/>
  <c r="J40" i="32"/>
  <c r="O10" i="45"/>
  <c r="K10" i="45"/>
  <c r="M9" i="48"/>
  <c r="M10" i="48" s="1"/>
  <c r="M11" i="48" s="1"/>
  <c r="M12" i="48" s="1"/>
  <c r="M13" i="48" s="1"/>
  <c r="M14" i="48" s="1"/>
  <c r="L41" i="48"/>
  <c r="H41" i="48" s="1"/>
  <c r="H9" i="48"/>
  <c r="AM10" i="45"/>
  <c r="E52" i="30"/>
  <c r="E53" i="30" s="1"/>
  <c r="D49" i="28"/>
  <c r="E49" i="28" s="1"/>
  <c r="E12" i="2"/>
  <c r="Y151" i="46"/>
  <c r="X158" i="46" s="1"/>
  <c r="I51" i="11"/>
  <c r="I45" i="11"/>
  <c r="V151" i="46"/>
  <c r="AR151" i="46" s="1"/>
  <c r="Z150" i="46"/>
  <c r="AC150" i="46"/>
  <c r="I5" i="54" s="1"/>
  <c r="E15" i="53" s="1"/>
  <c r="I51" i="30"/>
  <c r="I45" i="30"/>
  <c r="W150" i="46"/>
  <c r="E51" i="27"/>
  <c r="E45" i="28"/>
  <c r="D45" i="26"/>
  <c r="D42" i="28"/>
  <c r="E42" i="27"/>
  <c r="E46" i="27"/>
  <c r="D46" i="28"/>
  <c r="E47" i="27"/>
  <c r="D47" i="28"/>
  <c r="E48" i="24"/>
  <c r="D48" i="23"/>
  <c r="E39" i="27"/>
  <c r="D39" i="28"/>
  <c r="E51" i="28"/>
  <c r="D51" i="26"/>
  <c r="J37" i="29"/>
  <c r="J39" i="30"/>
  <c r="D50" i="25"/>
  <c r="E50" i="26"/>
  <c r="J57" i="25"/>
  <c r="M7" i="25"/>
  <c r="M34" i="26"/>
  <c r="J43" i="28"/>
  <c r="J44" i="27"/>
  <c r="Q15" i="48"/>
  <c r="W14" i="48"/>
  <c r="J50" i="27"/>
  <c r="J49" i="28"/>
  <c r="D44" i="22"/>
  <c r="E44" i="21"/>
  <c r="J57" i="14"/>
  <c r="A16" i="1"/>
  <c r="A17" i="2" s="1"/>
  <c r="J56" i="20"/>
  <c r="D41" i="26"/>
  <c r="E41" i="28"/>
  <c r="E38" i="27"/>
  <c r="D52" i="27"/>
  <c r="D53" i="27" s="1"/>
  <c r="D38" i="28"/>
  <c r="BO11" i="1" l="1"/>
  <c r="DN11" i="1"/>
  <c r="FA11" i="1"/>
  <c r="HX11" i="1"/>
  <c r="CA11" i="1"/>
  <c r="FS11" i="1"/>
  <c r="BL11" i="1"/>
  <c r="AH11" i="1"/>
  <c r="DZ11" i="1"/>
  <c r="HR11" i="1"/>
  <c r="BX11" i="1"/>
  <c r="BU11" i="1"/>
  <c r="FM11" i="1"/>
  <c r="JE11" i="1"/>
  <c r="DH11" i="1"/>
  <c r="CM11" i="1"/>
  <c r="GE11" i="1"/>
  <c r="AT11" i="1"/>
  <c r="EL11" i="1"/>
  <c r="ER11" i="1"/>
  <c r="CG11" i="1"/>
  <c r="FY11" i="1"/>
  <c r="AZ11" i="1"/>
  <c r="ID11" i="1"/>
  <c r="G11" i="1"/>
  <c r="CY11" i="1"/>
  <c r="GQ11" i="1"/>
  <c r="GZ11" i="1"/>
  <c r="BF11" i="1"/>
  <c r="EX11" i="1"/>
  <c r="IP11" i="1"/>
  <c r="GN11" i="1"/>
  <c r="CS11" i="1"/>
  <c r="GK11" i="1"/>
  <c r="EF11" i="1"/>
  <c r="DT11" i="1"/>
  <c r="S11" i="1"/>
  <c r="DK11" i="1"/>
  <c r="HC11" i="1"/>
  <c r="AN11" i="1"/>
  <c r="BR11" i="1"/>
  <c r="FJ11" i="1"/>
  <c r="JB11" i="1"/>
  <c r="M11" i="1"/>
  <c r="DE11" i="1"/>
  <c r="GW11" i="1"/>
  <c r="HL11" i="1"/>
  <c r="AE11" i="1"/>
  <c r="GB11" i="1"/>
  <c r="P11" i="1"/>
  <c r="DQ11" i="1"/>
  <c r="HI11" i="1"/>
  <c r="DW11" i="1"/>
  <c r="HO11" i="1"/>
  <c r="CD11" i="1"/>
  <c r="FV11" i="1"/>
  <c r="Y11" i="1"/>
  <c r="IV11" i="1"/>
  <c r="AB11" i="1"/>
  <c r="AQ11" i="1"/>
  <c r="EI11" i="1"/>
  <c r="IA11" i="1"/>
  <c r="JH11" i="1"/>
  <c r="CP11" i="1"/>
  <c r="GH11" i="1"/>
  <c r="CJ11" i="1"/>
  <c r="AK11" i="1"/>
  <c r="EC11" i="1"/>
  <c r="AQ10" i="45"/>
  <c r="AI10" i="45"/>
  <c r="AA10" i="45"/>
  <c r="S10" i="45"/>
  <c r="AE10" i="45"/>
  <c r="J9" i="48"/>
  <c r="B4" i="59" s="1"/>
  <c r="IP20" i="1"/>
  <c r="EX20" i="1"/>
  <c r="BF20" i="1"/>
  <c r="GW20" i="1"/>
  <c r="HI20" i="1"/>
  <c r="HU20" i="1"/>
  <c r="GQ20" i="1"/>
  <c r="HC20" i="1"/>
  <c r="HO20" i="1"/>
  <c r="GZ20" i="1"/>
  <c r="HL20" i="1"/>
  <c r="ID20" i="1"/>
  <c r="EL20" i="1"/>
  <c r="AT20" i="1"/>
  <c r="FG20" i="1"/>
  <c r="FS20" i="1"/>
  <c r="GE20" i="1"/>
  <c r="FP20" i="1"/>
  <c r="GB20" i="1"/>
  <c r="GN20" i="1"/>
  <c r="FY20" i="1"/>
  <c r="GK20" i="1"/>
  <c r="HR20" i="1"/>
  <c r="DZ20" i="1"/>
  <c r="AH20" i="1"/>
  <c r="EF20" i="1"/>
  <c r="ER20" i="1"/>
  <c r="FD20" i="1"/>
  <c r="EO20" i="1"/>
  <c r="FA20" i="1"/>
  <c r="FM20" i="1"/>
  <c r="EI20" i="1"/>
  <c r="EU20" i="1"/>
  <c r="HF20" i="1"/>
  <c r="DN20" i="1"/>
  <c r="V20" i="1"/>
  <c r="DE20" i="1"/>
  <c r="DQ20" i="1"/>
  <c r="EC20" i="1"/>
  <c r="CY20" i="1"/>
  <c r="DK20" i="1"/>
  <c r="DW20" i="1"/>
  <c r="DH20" i="1"/>
  <c r="DT20" i="1"/>
  <c r="GT20" i="1"/>
  <c r="DB20" i="1"/>
  <c r="J20" i="1"/>
  <c r="BO20" i="1"/>
  <c r="CA20" i="1"/>
  <c r="CM20" i="1"/>
  <c r="BX20" i="1"/>
  <c r="CJ20" i="1"/>
  <c r="CV20" i="1"/>
  <c r="CG20" i="1"/>
  <c r="CS20" i="1"/>
  <c r="GH20" i="1"/>
  <c r="CP20" i="1"/>
  <c r="JH20" i="1"/>
  <c r="AN20" i="1"/>
  <c r="AZ20" i="1"/>
  <c r="BL20" i="1"/>
  <c r="AW20" i="1"/>
  <c r="BI20" i="1"/>
  <c r="BU20" i="1"/>
  <c r="AQ20" i="1"/>
  <c r="BC20" i="1"/>
  <c r="E21" i="2"/>
  <c r="CC21" i="2" s="1"/>
  <c r="FV20" i="1"/>
  <c r="CD20" i="1"/>
  <c r="IY20" i="1"/>
  <c r="M20" i="1"/>
  <c r="Y20" i="1"/>
  <c r="AK20" i="1"/>
  <c r="G20" i="1"/>
  <c r="S20" i="1"/>
  <c r="AE20" i="1"/>
  <c r="P20" i="1"/>
  <c r="AB20" i="1"/>
  <c r="JB20" i="1"/>
  <c r="FJ20" i="1"/>
  <c r="BR20" i="1"/>
  <c r="HX20" i="1"/>
  <c r="IJ20" i="1"/>
  <c r="IV20" i="1"/>
  <c r="IG20" i="1"/>
  <c r="IS20" i="1"/>
  <c r="JE20" i="1"/>
  <c r="IA20" i="1"/>
  <c r="IM20" i="1"/>
  <c r="AQ19" i="45"/>
  <c r="AE19" i="45"/>
  <c r="W19" i="45"/>
  <c r="S19" i="45"/>
  <c r="AI19" i="45"/>
  <c r="O19" i="45"/>
  <c r="AM19" i="45"/>
  <c r="K19" i="45"/>
  <c r="AA19" i="45"/>
  <c r="J27" i="9"/>
  <c r="J27" i="8" s="1"/>
  <c r="J27" i="7" s="1"/>
  <c r="J27" i="6" s="1"/>
  <c r="J27" i="37" s="1"/>
  <c r="J27" i="4" s="1"/>
  <c r="J27" i="43" s="1"/>
  <c r="J29" i="9"/>
  <c r="J29" i="8" s="1"/>
  <c r="J29" i="7" s="1"/>
  <c r="J29" i="6" s="1"/>
  <c r="J29" i="37" s="1"/>
  <c r="J29" i="4" s="1"/>
  <c r="J29" i="43" s="1"/>
  <c r="J28" i="9"/>
  <c r="J28" i="8" s="1"/>
  <c r="J28" i="7" s="1"/>
  <c r="J28" i="6" s="1"/>
  <c r="J28" i="37" s="1"/>
  <c r="J28" i="4" s="1"/>
  <c r="J28" i="43" s="1"/>
  <c r="J9" i="9"/>
  <c r="J9" i="8" s="1"/>
  <c r="J9" i="7" s="1"/>
  <c r="J9" i="6" s="1"/>
  <c r="J9" i="37" s="1"/>
  <c r="J9" i="4" s="1"/>
  <c r="J9" i="43" s="1"/>
  <c r="J10" i="9"/>
  <c r="J10" i="8" s="1"/>
  <c r="J11" i="10"/>
  <c r="O29" i="45"/>
  <c r="AM29" i="45"/>
  <c r="K29" i="45"/>
  <c r="S29" i="45"/>
  <c r="AI29" i="45"/>
  <c r="AE29" i="45"/>
  <c r="W29" i="45"/>
  <c r="AQ29" i="45"/>
  <c r="AA29" i="45"/>
  <c r="IP30" i="1"/>
  <c r="EX30" i="1"/>
  <c r="BF30" i="1"/>
  <c r="HU30" i="1"/>
  <c r="EC30" i="1"/>
  <c r="AK30" i="1"/>
  <c r="DW30" i="1"/>
  <c r="HL30" i="1"/>
  <c r="AB30" i="1"/>
  <c r="CJ30" i="1"/>
  <c r="FG30" i="1"/>
  <c r="ID30" i="1"/>
  <c r="EL30" i="1"/>
  <c r="AT30" i="1"/>
  <c r="HI30" i="1"/>
  <c r="DQ30" i="1"/>
  <c r="Y30" i="1"/>
  <c r="DH30" i="1"/>
  <c r="GE30" i="1"/>
  <c r="IM30" i="1"/>
  <c r="BC30" i="1"/>
  <c r="ER30" i="1"/>
  <c r="HR30" i="1"/>
  <c r="DZ30" i="1"/>
  <c r="AH30" i="1"/>
  <c r="GW30" i="1"/>
  <c r="DE30" i="1"/>
  <c r="M30" i="1"/>
  <c r="CA30" i="1"/>
  <c r="FP30" i="1"/>
  <c r="HX30" i="1"/>
  <c r="AN30" i="1"/>
  <c r="DK30" i="1"/>
  <c r="HF30" i="1"/>
  <c r="DN30" i="1"/>
  <c r="V30" i="1"/>
  <c r="GK30" i="1"/>
  <c r="CS30" i="1"/>
  <c r="IV30" i="1"/>
  <c r="BL30" i="1"/>
  <c r="EI30" i="1"/>
  <c r="GQ30" i="1"/>
  <c r="G30" i="1"/>
  <c r="CV30" i="1"/>
  <c r="GT30" i="1"/>
  <c r="DB30" i="1"/>
  <c r="J30" i="1"/>
  <c r="FY30" i="1"/>
  <c r="CG30" i="1"/>
  <c r="HO30" i="1"/>
  <c r="AE30" i="1"/>
  <c r="DT30" i="1"/>
  <c r="GB30" i="1"/>
  <c r="IY30" i="1"/>
  <c r="BO30" i="1"/>
  <c r="GH30" i="1"/>
  <c r="CP30" i="1"/>
  <c r="JE30" i="1"/>
  <c r="FM30" i="1"/>
  <c r="BU30" i="1"/>
  <c r="GZ30" i="1"/>
  <c r="P30" i="1"/>
  <c r="CM30" i="1"/>
  <c r="EU30" i="1"/>
  <c r="IJ30" i="1"/>
  <c r="AZ30" i="1"/>
  <c r="E31" i="2"/>
  <c r="CC31" i="2" s="1"/>
  <c r="FV30" i="1"/>
  <c r="CD30" i="1"/>
  <c r="IS30" i="1"/>
  <c r="FA30" i="1"/>
  <c r="BI30" i="1"/>
  <c r="FS30" i="1"/>
  <c r="JH30" i="1"/>
  <c r="BX30" i="1"/>
  <c r="EF30" i="1"/>
  <c r="HC30" i="1"/>
  <c r="S30" i="1"/>
  <c r="JB30" i="1"/>
  <c r="FJ30" i="1"/>
  <c r="BR30" i="1"/>
  <c r="IG30" i="1"/>
  <c r="EO30" i="1"/>
  <c r="AW30" i="1"/>
  <c r="FD30" i="1"/>
  <c r="IA30" i="1"/>
  <c r="AQ30" i="1"/>
  <c r="CY30" i="1"/>
  <c r="GN30" i="1"/>
  <c r="J26" i="12"/>
  <c r="J26" i="11" s="1"/>
  <c r="J25" i="12"/>
  <c r="J25" i="11" s="1"/>
  <c r="J23" i="14"/>
  <c r="J22" i="14"/>
  <c r="J22" i="13" s="1"/>
  <c r="J20" i="15"/>
  <c r="J20" i="14" s="1"/>
  <c r="J20" i="13" s="1"/>
  <c r="J15" i="6"/>
  <c r="J15" i="37" s="1"/>
  <c r="J15" i="4" s="1"/>
  <c r="J15" i="43" s="1"/>
  <c r="D43" i="25"/>
  <c r="D43" i="24" s="1"/>
  <c r="J13" i="6"/>
  <c r="J13" i="37" s="1"/>
  <c r="J13" i="4" s="1"/>
  <c r="J13" i="43" s="1"/>
  <c r="J19" i="15"/>
  <c r="J19" i="14" s="1"/>
  <c r="J19" i="13" s="1"/>
  <c r="J24" i="15"/>
  <c r="J21" i="15"/>
  <c r="J18" i="16"/>
  <c r="J18" i="15" s="1"/>
  <c r="J14" i="16"/>
  <c r="J14" i="15" s="1"/>
  <c r="J14" i="14" s="1"/>
  <c r="J14" i="13" s="1"/>
  <c r="J14" i="12" s="1"/>
  <c r="J14" i="11" s="1"/>
  <c r="J14" i="10" s="1"/>
  <c r="J14" i="9" s="1"/>
  <c r="J14" i="8" s="1"/>
  <c r="J14" i="7" s="1"/>
  <c r="F15" i="53"/>
  <c r="G15" i="53" s="1"/>
  <c r="P12" i="53"/>
  <c r="X153" i="58"/>
  <c r="X150" i="58"/>
  <c r="O41" i="53" s="1"/>
  <c r="P41" i="53" s="1"/>
  <c r="Q41" i="53" s="1"/>
  <c r="AJ9" i="48"/>
  <c r="D4" i="59" s="1"/>
  <c r="C8" i="45"/>
  <c r="I9" i="48"/>
  <c r="S9" i="48"/>
  <c r="E9" i="1"/>
  <c r="X9" i="48"/>
  <c r="H4" i="59" s="1"/>
  <c r="J13" i="48"/>
  <c r="B8" i="59" s="1"/>
  <c r="E13" i="1"/>
  <c r="I13" i="48"/>
  <c r="X13" i="48"/>
  <c r="H8" i="59" s="1"/>
  <c r="C12" i="45"/>
  <c r="AJ13" i="48"/>
  <c r="D8" i="59" s="1"/>
  <c r="IA14" i="1"/>
  <c r="EI14" i="1"/>
  <c r="AQ14" i="1"/>
  <c r="HL14" i="1"/>
  <c r="DT14" i="1"/>
  <c r="AB14" i="1"/>
  <c r="GH14" i="1"/>
  <c r="CP14" i="1"/>
  <c r="IS14" i="1"/>
  <c r="AK14" i="1"/>
  <c r="IG14" i="1"/>
  <c r="FP14" i="1"/>
  <c r="AT14" i="1"/>
  <c r="BL14" i="1"/>
  <c r="HO14" i="1"/>
  <c r="DW14" i="1"/>
  <c r="AE14" i="1"/>
  <c r="GZ14" i="1"/>
  <c r="DH14" i="1"/>
  <c r="P14" i="1"/>
  <c r="FV14" i="1"/>
  <c r="CD14" i="1"/>
  <c r="FA14" i="1"/>
  <c r="HI14" i="1"/>
  <c r="EO14" i="1"/>
  <c r="FS14" i="1"/>
  <c r="GW14" i="1"/>
  <c r="HC14" i="1"/>
  <c r="DK14" i="1"/>
  <c r="S14" i="1"/>
  <c r="GN14" i="1"/>
  <c r="CV14" i="1"/>
  <c r="JB14" i="1"/>
  <c r="FJ14" i="1"/>
  <c r="BR14" i="1"/>
  <c r="BI14" i="1"/>
  <c r="JE14" i="1"/>
  <c r="AW14" i="1"/>
  <c r="CM14" i="1"/>
  <c r="ID14" i="1"/>
  <c r="CG14" i="1"/>
  <c r="E15" i="2"/>
  <c r="CC15" i="2" s="1"/>
  <c r="HR14" i="1"/>
  <c r="AH14" i="1"/>
  <c r="GQ14" i="1"/>
  <c r="CY14" i="1"/>
  <c r="G14" i="1"/>
  <c r="GB14" i="1"/>
  <c r="CJ14" i="1"/>
  <c r="IP14" i="1"/>
  <c r="EX14" i="1"/>
  <c r="BF14" i="1"/>
  <c r="GK14" i="1"/>
  <c r="FM14" i="1"/>
  <c r="FY14" i="1"/>
  <c r="EL14" i="1"/>
  <c r="CA14" i="1"/>
  <c r="Y14" i="1"/>
  <c r="IY14" i="1"/>
  <c r="FG14" i="1"/>
  <c r="BO14" i="1"/>
  <c r="IJ14" i="1"/>
  <c r="ER14" i="1"/>
  <c r="AZ14" i="1"/>
  <c r="HF14" i="1"/>
  <c r="DN14" i="1"/>
  <c r="V14" i="1"/>
  <c r="HU14" i="1"/>
  <c r="DE14" i="1"/>
  <c r="GE14" i="1"/>
  <c r="BX14" i="1"/>
  <c r="BU14" i="1"/>
  <c r="IV14" i="1"/>
  <c r="DZ14" i="1"/>
  <c r="DQ14" i="1"/>
  <c r="IM14" i="1"/>
  <c r="EU14" i="1"/>
  <c r="BC14" i="1"/>
  <c r="HX14" i="1"/>
  <c r="EF14" i="1"/>
  <c r="AN14" i="1"/>
  <c r="GT14" i="1"/>
  <c r="DB14" i="1"/>
  <c r="J14" i="1"/>
  <c r="EC14" i="1"/>
  <c r="M14" i="1"/>
  <c r="JH14" i="1"/>
  <c r="CS14" i="1"/>
  <c r="FD14" i="1"/>
  <c r="O13" i="45"/>
  <c r="K13" i="45"/>
  <c r="W13" i="45"/>
  <c r="AM13" i="45"/>
  <c r="AQ13" i="45"/>
  <c r="AE13" i="45"/>
  <c r="AI13" i="45"/>
  <c r="AA13" i="45"/>
  <c r="S13" i="45"/>
  <c r="D40" i="25"/>
  <c r="D40" i="24" s="1"/>
  <c r="E40" i="24" s="1"/>
  <c r="AA150" i="58"/>
  <c r="T3" i="54" s="1"/>
  <c r="AB150" i="58"/>
  <c r="AB151" i="58" s="1"/>
  <c r="X162" i="58" s="1"/>
  <c r="I2" i="54"/>
  <c r="E12" i="53" s="1"/>
  <c r="AJ31" i="48"/>
  <c r="D26" i="59" s="1"/>
  <c r="AJ12" i="48"/>
  <c r="D7" i="59" s="1"/>
  <c r="AJ10" i="48"/>
  <c r="D5" i="59" s="1"/>
  <c r="AI3" i="55"/>
  <c r="F7" i="53"/>
  <c r="G7" i="53" s="1"/>
  <c r="F27" i="53"/>
  <c r="F19" i="53"/>
  <c r="F31" i="53"/>
  <c r="F11" i="53"/>
  <c r="G11" i="53" s="1"/>
  <c r="F35" i="53"/>
  <c r="F23" i="53"/>
  <c r="F5" i="53"/>
  <c r="G5" i="53" s="1"/>
  <c r="F16" i="53"/>
  <c r="F29" i="53"/>
  <c r="F10" i="53"/>
  <c r="G10" i="53" s="1"/>
  <c r="F28" i="53"/>
  <c r="F34" i="53"/>
  <c r="F17" i="53"/>
  <c r="F37" i="53"/>
  <c r="F21" i="53"/>
  <c r="F36" i="53"/>
  <c r="F20" i="53"/>
  <c r="F4" i="53"/>
  <c r="F8" i="53"/>
  <c r="G8" i="53" s="1"/>
  <c r="F24" i="53"/>
  <c r="F9" i="53"/>
  <c r="G9" i="53" s="1"/>
  <c r="F25" i="53"/>
  <c r="F18" i="53"/>
  <c r="G18" i="53" s="1"/>
  <c r="F38" i="53"/>
  <c r="G38" i="53" s="1"/>
  <c r="H38" i="53" s="1"/>
  <c r="F22" i="53"/>
  <c r="F32" i="53"/>
  <c r="F26" i="53"/>
  <c r="F6" i="53"/>
  <c r="G6" i="53" s="1"/>
  <c r="F30" i="53"/>
  <c r="F33" i="53"/>
  <c r="AW151" i="46"/>
  <c r="X178" i="46" s="1"/>
  <c r="AZ151" i="46"/>
  <c r="X180" i="46" s="1"/>
  <c r="AV151" i="46"/>
  <c r="X177" i="46" s="1"/>
  <c r="AY151" i="46"/>
  <c r="AX151" i="46"/>
  <c r="J41" i="32"/>
  <c r="K57" i="32"/>
  <c r="K56" i="32"/>
  <c r="J45" i="32"/>
  <c r="J51" i="32"/>
  <c r="J40" i="31"/>
  <c r="X10" i="48"/>
  <c r="H5" i="59" s="1"/>
  <c r="E10" i="1"/>
  <c r="J10" i="48"/>
  <c r="B5" i="59" s="1"/>
  <c r="C9" i="45"/>
  <c r="I10" i="48"/>
  <c r="AF151" i="46"/>
  <c r="X163" i="46" s="1"/>
  <c r="AL151" i="46"/>
  <c r="X169" i="46" s="1"/>
  <c r="AU151" i="46"/>
  <c r="X176" i="46" s="1"/>
  <c r="AT151" i="46"/>
  <c r="X175" i="46" s="1"/>
  <c r="AQ151" i="46"/>
  <c r="X173" i="46" s="1"/>
  <c r="BA151" i="46"/>
  <c r="AI151" i="46"/>
  <c r="X166" i="46" s="1"/>
  <c r="AG151" i="46"/>
  <c r="X164" i="46" s="1"/>
  <c r="D49" i="26"/>
  <c r="E49" i="26" s="1"/>
  <c r="CC12" i="2"/>
  <c r="AC151" i="46"/>
  <c r="X160" i="46" s="1"/>
  <c r="Z151" i="46"/>
  <c r="X159" i="46" s="1"/>
  <c r="E31" i="1"/>
  <c r="C30" i="45"/>
  <c r="I31" i="48"/>
  <c r="J31" i="48"/>
  <c r="B26" i="59" s="1"/>
  <c r="X31" i="48"/>
  <c r="H26" i="59" s="1"/>
  <c r="AN151" i="46"/>
  <c r="X170" i="46" s="1"/>
  <c r="AO151" i="46"/>
  <c r="X171" i="46" s="1"/>
  <c r="AK151" i="46"/>
  <c r="X168" i="46" s="1"/>
  <c r="AJ151" i="46"/>
  <c r="X167" i="46" s="1"/>
  <c r="AP151" i="46"/>
  <c r="X172" i="46" s="1"/>
  <c r="AS151" i="46"/>
  <c r="X174" i="46" s="1"/>
  <c r="AH151" i="46"/>
  <c r="X165" i="46" s="1"/>
  <c r="AM151" i="46"/>
  <c r="X155" i="46"/>
  <c r="X153" i="46"/>
  <c r="X150" i="46"/>
  <c r="AB150" i="46"/>
  <c r="I4" i="54" s="1"/>
  <c r="E14" i="53" s="1"/>
  <c r="F14" i="53" s="1"/>
  <c r="G14" i="53" s="1"/>
  <c r="AA150" i="46"/>
  <c r="I3" i="54" s="1"/>
  <c r="E13" i="53" s="1"/>
  <c r="J12" i="48"/>
  <c r="B7" i="59" s="1"/>
  <c r="X12" i="48"/>
  <c r="H7" i="59" s="1"/>
  <c r="I12" i="48"/>
  <c r="E12" i="1"/>
  <c r="C11" i="45"/>
  <c r="R41" i="48"/>
  <c r="AJ41" i="48" s="1"/>
  <c r="D45" i="25"/>
  <c r="E45" i="26"/>
  <c r="E52" i="27"/>
  <c r="E53" i="27" s="1"/>
  <c r="D42" i="26"/>
  <c r="E42" i="28"/>
  <c r="E39" i="28"/>
  <c r="D39" i="26"/>
  <c r="E48" i="23"/>
  <c r="D48" i="21"/>
  <c r="E47" i="28"/>
  <c r="D47" i="26"/>
  <c r="D46" i="26"/>
  <c r="E46" i="28"/>
  <c r="D51" i="25"/>
  <c r="E51" i="26"/>
  <c r="D50" i="24"/>
  <c r="E50" i="25"/>
  <c r="J39" i="29"/>
  <c r="J37" i="27"/>
  <c r="A17" i="1"/>
  <c r="A18" i="2" s="1"/>
  <c r="J57" i="13"/>
  <c r="E44" i="22"/>
  <c r="D44" i="20"/>
  <c r="J49" i="26"/>
  <c r="J50" i="28"/>
  <c r="J44" i="28"/>
  <c r="J43" i="26"/>
  <c r="M34" i="25"/>
  <c r="M7" i="24"/>
  <c r="E38" i="28"/>
  <c r="D52" i="28"/>
  <c r="D53" i="28" s="1"/>
  <c r="D38" i="26"/>
  <c r="E41" i="26"/>
  <c r="D41" i="25"/>
  <c r="J56" i="19"/>
  <c r="W15" i="48"/>
  <c r="Q16" i="48"/>
  <c r="E43" i="25" l="1"/>
  <c r="J10" i="7"/>
  <c r="J10" i="6" s="1"/>
  <c r="J10" i="37" s="1"/>
  <c r="J10" i="4" s="1"/>
  <c r="J10" i="43" s="1"/>
  <c r="K9" i="48"/>
  <c r="C4" i="59" s="1"/>
  <c r="G4" i="59"/>
  <c r="J11" i="9"/>
  <c r="J11" i="8" s="1"/>
  <c r="J25" i="10"/>
  <c r="J26" i="10"/>
  <c r="J26" i="9" s="1"/>
  <c r="J26" i="8" s="1"/>
  <c r="J26" i="7" s="1"/>
  <c r="J26" i="6" s="1"/>
  <c r="J26" i="37" s="1"/>
  <c r="J26" i="4" s="1"/>
  <c r="J26" i="43" s="1"/>
  <c r="J12" i="10"/>
  <c r="J22" i="12"/>
  <c r="J22" i="11" s="1"/>
  <c r="J19" i="12"/>
  <c r="J19" i="11" s="1"/>
  <c r="J19" i="10" s="1"/>
  <c r="J23" i="13"/>
  <c r="J23" i="12" s="1"/>
  <c r="J23" i="11" s="1"/>
  <c r="J20" i="12"/>
  <c r="J20" i="11" s="1"/>
  <c r="J20" i="10" s="1"/>
  <c r="J16" i="6"/>
  <c r="J16" i="37" s="1"/>
  <c r="J16" i="4" s="1"/>
  <c r="J16" i="43" s="1"/>
  <c r="J17" i="12"/>
  <c r="J17" i="11" s="1"/>
  <c r="J17" i="10" s="1"/>
  <c r="J21" i="14"/>
  <c r="J21" i="13" s="1"/>
  <c r="J24" i="14"/>
  <c r="J14" i="6"/>
  <c r="J14" i="37" s="1"/>
  <c r="J14" i="4" s="1"/>
  <c r="J14" i="43" s="1"/>
  <c r="J18" i="14"/>
  <c r="J18" i="13" s="1"/>
  <c r="F41" i="53"/>
  <c r="G41" i="53" s="1"/>
  <c r="H41" i="53" s="1"/>
  <c r="F12" i="53"/>
  <c r="G12" i="53" s="1"/>
  <c r="E40" i="53"/>
  <c r="D40" i="23"/>
  <c r="D40" i="21" s="1"/>
  <c r="JE9" i="1"/>
  <c r="FM9" i="1"/>
  <c r="BU9" i="1"/>
  <c r="JB9" i="1"/>
  <c r="FJ9" i="1"/>
  <c r="BR9" i="1"/>
  <c r="HC9" i="1"/>
  <c r="DK9" i="1"/>
  <c r="S9" i="1"/>
  <c r="GN9" i="1"/>
  <c r="CV9" i="1"/>
  <c r="IS9" i="1"/>
  <c r="FA9" i="1"/>
  <c r="BI9" i="1"/>
  <c r="IP9" i="1"/>
  <c r="EX9" i="1"/>
  <c r="AT9" i="1"/>
  <c r="GQ9" i="1"/>
  <c r="CY9" i="1"/>
  <c r="G9" i="1"/>
  <c r="GB9" i="1"/>
  <c r="CJ9" i="1"/>
  <c r="IG9" i="1"/>
  <c r="EO9" i="1"/>
  <c r="AW9" i="1"/>
  <c r="ID9" i="1"/>
  <c r="EL9" i="1"/>
  <c r="AH9" i="1"/>
  <c r="GE9" i="1"/>
  <c r="CM9" i="1"/>
  <c r="JH9" i="1"/>
  <c r="FP9" i="1"/>
  <c r="BX9" i="1"/>
  <c r="HU9" i="1"/>
  <c r="EC9" i="1"/>
  <c r="AK9" i="1"/>
  <c r="HR9" i="1"/>
  <c r="DZ9" i="1"/>
  <c r="J9" i="1"/>
  <c r="FS9" i="1"/>
  <c r="CA9" i="1"/>
  <c r="IV9" i="1"/>
  <c r="FD9" i="1"/>
  <c r="BL9" i="1"/>
  <c r="HI9" i="1"/>
  <c r="DQ9" i="1"/>
  <c r="Y9" i="1"/>
  <c r="HF9" i="1"/>
  <c r="DN9" i="1"/>
  <c r="IY9" i="1"/>
  <c r="FG9" i="1"/>
  <c r="BO9" i="1"/>
  <c r="IJ9" i="1"/>
  <c r="ER9" i="1"/>
  <c r="AZ9" i="1"/>
  <c r="GW9" i="1"/>
  <c r="DE9" i="1"/>
  <c r="M9" i="1"/>
  <c r="GT9" i="1"/>
  <c r="DB9" i="1"/>
  <c r="IM9" i="1"/>
  <c r="EU9" i="1"/>
  <c r="BC9" i="1"/>
  <c r="HX9" i="1"/>
  <c r="EF9" i="1"/>
  <c r="AN9" i="1"/>
  <c r="GK9" i="1"/>
  <c r="CS9" i="1"/>
  <c r="BF9" i="1"/>
  <c r="GH9" i="1"/>
  <c r="CP9" i="1"/>
  <c r="IA9" i="1"/>
  <c r="EI9" i="1"/>
  <c r="AQ9" i="1"/>
  <c r="HL9" i="1"/>
  <c r="DT9" i="1"/>
  <c r="AB9" i="1"/>
  <c r="E10" i="2"/>
  <c r="FY9" i="1"/>
  <c r="CG9" i="1"/>
  <c r="V9" i="1"/>
  <c r="FV9" i="1"/>
  <c r="CD9" i="1"/>
  <c r="HO9" i="1"/>
  <c r="DW9" i="1"/>
  <c r="AE9" i="1"/>
  <c r="GZ9" i="1"/>
  <c r="DH9" i="1"/>
  <c r="P9" i="1"/>
  <c r="Y9" i="48"/>
  <c r="I4" i="59" s="1"/>
  <c r="AK9" i="48"/>
  <c r="E4" i="59" s="1"/>
  <c r="AE8" i="45"/>
  <c r="AI8" i="45"/>
  <c r="AA8" i="45"/>
  <c r="S8" i="45"/>
  <c r="O8" i="45"/>
  <c r="AM8" i="45"/>
  <c r="K8" i="45"/>
  <c r="AQ8" i="45"/>
  <c r="W8" i="45"/>
  <c r="S10" i="48"/>
  <c r="G5" i="59" s="1"/>
  <c r="E40" i="25"/>
  <c r="AA12" i="45"/>
  <c r="AI12" i="45"/>
  <c r="AM12" i="45"/>
  <c r="S12" i="45"/>
  <c r="W12" i="45"/>
  <c r="AE12" i="45"/>
  <c r="O12" i="45"/>
  <c r="K12" i="45"/>
  <c r="AQ12" i="45"/>
  <c r="GE13" i="1"/>
  <c r="CM13" i="1"/>
  <c r="JE13" i="1"/>
  <c r="FM13" i="1"/>
  <c r="JB13" i="1"/>
  <c r="BI13" i="1"/>
  <c r="AT13" i="1"/>
  <c r="GN13" i="1"/>
  <c r="DZ13" i="1"/>
  <c r="DH13" i="1"/>
  <c r="AK13" i="1"/>
  <c r="E14" i="2"/>
  <c r="CC14" i="2" s="1"/>
  <c r="FS13" i="1"/>
  <c r="CA13" i="1"/>
  <c r="IS13" i="1"/>
  <c r="FA13" i="1"/>
  <c r="IP13" i="1"/>
  <c r="AH13" i="1"/>
  <c r="FP13" i="1"/>
  <c r="ER13" i="1"/>
  <c r="CD13" i="1"/>
  <c r="AZ13" i="1"/>
  <c r="J13" i="1"/>
  <c r="IY13" i="1"/>
  <c r="FG13" i="1"/>
  <c r="BO13" i="1"/>
  <c r="IG13" i="1"/>
  <c r="EO13" i="1"/>
  <c r="ID13" i="1"/>
  <c r="V13" i="1"/>
  <c r="IV13" i="1"/>
  <c r="CV13" i="1"/>
  <c r="AN13" i="1"/>
  <c r="Y13" i="1"/>
  <c r="IM13" i="1"/>
  <c r="EU13" i="1"/>
  <c r="BC13" i="1"/>
  <c r="HU13" i="1"/>
  <c r="EC13" i="1"/>
  <c r="HR13" i="1"/>
  <c r="HL13" i="1"/>
  <c r="FJ13" i="1"/>
  <c r="BR13" i="1"/>
  <c r="M13" i="1"/>
  <c r="GZ13" i="1"/>
  <c r="IA13" i="1"/>
  <c r="EI13" i="1"/>
  <c r="AQ13" i="1"/>
  <c r="HI13" i="1"/>
  <c r="DQ13" i="1"/>
  <c r="HF13" i="1"/>
  <c r="GB13" i="1"/>
  <c r="DN13" i="1"/>
  <c r="AB13" i="1"/>
  <c r="IJ13" i="1"/>
  <c r="GH13" i="1"/>
  <c r="HO13" i="1"/>
  <c r="DW13" i="1"/>
  <c r="AE13" i="1"/>
  <c r="GW13" i="1"/>
  <c r="DE13" i="1"/>
  <c r="GT13" i="1"/>
  <c r="EF13" i="1"/>
  <c r="BF13" i="1"/>
  <c r="DT13" i="1"/>
  <c r="AW13" i="1"/>
  <c r="EL13" i="1"/>
  <c r="HC13" i="1"/>
  <c r="DK13" i="1"/>
  <c r="S13" i="1"/>
  <c r="GK13" i="1"/>
  <c r="CS13" i="1"/>
  <c r="EX13" i="1"/>
  <c r="CJ13" i="1"/>
  <c r="P13" i="1"/>
  <c r="HX13" i="1"/>
  <c r="JH13" i="1"/>
  <c r="CP13" i="1"/>
  <c r="GQ13" i="1"/>
  <c r="CY13" i="1"/>
  <c r="G13" i="1"/>
  <c r="FY13" i="1"/>
  <c r="CG13" i="1"/>
  <c r="DB13" i="1"/>
  <c r="BU13" i="1"/>
  <c r="BX13" i="1"/>
  <c r="FV13" i="1"/>
  <c r="FD13" i="1"/>
  <c r="BL13" i="1"/>
  <c r="T4" i="54"/>
  <c r="U4" i="54" s="1"/>
  <c r="O14" i="53" s="1"/>
  <c r="P14" i="53" s="1"/>
  <c r="Q14" i="53" s="1"/>
  <c r="AA151" i="58"/>
  <c r="X161" i="58" s="1"/>
  <c r="X181" i="58" s="1"/>
  <c r="X183" i="58" s="1"/>
  <c r="D49" i="25"/>
  <c r="D49" i="24" s="1"/>
  <c r="D49" i="23" s="1"/>
  <c r="G33" i="53"/>
  <c r="U3" i="54"/>
  <c r="O13" i="53" s="1"/>
  <c r="N13" i="53"/>
  <c r="X179" i="46"/>
  <c r="G24" i="53"/>
  <c r="G31" i="53"/>
  <c r="F13" i="53"/>
  <c r="G13" i="53" s="1"/>
  <c r="G4" i="53"/>
  <c r="G19" i="53"/>
  <c r="G36" i="53"/>
  <c r="G16" i="53"/>
  <c r="E13" i="2"/>
  <c r="CC13" i="2" s="1"/>
  <c r="IY12" i="1"/>
  <c r="IM12" i="1"/>
  <c r="JH12" i="1"/>
  <c r="IG12" i="1"/>
  <c r="HU12" i="1"/>
  <c r="HI12" i="1"/>
  <c r="GW12" i="1"/>
  <c r="GK12" i="1"/>
  <c r="FY12" i="1"/>
  <c r="FM12" i="1"/>
  <c r="FA12" i="1"/>
  <c r="EO12" i="1"/>
  <c r="EC12" i="1"/>
  <c r="DQ12" i="1"/>
  <c r="DE12" i="1"/>
  <c r="CS12" i="1"/>
  <c r="CG12" i="1"/>
  <c r="BU12" i="1"/>
  <c r="BI12" i="1"/>
  <c r="AW12" i="1"/>
  <c r="AK12" i="1"/>
  <c r="Y12" i="1"/>
  <c r="M12" i="1"/>
  <c r="IS12" i="1"/>
  <c r="JE12" i="1"/>
  <c r="ID12" i="1"/>
  <c r="HR12" i="1"/>
  <c r="HF12" i="1"/>
  <c r="GT12" i="1"/>
  <c r="GH12" i="1"/>
  <c r="FV12" i="1"/>
  <c r="FJ12" i="1"/>
  <c r="EX12" i="1"/>
  <c r="EL12" i="1"/>
  <c r="DZ12" i="1"/>
  <c r="DN12" i="1"/>
  <c r="DB12" i="1"/>
  <c r="CP12" i="1"/>
  <c r="CD12" i="1"/>
  <c r="BR12" i="1"/>
  <c r="BF12" i="1"/>
  <c r="AT12" i="1"/>
  <c r="AH12" i="1"/>
  <c r="V12" i="1"/>
  <c r="J12" i="1"/>
  <c r="IV12" i="1"/>
  <c r="IP12" i="1"/>
  <c r="JB12" i="1"/>
  <c r="IA12" i="1"/>
  <c r="HO12" i="1"/>
  <c r="HC12" i="1"/>
  <c r="GQ12" i="1"/>
  <c r="GE12" i="1"/>
  <c r="FS12" i="1"/>
  <c r="FG12" i="1"/>
  <c r="EU12" i="1"/>
  <c r="EI12" i="1"/>
  <c r="DW12" i="1"/>
  <c r="DK12" i="1"/>
  <c r="CY12" i="1"/>
  <c r="CM12" i="1"/>
  <c r="CA12" i="1"/>
  <c r="BO12" i="1"/>
  <c r="BC12" i="1"/>
  <c r="AQ12" i="1"/>
  <c r="AE12" i="1"/>
  <c r="S12" i="1"/>
  <c r="G12" i="1"/>
  <c r="IJ12" i="1"/>
  <c r="HX12" i="1"/>
  <c r="HL12" i="1"/>
  <c r="GZ12" i="1"/>
  <c r="GN12" i="1"/>
  <c r="GB12" i="1"/>
  <c r="FP12" i="1"/>
  <c r="FD12" i="1"/>
  <c r="ER12" i="1"/>
  <c r="EF12" i="1"/>
  <c r="DT12" i="1"/>
  <c r="DH12" i="1"/>
  <c r="CV12" i="1"/>
  <c r="CJ12" i="1"/>
  <c r="BX12" i="1"/>
  <c r="BL12" i="1"/>
  <c r="AZ12" i="1"/>
  <c r="AN12" i="1"/>
  <c r="AB12" i="1"/>
  <c r="P12" i="1"/>
  <c r="JE10" i="1"/>
  <c r="FY10" i="1"/>
  <c r="EC10" i="1"/>
  <c r="BU10" i="1"/>
  <c r="M10" i="1"/>
  <c r="JB10" i="1"/>
  <c r="IP10" i="1"/>
  <c r="ID10" i="1"/>
  <c r="HR10" i="1"/>
  <c r="HF10" i="1"/>
  <c r="GT10" i="1"/>
  <c r="GH10" i="1"/>
  <c r="FV10" i="1"/>
  <c r="FJ10" i="1"/>
  <c r="EX10" i="1"/>
  <c r="EL10" i="1"/>
  <c r="DZ10" i="1"/>
  <c r="DN10" i="1"/>
  <c r="DB10" i="1"/>
  <c r="CP10" i="1"/>
  <c r="CD10" i="1"/>
  <c r="BR10" i="1"/>
  <c r="BF10" i="1"/>
  <c r="AT10" i="1"/>
  <c r="AH10" i="1"/>
  <c r="V10" i="1"/>
  <c r="J10" i="1"/>
  <c r="DQ10" i="1"/>
  <c r="Y10" i="1"/>
  <c r="HU10" i="1"/>
  <c r="EO10" i="1"/>
  <c r="AW10" i="1"/>
  <c r="IY10" i="1"/>
  <c r="IM10" i="1"/>
  <c r="IA10" i="1"/>
  <c r="HO10" i="1"/>
  <c r="HC10" i="1"/>
  <c r="GQ10" i="1"/>
  <c r="GE10" i="1"/>
  <c r="FS10" i="1"/>
  <c r="FG10" i="1"/>
  <c r="EU10" i="1"/>
  <c r="EI10" i="1"/>
  <c r="DW10" i="1"/>
  <c r="DK10" i="1"/>
  <c r="CY10" i="1"/>
  <c r="CM10" i="1"/>
  <c r="CA10" i="1"/>
  <c r="BO10" i="1"/>
  <c r="BC10" i="1"/>
  <c r="AQ10" i="1"/>
  <c r="AE10" i="1"/>
  <c r="S10" i="1"/>
  <c r="G10" i="1"/>
  <c r="IS10" i="1"/>
  <c r="GK10" i="1"/>
  <c r="DE10" i="1"/>
  <c r="AK10" i="1"/>
  <c r="GW10" i="1"/>
  <c r="FM10" i="1"/>
  <c r="CG10" i="1"/>
  <c r="JH10" i="1"/>
  <c r="IV10" i="1"/>
  <c r="IJ10" i="1"/>
  <c r="HX10" i="1"/>
  <c r="HL10" i="1"/>
  <c r="GZ10" i="1"/>
  <c r="GN10" i="1"/>
  <c r="GB10" i="1"/>
  <c r="FP10" i="1"/>
  <c r="FD10" i="1"/>
  <c r="ER10" i="1"/>
  <c r="EF10" i="1"/>
  <c r="DT10" i="1"/>
  <c r="DH10" i="1"/>
  <c r="CV10" i="1"/>
  <c r="CJ10" i="1"/>
  <c r="BX10" i="1"/>
  <c r="BL10" i="1"/>
  <c r="AZ10" i="1"/>
  <c r="AN10" i="1"/>
  <c r="AB10" i="1"/>
  <c r="P10" i="1"/>
  <c r="HI10" i="1"/>
  <c r="CS10" i="1"/>
  <c r="IG10" i="1"/>
  <c r="FA10" i="1"/>
  <c r="BI10" i="1"/>
  <c r="E32" i="2"/>
  <c r="CC32" i="2" s="1"/>
  <c r="JH31" i="1"/>
  <c r="IV31" i="1"/>
  <c r="IJ31" i="1"/>
  <c r="HX31" i="1"/>
  <c r="HL31" i="1"/>
  <c r="GZ31" i="1"/>
  <c r="GN31" i="1"/>
  <c r="GB31" i="1"/>
  <c r="FP31" i="1"/>
  <c r="FD31" i="1"/>
  <c r="ER31" i="1"/>
  <c r="EF31" i="1"/>
  <c r="DT31" i="1"/>
  <c r="DH31" i="1"/>
  <c r="CV31" i="1"/>
  <c r="CJ31" i="1"/>
  <c r="BX31" i="1"/>
  <c r="BL31" i="1"/>
  <c r="AZ31" i="1"/>
  <c r="AN31" i="1"/>
  <c r="AB31" i="1"/>
  <c r="JE31" i="1"/>
  <c r="IS31" i="1"/>
  <c r="IG31" i="1"/>
  <c r="HU31" i="1"/>
  <c r="HI31" i="1"/>
  <c r="GW31" i="1"/>
  <c r="GK31" i="1"/>
  <c r="FY31" i="1"/>
  <c r="FM31" i="1"/>
  <c r="FA31" i="1"/>
  <c r="EO31" i="1"/>
  <c r="EC31" i="1"/>
  <c r="DQ31" i="1"/>
  <c r="DE31" i="1"/>
  <c r="CS31" i="1"/>
  <c r="CG31" i="1"/>
  <c r="BU31" i="1"/>
  <c r="BI31" i="1"/>
  <c r="AW31" i="1"/>
  <c r="AK31" i="1"/>
  <c r="Y31" i="1"/>
  <c r="M31" i="1"/>
  <c r="JB31" i="1"/>
  <c r="IP31" i="1"/>
  <c r="ID31" i="1"/>
  <c r="HR31" i="1"/>
  <c r="HF31" i="1"/>
  <c r="GT31" i="1"/>
  <c r="GH31" i="1"/>
  <c r="FV31" i="1"/>
  <c r="FJ31" i="1"/>
  <c r="EX31" i="1"/>
  <c r="EL31" i="1"/>
  <c r="DZ31" i="1"/>
  <c r="DN31" i="1"/>
  <c r="DB31" i="1"/>
  <c r="CP31" i="1"/>
  <c r="CD31" i="1"/>
  <c r="BR31" i="1"/>
  <c r="BF31" i="1"/>
  <c r="AT31" i="1"/>
  <c r="AH31" i="1"/>
  <c r="V31" i="1"/>
  <c r="J31" i="1"/>
  <c r="IY31" i="1"/>
  <c r="IM31" i="1"/>
  <c r="IA31" i="1"/>
  <c r="HO31" i="1"/>
  <c r="HC31" i="1"/>
  <c r="GQ31" i="1"/>
  <c r="GE31" i="1"/>
  <c r="FS31" i="1"/>
  <c r="FG31" i="1"/>
  <c r="EU31" i="1"/>
  <c r="EI31" i="1"/>
  <c r="DW31" i="1"/>
  <c r="DK31" i="1"/>
  <c r="CY31" i="1"/>
  <c r="CM31" i="1"/>
  <c r="CA31" i="1"/>
  <c r="BO31" i="1"/>
  <c r="BC31" i="1"/>
  <c r="AQ31" i="1"/>
  <c r="AE31" i="1"/>
  <c r="S31" i="1"/>
  <c r="G31" i="1"/>
  <c r="AA9" i="45"/>
  <c r="S9" i="45"/>
  <c r="K9" i="45"/>
  <c r="AM9" i="45"/>
  <c r="W9" i="45"/>
  <c r="AQ9" i="45"/>
  <c r="AI9" i="45"/>
  <c r="AE9" i="45"/>
  <c r="O9" i="45"/>
  <c r="E11" i="2"/>
  <c r="J41" i="31"/>
  <c r="J40" i="30"/>
  <c r="J51" i="31"/>
  <c r="K56" i="31"/>
  <c r="J45" i="31"/>
  <c r="K57" i="31"/>
  <c r="AB151" i="46"/>
  <c r="X162" i="46" s="1"/>
  <c r="J2" i="54"/>
  <c r="J5" i="54"/>
  <c r="AA151" i="46"/>
  <c r="X161" i="46" s="1"/>
  <c r="O30" i="45"/>
  <c r="W30" i="45"/>
  <c r="AM30" i="45"/>
  <c r="K30" i="45"/>
  <c r="AA30" i="45"/>
  <c r="S30" i="45"/>
  <c r="AE30" i="45"/>
  <c r="AI30" i="45"/>
  <c r="AQ30" i="45"/>
  <c r="I41" i="48"/>
  <c r="J41" i="48"/>
  <c r="X41" i="48"/>
  <c r="AM11" i="45"/>
  <c r="O11" i="45"/>
  <c r="AI11" i="45"/>
  <c r="W11" i="45"/>
  <c r="S11" i="45"/>
  <c r="AA11" i="45"/>
  <c r="K11" i="45"/>
  <c r="AQ11" i="45"/>
  <c r="AE11" i="45"/>
  <c r="C40" i="45"/>
  <c r="E41" i="1"/>
  <c r="E45" i="25"/>
  <c r="D45" i="24"/>
  <c r="E42" i="26"/>
  <c r="D42" i="25"/>
  <c r="E52" i="28"/>
  <c r="E53" i="28" s="1"/>
  <c r="E47" i="26"/>
  <c r="D47" i="25"/>
  <c r="E48" i="21"/>
  <c r="D48" i="22"/>
  <c r="E39" i="26"/>
  <c r="D39" i="25"/>
  <c r="E46" i="26"/>
  <c r="D46" i="25"/>
  <c r="D50" i="23"/>
  <c r="E50" i="24"/>
  <c r="D51" i="24"/>
  <c r="E51" i="25"/>
  <c r="J37" i="28"/>
  <c r="J39" i="27"/>
  <c r="Q17" i="48"/>
  <c r="W16" i="48"/>
  <c r="D41" i="24"/>
  <c r="E41" i="25"/>
  <c r="E38" i="26"/>
  <c r="D38" i="25"/>
  <c r="D52" i="26"/>
  <c r="D53" i="26" s="1"/>
  <c r="M7" i="23"/>
  <c r="M34" i="24"/>
  <c r="J43" i="25"/>
  <c r="J44" i="26"/>
  <c r="D44" i="19"/>
  <c r="E44" i="20"/>
  <c r="E43" i="24"/>
  <c r="D43" i="23"/>
  <c r="J56" i="18"/>
  <c r="J49" i="25"/>
  <c r="J50" i="26"/>
  <c r="J57" i="12"/>
  <c r="A18" i="1"/>
  <c r="A19" i="2" s="1"/>
  <c r="J11" i="7" l="1"/>
  <c r="J11" i="6" s="1"/>
  <c r="J11" i="37" s="1"/>
  <c r="J11" i="4" s="1"/>
  <c r="J11" i="43" s="1"/>
  <c r="J12" i="9"/>
  <c r="J25" i="9"/>
  <c r="J25" i="8" s="1"/>
  <c r="J25" i="7" s="1"/>
  <c r="J25" i="6" s="1"/>
  <c r="J25" i="37" s="1"/>
  <c r="J25" i="4" s="1"/>
  <c r="J25" i="43" s="1"/>
  <c r="J22" i="10"/>
  <c r="J23" i="10"/>
  <c r="J24" i="13"/>
  <c r="J24" i="12" s="1"/>
  <c r="J24" i="11" s="1"/>
  <c r="J21" i="12"/>
  <c r="J21" i="11" s="1"/>
  <c r="J18" i="12"/>
  <c r="J18" i="10" s="1"/>
  <c r="E40" i="23"/>
  <c r="H12" i="53"/>
  <c r="E42" i="2"/>
  <c r="CC42" i="2" s="1"/>
  <c r="O40" i="53"/>
  <c r="O42" i="53" s="1"/>
  <c r="F40" i="53"/>
  <c r="F42" i="53" s="1"/>
  <c r="G40" i="53"/>
  <c r="G42" i="53" s="1"/>
  <c r="E49" i="24"/>
  <c r="Y10" i="48"/>
  <c r="I5" i="59" s="1"/>
  <c r="S11" i="48"/>
  <c r="G6" i="59" s="1"/>
  <c r="K10" i="48"/>
  <c r="C5" i="59" s="1"/>
  <c r="AK10" i="48"/>
  <c r="E5" i="59" s="1"/>
  <c r="CC10" i="2"/>
  <c r="F10" i="2"/>
  <c r="CD10" i="2" s="1"/>
  <c r="E49" i="25"/>
  <c r="N14" i="53"/>
  <c r="N40" i="53" s="1"/>
  <c r="P13" i="53"/>
  <c r="P40" i="53" s="1"/>
  <c r="X181" i="46"/>
  <c r="X183" i="46" s="1"/>
  <c r="H14" i="53"/>
  <c r="H4" i="53"/>
  <c r="H24" i="53"/>
  <c r="J51" i="30"/>
  <c r="K56" i="30"/>
  <c r="K57" i="30"/>
  <c r="J40" i="29"/>
  <c r="J45" i="30"/>
  <c r="J41" i="30"/>
  <c r="CC11" i="2"/>
  <c r="J3" i="54"/>
  <c r="J4" i="54"/>
  <c r="K40" i="45"/>
  <c r="W40" i="45"/>
  <c r="AE40" i="45"/>
  <c r="O40" i="45"/>
  <c r="AI40" i="45"/>
  <c r="AM40" i="45"/>
  <c r="AA40" i="45"/>
  <c r="AQ40" i="45"/>
  <c r="AY22" i="45" s="1"/>
  <c r="AY24" i="45" s="1"/>
  <c r="AY26" i="45" s="1"/>
  <c r="S40" i="45"/>
  <c r="D45" i="23"/>
  <c r="E45" i="24"/>
  <c r="E52" i="26"/>
  <c r="E53" i="26" s="1"/>
  <c r="E42" i="25"/>
  <c r="D42" i="24"/>
  <c r="D46" i="24"/>
  <c r="E46" i="25"/>
  <c r="E39" i="25"/>
  <c r="D39" i="24"/>
  <c r="E48" i="22"/>
  <c r="D48" i="20"/>
  <c r="D47" i="24"/>
  <c r="E47" i="25"/>
  <c r="J39" i="28"/>
  <c r="J37" i="26"/>
  <c r="D49" i="21"/>
  <c r="E49" i="23"/>
  <c r="D51" i="23"/>
  <c r="E51" i="24"/>
  <c r="D40" i="22"/>
  <c r="E40" i="21"/>
  <c r="E50" i="23"/>
  <c r="D50" i="21"/>
  <c r="A19" i="1"/>
  <c r="A20" i="2" s="1"/>
  <c r="J57" i="11"/>
  <c r="J49" i="24"/>
  <c r="J50" i="25"/>
  <c r="E44" i="19"/>
  <c r="D44" i="18"/>
  <c r="E41" i="24"/>
  <c r="D41" i="23"/>
  <c r="W17" i="48"/>
  <c r="Q18" i="48"/>
  <c r="J56" i="17"/>
  <c r="D43" i="21"/>
  <c r="E43" i="23"/>
  <c r="J43" i="24"/>
  <c r="J44" i="25"/>
  <c r="M7" i="21"/>
  <c r="M34" i="23"/>
  <c r="E38" i="25"/>
  <c r="D38" i="24"/>
  <c r="D52" i="25"/>
  <c r="D53" i="25" s="1"/>
  <c r="J12" i="8" l="1"/>
  <c r="J12" i="7" s="1"/>
  <c r="J12" i="6" s="1"/>
  <c r="J12" i="37" s="1"/>
  <c r="J12" i="4" s="1"/>
  <c r="J12" i="43" s="1"/>
  <c r="J20" i="9"/>
  <c r="J17" i="9"/>
  <c r="J22" i="9"/>
  <c r="J22" i="8" s="1"/>
  <c r="J22" i="7" s="1"/>
  <c r="J22" i="37" s="1"/>
  <c r="J22" i="4" s="1"/>
  <c r="J22" i="43" s="1"/>
  <c r="J23" i="9"/>
  <c r="J23" i="8" s="1"/>
  <c r="J23" i="7" s="1"/>
  <c r="J23" i="6" s="1"/>
  <c r="J23" i="37" s="1"/>
  <c r="J23" i="4" s="1"/>
  <c r="J21" i="10"/>
  <c r="J24" i="10"/>
  <c r="F11" i="2"/>
  <c r="CD11" i="2" s="1"/>
  <c r="H40" i="53"/>
  <c r="H42" i="53" s="1"/>
  <c r="G50" i="54" s="1"/>
  <c r="AK11" i="48"/>
  <c r="E6" i="59" s="1"/>
  <c r="K11" i="48"/>
  <c r="C6" i="59" s="1"/>
  <c r="Y11" i="48"/>
  <c r="I6" i="59" s="1"/>
  <c r="S12" i="48"/>
  <c r="G7" i="59" s="1"/>
  <c r="Q12" i="53"/>
  <c r="P42" i="53"/>
  <c r="J45" i="29"/>
  <c r="K57" i="29"/>
  <c r="J40" i="27"/>
  <c r="J51" i="29"/>
  <c r="J41" i="29"/>
  <c r="K56" i="29"/>
  <c r="D45" i="21"/>
  <c r="E45" i="23"/>
  <c r="E52" i="25"/>
  <c r="E53" i="25" s="1"/>
  <c r="E42" i="24"/>
  <c r="D42" i="23"/>
  <c r="E48" i="20"/>
  <c r="D48" i="19"/>
  <c r="E39" i="24"/>
  <c r="D39" i="23"/>
  <c r="D47" i="23"/>
  <c r="E47" i="24"/>
  <c r="E46" i="24"/>
  <c r="D46" i="23"/>
  <c r="E50" i="21"/>
  <c r="D50" i="22"/>
  <c r="J39" i="26"/>
  <c r="J37" i="25"/>
  <c r="E40" i="22"/>
  <c r="D40" i="20"/>
  <c r="D51" i="21"/>
  <c r="E51" i="23"/>
  <c r="E49" i="21"/>
  <c r="D49" i="22"/>
  <c r="M7" i="22"/>
  <c r="M34" i="21"/>
  <c r="J56" i="16"/>
  <c r="M15" i="48"/>
  <c r="W18" i="48"/>
  <c r="Q19" i="48"/>
  <c r="E41" i="23"/>
  <c r="D41" i="21"/>
  <c r="D44" i="17"/>
  <c r="E44" i="18"/>
  <c r="J50" i="24"/>
  <c r="J49" i="23"/>
  <c r="J57" i="10"/>
  <c r="E38" i="24"/>
  <c r="D38" i="23"/>
  <c r="D52" i="24"/>
  <c r="D53" i="24" s="1"/>
  <c r="J43" i="23"/>
  <c r="J44" i="24"/>
  <c r="D43" i="22"/>
  <c r="E43" i="21"/>
  <c r="A20" i="1"/>
  <c r="A21" i="2" s="1"/>
  <c r="J19" i="8" l="1"/>
  <c r="J19" i="7" s="1"/>
  <c r="J19" i="6" s="1"/>
  <c r="J19" i="37" s="1"/>
  <c r="J19" i="4" s="1"/>
  <c r="J19" i="43" s="1"/>
  <c r="J17" i="8"/>
  <c r="J17" i="7" s="1"/>
  <c r="J17" i="6" s="1"/>
  <c r="J17" i="37" s="1"/>
  <c r="J17" i="4" s="1"/>
  <c r="J17" i="43" s="1"/>
  <c r="J20" i="7"/>
  <c r="J20" i="6" s="1"/>
  <c r="J20" i="37" s="1"/>
  <c r="J20" i="4" s="1"/>
  <c r="J20" i="43" s="1"/>
  <c r="J24" i="9"/>
  <c r="J24" i="8" s="1"/>
  <c r="J24" i="7" s="1"/>
  <c r="J24" i="6" s="1"/>
  <c r="J24" i="37" s="1"/>
  <c r="J24" i="4" s="1"/>
  <c r="J24" i="43" s="1"/>
  <c r="J21" i="9"/>
  <c r="J21" i="8" s="1"/>
  <c r="J21" i="7" s="1"/>
  <c r="J21" i="37" s="1"/>
  <c r="J21" i="4" s="1"/>
  <c r="J21" i="43" s="1"/>
  <c r="J18" i="9"/>
  <c r="F12" i="2"/>
  <c r="CD12" i="2" s="1"/>
  <c r="Q40" i="53"/>
  <c r="Q42" i="53" s="1"/>
  <c r="AK12" i="48"/>
  <c r="E7" i="59" s="1"/>
  <c r="S13" i="48"/>
  <c r="G8" i="59" s="1"/>
  <c r="Y12" i="48"/>
  <c r="I7" i="59" s="1"/>
  <c r="K12" i="48"/>
  <c r="C7" i="59" s="1"/>
  <c r="K57" i="27"/>
  <c r="J40" i="28"/>
  <c r="J45" i="27"/>
  <c r="K56" i="27"/>
  <c r="J51" i="27"/>
  <c r="J41" i="27"/>
  <c r="D45" i="22"/>
  <c r="E45" i="21"/>
  <c r="E42" i="23"/>
  <c r="D42" i="21"/>
  <c r="D46" i="21"/>
  <c r="E46" i="23"/>
  <c r="D39" i="21"/>
  <c r="E39" i="23"/>
  <c r="D48" i="18"/>
  <c r="E48" i="19"/>
  <c r="E52" i="24"/>
  <c r="E53" i="24" s="1"/>
  <c r="E47" i="23"/>
  <c r="D47" i="21"/>
  <c r="D49" i="20"/>
  <c r="E49" i="22"/>
  <c r="D40" i="19"/>
  <c r="E40" i="20"/>
  <c r="J37" i="24"/>
  <c r="J39" i="25"/>
  <c r="D50" i="20"/>
  <c r="E50" i="22"/>
  <c r="D51" i="22"/>
  <c r="E51" i="21"/>
  <c r="J44" i="23"/>
  <c r="J43" i="21"/>
  <c r="D38" i="21"/>
  <c r="D52" i="23"/>
  <c r="D53" i="23" s="1"/>
  <c r="E38" i="23"/>
  <c r="J57" i="9"/>
  <c r="E41" i="21"/>
  <c r="D41" i="22"/>
  <c r="W19" i="48"/>
  <c r="Q20" i="48"/>
  <c r="M7" i="20"/>
  <c r="M34" i="22"/>
  <c r="A21" i="1"/>
  <c r="A22" i="2" s="1"/>
  <c r="D43" i="20"/>
  <c r="E43" i="22"/>
  <c r="J49" i="21"/>
  <c r="J50" i="23"/>
  <c r="E44" i="17"/>
  <c r="D44" i="16"/>
  <c r="M16" i="48"/>
  <c r="J56" i="15"/>
  <c r="J18" i="8" l="1"/>
  <c r="J18" i="7" s="1"/>
  <c r="J18" i="6" s="1"/>
  <c r="J18" i="37" s="1"/>
  <c r="J18" i="4" s="1"/>
  <c r="J18" i="43" s="1"/>
  <c r="F13" i="2"/>
  <c r="AK13" i="48"/>
  <c r="E8" i="59" s="1"/>
  <c r="S14" i="48"/>
  <c r="G9" i="59" s="1"/>
  <c r="Y13" i="48"/>
  <c r="I8" i="59" s="1"/>
  <c r="K13" i="48"/>
  <c r="C8" i="59" s="1"/>
  <c r="K57" i="28"/>
  <c r="J51" i="28"/>
  <c r="J41" i="28"/>
  <c r="K56" i="28"/>
  <c r="J45" i="28"/>
  <c r="J40" i="26"/>
  <c r="CD13" i="2"/>
  <c r="F14" i="2"/>
  <c r="D45" i="20"/>
  <c r="E45" i="22"/>
  <c r="D42" i="22"/>
  <c r="E42" i="21"/>
  <c r="E52" i="23"/>
  <c r="E53" i="23" s="1"/>
  <c r="E47" i="21"/>
  <c r="D47" i="22"/>
  <c r="D48" i="17"/>
  <c r="E48" i="18"/>
  <c r="E39" i="21"/>
  <c r="D39" i="22"/>
  <c r="E46" i="21"/>
  <c r="D46" i="22"/>
  <c r="E51" i="22"/>
  <c r="D51" i="20"/>
  <c r="D50" i="19"/>
  <c r="E50" i="20"/>
  <c r="J37" i="23"/>
  <c r="J39" i="24"/>
  <c r="D40" i="18"/>
  <c r="E40" i="19"/>
  <c r="D49" i="19"/>
  <c r="E49" i="20"/>
  <c r="J56" i="14"/>
  <c r="E44" i="16"/>
  <c r="D44" i="15"/>
  <c r="J57" i="8"/>
  <c r="J43" i="22"/>
  <c r="J44" i="21"/>
  <c r="M17" i="48"/>
  <c r="J49" i="22"/>
  <c r="J50" i="21"/>
  <c r="E43" i="20"/>
  <c r="D43" i="19"/>
  <c r="A22" i="1"/>
  <c r="A23" i="2" s="1"/>
  <c r="M7" i="19"/>
  <c r="M34" i="20"/>
  <c r="W20" i="48"/>
  <c r="Q21" i="48"/>
  <c r="E41" i="22"/>
  <c r="D41" i="20"/>
  <c r="D38" i="22"/>
  <c r="E38" i="21"/>
  <c r="D52" i="21"/>
  <c r="D53" i="21" s="1"/>
  <c r="S15" i="48" l="1"/>
  <c r="G10" i="59" s="1"/>
  <c r="AK14" i="48"/>
  <c r="E9" i="59" s="1"/>
  <c r="Y14" i="48"/>
  <c r="I9" i="59" s="1"/>
  <c r="K14" i="48"/>
  <c r="C9" i="59" s="1"/>
  <c r="K57" i="26"/>
  <c r="J51" i="26"/>
  <c r="J41" i="26"/>
  <c r="K56" i="26"/>
  <c r="J45" i="26"/>
  <c r="J40" i="25"/>
  <c r="CD14" i="2"/>
  <c r="F15" i="2"/>
  <c r="E52" i="21"/>
  <c r="E53" i="21" s="1"/>
  <c r="E45" i="20"/>
  <c r="D45" i="19"/>
  <c r="E42" i="22"/>
  <c r="D42" i="20"/>
  <c r="D48" i="16"/>
  <c r="E48" i="17"/>
  <c r="E46" i="22"/>
  <c r="D46" i="20"/>
  <c r="E39" i="22"/>
  <c r="D39" i="20"/>
  <c r="D47" i="20"/>
  <c r="E47" i="22"/>
  <c r="E51" i="20"/>
  <c r="D51" i="19"/>
  <c r="E49" i="19"/>
  <c r="D49" i="18"/>
  <c r="E40" i="18"/>
  <c r="D40" i="17"/>
  <c r="J37" i="21"/>
  <c r="J39" i="23"/>
  <c r="D50" i="18"/>
  <c r="E50" i="19"/>
  <c r="E41" i="20"/>
  <c r="D41" i="19"/>
  <c r="W21" i="48"/>
  <c r="Q22" i="48"/>
  <c r="D43" i="18"/>
  <c r="E43" i="19"/>
  <c r="J49" i="20"/>
  <c r="J50" i="22"/>
  <c r="M18" i="48"/>
  <c r="J43" i="20"/>
  <c r="J44" i="22"/>
  <c r="J57" i="7"/>
  <c r="E38" i="22"/>
  <c r="D52" i="22"/>
  <c r="D53" i="22" s="1"/>
  <c r="D38" i="20"/>
  <c r="M7" i="18"/>
  <c r="M34" i="19"/>
  <c r="A23" i="1"/>
  <c r="A24" i="2" s="1"/>
  <c r="D44" i="14"/>
  <c r="E44" i="15"/>
  <c r="J56" i="13"/>
  <c r="S16" i="48" l="1"/>
  <c r="G11" i="59" s="1"/>
  <c r="K15" i="48"/>
  <c r="C10" i="59" s="1"/>
  <c r="Y15" i="48"/>
  <c r="I10" i="59" s="1"/>
  <c r="AK15" i="48"/>
  <c r="E10" i="59" s="1"/>
  <c r="J40" i="24"/>
  <c r="J51" i="25"/>
  <c r="K56" i="25"/>
  <c r="K57" i="25"/>
  <c r="J45" i="25"/>
  <c r="J41" i="25"/>
  <c r="CD15" i="2"/>
  <c r="F16" i="2"/>
  <c r="D45" i="18"/>
  <c r="E45" i="19"/>
  <c r="E52" i="22"/>
  <c r="E53" i="22" s="1"/>
  <c r="D42" i="19"/>
  <c r="E42" i="20"/>
  <c r="E39" i="20"/>
  <c r="D39" i="19"/>
  <c r="E46" i="20"/>
  <c r="D46" i="19"/>
  <c r="E47" i="20"/>
  <c r="D47" i="19"/>
  <c r="E48" i="16"/>
  <c r="D48" i="15"/>
  <c r="D50" i="17"/>
  <c r="E50" i="18"/>
  <c r="J37" i="22"/>
  <c r="J39" i="21"/>
  <c r="E51" i="19"/>
  <c r="D51" i="18"/>
  <c r="D40" i="16"/>
  <c r="E40" i="17"/>
  <c r="E49" i="18"/>
  <c r="D49" i="17"/>
  <c r="A24" i="1"/>
  <c r="A25" i="2" s="1"/>
  <c r="D52" i="20"/>
  <c r="D53" i="20" s="1"/>
  <c r="D38" i="19"/>
  <c r="E38" i="20"/>
  <c r="J43" i="19"/>
  <c r="J44" i="20"/>
  <c r="W22" i="48"/>
  <c r="Q23" i="48"/>
  <c r="E41" i="19"/>
  <c r="D41" i="18"/>
  <c r="J56" i="12"/>
  <c r="D44" i="13"/>
  <c r="E44" i="14"/>
  <c r="M7" i="17"/>
  <c r="M34" i="18"/>
  <c r="J57" i="6"/>
  <c r="M19" i="48"/>
  <c r="J50" i="20"/>
  <c r="J49" i="19"/>
  <c r="E43" i="18"/>
  <c r="D43" i="17"/>
  <c r="Y16" i="48" l="1"/>
  <c r="I11" i="59" s="1"/>
  <c r="S17" i="48"/>
  <c r="G12" i="59" s="1"/>
  <c r="K16" i="48"/>
  <c r="C11" i="59" s="1"/>
  <c r="AK16" i="48"/>
  <c r="E11" i="59" s="1"/>
  <c r="CD16" i="2"/>
  <c r="F17" i="2"/>
  <c r="J41" i="24"/>
  <c r="J40" i="23"/>
  <c r="K57" i="24"/>
  <c r="J45" i="24"/>
  <c r="K56" i="24"/>
  <c r="J51" i="24"/>
  <c r="E45" i="18"/>
  <c r="D45" i="17"/>
  <c r="E52" i="20"/>
  <c r="E53" i="20" s="1"/>
  <c r="D42" i="18"/>
  <c r="E42" i="19"/>
  <c r="E48" i="15"/>
  <c r="D48" i="14"/>
  <c r="D47" i="18"/>
  <c r="E47" i="19"/>
  <c r="E46" i="19"/>
  <c r="D46" i="18"/>
  <c r="D39" i="18"/>
  <c r="E39" i="19"/>
  <c r="E40" i="16"/>
  <c r="D40" i="15"/>
  <c r="E51" i="18"/>
  <c r="D51" i="17"/>
  <c r="D49" i="16"/>
  <c r="E49" i="17"/>
  <c r="J37" i="20"/>
  <c r="J39" i="22"/>
  <c r="E50" i="17"/>
  <c r="D50" i="16"/>
  <c r="M7" i="16"/>
  <c r="M34" i="17"/>
  <c r="J56" i="11"/>
  <c r="E41" i="18"/>
  <c r="D41" i="17"/>
  <c r="W23" i="48"/>
  <c r="Q24" i="48"/>
  <c r="J43" i="18"/>
  <c r="J44" i="19"/>
  <c r="E38" i="19"/>
  <c r="D52" i="19"/>
  <c r="D53" i="19" s="1"/>
  <c r="D38" i="18"/>
  <c r="D43" i="16"/>
  <c r="E43" i="17"/>
  <c r="J49" i="18"/>
  <c r="J50" i="19"/>
  <c r="M20" i="48"/>
  <c r="J57" i="37"/>
  <c r="D44" i="12"/>
  <c r="E44" i="13"/>
  <c r="A25" i="1"/>
  <c r="A26" i="2" s="1"/>
  <c r="Y17" i="48" l="1"/>
  <c r="I12" i="59" s="1"/>
  <c r="K17" i="48"/>
  <c r="C12" i="59" s="1"/>
  <c r="AK17" i="48"/>
  <c r="E12" i="59" s="1"/>
  <c r="S18" i="48"/>
  <c r="G13" i="59" s="1"/>
  <c r="J45" i="23"/>
  <c r="K57" i="23"/>
  <c r="J51" i="23"/>
  <c r="J41" i="23"/>
  <c r="J40" i="21"/>
  <c r="K56" i="23"/>
  <c r="CD17" i="2"/>
  <c r="F18" i="2"/>
  <c r="E45" i="17"/>
  <c r="D45" i="16"/>
  <c r="D42" i="17"/>
  <c r="E42" i="18"/>
  <c r="E52" i="19"/>
  <c r="E53" i="19" s="1"/>
  <c r="E46" i="18"/>
  <c r="D46" i="17"/>
  <c r="E48" i="14"/>
  <c r="D48" i="13"/>
  <c r="D39" i="17"/>
  <c r="E39" i="18"/>
  <c r="D47" i="17"/>
  <c r="E47" i="18"/>
  <c r="J37" i="19"/>
  <c r="J39" i="20"/>
  <c r="D49" i="15"/>
  <c r="E49" i="16"/>
  <c r="E40" i="15"/>
  <c r="D40" i="14"/>
  <c r="E50" i="16"/>
  <c r="D50" i="15"/>
  <c r="D51" i="16"/>
  <c r="E51" i="17"/>
  <c r="A26" i="1"/>
  <c r="A27" i="2" s="1"/>
  <c r="J49" i="17"/>
  <c r="J50" i="18"/>
  <c r="D43" i="15"/>
  <c r="E43" i="16"/>
  <c r="D38" i="17"/>
  <c r="E38" i="18"/>
  <c r="D52" i="18"/>
  <c r="D53" i="18" s="1"/>
  <c r="J43" i="17"/>
  <c r="J44" i="18"/>
  <c r="W24" i="48"/>
  <c r="Q25" i="48"/>
  <c r="D41" i="16"/>
  <c r="E41" i="17"/>
  <c r="J56" i="10"/>
  <c r="E44" i="12"/>
  <c r="D44" i="11"/>
  <c r="J57" i="4"/>
  <c r="M21" i="48"/>
  <c r="M34" i="16"/>
  <c r="M7" i="15"/>
  <c r="S19" i="48" l="1"/>
  <c r="G14" i="59" s="1"/>
  <c r="K18" i="48"/>
  <c r="C13" i="59" s="1"/>
  <c r="AK18" i="48"/>
  <c r="E13" i="59" s="1"/>
  <c r="Y18" i="48"/>
  <c r="I13" i="59" s="1"/>
  <c r="J41" i="21"/>
  <c r="J51" i="21"/>
  <c r="J40" i="22"/>
  <c r="J45" i="21"/>
  <c r="K57" i="21"/>
  <c r="K56" i="21"/>
  <c r="CD18" i="2"/>
  <c r="F19" i="2"/>
  <c r="D45" i="15"/>
  <c r="E45" i="16"/>
  <c r="D42" i="16"/>
  <c r="E42" i="17"/>
  <c r="E48" i="13"/>
  <c r="D48" i="12"/>
  <c r="E46" i="17"/>
  <c r="D46" i="16"/>
  <c r="E52" i="18"/>
  <c r="E53" i="18" s="1"/>
  <c r="E47" i="17"/>
  <c r="D47" i="16"/>
  <c r="E39" i="17"/>
  <c r="D39" i="16"/>
  <c r="D51" i="15"/>
  <c r="E51" i="16"/>
  <c r="D50" i="14"/>
  <c r="E50" i="15"/>
  <c r="E40" i="14"/>
  <c r="D40" i="13"/>
  <c r="D49" i="14"/>
  <c r="E49" i="15"/>
  <c r="J39" i="19"/>
  <c r="J37" i="18"/>
  <c r="J57" i="43"/>
  <c r="D41" i="15"/>
  <c r="E41" i="16"/>
  <c r="D38" i="16"/>
  <c r="D52" i="17"/>
  <c r="D53" i="17" s="1"/>
  <c r="E38" i="17"/>
  <c r="D43" i="14"/>
  <c r="E43" i="15"/>
  <c r="A27" i="1"/>
  <c r="A28" i="2" s="1"/>
  <c r="M7" i="14"/>
  <c r="M34" i="15"/>
  <c r="M22" i="48"/>
  <c r="D44" i="10"/>
  <c r="E44" i="11"/>
  <c r="J56" i="9"/>
  <c r="W25" i="48"/>
  <c r="Q26" i="48"/>
  <c r="J43" i="16"/>
  <c r="J44" i="17"/>
  <c r="J49" i="16"/>
  <c r="J50" i="17"/>
  <c r="S20" i="48" l="1"/>
  <c r="G15" i="59" s="1"/>
  <c r="K19" i="48"/>
  <c r="C14" i="59" s="1"/>
  <c r="Y19" i="48"/>
  <c r="I14" i="59" s="1"/>
  <c r="AK19" i="48"/>
  <c r="E14" i="59" s="1"/>
  <c r="K56" i="22"/>
  <c r="J51" i="22"/>
  <c r="J40" i="20"/>
  <c r="J41" i="22"/>
  <c r="K57" i="22"/>
  <c r="J45" i="22"/>
  <c r="CD19" i="2"/>
  <c r="F20" i="2"/>
  <c r="D45" i="14"/>
  <c r="E45" i="15"/>
  <c r="D42" i="15"/>
  <c r="E42" i="16"/>
  <c r="E52" i="17"/>
  <c r="E53" i="17" s="1"/>
  <c r="D46" i="15"/>
  <c r="E46" i="16"/>
  <c r="E48" i="12"/>
  <c r="D48" i="11"/>
  <c r="E39" i="16"/>
  <c r="D39" i="15"/>
  <c r="E47" i="16"/>
  <c r="D47" i="15"/>
  <c r="J37" i="17"/>
  <c r="J39" i="18"/>
  <c r="D40" i="12"/>
  <c r="E40" i="13"/>
  <c r="D49" i="13"/>
  <c r="E49" i="14"/>
  <c r="D50" i="13"/>
  <c r="E50" i="14"/>
  <c r="E51" i="15"/>
  <c r="D51" i="14"/>
  <c r="J50" i="16"/>
  <c r="J49" i="15"/>
  <c r="Q27" i="48"/>
  <c r="W26" i="48"/>
  <c r="M23" i="48"/>
  <c r="M7" i="13"/>
  <c r="M34" i="14"/>
  <c r="D43" i="13"/>
  <c r="E43" i="14"/>
  <c r="J43" i="15"/>
  <c r="J44" i="16"/>
  <c r="J56" i="8"/>
  <c r="D44" i="9"/>
  <c r="E44" i="10"/>
  <c r="A28" i="1"/>
  <c r="A29" i="2" s="1"/>
  <c r="D38" i="15"/>
  <c r="D52" i="16"/>
  <c r="D53" i="16" s="1"/>
  <c r="E38" i="16"/>
  <c r="E41" i="15"/>
  <c r="D41" i="14"/>
  <c r="Y20" i="48" l="1"/>
  <c r="I15" i="59" s="1"/>
  <c r="K20" i="48"/>
  <c r="C15" i="59" s="1"/>
  <c r="AK20" i="48"/>
  <c r="E15" i="59" s="1"/>
  <c r="S21" i="48"/>
  <c r="G16" i="59" s="1"/>
  <c r="K57" i="20"/>
  <c r="J41" i="20"/>
  <c r="J45" i="20"/>
  <c r="K56" i="20"/>
  <c r="J40" i="19"/>
  <c r="J51" i="20"/>
  <c r="CD20" i="2"/>
  <c r="F21" i="2"/>
  <c r="E45" i="14"/>
  <c r="D45" i="13"/>
  <c r="D42" i="14"/>
  <c r="E42" i="15"/>
  <c r="E47" i="15"/>
  <c r="D47" i="14"/>
  <c r="E39" i="15"/>
  <c r="D39" i="14"/>
  <c r="E48" i="11"/>
  <c r="D48" i="10"/>
  <c r="E52" i="16"/>
  <c r="E53" i="16" s="1"/>
  <c r="D46" i="14"/>
  <c r="E46" i="15"/>
  <c r="E51" i="14"/>
  <c r="D51" i="13"/>
  <c r="D49" i="12"/>
  <c r="E49" i="13"/>
  <c r="E40" i="12"/>
  <c r="D40" i="11"/>
  <c r="E50" i="13"/>
  <c r="D50" i="12"/>
  <c r="J37" i="16"/>
  <c r="J39" i="17"/>
  <c r="E41" i="14"/>
  <c r="D41" i="13"/>
  <c r="D52" i="15"/>
  <c r="D53" i="15" s="1"/>
  <c r="E38" i="15"/>
  <c r="D38" i="14"/>
  <c r="A29" i="1"/>
  <c r="A30" i="2" s="1"/>
  <c r="D44" i="8"/>
  <c r="E44" i="9"/>
  <c r="J56" i="7"/>
  <c r="D43" i="12"/>
  <c r="E43" i="13"/>
  <c r="J49" i="14"/>
  <c r="J50" i="15"/>
  <c r="J44" i="15"/>
  <c r="J43" i="14"/>
  <c r="M7" i="12"/>
  <c r="M34" i="13"/>
  <c r="M24" i="48"/>
  <c r="Q28" i="48"/>
  <c r="W27" i="48"/>
  <c r="Y21" i="48" l="1"/>
  <c r="I16" i="59" s="1"/>
  <c r="S22" i="48"/>
  <c r="G17" i="59" s="1"/>
  <c r="AK21" i="48"/>
  <c r="E16" i="59" s="1"/>
  <c r="K21" i="48"/>
  <c r="C16" i="59" s="1"/>
  <c r="J40" i="18"/>
  <c r="K56" i="19"/>
  <c r="K57" i="19"/>
  <c r="J51" i="19"/>
  <c r="J45" i="19"/>
  <c r="J41" i="19"/>
  <c r="CD21" i="2"/>
  <c r="F22" i="2"/>
  <c r="E45" i="13"/>
  <c r="D45" i="12"/>
  <c r="E52" i="15"/>
  <c r="E53" i="15" s="1"/>
  <c r="D42" i="13"/>
  <c r="E42" i="14"/>
  <c r="D46" i="13"/>
  <c r="E46" i="14"/>
  <c r="E48" i="10"/>
  <c r="D48" i="9"/>
  <c r="E39" i="14"/>
  <c r="D39" i="13"/>
  <c r="D47" i="13"/>
  <c r="E47" i="14"/>
  <c r="E50" i="12"/>
  <c r="D50" i="11"/>
  <c r="D40" i="10"/>
  <c r="E40" i="11"/>
  <c r="D51" i="12"/>
  <c r="E51" i="13"/>
  <c r="J39" i="16"/>
  <c r="J37" i="15"/>
  <c r="E49" i="12"/>
  <c r="D49" i="11"/>
  <c r="J49" i="13"/>
  <c r="J50" i="14"/>
  <c r="E43" i="12"/>
  <c r="D43" i="11"/>
  <c r="J56" i="6"/>
  <c r="A30" i="1"/>
  <c r="A31" i="2" s="1"/>
  <c r="D52" i="14"/>
  <c r="D53" i="14" s="1"/>
  <c r="D38" i="13"/>
  <c r="E38" i="14"/>
  <c r="Q29" i="48"/>
  <c r="W28" i="48"/>
  <c r="M25" i="48"/>
  <c r="M7" i="11"/>
  <c r="M34" i="12"/>
  <c r="J43" i="13"/>
  <c r="J44" i="14"/>
  <c r="D44" i="7"/>
  <c r="E44" i="8"/>
  <c r="D41" i="12"/>
  <c r="E41" i="13"/>
  <c r="S23" i="48" l="1"/>
  <c r="G18" i="59" s="1"/>
  <c r="K22" i="48"/>
  <c r="C17" i="59" s="1"/>
  <c r="Y22" i="48"/>
  <c r="I17" i="59" s="1"/>
  <c r="AK22" i="48"/>
  <c r="E17" i="59" s="1"/>
  <c r="CD22" i="2"/>
  <c r="F23" i="2"/>
  <c r="J41" i="18"/>
  <c r="K56" i="18"/>
  <c r="K57" i="18"/>
  <c r="J51" i="18"/>
  <c r="J40" i="17"/>
  <c r="J45" i="18"/>
  <c r="D45" i="11"/>
  <c r="E45" i="12"/>
  <c r="E42" i="13"/>
  <c r="D42" i="12"/>
  <c r="E52" i="14"/>
  <c r="E53" i="14" s="1"/>
  <c r="E39" i="13"/>
  <c r="D39" i="12"/>
  <c r="D48" i="8"/>
  <c r="E48" i="9"/>
  <c r="D47" i="12"/>
  <c r="E47" i="13"/>
  <c r="D46" i="12"/>
  <c r="E46" i="13"/>
  <c r="D49" i="10"/>
  <c r="E49" i="11"/>
  <c r="J37" i="14"/>
  <c r="J39" i="15"/>
  <c r="D50" i="10"/>
  <c r="E50" i="11"/>
  <c r="E51" i="12"/>
  <c r="D51" i="11"/>
  <c r="E40" i="10"/>
  <c r="D40" i="9"/>
  <c r="J56" i="37"/>
  <c r="D43" i="10"/>
  <c r="E43" i="11"/>
  <c r="J49" i="12"/>
  <c r="J50" i="13"/>
  <c r="E41" i="12"/>
  <c r="D41" i="11"/>
  <c r="D44" i="6"/>
  <c r="E44" i="7"/>
  <c r="J43" i="12"/>
  <c r="J44" i="13"/>
  <c r="M7" i="10"/>
  <c r="M34" i="11"/>
  <c r="M26" i="48"/>
  <c r="Q30" i="48"/>
  <c r="W29" i="48"/>
  <c r="D52" i="13"/>
  <c r="D53" i="13" s="1"/>
  <c r="D38" i="12"/>
  <c r="E38" i="13"/>
  <c r="A31" i="1"/>
  <c r="A32" i="2" s="1"/>
  <c r="S24" i="48" l="1"/>
  <c r="G19" i="59" s="1"/>
  <c r="Y23" i="48"/>
  <c r="I18" i="59" s="1"/>
  <c r="AK23" i="48"/>
  <c r="E18" i="59" s="1"/>
  <c r="K23" i="48"/>
  <c r="C18" i="59" s="1"/>
  <c r="J41" i="17"/>
  <c r="K56" i="17"/>
  <c r="J51" i="17"/>
  <c r="K57" i="17"/>
  <c r="J40" i="16"/>
  <c r="J45" i="17"/>
  <c r="CD23" i="2"/>
  <c r="F24" i="2"/>
  <c r="D45" i="10"/>
  <c r="E45" i="11"/>
  <c r="E42" i="12"/>
  <c r="D42" i="11"/>
  <c r="E52" i="13"/>
  <c r="E53" i="13" s="1"/>
  <c r="E39" i="12"/>
  <c r="D39" i="11"/>
  <c r="E46" i="12"/>
  <c r="D46" i="11"/>
  <c r="E47" i="12"/>
  <c r="D47" i="11"/>
  <c r="E48" i="8"/>
  <c r="D48" i="7"/>
  <c r="E40" i="9"/>
  <c r="D40" i="8"/>
  <c r="D51" i="10"/>
  <c r="E51" i="11"/>
  <c r="E50" i="10"/>
  <c r="D50" i="9"/>
  <c r="J37" i="13"/>
  <c r="J39" i="14"/>
  <c r="E49" i="10"/>
  <c r="D49" i="9"/>
  <c r="A32" i="1"/>
  <c r="A33" i="2" s="1"/>
  <c r="E38" i="12"/>
  <c r="D52" i="12"/>
  <c r="D53" i="12" s="1"/>
  <c r="D38" i="11"/>
  <c r="M27" i="48"/>
  <c r="J43" i="11"/>
  <c r="J44" i="12"/>
  <c r="D44" i="37"/>
  <c r="E44" i="6"/>
  <c r="J50" i="12"/>
  <c r="J49" i="11"/>
  <c r="D43" i="9"/>
  <c r="E43" i="10"/>
  <c r="J56" i="4"/>
  <c r="W30" i="48"/>
  <c r="Q31" i="48"/>
  <c r="M7" i="9"/>
  <c r="M34" i="10"/>
  <c r="D41" i="10"/>
  <c r="E41" i="11"/>
  <c r="S25" i="48" l="1"/>
  <c r="G20" i="59" s="1"/>
  <c r="K24" i="48"/>
  <c r="C19" i="59" s="1"/>
  <c r="AK24" i="48"/>
  <c r="E19" i="59" s="1"/>
  <c r="Y24" i="48"/>
  <c r="I19" i="59" s="1"/>
  <c r="J45" i="16"/>
  <c r="K57" i="16"/>
  <c r="J40" i="15"/>
  <c r="J51" i="16"/>
  <c r="J41" i="16"/>
  <c r="K56" i="16"/>
  <c r="F25" i="2"/>
  <c r="CD24" i="2"/>
  <c r="E45" i="10"/>
  <c r="D45" i="9"/>
  <c r="D42" i="10"/>
  <c r="E42" i="11"/>
  <c r="E52" i="12"/>
  <c r="E53" i="12" s="1"/>
  <c r="E48" i="7"/>
  <c r="D48" i="6"/>
  <c r="E47" i="11"/>
  <c r="D47" i="10"/>
  <c r="D46" i="10"/>
  <c r="E46" i="11"/>
  <c r="E39" i="11"/>
  <c r="D39" i="10"/>
  <c r="E49" i="9"/>
  <c r="D49" i="8"/>
  <c r="J37" i="12"/>
  <c r="J39" i="13"/>
  <c r="D40" i="7"/>
  <c r="E40" i="8"/>
  <c r="D50" i="8"/>
  <c r="E50" i="9"/>
  <c r="D51" i="9"/>
  <c r="E51" i="10"/>
  <c r="W31" i="48"/>
  <c r="Q32" i="48"/>
  <c r="J56" i="43"/>
  <c r="E43" i="9"/>
  <c r="D43" i="8"/>
  <c r="J43" i="10"/>
  <c r="J44" i="11"/>
  <c r="M28" i="48"/>
  <c r="E41" i="10"/>
  <c r="D41" i="9"/>
  <c r="M34" i="9"/>
  <c r="M7" i="8"/>
  <c r="J49" i="10"/>
  <c r="J50" i="11"/>
  <c r="D44" i="4"/>
  <c r="E44" i="37"/>
  <c r="E38" i="11"/>
  <c r="D38" i="10"/>
  <c r="D52" i="11"/>
  <c r="D53" i="11" s="1"/>
  <c r="A33" i="1"/>
  <c r="A34" i="2" s="1"/>
  <c r="S26" i="48" l="1"/>
  <c r="G21" i="59" s="1"/>
  <c r="Y25" i="48"/>
  <c r="I20" i="59" s="1"/>
  <c r="AK25" i="48"/>
  <c r="E20" i="59" s="1"/>
  <c r="K25" i="48"/>
  <c r="C20" i="59" s="1"/>
  <c r="Z152" i="58"/>
  <c r="Z152" i="46"/>
  <c r="J40" i="14"/>
  <c r="J51" i="15"/>
  <c r="K56" i="15"/>
  <c r="J41" i="15"/>
  <c r="J45" i="15"/>
  <c r="K57" i="15"/>
  <c r="CD25" i="2"/>
  <c r="F26" i="2"/>
  <c r="E45" i="9"/>
  <c r="D45" i="8"/>
  <c r="E42" i="10"/>
  <c r="D42" i="9"/>
  <c r="D39" i="9"/>
  <c r="E39" i="10"/>
  <c r="E47" i="10"/>
  <c r="D47" i="9"/>
  <c r="E48" i="6"/>
  <c r="D48" i="37"/>
  <c r="E52" i="11"/>
  <c r="E53" i="11" s="1"/>
  <c r="D46" i="9"/>
  <c r="E46" i="10"/>
  <c r="D51" i="8"/>
  <c r="E51" i="9"/>
  <c r="E50" i="8"/>
  <c r="D50" i="7"/>
  <c r="E49" i="8"/>
  <c r="D49" i="7"/>
  <c r="D40" i="6"/>
  <c r="E40" i="7"/>
  <c r="J37" i="11"/>
  <c r="J39" i="12"/>
  <c r="A34" i="1"/>
  <c r="A35" i="2" s="1"/>
  <c r="D52" i="10"/>
  <c r="D53" i="10" s="1"/>
  <c r="E38" i="10"/>
  <c r="D38" i="9"/>
  <c r="J49" i="9"/>
  <c r="J50" i="10"/>
  <c r="J43" i="9"/>
  <c r="J44" i="10"/>
  <c r="E43" i="8"/>
  <c r="D43" i="7"/>
  <c r="E44" i="4"/>
  <c r="D44" i="43"/>
  <c r="E44" i="43" s="1"/>
  <c r="M7" i="7"/>
  <c r="M34" i="8"/>
  <c r="E41" i="9"/>
  <c r="D41" i="8"/>
  <c r="M29" i="48"/>
  <c r="W32" i="48"/>
  <c r="Q33" i="48"/>
  <c r="Y26" i="48" l="1"/>
  <c r="I21" i="59" s="1"/>
  <c r="S27" i="48"/>
  <c r="G22" i="59" s="1"/>
  <c r="K26" i="48"/>
  <c r="C21" i="59" s="1"/>
  <c r="AK26" i="48"/>
  <c r="E21" i="59" s="1"/>
  <c r="CD26" i="2"/>
  <c r="F27" i="2"/>
  <c r="J41" i="14"/>
  <c r="K56" i="14"/>
  <c r="J45" i="14"/>
  <c r="J40" i="13"/>
  <c r="K57" i="14"/>
  <c r="J51" i="14"/>
  <c r="E45" i="8"/>
  <c r="D45" i="7"/>
  <c r="E52" i="10"/>
  <c r="E53" i="10" s="1"/>
  <c r="D42" i="8"/>
  <c r="E42" i="9"/>
  <c r="E46" i="9"/>
  <c r="D46" i="8"/>
  <c r="E48" i="37"/>
  <c r="D48" i="4"/>
  <c r="D47" i="8"/>
  <c r="E47" i="9"/>
  <c r="E39" i="9"/>
  <c r="D39" i="8"/>
  <c r="J37" i="10"/>
  <c r="J39" i="11"/>
  <c r="D40" i="37"/>
  <c r="E40" i="6"/>
  <c r="E49" i="7"/>
  <c r="D49" i="6"/>
  <c r="D50" i="6"/>
  <c r="E50" i="7"/>
  <c r="D51" i="7"/>
  <c r="E51" i="8"/>
  <c r="W33" i="48"/>
  <c r="Q34" i="48"/>
  <c r="D41" i="7"/>
  <c r="E41" i="8"/>
  <c r="D43" i="6"/>
  <c r="E43" i="7"/>
  <c r="J43" i="8"/>
  <c r="J44" i="9"/>
  <c r="E38" i="9"/>
  <c r="D52" i="9"/>
  <c r="D53" i="9" s="1"/>
  <c r="D38" i="8"/>
  <c r="A35" i="1"/>
  <c r="A36" i="2" s="1"/>
  <c r="M30" i="48"/>
  <c r="M7" i="6"/>
  <c r="M34" i="7"/>
  <c r="J49" i="8"/>
  <c r="J50" i="9"/>
  <c r="S28" i="48" l="1"/>
  <c r="G23" i="59" s="1"/>
  <c r="Y27" i="48"/>
  <c r="I22" i="59" s="1"/>
  <c r="K27" i="48"/>
  <c r="C22" i="59" s="1"/>
  <c r="AK27" i="48"/>
  <c r="E22" i="59" s="1"/>
  <c r="J51" i="13"/>
  <c r="J41" i="13"/>
  <c r="K56" i="13"/>
  <c r="J45" i="13"/>
  <c r="K57" i="13"/>
  <c r="J40" i="12"/>
  <c r="F28" i="2"/>
  <c r="CD27" i="2"/>
  <c r="E45" i="7"/>
  <c r="D45" i="6"/>
  <c r="E42" i="8"/>
  <c r="D42" i="7"/>
  <c r="D39" i="7"/>
  <c r="E39" i="8"/>
  <c r="E48" i="4"/>
  <c r="D48" i="43"/>
  <c r="E48" i="43" s="1"/>
  <c r="E46" i="8"/>
  <c r="D46" i="7"/>
  <c r="E52" i="9"/>
  <c r="E53" i="9" s="1"/>
  <c r="E47" i="8"/>
  <c r="D47" i="7"/>
  <c r="D51" i="6"/>
  <c r="E51" i="7"/>
  <c r="E50" i="6"/>
  <c r="D50" i="37"/>
  <c r="D40" i="4"/>
  <c r="E40" i="37"/>
  <c r="D49" i="37"/>
  <c r="E49" i="6"/>
  <c r="J39" i="10"/>
  <c r="J37" i="9"/>
  <c r="J50" i="8"/>
  <c r="J49" i="7"/>
  <c r="M31" i="48"/>
  <c r="D38" i="7"/>
  <c r="E38" i="8"/>
  <c r="D52" i="8"/>
  <c r="D53" i="8" s="1"/>
  <c r="D41" i="6"/>
  <c r="E41" i="7"/>
  <c r="M7" i="37"/>
  <c r="M34" i="6"/>
  <c r="A36" i="1"/>
  <c r="A37" i="2" s="1"/>
  <c r="J43" i="7"/>
  <c r="J44" i="8"/>
  <c r="D43" i="37"/>
  <c r="E43" i="6"/>
  <c r="Q35" i="48"/>
  <c r="W34" i="48"/>
  <c r="Y28" i="48" l="1"/>
  <c r="I23" i="59" s="1"/>
  <c r="K28" i="48"/>
  <c r="C23" i="59" s="1"/>
  <c r="S29" i="48"/>
  <c r="G24" i="59" s="1"/>
  <c r="AK28" i="48"/>
  <c r="E23" i="59" s="1"/>
  <c r="J40" i="11"/>
  <c r="J51" i="12"/>
  <c r="K56" i="12"/>
  <c r="K57" i="12"/>
  <c r="J41" i="12"/>
  <c r="J45" i="12"/>
  <c r="F29" i="2"/>
  <c r="CD28" i="2"/>
  <c r="D45" i="37"/>
  <c r="E45" i="6"/>
  <c r="E52" i="8"/>
  <c r="E53" i="8" s="1"/>
  <c r="D42" i="6"/>
  <c r="E42" i="7"/>
  <c r="D46" i="6"/>
  <c r="E46" i="7"/>
  <c r="D47" i="6"/>
  <c r="E47" i="7"/>
  <c r="E39" i="7"/>
  <c r="D39" i="6"/>
  <c r="J37" i="8"/>
  <c r="J39" i="9"/>
  <c r="E49" i="37"/>
  <c r="D49" i="4"/>
  <c r="D50" i="4"/>
  <c r="E50" i="37"/>
  <c r="E40" i="4"/>
  <c r="D40" i="43"/>
  <c r="E40" i="43" s="1"/>
  <c r="D51" i="37"/>
  <c r="E51" i="6"/>
  <c r="E43" i="37"/>
  <c r="D43" i="4"/>
  <c r="A37" i="1"/>
  <c r="A38" i="2" s="1"/>
  <c r="M7" i="4"/>
  <c r="M34" i="37"/>
  <c r="E41" i="6"/>
  <c r="D41" i="37"/>
  <c r="D52" i="7"/>
  <c r="D53" i="7" s="1"/>
  <c r="E38" i="7"/>
  <c r="D38" i="6"/>
  <c r="M32" i="48"/>
  <c r="W35" i="48"/>
  <c r="Q36" i="48"/>
  <c r="J43" i="6"/>
  <c r="J44" i="7"/>
  <c r="J49" i="6"/>
  <c r="J50" i="7"/>
  <c r="Y29" i="48" l="1"/>
  <c r="I24" i="59" s="1"/>
  <c r="K29" i="48"/>
  <c r="C24" i="59" s="1"/>
  <c r="AK29" i="48"/>
  <c r="E24" i="59" s="1"/>
  <c r="S30" i="48"/>
  <c r="G25" i="59" s="1"/>
  <c r="CD29" i="2"/>
  <c r="F30" i="2"/>
  <c r="J45" i="11"/>
  <c r="K56" i="11"/>
  <c r="K57" i="11"/>
  <c r="J40" i="10"/>
  <c r="J51" i="11"/>
  <c r="J41" i="11"/>
  <c r="D45" i="4"/>
  <c r="E45" i="37"/>
  <c r="D42" i="37"/>
  <c r="E42" i="6"/>
  <c r="E39" i="6"/>
  <c r="D39" i="37"/>
  <c r="E52" i="7"/>
  <c r="E53" i="7" s="1"/>
  <c r="E47" i="6"/>
  <c r="D47" i="37"/>
  <c r="E46" i="6"/>
  <c r="D46" i="37"/>
  <c r="E49" i="4"/>
  <c r="D49" i="43"/>
  <c r="E49" i="43" s="1"/>
  <c r="D51" i="4"/>
  <c r="E51" i="37"/>
  <c r="D50" i="43"/>
  <c r="E50" i="43" s="1"/>
  <c r="E50" i="4"/>
  <c r="J39" i="8"/>
  <c r="J37" i="7"/>
  <c r="J49" i="37"/>
  <c r="J50" i="6"/>
  <c r="M33" i="48"/>
  <c r="D52" i="6"/>
  <c r="D53" i="6" s="1"/>
  <c r="D38" i="37"/>
  <c r="E38" i="6"/>
  <c r="M7" i="43"/>
  <c r="M34" i="43" s="1"/>
  <c r="M34" i="4"/>
  <c r="D43" i="43"/>
  <c r="E43" i="43" s="1"/>
  <c r="E43" i="4"/>
  <c r="J43" i="37"/>
  <c r="J44" i="6"/>
  <c r="Q37" i="48"/>
  <c r="W36" i="48"/>
  <c r="D41" i="4"/>
  <c r="E41" i="37"/>
  <c r="A38" i="1"/>
  <c r="A39" i="2" s="1"/>
  <c r="Y30" i="48" l="1"/>
  <c r="I25" i="59" s="1"/>
  <c r="S31" i="48"/>
  <c r="G26" i="59" s="1"/>
  <c r="AK30" i="48"/>
  <c r="E25" i="59" s="1"/>
  <c r="K30" i="48"/>
  <c r="C25" i="59" s="1"/>
  <c r="W152" i="58"/>
  <c r="W152" i="46"/>
  <c r="K57" i="10"/>
  <c r="J45" i="10"/>
  <c r="J40" i="9"/>
  <c r="K56" i="10"/>
  <c r="J51" i="10"/>
  <c r="J41" i="10"/>
  <c r="CD30" i="2"/>
  <c r="F31" i="2"/>
  <c r="D45" i="43"/>
  <c r="E45" i="43" s="1"/>
  <c r="E45" i="4"/>
  <c r="E52" i="6"/>
  <c r="E53" i="6" s="1"/>
  <c r="E42" i="37"/>
  <c r="D42" i="4"/>
  <c r="E39" i="37"/>
  <c r="D39" i="4"/>
  <c r="E46" i="37"/>
  <c r="D46" i="4"/>
  <c r="D47" i="4"/>
  <c r="E47" i="37"/>
  <c r="J37" i="6"/>
  <c r="J39" i="7"/>
  <c r="D51" i="43"/>
  <c r="E51" i="43" s="1"/>
  <c r="E51" i="4"/>
  <c r="J43" i="4"/>
  <c r="J44" i="37"/>
  <c r="M34" i="48"/>
  <c r="J49" i="4"/>
  <c r="J50" i="37"/>
  <c r="A39" i="1"/>
  <c r="A40" i="2" s="1"/>
  <c r="E41" i="4"/>
  <c r="D41" i="43"/>
  <c r="E41" i="43" s="1"/>
  <c r="Q38" i="48"/>
  <c r="W37" i="48"/>
  <c r="D38" i="4"/>
  <c r="E38" i="37"/>
  <c r="D52" i="37"/>
  <c r="D53" i="37" s="1"/>
  <c r="S32" i="48" l="1"/>
  <c r="G27" i="59" s="1"/>
  <c r="K31" i="48"/>
  <c r="C26" i="59" s="1"/>
  <c r="AK31" i="48"/>
  <c r="E26" i="59" s="1"/>
  <c r="Y31" i="48"/>
  <c r="I26" i="59" s="1"/>
  <c r="J40" i="8"/>
  <c r="K56" i="9"/>
  <c r="J51" i="9"/>
  <c r="J45" i="9"/>
  <c r="J41" i="9"/>
  <c r="K57" i="9"/>
  <c r="CD31" i="2"/>
  <c r="F32" i="2"/>
  <c r="D42" i="43"/>
  <c r="E42" i="43" s="1"/>
  <c r="E42" i="4"/>
  <c r="D47" i="43"/>
  <c r="E47" i="43" s="1"/>
  <c r="E47" i="4"/>
  <c r="E52" i="37"/>
  <c r="E53" i="37" s="1"/>
  <c r="E46" i="4"/>
  <c r="D46" i="43"/>
  <c r="E46" i="43" s="1"/>
  <c r="E39" i="4"/>
  <c r="D39" i="43"/>
  <c r="E39" i="43" s="1"/>
  <c r="J39" i="6"/>
  <c r="J37" i="37"/>
  <c r="E38" i="4"/>
  <c r="D38" i="43"/>
  <c r="D52" i="4"/>
  <c r="D53" i="4" s="1"/>
  <c r="Q39" i="48"/>
  <c r="W39" i="48" s="1"/>
  <c r="W38" i="48"/>
  <c r="J49" i="43"/>
  <c r="J50" i="4"/>
  <c r="J43" i="43"/>
  <c r="J44" i="4"/>
  <c r="M35" i="48"/>
  <c r="AK32" i="48" l="1"/>
  <c r="E27" i="59" s="1"/>
  <c r="S33" i="48"/>
  <c r="G28" i="59" s="1"/>
  <c r="Y32" i="48"/>
  <c r="I27" i="59" s="1"/>
  <c r="K32" i="48"/>
  <c r="C27" i="59" s="1"/>
  <c r="CD32" i="2"/>
  <c r="F33" i="2"/>
  <c r="J45" i="8"/>
  <c r="J51" i="8"/>
  <c r="K57" i="8"/>
  <c r="J40" i="7"/>
  <c r="K56" i="8"/>
  <c r="J41" i="8"/>
  <c r="E52" i="4"/>
  <c r="E53" i="4" s="1"/>
  <c r="J37" i="4"/>
  <c r="J39" i="37"/>
  <c r="M36" i="48"/>
  <c r="J44" i="43"/>
  <c r="J50" i="43"/>
  <c r="D52" i="43"/>
  <c r="E38" i="43"/>
  <c r="E52" i="43" s="1"/>
  <c r="E53" i="43" s="1"/>
  <c r="S34" i="48" l="1"/>
  <c r="G29" i="59" s="1"/>
  <c r="Y33" i="48"/>
  <c r="I28" i="59" s="1"/>
  <c r="AK33" i="48"/>
  <c r="E28" i="59" s="1"/>
  <c r="K33" i="48"/>
  <c r="C28" i="59" s="1"/>
  <c r="D53" i="43"/>
  <c r="K56" i="7"/>
  <c r="K57" i="7"/>
  <c r="J45" i="7"/>
  <c r="J41" i="7"/>
  <c r="J40" i="6"/>
  <c r="J51" i="7"/>
  <c r="CD33" i="2"/>
  <c r="F34" i="2"/>
  <c r="J37" i="43"/>
  <c r="J39" i="43" s="1"/>
  <c r="J39" i="4"/>
  <c r="M37" i="48"/>
  <c r="Y34" i="48" l="1"/>
  <c r="I29" i="59" s="1"/>
  <c r="S35" i="48"/>
  <c r="G30" i="59" s="1"/>
  <c r="K34" i="48"/>
  <c r="C29" i="59" s="1"/>
  <c r="AK34" i="48"/>
  <c r="E29" i="59" s="1"/>
  <c r="J41" i="6"/>
  <c r="K56" i="6"/>
  <c r="J40" i="37"/>
  <c r="J45" i="6"/>
  <c r="J51" i="6"/>
  <c r="K57" i="6"/>
  <c r="F35" i="2"/>
  <c r="CD34" i="2"/>
  <c r="M38" i="48"/>
  <c r="S36" i="48" l="1"/>
  <c r="G31" i="59" s="1"/>
  <c r="AK35" i="48"/>
  <c r="E30" i="59" s="1"/>
  <c r="Y35" i="48"/>
  <c r="I30" i="59" s="1"/>
  <c r="K35" i="48"/>
  <c r="C30" i="59" s="1"/>
  <c r="CD35" i="2"/>
  <c r="F36" i="2"/>
  <c r="J41" i="37"/>
  <c r="K56" i="37"/>
  <c r="J45" i="37"/>
  <c r="J51" i="37"/>
  <c r="J40" i="4"/>
  <c r="K57" i="37"/>
  <c r="M39" i="48"/>
  <c r="S37" i="48" l="1"/>
  <c r="G32" i="59" s="1"/>
  <c r="AK36" i="48"/>
  <c r="E31" i="59" s="1"/>
  <c r="Y36" i="48"/>
  <c r="I31" i="59" s="1"/>
  <c r="K36" i="48"/>
  <c r="C31" i="59" s="1"/>
  <c r="K57" i="4"/>
  <c r="J51" i="4"/>
  <c r="J45" i="4"/>
  <c r="J40" i="43"/>
  <c r="J41" i="4"/>
  <c r="K56" i="4"/>
  <c r="CD36" i="2"/>
  <c r="F37" i="2"/>
  <c r="S38" i="48" l="1"/>
  <c r="G33" i="59" s="1"/>
  <c r="AK37" i="48"/>
  <c r="E32" i="59" s="1"/>
  <c r="Y37" i="48"/>
  <c r="I32" i="59" s="1"/>
  <c r="K37" i="48"/>
  <c r="C32" i="59" s="1"/>
  <c r="J51" i="43"/>
  <c r="J41" i="43"/>
  <c r="J45" i="43"/>
  <c r="K56" i="43"/>
  <c r="K57" i="43"/>
  <c r="F38" i="2"/>
  <c r="CD37" i="2"/>
  <c r="Y38" i="48" l="1"/>
  <c r="I33" i="59" s="1"/>
  <c r="AK38" i="48"/>
  <c r="E33" i="59" s="1"/>
  <c r="K38" i="48"/>
  <c r="C33" i="59" s="1"/>
  <c r="S39" i="48"/>
  <c r="G34" i="59" s="1"/>
  <c r="F40" i="59" s="1"/>
  <c r="F39" i="2"/>
  <c r="CD38" i="2"/>
  <c r="Y39" i="48" l="1"/>
  <c r="I34" i="59" s="1"/>
  <c r="H40" i="59" s="1"/>
  <c r="K39" i="48"/>
  <c r="C34" i="59" s="1"/>
  <c r="B40" i="59" s="1"/>
  <c r="AK39" i="48"/>
  <c r="E34" i="59" s="1"/>
  <c r="D40" i="59" s="1"/>
  <c r="CD39" i="2"/>
  <c r="F40" i="2"/>
  <c r="CD40" i="2" s="1"/>
  <c r="AR12" i="45" l="1"/>
  <c r="F12" i="45"/>
  <c r="G12" i="45"/>
  <c r="AR17" i="45"/>
  <c r="F17" i="45"/>
  <c r="G17" i="45"/>
  <c r="AR23" i="45"/>
  <c r="F23" i="45"/>
  <c r="G23" i="45"/>
  <c r="AR13" i="45"/>
  <c r="F13" i="45"/>
  <c r="G13" i="45"/>
  <c r="AR24" i="45"/>
  <c r="F24" i="45"/>
  <c r="G24" i="45"/>
  <c r="AR30" i="45"/>
  <c r="F30" i="45"/>
  <c r="G30" i="45"/>
  <c r="AR18" i="45"/>
  <c r="F18" i="45"/>
  <c r="G18" i="45"/>
  <c r="AR25" i="45"/>
  <c r="F25" i="45"/>
  <c r="G25" i="45"/>
  <c r="AR34" i="45"/>
  <c r="F34" i="45"/>
  <c r="G34" i="45"/>
  <c r="AR14" i="45"/>
  <c r="F14" i="45"/>
  <c r="G14" i="45"/>
  <c r="AR26" i="45"/>
  <c r="F26" i="45"/>
  <c r="G26" i="45"/>
  <c r="AR31" i="45"/>
  <c r="F31" i="45"/>
  <c r="G31" i="45"/>
  <c r="AR15" i="45"/>
  <c r="F15" i="45"/>
  <c r="G15" i="45"/>
  <c r="AR19" i="45"/>
  <c r="F19" i="45"/>
  <c r="G19" i="45"/>
  <c r="AR27" i="45"/>
  <c r="F27" i="45"/>
  <c r="G27" i="45"/>
  <c r="AR32" i="45"/>
  <c r="F32" i="45"/>
  <c r="G32" i="45"/>
  <c r="AR33" i="45"/>
  <c r="F33" i="45"/>
  <c r="G33" i="45"/>
  <c r="AR35" i="45"/>
  <c r="F35" i="45"/>
  <c r="G35" i="45"/>
  <c r="AR10" i="45"/>
  <c r="F10" i="45"/>
  <c r="G10" i="45"/>
  <c r="AR20" i="45"/>
  <c r="G20" i="45"/>
  <c r="F20" i="45"/>
  <c r="AR9" i="45"/>
  <c r="F9" i="45"/>
  <c r="G9" i="45"/>
  <c r="AR16" i="45"/>
  <c r="F16" i="45"/>
  <c r="G16" i="45"/>
  <c r="AR28" i="45"/>
  <c r="F28" i="45"/>
  <c r="G28" i="45"/>
  <c r="AR36" i="45"/>
  <c r="F36" i="45"/>
  <c r="G36" i="45"/>
  <c r="AR37" i="45"/>
  <c r="F37" i="45"/>
  <c r="G37" i="45"/>
  <c r="AR11" i="45"/>
  <c r="F11" i="45"/>
  <c r="G11" i="45"/>
  <c r="AR21" i="45"/>
  <c r="F21" i="45"/>
  <c r="G21" i="45"/>
  <c r="AR29" i="45"/>
  <c r="F29" i="45"/>
  <c r="G29" i="45"/>
  <c r="I46" i="20" l="1"/>
  <c r="AS21" i="45"/>
  <c r="AT21" i="45"/>
  <c r="I46" i="14"/>
  <c r="AS27" i="45"/>
  <c r="AT27" i="45"/>
  <c r="AR38" i="45"/>
  <c r="F38" i="45"/>
  <c r="G38" i="45"/>
  <c r="I46" i="31"/>
  <c r="AS10" i="45"/>
  <c r="AT10" i="45"/>
  <c r="I46" i="27"/>
  <c r="AS13" i="45"/>
  <c r="AT13" i="45"/>
  <c r="I46" i="22"/>
  <c r="AT20" i="45"/>
  <c r="AS20" i="45"/>
  <c r="I46" i="17"/>
  <c r="AS24" i="45"/>
  <c r="AT24" i="45"/>
  <c r="I46" i="4"/>
  <c r="AS37" i="45"/>
  <c r="AT37" i="45"/>
  <c r="I46" i="25"/>
  <c r="AS16" i="45"/>
  <c r="AT16" i="45"/>
  <c r="I46" i="21"/>
  <c r="AS19" i="45"/>
  <c r="AT19" i="45"/>
  <c r="I46" i="12"/>
  <c r="AS29" i="45"/>
  <c r="AT29" i="45"/>
  <c r="I46" i="10"/>
  <c r="AS31" i="45"/>
  <c r="AT31" i="45"/>
  <c r="I46" i="18"/>
  <c r="AS23" i="45"/>
  <c r="AT23" i="45"/>
  <c r="I46" i="30"/>
  <c r="AS11" i="45"/>
  <c r="AT11" i="45"/>
  <c r="I46" i="6"/>
  <c r="AS35" i="45"/>
  <c r="AT35" i="45"/>
  <c r="I46" i="28"/>
  <c r="AS14" i="45"/>
  <c r="AT14" i="45"/>
  <c r="I46" i="7"/>
  <c r="AS34" i="45"/>
  <c r="AT34" i="45"/>
  <c r="I46" i="11"/>
  <c r="AS30" i="45"/>
  <c r="AT30" i="45"/>
  <c r="I46" i="26"/>
  <c r="AS15" i="45"/>
  <c r="AT15" i="45"/>
  <c r="I46" i="15"/>
  <c r="AS26" i="45"/>
  <c r="AT26" i="45"/>
  <c r="I46" i="8"/>
  <c r="AS33" i="45"/>
  <c r="AT33" i="45"/>
  <c r="I46" i="16"/>
  <c r="AS25" i="45"/>
  <c r="AT25" i="45"/>
  <c r="I46" i="24"/>
  <c r="AS17" i="45"/>
  <c r="AT17" i="45"/>
  <c r="I46" i="13"/>
  <c r="AS28" i="45"/>
  <c r="AT28" i="45"/>
  <c r="I46" i="9"/>
  <c r="AS32" i="45"/>
  <c r="AT32" i="45"/>
  <c r="I46" i="23"/>
  <c r="AS18" i="45"/>
  <c r="AT18" i="45"/>
  <c r="I46" i="37"/>
  <c r="AS36" i="45"/>
  <c r="AT36" i="45"/>
  <c r="I46" i="19"/>
  <c r="I46" i="32"/>
  <c r="AS9" i="45"/>
  <c r="AT9" i="45"/>
  <c r="AR8" i="45"/>
  <c r="E40" i="45"/>
  <c r="D8" i="45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F8" i="45"/>
  <c r="G8" i="45"/>
  <c r="I46" i="29"/>
  <c r="AS12" i="45"/>
  <c r="AT12" i="45"/>
  <c r="D22" i="45" l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I47" i="8"/>
  <c r="I48" i="8"/>
  <c r="Z34" i="48"/>
  <c r="Z16" i="48"/>
  <c r="I47" i="26"/>
  <c r="I48" i="26"/>
  <c r="I48" i="22"/>
  <c r="Z21" i="48"/>
  <c r="I47" i="22"/>
  <c r="Z19" i="48"/>
  <c r="I47" i="23"/>
  <c r="I48" i="23"/>
  <c r="I47" i="28"/>
  <c r="Z15" i="48"/>
  <c r="I48" i="28"/>
  <c r="Z30" i="48"/>
  <c r="I47" i="12"/>
  <c r="I48" i="12"/>
  <c r="I46" i="43"/>
  <c r="AS38" i="45"/>
  <c r="AT38" i="45"/>
  <c r="Z23" i="48"/>
  <c r="I47" i="19"/>
  <c r="I48" i="19"/>
  <c r="Z18" i="48"/>
  <c r="I47" i="24"/>
  <c r="I48" i="24"/>
  <c r="Z38" i="48"/>
  <c r="I47" i="4"/>
  <c r="I48" i="4"/>
  <c r="AR40" i="45"/>
  <c r="AR42" i="45" s="1"/>
  <c r="F40" i="45"/>
  <c r="G40" i="45"/>
  <c r="Z31" i="48"/>
  <c r="I47" i="11"/>
  <c r="I48" i="11"/>
  <c r="Z24" i="48"/>
  <c r="I47" i="18"/>
  <c r="I48" i="18"/>
  <c r="I47" i="27"/>
  <c r="Z14" i="48"/>
  <c r="I48" i="27"/>
  <c r="I46" i="33"/>
  <c r="AS8" i="45"/>
  <c r="AT8" i="45"/>
  <c r="Z33" i="48"/>
  <c r="I47" i="9"/>
  <c r="I48" i="9"/>
  <c r="Z36" i="48"/>
  <c r="I48" i="6"/>
  <c r="I47" i="6"/>
  <c r="I47" i="21"/>
  <c r="Z20" i="48"/>
  <c r="I48" i="21"/>
  <c r="I47" i="14"/>
  <c r="Z28" i="48"/>
  <c r="I48" i="14"/>
  <c r="I47" i="37"/>
  <c r="Z37" i="48"/>
  <c r="I48" i="37"/>
  <c r="I47" i="16"/>
  <c r="Z26" i="48"/>
  <c r="I48" i="16"/>
  <c r="I47" i="15"/>
  <c r="Z27" i="48"/>
  <c r="I48" i="15"/>
  <c r="I47" i="17"/>
  <c r="Z25" i="48"/>
  <c r="I48" i="17"/>
  <c r="Z35" i="48"/>
  <c r="I47" i="7"/>
  <c r="I48" i="7"/>
  <c r="I47" i="10"/>
  <c r="I48" i="10"/>
  <c r="Z32" i="48"/>
  <c r="I47" i="31"/>
  <c r="Z11" i="48"/>
  <c r="I48" i="31"/>
  <c r="I47" i="29"/>
  <c r="Z13" i="48"/>
  <c r="I48" i="29"/>
  <c r="Z10" i="48"/>
  <c r="I47" i="32"/>
  <c r="I48" i="32"/>
  <c r="Z29" i="48"/>
  <c r="I47" i="13"/>
  <c r="I48" i="13"/>
  <c r="Z12" i="48"/>
  <c r="I47" i="30"/>
  <c r="I48" i="30"/>
  <c r="Z17" i="48"/>
  <c r="I47" i="25"/>
  <c r="I48" i="25"/>
  <c r="Z22" i="48"/>
  <c r="I47" i="20"/>
  <c r="I48" i="20"/>
  <c r="AB35" i="48" l="1"/>
  <c r="AD35" i="48"/>
  <c r="J30" i="59" s="1"/>
  <c r="AB33" i="48"/>
  <c r="AD33" i="48"/>
  <c r="J28" i="59" s="1"/>
  <c r="I47" i="43"/>
  <c r="I48" i="43"/>
  <c r="Z39" i="48"/>
  <c r="AS40" i="45"/>
  <c r="AT40" i="45"/>
  <c r="AB18" i="48"/>
  <c r="AD18" i="48"/>
  <c r="J13" i="59" s="1"/>
  <c r="AB10" i="48"/>
  <c r="AD10" i="48"/>
  <c r="J5" i="59" s="1"/>
  <c r="AB32" i="48"/>
  <c r="AD32" i="48"/>
  <c r="J27" i="59" s="1"/>
  <c r="AB24" i="48"/>
  <c r="AD24" i="48"/>
  <c r="J19" i="59" s="1"/>
  <c r="AB25" i="48"/>
  <c r="AD25" i="48"/>
  <c r="J20" i="59" s="1"/>
  <c r="AB26" i="48"/>
  <c r="AD26" i="48"/>
  <c r="J21" i="59" s="1"/>
  <c r="AB28" i="48"/>
  <c r="AD28" i="48"/>
  <c r="J23" i="59" s="1"/>
  <c r="J46" i="33"/>
  <c r="I47" i="33"/>
  <c r="Z9" i="48"/>
  <c r="I48" i="33"/>
  <c r="AB16" i="48"/>
  <c r="AD16" i="48"/>
  <c r="J11" i="59" s="1"/>
  <c r="AB13" i="48"/>
  <c r="AD13" i="48"/>
  <c r="J8" i="59" s="1"/>
  <c r="AB36" i="48"/>
  <c r="AD36" i="48"/>
  <c r="J31" i="59" s="1"/>
  <c r="AB30" i="48"/>
  <c r="AD30" i="48"/>
  <c r="J25" i="59" s="1"/>
  <c r="AB19" i="48"/>
  <c r="AD19" i="48"/>
  <c r="J14" i="59" s="1"/>
  <c r="AB14" i="48"/>
  <c r="AD14" i="48"/>
  <c r="J9" i="59" s="1"/>
  <c r="AB38" i="48"/>
  <c r="AD38" i="48"/>
  <c r="J33" i="59" s="1"/>
  <c r="AB23" i="48"/>
  <c r="AD23" i="48"/>
  <c r="J18" i="59" s="1"/>
  <c r="AD34" i="48"/>
  <c r="J29" i="59" s="1"/>
  <c r="AB34" i="48"/>
  <c r="AB22" i="48"/>
  <c r="AD22" i="48"/>
  <c r="J17" i="59" s="1"/>
  <c r="AB31" i="48"/>
  <c r="AD31" i="48"/>
  <c r="J26" i="59" s="1"/>
  <c r="AB12" i="48"/>
  <c r="AD12" i="48"/>
  <c r="J7" i="59" s="1"/>
  <c r="AB17" i="48"/>
  <c r="AD17" i="48"/>
  <c r="J12" i="59" s="1"/>
  <c r="AB29" i="48"/>
  <c r="AD29" i="48"/>
  <c r="J24" i="59" s="1"/>
  <c r="AB11" i="48"/>
  <c r="AD11" i="48"/>
  <c r="J6" i="59" s="1"/>
  <c r="AB27" i="48"/>
  <c r="AD27" i="48"/>
  <c r="J22" i="59" s="1"/>
  <c r="AB37" i="48"/>
  <c r="AD37" i="48"/>
  <c r="J32" i="59" s="1"/>
  <c r="AB20" i="48"/>
  <c r="AD20" i="48"/>
  <c r="J15" i="59" s="1"/>
  <c r="AB15" i="48"/>
  <c r="AD15" i="48"/>
  <c r="J10" i="59" s="1"/>
  <c r="AD21" i="48"/>
  <c r="J16" i="59" s="1"/>
  <c r="AB21" i="48"/>
  <c r="AB39" i="48" l="1"/>
  <c r="AD39" i="48"/>
  <c r="J34" i="59" s="1"/>
  <c r="AA9" i="48"/>
  <c r="Z41" i="48"/>
  <c r="AD9" i="48"/>
  <c r="J4" i="59" s="1"/>
  <c r="AB9" i="48"/>
  <c r="J46" i="32"/>
  <c r="J47" i="33"/>
  <c r="J48" i="33"/>
  <c r="J46" i="31" l="1"/>
  <c r="J47" i="32"/>
  <c r="J48" i="32"/>
  <c r="AB41" i="48"/>
  <c r="AD41" i="48"/>
  <c r="AE9" i="48"/>
  <c r="K4" i="59" s="1"/>
  <c r="AC9" i="48"/>
  <c r="AA10" i="48"/>
  <c r="AA11" i="48" l="1"/>
  <c r="AE10" i="48"/>
  <c r="K5" i="59" s="1"/>
  <c r="AC10" i="48"/>
  <c r="J47" i="31"/>
  <c r="J48" i="31"/>
  <c r="J46" i="30"/>
  <c r="J46" i="29" l="1"/>
  <c r="J47" i="30"/>
  <c r="J48" i="30"/>
  <c r="AA12" i="48"/>
  <c r="AC11" i="48"/>
  <c r="AE11" i="48"/>
  <c r="K6" i="59" s="1"/>
  <c r="AA13" i="48" l="1"/>
  <c r="AC12" i="48"/>
  <c r="AE12" i="48"/>
  <c r="K7" i="59" s="1"/>
  <c r="J46" i="27"/>
  <c r="J47" i="29"/>
  <c r="J48" i="29"/>
  <c r="J47" i="27" l="1"/>
  <c r="J48" i="27"/>
  <c r="J46" i="28"/>
  <c r="AA14" i="48"/>
  <c r="AC13" i="48"/>
  <c r="AE13" i="48"/>
  <c r="K8" i="59" s="1"/>
  <c r="J46" i="26" l="1"/>
  <c r="J47" i="28"/>
  <c r="J48" i="28"/>
  <c r="AA15" i="48"/>
  <c r="AC14" i="48"/>
  <c r="AE14" i="48"/>
  <c r="K9" i="59" s="1"/>
  <c r="AA16" i="48" l="1"/>
  <c r="AC15" i="48"/>
  <c r="AE15" i="48"/>
  <c r="K10" i="59" s="1"/>
  <c r="J47" i="26"/>
  <c r="J48" i="26"/>
  <c r="J46" i="25"/>
  <c r="J47" i="25" l="1"/>
  <c r="J48" i="25"/>
  <c r="J46" i="24"/>
  <c r="AA17" i="48"/>
  <c r="AC16" i="48"/>
  <c r="AE16" i="48"/>
  <c r="K11" i="59" s="1"/>
  <c r="J47" i="24" l="1"/>
  <c r="J48" i="24"/>
  <c r="J46" i="23"/>
  <c r="AA18" i="48"/>
  <c r="AC17" i="48"/>
  <c r="AE17" i="48"/>
  <c r="K12" i="59" s="1"/>
  <c r="AA19" i="48" l="1"/>
  <c r="AC18" i="48"/>
  <c r="AE18" i="48"/>
  <c r="K13" i="59" s="1"/>
  <c r="J47" i="23"/>
  <c r="J48" i="23"/>
  <c r="J46" i="21"/>
  <c r="J47" i="21" l="1"/>
  <c r="J48" i="21"/>
  <c r="J46" i="22"/>
  <c r="AA20" i="48"/>
  <c r="AC19" i="48"/>
  <c r="AE19" i="48"/>
  <c r="K14" i="59" s="1"/>
  <c r="AA21" i="48" l="1"/>
  <c r="AC20" i="48"/>
  <c r="AE20" i="48"/>
  <c r="K15" i="59" s="1"/>
  <c r="J47" i="22"/>
  <c r="J48" i="22"/>
  <c r="J46" i="20"/>
  <c r="J47" i="20" l="1"/>
  <c r="J48" i="20"/>
  <c r="J46" i="19"/>
  <c r="AA22" i="48"/>
  <c r="AC21" i="48"/>
  <c r="AE21" i="48"/>
  <c r="K16" i="59" s="1"/>
  <c r="AA23" i="48" l="1"/>
  <c r="AC22" i="48"/>
  <c r="AE22" i="48"/>
  <c r="K17" i="59" s="1"/>
  <c r="J47" i="19"/>
  <c r="J48" i="19"/>
  <c r="J46" i="18"/>
  <c r="J47" i="18" l="1"/>
  <c r="J48" i="18"/>
  <c r="J46" i="17"/>
  <c r="AA24" i="48"/>
  <c r="AC23" i="48"/>
  <c r="AE23" i="48"/>
  <c r="K18" i="59" s="1"/>
  <c r="AA25" i="48" l="1"/>
  <c r="AC24" i="48"/>
  <c r="AE24" i="48"/>
  <c r="K19" i="59" s="1"/>
  <c r="J47" i="17"/>
  <c r="J48" i="17"/>
  <c r="J46" i="16"/>
  <c r="J47" i="16" l="1"/>
  <c r="J48" i="16"/>
  <c r="J46" i="15"/>
  <c r="AA26" i="48"/>
  <c r="AC25" i="48"/>
  <c r="AE25" i="48"/>
  <c r="K20" i="59" s="1"/>
  <c r="AA27" i="48" l="1"/>
  <c r="AC26" i="48"/>
  <c r="AE26" i="48"/>
  <c r="K21" i="59" s="1"/>
  <c r="J47" i="15"/>
  <c r="J48" i="15"/>
  <c r="J46" i="14"/>
  <c r="J47" i="14" l="1"/>
  <c r="J48" i="14"/>
  <c r="J46" i="13"/>
  <c r="AA28" i="48"/>
  <c r="AC27" i="48"/>
  <c r="AE27" i="48"/>
  <c r="K22" i="59" s="1"/>
  <c r="AA29" i="48" l="1"/>
  <c r="AC28" i="48"/>
  <c r="AE28" i="48"/>
  <c r="K23" i="59" s="1"/>
  <c r="J47" i="13"/>
  <c r="J48" i="13"/>
  <c r="J46" i="12"/>
  <c r="J47" i="12" l="1"/>
  <c r="J48" i="12"/>
  <c r="J46" i="11"/>
  <c r="AA30" i="48"/>
  <c r="AC29" i="48"/>
  <c r="AE29" i="48"/>
  <c r="K24" i="59" s="1"/>
  <c r="AA31" i="48" l="1"/>
  <c r="AC30" i="48"/>
  <c r="AE30" i="48"/>
  <c r="K25" i="59" s="1"/>
  <c r="J47" i="11"/>
  <c r="J48" i="11"/>
  <c r="J46" i="10"/>
  <c r="J47" i="10" l="1"/>
  <c r="J48" i="10"/>
  <c r="J46" i="9"/>
  <c r="AA32" i="48"/>
  <c r="AC31" i="48"/>
  <c r="AE31" i="48"/>
  <c r="K26" i="59" s="1"/>
  <c r="AA33" i="48" l="1"/>
  <c r="AC32" i="48"/>
  <c r="AE32" i="48"/>
  <c r="K27" i="59" s="1"/>
  <c r="J47" i="9"/>
  <c r="J48" i="9"/>
  <c r="J46" i="8"/>
  <c r="J47" i="8" l="1"/>
  <c r="J48" i="8"/>
  <c r="J46" i="7"/>
  <c r="AA34" i="48"/>
  <c r="AC33" i="48"/>
  <c r="AE33" i="48"/>
  <c r="K28" i="59" s="1"/>
  <c r="AA35" i="48" l="1"/>
  <c r="AC34" i="48"/>
  <c r="AE34" i="48"/>
  <c r="K29" i="59" s="1"/>
  <c r="J47" i="7"/>
  <c r="J48" i="7"/>
  <c r="J46" i="6"/>
  <c r="J47" i="6" l="1"/>
  <c r="J48" i="6"/>
  <c r="J46" i="37"/>
  <c r="AA36" i="48"/>
  <c r="AC35" i="48"/>
  <c r="AE35" i="48"/>
  <c r="K30" i="59" s="1"/>
  <c r="AA37" i="48" l="1"/>
  <c r="AC36" i="48"/>
  <c r="AE36" i="48"/>
  <c r="K31" i="59" s="1"/>
  <c r="J47" i="37"/>
  <c r="J48" i="37"/>
  <c r="J46" i="4"/>
  <c r="J47" i="4" l="1"/>
  <c r="J48" i="4"/>
  <c r="J46" i="43"/>
  <c r="AA38" i="48"/>
  <c r="AC37" i="48"/>
  <c r="AE37" i="48"/>
  <c r="K32" i="59" s="1"/>
  <c r="AA39" i="48" l="1"/>
  <c r="AC38" i="48"/>
  <c r="AE38" i="48"/>
  <c r="K33" i="59" s="1"/>
  <c r="J47" i="43"/>
  <c r="J48" i="43"/>
  <c r="AC39" i="48" l="1"/>
  <c r="AE39" i="48"/>
  <c r="K34" i="59" s="1"/>
  <c r="J40" i="59" s="1"/>
  <c r="CC41" i="1" l="1"/>
  <c r="CD18" i="1"/>
  <c r="CE18" i="1"/>
  <c r="KT18" i="1" s="1"/>
  <c r="CD41" i="1" l="1"/>
  <c r="CE41" i="1"/>
  <c r="BY27" i="1" l="1"/>
  <c r="KT27" i="1" s="1"/>
  <c r="BX27" i="1"/>
  <c r="BW41" i="1"/>
  <c r="BX41" i="1" l="1"/>
  <c r="BY41" i="1"/>
  <c r="BJ4" i="59" l="1"/>
  <c r="BL4" i="59"/>
  <c r="BK4" i="59" l="1"/>
  <c r="BM4" i="59"/>
  <c r="BJ6" i="59" l="1"/>
  <c r="BL6" i="59" l="1"/>
  <c r="BJ5" i="59" l="1"/>
  <c r="BL5" i="59"/>
  <c r="BK5" i="59" l="1"/>
  <c r="BK6" i="59" l="1"/>
  <c r="BM5" i="59"/>
  <c r="BM6" i="59" l="1"/>
  <c r="BK8" i="59" l="1"/>
  <c r="BK7" i="59"/>
  <c r="BM7" i="59"/>
  <c r="BK9" i="59"/>
  <c r="BK10" i="59" l="1"/>
  <c r="BK11" i="59" l="1"/>
  <c r="BK12" i="59" l="1"/>
  <c r="BK13" i="59" l="1"/>
  <c r="BK14" i="59" l="1"/>
  <c r="BK15" i="59" l="1"/>
  <c r="BL8" i="59" l="1"/>
  <c r="BM8" i="59" l="1"/>
  <c r="BM9" i="59" l="1"/>
  <c r="BL10" i="59" l="1"/>
  <c r="BM10" i="59" l="1"/>
  <c r="BM11" i="59" l="1"/>
  <c r="BM12" i="59" l="1"/>
  <c r="BM13" i="59" l="1"/>
  <c r="BM14" i="59" l="1"/>
  <c r="BM15" i="59" l="1"/>
  <c r="CB5" i="59" l="1"/>
  <c r="CD5" i="59" l="1"/>
  <c r="CD9" i="59"/>
  <c r="CB9" i="59"/>
  <c r="CB8" i="59"/>
  <c r="CD8" i="59"/>
  <c r="CD7" i="59"/>
  <c r="CB7" i="59"/>
  <c r="CB10" i="59"/>
  <c r="CD10" i="59"/>
  <c r="CB6" i="59" l="1"/>
  <c r="CD6" i="59"/>
  <c r="CB4" i="59" l="1"/>
  <c r="CD4" i="59"/>
  <c r="CC4" i="59" l="1"/>
  <c r="CE5" i="59"/>
  <c r="CE4" i="59"/>
  <c r="CC5" i="59" l="1"/>
  <c r="CC6" i="59" l="1"/>
  <c r="CC7" i="59"/>
  <c r="CE7" i="59"/>
  <c r="CE6" i="59"/>
  <c r="CE8" i="59" l="1"/>
  <c r="CC8" i="59"/>
  <c r="CC9" i="59" l="1"/>
  <c r="CE9" i="59"/>
  <c r="CC10" i="59" l="1"/>
  <c r="CE10" i="59"/>
  <c r="CC11" i="59" l="1"/>
  <c r="CE11" i="59"/>
  <c r="AX10" i="59" l="1"/>
  <c r="AV10" i="59"/>
  <c r="AX7" i="59"/>
  <c r="AV7" i="59"/>
  <c r="AX4" i="59" l="1"/>
  <c r="AV4" i="59"/>
  <c r="AX9" i="59"/>
  <c r="AV9" i="59"/>
  <c r="AV8" i="59"/>
  <c r="AX8" i="59"/>
  <c r="AX5" i="59" l="1"/>
  <c r="AV5" i="59"/>
  <c r="AY4" i="59"/>
  <c r="AW4" i="59"/>
  <c r="AX6" i="59" l="1"/>
  <c r="AV6" i="59"/>
  <c r="AY5" i="59" l="1"/>
  <c r="AW5" i="59"/>
  <c r="AY6" i="59" l="1"/>
  <c r="AW6" i="59"/>
  <c r="AW7" i="59" l="1"/>
  <c r="AY7" i="59"/>
  <c r="AW8" i="59" l="1"/>
  <c r="AY8" i="59"/>
  <c r="AY9" i="59" l="1"/>
  <c r="AW9" i="59"/>
  <c r="AW10" i="59" l="1"/>
  <c r="AY10" i="59"/>
  <c r="AW11" i="59"/>
  <c r="AY11" i="59" l="1"/>
  <c r="AY12" i="59"/>
  <c r="AW12" i="59"/>
  <c r="AY13" i="59" l="1"/>
  <c r="AW13" i="59"/>
  <c r="AY14" i="59" l="1"/>
  <c r="AW14" i="59"/>
  <c r="AW15" i="59" l="1"/>
  <c r="AW16" i="59" l="1"/>
  <c r="AW17" i="59" l="1"/>
  <c r="AW18" i="59" l="1"/>
  <c r="AW19" i="59" l="1"/>
  <c r="AW20" i="59" l="1"/>
  <c r="AW21" i="59" l="1"/>
  <c r="AW22" i="59" l="1"/>
  <c r="AW23" i="59" l="1"/>
  <c r="AW24" i="59" l="1"/>
  <c r="AW25" i="59" l="1"/>
  <c r="AW26" i="59" l="1"/>
  <c r="AW27" i="59" l="1"/>
  <c r="AW28" i="59"/>
  <c r="AW29" i="59" l="1"/>
  <c r="AW30" i="59" l="1"/>
  <c r="AW31" i="59"/>
  <c r="AW32" i="59" l="1"/>
  <c r="AW33" i="59" l="1"/>
  <c r="AW34" i="59" l="1"/>
  <c r="AV40" i="59" s="1"/>
  <c r="AH4" i="59" l="1"/>
  <c r="AI4" i="59"/>
  <c r="AH11" i="59" l="1"/>
  <c r="AH10" i="59"/>
  <c r="AH8" i="59"/>
  <c r="AH7" i="59"/>
  <c r="AH6" i="59"/>
  <c r="AF10" i="59"/>
  <c r="AH5" i="59" l="1"/>
  <c r="AH9" i="59"/>
  <c r="AI5" i="59" l="1"/>
  <c r="AI6" i="59" l="1"/>
  <c r="AI7" i="59" l="1"/>
  <c r="AI8" i="59" l="1"/>
  <c r="AI9" i="59" l="1"/>
  <c r="AI10" i="59" l="1"/>
  <c r="AI11" i="59" l="1"/>
  <c r="AI12" i="59" l="1"/>
  <c r="AI13" i="59" l="1"/>
  <c r="AI14" i="59" l="1"/>
  <c r="AI15" i="59" l="1"/>
  <c r="AI16" i="59" l="1"/>
  <c r="AI17" i="59" l="1"/>
  <c r="AI18" i="59" l="1"/>
  <c r="AI19" i="59" l="1"/>
  <c r="AI20" i="59" l="1"/>
  <c r="AI21" i="59" l="1"/>
  <c r="AI22" i="59" l="1"/>
  <c r="AI23" i="59" l="1"/>
  <c r="AI24" i="59" l="1"/>
  <c r="AI25" i="59" l="1"/>
  <c r="AI26" i="59" l="1"/>
  <c r="AI27" i="59" l="1"/>
  <c r="AI28" i="59" l="1"/>
  <c r="AI29" i="59" l="1"/>
  <c r="AI30" i="59" l="1"/>
  <c r="AI31" i="59" l="1"/>
  <c r="AI32" i="59" l="1"/>
  <c r="AI33" i="59" l="1"/>
  <c r="AG10" i="59"/>
  <c r="AI34" i="59" l="1"/>
  <c r="AH40" i="59" s="1"/>
  <c r="AG11" i="59" l="1"/>
  <c r="AG12" i="59" l="1"/>
  <c r="AG13" i="59" l="1"/>
  <c r="AG14" i="59" l="1"/>
  <c r="AG15" i="59" l="1"/>
  <c r="AG16" i="59" l="1"/>
  <c r="AG17" i="59" l="1"/>
  <c r="AG18" i="59" l="1"/>
  <c r="AG19" i="59" l="1"/>
  <c r="AG20" i="59" l="1"/>
  <c r="AG21" i="59" l="1"/>
  <c r="AG22" i="59" l="1"/>
  <c r="AG23" i="59" l="1"/>
  <c r="AG24" i="59" l="1"/>
  <c r="AG25" i="59" l="1"/>
  <c r="AG26" i="59" l="1"/>
  <c r="AG27" i="59" l="1"/>
  <c r="AG28" i="59" l="1"/>
  <c r="AG29" i="59" l="1"/>
  <c r="AG30" i="59" l="1"/>
  <c r="AG31" i="59" l="1"/>
  <c r="AG32" i="59" l="1"/>
  <c r="AG33" i="59" l="1"/>
  <c r="AG34" i="59" l="1"/>
  <c r="AF40" i="59" s="1"/>
  <c r="BX13" i="59" l="1"/>
  <c r="BT13" i="59"/>
  <c r="CB13" i="59"/>
  <c r="CD13" i="59"/>
  <c r="BT11" i="59"/>
  <c r="BT5" i="59" l="1"/>
  <c r="BT9" i="59"/>
  <c r="BT8" i="59"/>
  <c r="BT7" i="59"/>
  <c r="BT10" i="59"/>
  <c r="BT6" i="59" l="1"/>
  <c r="BX12" i="59"/>
  <c r="BT4" i="59" l="1"/>
  <c r="CD12" i="59"/>
  <c r="CB12" i="59"/>
  <c r="BT12" i="59"/>
  <c r="BU4" i="59" l="1"/>
  <c r="BU5" i="59" l="1"/>
  <c r="BU7" i="59" l="1"/>
  <c r="BU6" i="59"/>
  <c r="BU8" i="59" l="1"/>
  <c r="BU9" i="59" l="1"/>
  <c r="BU10" i="59" l="1"/>
  <c r="BY12" i="59" l="1"/>
  <c r="BU11" i="59"/>
  <c r="CE12" i="59" l="1"/>
  <c r="BU12" i="59"/>
  <c r="BY13" i="59"/>
  <c r="CC12" i="59"/>
  <c r="CE13" i="59" l="1"/>
  <c r="CC13" i="59"/>
  <c r="BU13" i="59"/>
  <c r="CE14" i="59" l="1"/>
  <c r="BY14" i="59"/>
  <c r="BY15" i="59"/>
  <c r="CC14" i="59"/>
  <c r="CC15" i="59" l="1"/>
  <c r="CE15" i="59"/>
  <c r="BY16" i="59"/>
  <c r="CC16" i="59" l="1"/>
  <c r="CE16" i="59"/>
  <c r="BY18" i="59" l="1"/>
  <c r="BY17" i="59"/>
  <c r="CE17" i="59"/>
  <c r="CC17" i="59"/>
  <c r="CE18" i="59"/>
  <c r="CC18" i="59"/>
  <c r="BT14" i="59" l="1"/>
  <c r="BT15" i="59" l="1"/>
  <c r="BU14" i="59" l="1"/>
  <c r="BU15" i="59" l="1"/>
  <c r="BU16" i="59" l="1"/>
  <c r="AX15" i="59" l="1"/>
  <c r="AY15" i="59" l="1"/>
  <c r="AY16" i="59" l="1"/>
  <c r="AY17" i="59" l="1"/>
  <c r="AY18" i="59" l="1"/>
  <c r="AY19" i="59" l="1"/>
  <c r="AY20" i="59" l="1"/>
  <c r="AY21" i="59" l="1"/>
  <c r="AY22" i="59" l="1"/>
  <c r="AY23" i="59" l="1"/>
  <c r="AY24" i="59" l="1"/>
  <c r="AY25" i="59" l="1"/>
  <c r="AY28" i="59" l="1"/>
  <c r="AY26" i="59"/>
  <c r="AY27" i="59" l="1"/>
  <c r="AY29" i="59" l="1"/>
  <c r="AY30" i="59" l="1"/>
  <c r="AY31" i="59"/>
  <c r="AY32" i="59" l="1"/>
  <c r="AY33" i="59" l="1"/>
  <c r="AY34" i="59" l="1"/>
  <c r="AX40" i="59" s="1"/>
  <c r="BJ16" i="59" l="1"/>
  <c r="BL16" i="59"/>
  <c r="BK16" i="59" l="1"/>
  <c r="BK17" i="59" l="1"/>
  <c r="BM16" i="59"/>
  <c r="BM17" i="59" l="1"/>
  <c r="P17" i="59" l="1"/>
  <c r="R17" i="59" l="1"/>
  <c r="T17" i="59"/>
  <c r="Q17" i="59" l="1"/>
  <c r="U17" i="59" l="1"/>
  <c r="Q18" i="59"/>
  <c r="S17" i="59"/>
  <c r="Q19" i="59" l="1"/>
  <c r="U18" i="59"/>
  <c r="S18" i="59"/>
  <c r="S19" i="59" l="1"/>
  <c r="Q20" i="59"/>
  <c r="U19" i="59"/>
  <c r="Q21" i="59" l="1"/>
  <c r="U20" i="59"/>
  <c r="S20" i="59"/>
  <c r="U21" i="59" l="1"/>
  <c r="S21" i="59"/>
  <c r="Q22" i="59"/>
  <c r="Q23" i="59" l="1"/>
  <c r="S22" i="59"/>
  <c r="U22" i="59"/>
  <c r="U23" i="59" l="1"/>
  <c r="Q24" i="59"/>
  <c r="S23" i="59"/>
  <c r="Q25" i="59" l="1"/>
  <c r="S24" i="59"/>
  <c r="U24" i="59"/>
  <c r="S25" i="59" l="1"/>
  <c r="U25" i="59"/>
  <c r="BJ18" i="59" l="1"/>
  <c r="BL18" i="59" l="1"/>
  <c r="BK18" i="59" l="1"/>
  <c r="BM18" i="59" l="1"/>
  <c r="BJ19" i="59" l="1"/>
  <c r="BJ20" i="59" l="1"/>
  <c r="BL20" i="59"/>
  <c r="BL19" i="59"/>
  <c r="BK19" i="59" l="1"/>
  <c r="BM19" i="59" l="1"/>
  <c r="BK20" i="59"/>
  <c r="BM20" i="59" l="1"/>
  <c r="BX20" i="59" l="1"/>
  <c r="CD20" i="59"/>
  <c r="BT20" i="59"/>
  <c r="CB20" i="59"/>
  <c r="BT17" i="59"/>
  <c r="BX19" i="59" l="1"/>
  <c r="CD19" i="59"/>
  <c r="CB19" i="59"/>
  <c r="BT19" i="59"/>
  <c r="BT18" i="59"/>
  <c r="BU17" i="59" l="1"/>
  <c r="BY19" i="59"/>
  <c r="BU18" i="59"/>
  <c r="CE19" i="59" l="1"/>
  <c r="BU19" i="59"/>
  <c r="CC19" i="59"/>
  <c r="BY20" i="59"/>
  <c r="CE20" i="59" l="1"/>
  <c r="BU20" i="59"/>
  <c r="BY21" i="59"/>
  <c r="CC20" i="59"/>
  <c r="CC21" i="59" l="1"/>
  <c r="BY22" i="59"/>
  <c r="CE21" i="59"/>
  <c r="BU21" i="59"/>
  <c r="BU22" i="59" l="1"/>
  <c r="BY23" i="59"/>
  <c r="CE22" i="59"/>
  <c r="CC22" i="59"/>
  <c r="BY24" i="59" l="1"/>
  <c r="CC23" i="59"/>
  <c r="CE23" i="59"/>
  <c r="CC24" i="59" l="1"/>
  <c r="CE24" i="59"/>
  <c r="BY25" i="59"/>
  <c r="BY26" i="59" l="1"/>
  <c r="CC25" i="59"/>
  <c r="CE25" i="59"/>
  <c r="CC26" i="59" l="1"/>
  <c r="BY27" i="59"/>
  <c r="CE26" i="59"/>
  <c r="BY28" i="59" l="1"/>
  <c r="CE27" i="59"/>
  <c r="CC27" i="59"/>
  <c r="BY29" i="59" l="1"/>
  <c r="CE28" i="59"/>
  <c r="CC28" i="59"/>
  <c r="CE29" i="59" l="1"/>
  <c r="BY30" i="59"/>
  <c r="CC29" i="59"/>
  <c r="CE30" i="59" l="1"/>
  <c r="CC30" i="59"/>
  <c r="BY31" i="59"/>
  <c r="CE31" i="59" l="1"/>
  <c r="BY32" i="59"/>
  <c r="CC31" i="59"/>
  <c r="CE32" i="59" l="1"/>
  <c r="BY33" i="59"/>
  <c r="CC32" i="59"/>
  <c r="CE33" i="59" l="1"/>
  <c r="BY34" i="59"/>
  <c r="BX40" i="59" s="1"/>
  <c r="CC33" i="59"/>
  <c r="CE34" i="59" l="1"/>
  <c r="CD40" i="59" s="1"/>
  <c r="CC34" i="59"/>
  <c r="CB40" i="59" s="1"/>
  <c r="BJ21" i="59" l="1"/>
  <c r="BL21" i="59" l="1"/>
  <c r="BK21" i="59" l="1"/>
  <c r="BM21" i="59" l="1"/>
  <c r="BJ22" i="59" l="1"/>
  <c r="BL22" i="59" l="1"/>
  <c r="BK22" i="59" l="1"/>
  <c r="BM22" i="59" l="1"/>
  <c r="BT23" i="59" l="1"/>
  <c r="BU23" i="59" l="1"/>
  <c r="BU24" i="59" l="1"/>
  <c r="BU25" i="59" l="1"/>
  <c r="BU26" i="59" l="1"/>
  <c r="BU27" i="59" l="1"/>
  <c r="BU28" i="59" l="1"/>
  <c r="BU29" i="59" l="1"/>
  <c r="BU30" i="59" l="1"/>
  <c r="BU31" i="59" l="1"/>
  <c r="BU32" i="59" l="1"/>
  <c r="BU33" i="59" l="1"/>
  <c r="BU34" i="59" l="1"/>
  <c r="BT40" i="59" s="1"/>
  <c r="BJ23" i="59" l="1"/>
  <c r="BL23" i="59" l="1"/>
  <c r="BK23" i="59" l="1"/>
  <c r="BM23" i="59" l="1"/>
  <c r="BJ24" i="59" l="1"/>
  <c r="BL24" i="59" l="1"/>
  <c r="BK24" i="59" l="1"/>
  <c r="BM24" i="59" l="1"/>
  <c r="BJ25" i="59" l="1"/>
  <c r="BL25" i="59" l="1"/>
  <c r="BK25" i="59" l="1"/>
  <c r="BM25" i="59" l="1"/>
  <c r="N12" i="59" l="1"/>
  <c r="L12" i="59"/>
  <c r="P27" i="59"/>
  <c r="N5" i="59"/>
  <c r="L24" i="59"/>
  <c r="N24" i="59" l="1"/>
  <c r="N23" i="59"/>
  <c r="L20" i="59"/>
  <c r="L27" i="59"/>
  <c r="R27" i="59"/>
  <c r="N10" i="59"/>
  <c r="T27" i="59"/>
  <c r="L10" i="59"/>
  <c r="N27" i="59"/>
  <c r="N25" i="59"/>
  <c r="N20" i="59"/>
  <c r="N21" i="59"/>
  <c r="N19" i="59"/>
  <c r="N11" i="59"/>
  <c r="N16" i="59"/>
  <c r="N17" i="59"/>
  <c r="N22" i="59"/>
  <c r="N15" i="59"/>
  <c r="N13" i="59"/>
  <c r="N14" i="59"/>
  <c r="N18" i="59"/>
  <c r="L23" i="59"/>
  <c r="L25" i="59"/>
  <c r="L22" i="59"/>
  <c r="L21" i="59"/>
  <c r="L19" i="59"/>
  <c r="L18" i="59"/>
  <c r="L17" i="59"/>
  <c r="L16" i="59"/>
  <c r="L15" i="59"/>
  <c r="L14" i="59"/>
  <c r="L13" i="59"/>
  <c r="L11" i="59"/>
  <c r="N4" i="59" l="1"/>
  <c r="L4" i="59"/>
  <c r="L9" i="59"/>
  <c r="N9" i="59"/>
  <c r="L8" i="59"/>
  <c r="N8" i="59"/>
  <c r="L7" i="59" l="1"/>
  <c r="N7" i="59"/>
  <c r="O4" i="59"/>
  <c r="M4" i="59"/>
  <c r="P26" i="59"/>
  <c r="T26" i="59" l="1"/>
  <c r="N26" i="59"/>
  <c r="L26" i="59"/>
  <c r="R26" i="59"/>
  <c r="N6" i="59"/>
  <c r="L6" i="59"/>
  <c r="O5" i="59" l="1"/>
  <c r="O6" i="59" l="1"/>
  <c r="O7" i="59" l="1"/>
  <c r="O8" i="59" l="1"/>
  <c r="O9" i="59" l="1"/>
  <c r="O10" i="59" l="1"/>
  <c r="O11" i="59" l="1"/>
  <c r="O12" i="59"/>
  <c r="O13" i="59" l="1"/>
  <c r="O14" i="59" l="1"/>
  <c r="O15" i="59" l="1"/>
  <c r="O16" i="59" l="1"/>
  <c r="O17" i="59" l="1"/>
  <c r="O18" i="59" l="1"/>
  <c r="O19" i="59" l="1"/>
  <c r="O20" i="59" l="1"/>
  <c r="O21" i="59" l="1"/>
  <c r="O22" i="59" l="1"/>
  <c r="O23" i="59" l="1"/>
  <c r="O24" i="59" l="1"/>
  <c r="O25" i="59" l="1"/>
  <c r="Q26" i="59"/>
  <c r="U26" i="59" l="1"/>
  <c r="S26" i="59"/>
  <c r="Q27" i="59"/>
  <c r="O26" i="59"/>
  <c r="Q28" i="59" l="1"/>
  <c r="S27" i="59"/>
  <c r="U27" i="59"/>
  <c r="O27" i="59"/>
  <c r="S28" i="59" l="1"/>
  <c r="O28" i="59"/>
  <c r="Q29" i="59"/>
  <c r="U28" i="59"/>
  <c r="U29" i="59" l="1"/>
  <c r="S29" i="59"/>
  <c r="O29" i="59"/>
  <c r="Q30" i="59"/>
  <c r="U30" i="59" l="1"/>
  <c r="Q31" i="59"/>
  <c r="S30" i="59"/>
  <c r="O30" i="59"/>
  <c r="Q32" i="59" l="1"/>
  <c r="O31" i="59"/>
  <c r="U31" i="59"/>
  <c r="S31" i="59"/>
  <c r="O32" i="59" l="1"/>
  <c r="U32" i="59"/>
  <c r="Q33" i="59"/>
  <c r="S32" i="59"/>
  <c r="Q34" i="59" l="1"/>
  <c r="P40" i="59" s="1"/>
  <c r="S33" i="59"/>
  <c r="O33" i="59"/>
  <c r="U33" i="59"/>
  <c r="O34" i="59" l="1"/>
  <c r="N40" i="59" s="1"/>
  <c r="S34" i="59"/>
  <c r="R40" i="59" s="1"/>
  <c r="U34" i="59"/>
  <c r="T40" i="59" s="1"/>
  <c r="L5" i="59" l="1"/>
  <c r="M5" i="59" l="1"/>
  <c r="M6" i="59" l="1"/>
  <c r="M7" i="59" l="1"/>
  <c r="M8" i="59" l="1"/>
  <c r="M9" i="59" l="1"/>
  <c r="M10" i="59" l="1"/>
  <c r="M11" i="59" l="1"/>
  <c r="M12" i="59" l="1"/>
  <c r="M13" i="59" l="1"/>
  <c r="M14" i="59" l="1"/>
  <c r="M15" i="59" l="1"/>
  <c r="M16" i="59" l="1"/>
  <c r="M17" i="59" l="1"/>
  <c r="M18" i="59" l="1"/>
  <c r="M19" i="59" l="1"/>
  <c r="M20" i="59" l="1"/>
  <c r="M21" i="59" l="1"/>
  <c r="M22" i="59" l="1"/>
  <c r="M23" i="59" l="1"/>
  <c r="M24" i="59" l="1"/>
  <c r="M25" i="59" l="1"/>
  <c r="M26" i="59" l="1"/>
  <c r="M27" i="59" l="1"/>
  <c r="M28" i="59" l="1"/>
  <c r="M29" i="59" l="1"/>
  <c r="M30" i="59" l="1"/>
  <c r="M31" i="59" l="1"/>
  <c r="M32" i="59" l="1"/>
  <c r="M33" i="59" l="1"/>
  <c r="M34" i="59" l="1"/>
  <c r="L40" i="59" s="1"/>
  <c r="BJ27" i="59" l="1"/>
  <c r="BL27" i="59" l="1"/>
  <c r="BJ26" i="59"/>
  <c r="BL26" i="59" l="1"/>
  <c r="BK26" i="59" l="1"/>
  <c r="BK27" i="59" l="1"/>
  <c r="BM26" i="59"/>
  <c r="BM27" i="59" l="1"/>
  <c r="BK28" i="59"/>
  <c r="BM28" i="59" l="1"/>
  <c r="AP27" i="59" l="1"/>
  <c r="AP26" i="59" l="1"/>
  <c r="AQ26" i="59" l="1"/>
  <c r="AQ27" i="59" l="1"/>
  <c r="AQ28" i="59"/>
  <c r="AQ29" i="59" l="1"/>
  <c r="AQ30" i="59" l="1"/>
  <c r="AQ31" i="59" l="1"/>
  <c r="AQ32" i="59"/>
  <c r="AQ33" i="59" l="1"/>
  <c r="AQ34" i="59" l="1"/>
  <c r="AP40" i="59" l="1"/>
  <c r="AJ19" i="59" l="1"/>
  <c r="AJ16" i="59"/>
  <c r="AJ27" i="59"/>
  <c r="AJ34" i="59" l="1"/>
  <c r="AJ33" i="59"/>
  <c r="AJ15" i="59"/>
  <c r="AJ31" i="59"/>
  <c r="AJ17" i="59"/>
  <c r="AJ32" i="59" l="1"/>
  <c r="AJ4" i="59"/>
  <c r="AJ20" i="59"/>
  <c r="AJ29" i="59"/>
  <c r="AJ13" i="59"/>
  <c r="AK4" i="59"/>
  <c r="AJ28" i="59" l="1"/>
  <c r="AJ30" i="59"/>
  <c r="AJ24" i="59"/>
  <c r="AJ25" i="59"/>
  <c r="AJ26" i="59"/>
  <c r="AJ22" i="59"/>
  <c r="AJ18" i="59"/>
  <c r="AJ21" i="59"/>
  <c r="AJ23" i="59"/>
  <c r="AJ14" i="59"/>
  <c r="AJ12" i="59"/>
  <c r="AJ11" i="59"/>
  <c r="AJ10" i="59"/>
  <c r="AJ8" i="59"/>
  <c r="AJ7" i="59"/>
  <c r="AJ6" i="59"/>
  <c r="AJ5" i="59" l="1"/>
  <c r="AJ9" i="59"/>
  <c r="AK5" i="59" l="1"/>
  <c r="AK6" i="59" l="1"/>
  <c r="AK7" i="59" l="1"/>
  <c r="AK8" i="59" l="1"/>
  <c r="AK9" i="59" l="1"/>
  <c r="AK10" i="59" l="1"/>
  <c r="AK11" i="59" l="1"/>
  <c r="AK12" i="59" l="1"/>
  <c r="AK13" i="59" l="1"/>
  <c r="AK14" i="59" l="1"/>
  <c r="AK15" i="59" l="1"/>
  <c r="AK16" i="59" l="1"/>
  <c r="AK17" i="59" l="1"/>
  <c r="AK18" i="59" l="1"/>
  <c r="AK19" i="59" l="1"/>
  <c r="AK20" i="59" l="1"/>
  <c r="AK21" i="59" l="1"/>
  <c r="AK22" i="59" l="1"/>
  <c r="AK23" i="59" l="1"/>
  <c r="AK24" i="59" l="1"/>
  <c r="AK25" i="59" l="1"/>
  <c r="AK26" i="59" l="1"/>
  <c r="AK27" i="59" l="1"/>
  <c r="AK28" i="59" l="1"/>
  <c r="AK29" i="59" l="1"/>
  <c r="AK30" i="59" l="1"/>
  <c r="AK31" i="59" l="1"/>
  <c r="AK32" i="59" l="1"/>
  <c r="AK33" i="59" l="1"/>
  <c r="AK34" i="59" l="1"/>
  <c r="AJ40" i="59" s="1"/>
  <c r="BV40" i="59" l="1"/>
  <c r="KV31" i="1" l="1"/>
  <c r="Q31" i="1"/>
  <c r="KT31" i="1" s="1"/>
  <c r="P31" i="1"/>
  <c r="O41" i="1"/>
  <c r="KV41" i="1" s="1"/>
  <c r="P41" i="1" l="1"/>
  <c r="Q41" i="1"/>
  <c r="KT41" i="1" s="1"/>
  <c r="BJ29" i="59" l="1"/>
  <c r="BL29" i="59" l="1"/>
  <c r="BK29" i="59" l="1"/>
  <c r="BM29" i="59" l="1"/>
  <c r="BJ30" i="59" l="1"/>
  <c r="BL30" i="59" l="1"/>
  <c r="BK30" i="59" l="1"/>
  <c r="BM30" i="59" l="1"/>
  <c r="BH7" i="59" l="1"/>
  <c r="BJ31" i="59" l="1"/>
  <c r="BF7" i="59"/>
  <c r="BF29" i="59" l="1"/>
  <c r="BH28" i="59"/>
  <c r="BH29" i="59"/>
  <c r="BH13" i="59"/>
  <c r="BH25" i="59"/>
  <c r="BF25" i="59"/>
  <c r="BH12" i="59"/>
  <c r="BH14" i="59"/>
  <c r="BH10" i="59"/>
  <c r="BH17" i="59"/>
  <c r="BF12" i="59"/>
  <c r="BL31" i="59"/>
  <c r="BF14" i="59"/>
  <c r="BH27" i="59" l="1"/>
  <c r="BH20" i="59"/>
  <c r="BH16" i="59"/>
  <c r="BF28" i="59"/>
  <c r="BF27" i="59"/>
  <c r="BF13" i="59"/>
  <c r="BF20" i="59"/>
  <c r="BF11" i="59"/>
  <c r="BH30" i="59"/>
  <c r="BF10" i="59"/>
  <c r="BH11" i="59"/>
  <c r="BF30" i="59"/>
  <c r="BF9" i="59"/>
  <c r="BH9" i="59"/>
  <c r="BH22" i="59"/>
  <c r="BH23" i="59"/>
  <c r="BH19" i="59"/>
  <c r="BH15" i="59"/>
  <c r="BH21" i="59"/>
  <c r="BH18" i="59"/>
  <c r="BH8" i="59"/>
  <c r="BH24" i="59"/>
  <c r="BF17" i="59"/>
  <c r="BF16" i="59"/>
  <c r="BF24" i="59"/>
  <c r="BF15" i="59"/>
  <c r="BF18" i="59"/>
  <c r="BF19" i="59"/>
  <c r="BF22" i="59"/>
  <c r="BF21" i="59"/>
  <c r="BF8" i="59"/>
  <c r="BF23" i="59"/>
  <c r="BH26" i="59" l="1"/>
  <c r="BF26" i="59"/>
  <c r="BH6" i="59" l="1"/>
  <c r="BF6" i="59"/>
  <c r="BH5" i="59" l="1"/>
  <c r="BH4" i="59"/>
  <c r="BF4" i="59"/>
  <c r="BF5" i="59"/>
  <c r="BI4" i="59" l="1"/>
  <c r="BG4" i="59"/>
  <c r="BI5" i="59" l="1"/>
  <c r="BG5" i="59"/>
  <c r="BI6" i="59" l="1"/>
  <c r="BG6" i="59"/>
  <c r="BI7" i="59" l="1"/>
  <c r="BI8" i="59"/>
  <c r="BG7" i="59"/>
  <c r="BG8" i="59"/>
  <c r="BI9" i="59" l="1"/>
  <c r="BG9" i="59"/>
  <c r="BI10" i="59" l="1"/>
  <c r="BG10" i="59"/>
  <c r="BI11" i="59" l="1"/>
  <c r="BG11" i="59"/>
  <c r="BI12" i="59" l="1"/>
  <c r="BG12" i="59"/>
  <c r="BI13" i="59" l="1"/>
  <c r="BG13" i="59"/>
  <c r="BI14" i="59" l="1"/>
  <c r="BG14" i="59"/>
  <c r="BI15" i="59" l="1"/>
  <c r="BG15" i="59"/>
  <c r="BI16" i="59" l="1"/>
  <c r="BG16" i="59"/>
  <c r="BI17" i="59" l="1"/>
  <c r="BG17" i="59"/>
  <c r="BI18" i="59" l="1"/>
  <c r="BG18" i="59"/>
  <c r="BI19" i="59" l="1"/>
  <c r="BG19" i="59"/>
  <c r="BI20" i="59" l="1"/>
  <c r="BG20" i="59"/>
  <c r="BI21" i="59" l="1"/>
  <c r="BG21" i="59"/>
  <c r="BI22" i="59" l="1"/>
  <c r="BG22" i="59"/>
  <c r="BI23" i="59" l="1"/>
  <c r="BG23" i="59"/>
  <c r="BI24" i="59" l="1"/>
  <c r="BG24" i="59"/>
  <c r="BI25" i="59" l="1"/>
  <c r="BG25" i="59"/>
  <c r="BI26" i="59" l="1"/>
  <c r="BG26" i="59"/>
  <c r="BI27" i="59" l="1"/>
  <c r="BG27" i="59"/>
  <c r="BI28" i="59" l="1"/>
  <c r="BG28" i="59"/>
  <c r="BI29" i="59" l="1"/>
  <c r="BG29" i="59"/>
  <c r="BI30" i="59" l="1"/>
  <c r="BG30" i="59"/>
  <c r="BK31" i="59"/>
  <c r="BM31" i="59" l="1"/>
  <c r="BD33" i="59" l="1"/>
  <c r="BD34" i="59"/>
  <c r="BB33" i="59" l="1"/>
  <c r="AZ34" i="59"/>
  <c r="AZ33" i="59"/>
  <c r="AT34" i="59"/>
  <c r="AT33" i="59"/>
  <c r="BB34" i="59"/>
  <c r="BD12" i="59" l="1"/>
  <c r="AZ12" i="59"/>
  <c r="BB12" i="59"/>
  <c r="BD7" i="59"/>
  <c r="BD28" i="59" l="1"/>
  <c r="BD16" i="59"/>
  <c r="BD18" i="59"/>
  <c r="BD30" i="59"/>
  <c r="BD25" i="59"/>
  <c r="BD19" i="59"/>
  <c r="BD20" i="59"/>
  <c r="BD32" i="59"/>
  <c r="BD22" i="59"/>
  <c r="BD10" i="59"/>
  <c r="BD27" i="59"/>
  <c r="BD13" i="59"/>
  <c r="BD23" i="59"/>
  <c r="BD15" i="59"/>
  <c r="BD11" i="59"/>
  <c r="BD14" i="59"/>
  <c r="BD21" i="59"/>
  <c r="BD17" i="59"/>
  <c r="BD29" i="59"/>
  <c r="BD24" i="59"/>
  <c r="AZ32" i="59"/>
  <c r="BB32" i="59"/>
  <c r="AT32" i="59"/>
  <c r="BB28" i="59"/>
  <c r="AZ28" i="59"/>
  <c r="AT28" i="59"/>
  <c r="AZ24" i="59"/>
  <c r="BB24" i="59"/>
  <c r="AZ27" i="59"/>
  <c r="BB10" i="59"/>
  <c r="AZ10" i="59"/>
  <c r="BB27" i="59"/>
  <c r="BB7" i="59"/>
  <c r="AZ7" i="59"/>
  <c r="BB20" i="59"/>
  <c r="AZ20" i="59"/>
  <c r="AZ23" i="59"/>
  <c r="BB23" i="59"/>
  <c r="BB25" i="59"/>
  <c r="AZ25" i="59"/>
  <c r="AT30" i="59"/>
  <c r="BB30" i="59"/>
  <c r="AZ30" i="59"/>
  <c r="BB29" i="59"/>
  <c r="AT29" i="59"/>
  <c r="AZ29" i="59"/>
  <c r="BB22" i="59"/>
  <c r="AZ22" i="59"/>
  <c r="BB21" i="59"/>
  <c r="AZ21" i="59"/>
  <c r="BB19" i="59"/>
  <c r="AZ19" i="59"/>
  <c r="AZ18" i="59"/>
  <c r="BB18" i="59"/>
  <c r="BB17" i="59"/>
  <c r="AZ17" i="59"/>
  <c r="BB16" i="59"/>
  <c r="AZ16" i="59"/>
  <c r="BB15" i="59"/>
  <c r="AZ15" i="59"/>
  <c r="BB14" i="59"/>
  <c r="AZ14" i="59"/>
  <c r="BB13" i="59"/>
  <c r="AZ13" i="59"/>
  <c r="AZ11" i="59"/>
  <c r="BB11" i="59"/>
  <c r="BD4" i="59" l="1"/>
  <c r="BD8" i="59"/>
  <c r="BD31" i="59"/>
  <c r="BD9" i="59"/>
  <c r="BE4" i="59"/>
  <c r="BB4" i="59"/>
  <c r="AZ4" i="59"/>
  <c r="AZ31" i="59"/>
  <c r="BB31" i="59"/>
  <c r="AT31" i="59"/>
  <c r="BB9" i="59"/>
  <c r="AZ9" i="59"/>
  <c r="AZ8" i="59"/>
  <c r="BB8" i="59"/>
  <c r="BD5" i="59" l="1"/>
  <c r="AZ5" i="59"/>
  <c r="BB5" i="59"/>
  <c r="BC4" i="59"/>
  <c r="BA4" i="59"/>
  <c r="BD6" i="59" l="1"/>
  <c r="BD26" i="59"/>
  <c r="AZ26" i="59"/>
  <c r="BB26" i="59"/>
  <c r="BE5" i="59"/>
  <c r="AZ6" i="59"/>
  <c r="BB6" i="59"/>
  <c r="BA5" i="59" l="1"/>
  <c r="BC5" i="59"/>
  <c r="BE6" i="59"/>
  <c r="BC6" i="59" l="1"/>
  <c r="BE7" i="59"/>
  <c r="BA6" i="59"/>
  <c r="BA7" i="59" l="1"/>
  <c r="BC7" i="59"/>
  <c r="BE8" i="59"/>
  <c r="BC8" i="59" l="1"/>
  <c r="BE9" i="59"/>
  <c r="BA8" i="59"/>
  <c r="BC9" i="59" l="1"/>
  <c r="BA9" i="59"/>
  <c r="BE10" i="59"/>
  <c r="BE11" i="59" l="1"/>
  <c r="BA10" i="59"/>
  <c r="BC10" i="59"/>
  <c r="BE12" i="59"/>
  <c r="BA11" i="59" l="1"/>
  <c r="BC11" i="59"/>
  <c r="BC12" i="59"/>
  <c r="BA12" i="59"/>
  <c r="BE13" i="59"/>
  <c r="BE14" i="59" l="1"/>
  <c r="BC13" i="59"/>
  <c r="BA13" i="59"/>
  <c r="BC14" i="59" l="1"/>
  <c r="BA14" i="59"/>
  <c r="BE15" i="59"/>
  <c r="BE16" i="59" l="1"/>
  <c r="BA15" i="59"/>
  <c r="BC15" i="59"/>
  <c r="BC16" i="59" l="1"/>
  <c r="BE17" i="59"/>
  <c r="BA16" i="59"/>
  <c r="BE18" i="59" l="1"/>
  <c r="BA17" i="59"/>
  <c r="BC17" i="59"/>
  <c r="BE19" i="59" l="1"/>
  <c r="BC18" i="59"/>
  <c r="BA18" i="59"/>
  <c r="BE20" i="59" l="1"/>
  <c r="BC19" i="59"/>
  <c r="BA19" i="59"/>
  <c r="BE21" i="59" l="1"/>
  <c r="BC20" i="59"/>
  <c r="BA20" i="59"/>
  <c r="BC21" i="59" l="1"/>
  <c r="BA21" i="59"/>
  <c r="BE22" i="59"/>
  <c r="BE23" i="59" l="1"/>
  <c r="BA22" i="59"/>
  <c r="BC22" i="59"/>
  <c r="BC23" i="59" l="1"/>
  <c r="BE24" i="59"/>
  <c r="BA23" i="59"/>
  <c r="BE25" i="59" l="1"/>
  <c r="BA24" i="59"/>
  <c r="BC24" i="59"/>
  <c r="BC25" i="59" l="1"/>
  <c r="BA25" i="59"/>
  <c r="BE26" i="59"/>
  <c r="BC26" i="59" l="1"/>
  <c r="BA26" i="59"/>
  <c r="BE27" i="59" l="1"/>
  <c r="BC27" i="59"/>
  <c r="BA27" i="59"/>
  <c r="BC28" i="59"/>
  <c r="BA28" i="59"/>
  <c r="BE29" i="59" l="1"/>
  <c r="BE28" i="59"/>
  <c r="BA29" i="59"/>
  <c r="BC29" i="59"/>
  <c r="BE30" i="59" l="1"/>
  <c r="BE31" i="59"/>
  <c r="BA30" i="59"/>
  <c r="BC30" i="59"/>
  <c r="BE32" i="59"/>
  <c r="BA31" i="59"/>
  <c r="BC31" i="59"/>
  <c r="BC32" i="59" l="1"/>
  <c r="BE33" i="59"/>
  <c r="BA32" i="59"/>
  <c r="BE34" i="59" l="1"/>
  <c r="BD40" i="59" s="1"/>
  <c r="BC33" i="59"/>
  <c r="BA33" i="59"/>
  <c r="BC34" i="59" l="1"/>
  <c r="BB40" i="59" s="1"/>
  <c r="BA34" i="59"/>
  <c r="AZ40" i="59" s="1"/>
  <c r="AT18" i="59" l="1"/>
  <c r="AT26" i="59"/>
  <c r="AT10" i="59"/>
  <c r="AT15" i="59"/>
  <c r="AT14" i="59"/>
  <c r="AT20" i="59"/>
  <c r="AT17" i="59"/>
  <c r="AT6" i="59"/>
  <c r="AT4" i="59"/>
  <c r="AT11" i="59"/>
  <c r="AT7" i="59"/>
  <c r="AT16" i="59"/>
  <c r="AT13" i="59"/>
  <c r="AT5" i="59"/>
  <c r="AT8" i="59"/>
  <c r="AT12" i="59"/>
  <c r="AT27" i="59"/>
  <c r="AT24" i="59" l="1"/>
  <c r="AT21" i="59"/>
  <c r="AU4" i="59"/>
  <c r="AT22" i="59"/>
  <c r="AT23" i="59"/>
  <c r="AT19" i="59"/>
  <c r="AT9" i="59"/>
  <c r="AT25" i="59"/>
  <c r="AU5" i="59" l="1"/>
  <c r="AU6" i="59" l="1"/>
  <c r="AU7" i="59" l="1"/>
  <c r="AU8" i="59" l="1"/>
  <c r="AU9" i="59" l="1"/>
  <c r="AU10" i="59" l="1"/>
  <c r="AU11" i="59" l="1"/>
  <c r="AU12" i="59" l="1"/>
  <c r="AU13" i="59" l="1"/>
  <c r="AU14" i="59" l="1"/>
  <c r="AU15" i="59" l="1"/>
  <c r="AU16" i="59" l="1"/>
  <c r="AU17" i="59" l="1"/>
  <c r="AU18" i="59" l="1"/>
  <c r="AU19" i="59" l="1"/>
  <c r="AU20" i="59" l="1"/>
  <c r="AU21" i="59" l="1"/>
  <c r="AU22" i="59" l="1"/>
  <c r="AU23" i="59" l="1"/>
  <c r="AU24" i="59" l="1"/>
  <c r="AU25" i="59" l="1"/>
  <c r="AU26" i="59" l="1"/>
  <c r="AU27" i="59" l="1"/>
  <c r="AU28" i="59" l="1"/>
  <c r="AU29" i="59" l="1"/>
  <c r="AU30" i="59" l="1"/>
  <c r="AU31" i="59" l="1"/>
  <c r="AU32" i="59" l="1"/>
  <c r="AU33" i="59" l="1"/>
  <c r="AU34" i="59" l="1"/>
  <c r="AT40" i="59" s="1"/>
  <c r="BH31" i="59" l="1"/>
  <c r="BF31" i="59"/>
  <c r="BJ32" i="59"/>
  <c r="BH32" i="59" l="1"/>
  <c r="BF32" i="59"/>
  <c r="BL32" i="59"/>
  <c r="BI31" i="59" l="1"/>
  <c r="BK32" i="59"/>
  <c r="BG31" i="59"/>
  <c r="BI32" i="59" l="1"/>
  <c r="BG32" i="59"/>
  <c r="BM32" i="59"/>
  <c r="BK33" i="59"/>
  <c r="BI33" i="59" l="1"/>
  <c r="BG33" i="59"/>
  <c r="BM33" i="59"/>
  <c r="BK34" i="59"/>
  <c r="BJ40" i="59" s="1"/>
  <c r="BI34" i="59" l="1"/>
  <c r="BH40" i="59" s="1"/>
  <c r="BM34" i="59"/>
  <c r="BL40" i="59" s="1"/>
  <c r="BG34" i="59"/>
  <c r="BF40" i="59" s="1"/>
  <c r="BP7" i="59" l="1"/>
  <c r="BP25" i="59" l="1"/>
  <c r="BP34" i="59"/>
  <c r="BP12" i="59"/>
  <c r="BP31" i="59"/>
  <c r="BP29" i="59"/>
  <c r="BP14" i="59"/>
  <c r="BP28" i="59" l="1"/>
  <c r="BP27" i="59"/>
  <c r="BP11" i="59"/>
  <c r="BP13" i="59"/>
  <c r="BP30" i="59"/>
  <c r="BP20" i="59"/>
  <c r="BP16" i="59"/>
  <c r="BP9" i="59"/>
  <c r="BP10" i="59"/>
  <c r="BP17" i="59"/>
  <c r="BP15" i="59"/>
  <c r="BP24" i="59"/>
  <c r="BP18" i="59"/>
  <c r="BP19" i="59"/>
  <c r="BP22" i="59"/>
  <c r="BP32" i="59"/>
  <c r="BP21" i="59"/>
  <c r="BP33" i="59"/>
  <c r="BP8" i="59"/>
  <c r="BP23" i="59"/>
  <c r="BP26" i="59" l="1"/>
  <c r="BP6" i="59" l="1"/>
  <c r="BP4" i="59" l="1"/>
  <c r="BP5" i="59"/>
  <c r="BQ4" i="59" l="1"/>
  <c r="BQ5" i="59" l="1"/>
  <c r="BQ6" i="59" l="1"/>
  <c r="BQ7" i="59" l="1"/>
  <c r="BQ8" i="59"/>
  <c r="BQ9" i="59" l="1"/>
  <c r="BQ10" i="59" l="1"/>
  <c r="BQ11" i="59" l="1"/>
  <c r="BQ12" i="59" l="1"/>
  <c r="BQ13" i="59" l="1"/>
  <c r="BQ14" i="59" l="1"/>
  <c r="BQ15" i="59" l="1"/>
  <c r="BQ16" i="59" l="1"/>
  <c r="BQ17" i="59" l="1"/>
  <c r="BQ18" i="59" l="1"/>
  <c r="BQ19" i="59" l="1"/>
  <c r="BQ20" i="59" l="1"/>
  <c r="BQ21" i="59" l="1"/>
  <c r="BQ22" i="59" l="1"/>
  <c r="BQ23" i="59" l="1"/>
  <c r="BQ24" i="59" l="1"/>
  <c r="BQ25" i="59" l="1"/>
  <c r="BQ26" i="59" l="1"/>
  <c r="BQ27" i="59" l="1"/>
  <c r="BQ28" i="59" l="1"/>
  <c r="BQ29" i="59" l="1"/>
  <c r="BQ30" i="59" l="1"/>
  <c r="BQ31" i="59" l="1"/>
  <c r="BQ32" i="59" l="1"/>
  <c r="BQ33" i="59" l="1"/>
  <c r="BQ34" i="59" l="1"/>
  <c r="BP40" i="59" s="1"/>
  <c r="CJ13" i="59" l="1"/>
  <c r="CJ11" i="59"/>
  <c r="CJ14" i="59"/>
  <c r="CJ29" i="59"/>
  <c r="CJ25" i="59"/>
  <c r="CJ33" i="59"/>
  <c r="CJ32" i="59"/>
  <c r="CJ24" i="59"/>
  <c r="CJ23" i="59"/>
  <c r="CJ27" i="59" l="1"/>
  <c r="CJ34" i="59"/>
  <c r="CH34" i="59"/>
  <c r="BZ34" i="59"/>
  <c r="CF13" i="59"/>
  <c r="CH13" i="59"/>
  <c r="CH27" i="59"/>
  <c r="CJ26" i="59"/>
  <c r="CJ20" i="59"/>
  <c r="CH14" i="59"/>
  <c r="CF11" i="59"/>
  <c r="CH11" i="59"/>
  <c r="CF29" i="59"/>
  <c r="CF32" i="59"/>
  <c r="CJ21" i="59"/>
  <c r="CH33" i="59"/>
  <c r="BZ33" i="59"/>
  <c r="CH25" i="59"/>
  <c r="CH32" i="59"/>
  <c r="CH29" i="59"/>
  <c r="CJ8" i="59"/>
  <c r="CH24" i="59"/>
  <c r="CH23" i="59"/>
  <c r="CF33" i="59"/>
  <c r="CF25" i="59"/>
  <c r="CF14" i="59"/>
  <c r="CF23" i="59"/>
  <c r="CF24" i="59"/>
  <c r="CF27" i="59"/>
  <c r="CF34" i="59"/>
  <c r="CJ17" i="59"/>
  <c r="CJ10" i="59"/>
  <c r="CJ7" i="59"/>
  <c r="CJ30" i="59" l="1"/>
  <c r="CJ15" i="59"/>
  <c r="CJ5" i="59"/>
  <c r="CJ9" i="59"/>
  <c r="CF20" i="59"/>
  <c r="CH20" i="59"/>
  <c r="CF5" i="59"/>
  <c r="CJ28" i="59"/>
  <c r="CH5" i="59"/>
  <c r="CH30" i="59"/>
  <c r="CF9" i="59"/>
  <c r="CH9" i="59"/>
  <c r="CF30" i="59"/>
  <c r="CF15" i="59"/>
  <c r="CH15" i="59"/>
  <c r="CJ19" i="59"/>
  <c r="CF26" i="59"/>
  <c r="CH26" i="59"/>
  <c r="CH28" i="59"/>
  <c r="CF28" i="59"/>
  <c r="CJ18" i="59"/>
  <c r="CJ6" i="59"/>
  <c r="CH8" i="59"/>
  <c r="CH17" i="59"/>
  <c r="CF17" i="59"/>
  <c r="CH7" i="59"/>
  <c r="CH10" i="59"/>
  <c r="CF10" i="59"/>
  <c r="CF8" i="59"/>
  <c r="CF7" i="59"/>
  <c r="CH21" i="59"/>
  <c r="CF21" i="59"/>
  <c r="CH19" i="59" l="1"/>
  <c r="CF19" i="59"/>
  <c r="CH6" i="59"/>
  <c r="CF6" i="59"/>
  <c r="CH18" i="59"/>
  <c r="CF18" i="59"/>
  <c r="CJ16" i="59"/>
  <c r="CJ12" i="59"/>
  <c r="CJ4" i="59"/>
  <c r="CJ31" i="59" l="1"/>
  <c r="CF22" i="59"/>
  <c r="CJ22" i="59"/>
  <c r="CH22" i="59"/>
  <c r="CH31" i="59"/>
  <c r="CF31" i="59"/>
  <c r="CH4" i="59"/>
  <c r="CK4" i="59"/>
  <c r="CF4" i="59"/>
  <c r="CH12" i="59"/>
  <c r="CF12" i="59"/>
  <c r="CH16" i="59"/>
  <c r="CF16" i="59"/>
  <c r="CI4" i="59" l="1"/>
  <c r="CG4" i="59"/>
  <c r="CK5" i="59" l="1"/>
  <c r="CI5" i="59"/>
  <c r="CG5" i="59"/>
  <c r="CK7" i="59" l="1"/>
  <c r="CK6" i="59"/>
  <c r="CG6" i="59"/>
  <c r="CG7" i="59"/>
  <c r="CK8" i="59"/>
  <c r="CI7" i="59"/>
  <c r="CI6" i="59"/>
  <c r="CK9" i="59" l="1"/>
  <c r="CG8" i="59"/>
  <c r="CI8" i="59"/>
  <c r="CI9" i="59" l="1"/>
  <c r="CK10" i="59"/>
  <c r="CG9" i="59"/>
  <c r="CK11" i="59" l="1"/>
  <c r="CI10" i="59"/>
  <c r="CG10" i="59"/>
  <c r="CK12" i="59" l="1"/>
  <c r="CG11" i="59"/>
  <c r="CI11" i="59"/>
  <c r="CG12" i="59" l="1"/>
  <c r="CK13" i="59"/>
  <c r="CI12" i="59"/>
  <c r="CG13" i="59" l="1"/>
  <c r="CK14" i="59"/>
  <c r="CI13" i="59"/>
  <c r="CG14" i="59" l="1"/>
  <c r="CI14" i="59"/>
  <c r="CK15" i="59"/>
  <c r="CG15" i="59" l="1"/>
  <c r="CI15" i="59"/>
  <c r="CK16" i="59"/>
  <c r="CG16" i="59" l="1"/>
  <c r="CI16" i="59"/>
  <c r="CK17" i="59"/>
  <c r="CG17" i="59" l="1"/>
  <c r="CI17" i="59"/>
  <c r="CK19" i="59" l="1"/>
  <c r="CK18" i="59"/>
  <c r="CG18" i="59"/>
  <c r="CI18" i="59"/>
  <c r="CI19" i="59"/>
  <c r="CK20" i="59"/>
  <c r="CG19" i="59"/>
  <c r="CI20" i="59" l="1"/>
  <c r="CK21" i="59"/>
  <c r="CG20" i="59"/>
  <c r="CI21" i="59" l="1"/>
  <c r="CK22" i="59"/>
  <c r="CG21" i="59"/>
  <c r="CK23" i="59" l="1"/>
  <c r="CI22" i="59"/>
  <c r="CG22" i="59"/>
  <c r="CK24" i="59" l="1"/>
  <c r="CI23" i="59"/>
  <c r="CG23" i="59"/>
  <c r="CI24" i="59" l="1"/>
  <c r="CK25" i="59"/>
  <c r="CG24" i="59"/>
  <c r="CK26" i="59" l="1"/>
  <c r="CI25" i="59"/>
  <c r="CG25" i="59"/>
  <c r="CI26" i="59" l="1"/>
  <c r="CK27" i="59"/>
  <c r="CG26" i="59"/>
  <c r="CK28" i="59" l="1"/>
  <c r="CI27" i="59"/>
  <c r="CG27" i="59"/>
  <c r="CK29" i="59" l="1"/>
  <c r="CI28" i="59"/>
  <c r="CG28" i="59"/>
  <c r="CI29" i="59" l="1"/>
  <c r="CK30" i="59"/>
  <c r="CG29" i="59"/>
  <c r="CK31" i="59" l="1"/>
  <c r="CI30" i="59"/>
  <c r="CG30" i="59"/>
  <c r="CK32" i="59" l="1"/>
  <c r="CI31" i="59"/>
  <c r="CG31" i="59"/>
  <c r="CI32" i="59" l="1"/>
  <c r="CK33" i="59"/>
  <c r="CG32" i="59"/>
  <c r="CI33" i="59" l="1"/>
  <c r="CK34" i="59"/>
  <c r="CJ40" i="59" s="1"/>
  <c r="CG33" i="59"/>
  <c r="CI34" i="59" l="1"/>
  <c r="CH40" i="59" s="1"/>
  <c r="CG34" i="59"/>
  <c r="CF40" i="59" s="1"/>
  <c r="BZ4" i="59" l="1"/>
  <c r="BZ5" i="59" l="1"/>
  <c r="BZ7" i="59"/>
  <c r="BZ6" i="59"/>
  <c r="BZ8" i="59"/>
  <c r="CA4" i="59"/>
  <c r="CA8" i="59" l="1"/>
  <c r="BZ23" i="59"/>
  <c r="CA7" i="59"/>
  <c r="BZ24" i="59"/>
  <c r="BZ25" i="59"/>
  <c r="BZ21" i="59"/>
  <c r="BZ16" i="59"/>
  <c r="CA5" i="59"/>
  <c r="BZ29" i="59"/>
  <c r="BZ15" i="59"/>
  <c r="BZ28" i="59"/>
  <c r="BZ31" i="59"/>
  <c r="BZ20" i="59"/>
  <c r="CA6" i="59"/>
  <c r="BZ19" i="59"/>
  <c r="BZ13" i="59"/>
  <c r="BZ9" i="59"/>
  <c r="BZ14" i="59"/>
  <c r="BZ17" i="59"/>
  <c r="BZ27" i="59"/>
  <c r="BZ22" i="59"/>
  <c r="BZ32" i="59"/>
  <c r="BZ30" i="59"/>
  <c r="BZ11" i="59"/>
  <c r="BZ10" i="59"/>
  <c r="BZ12" i="59"/>
  <c r="BZ26" i="59"/>
  <c r="BZ18" i="59"/>
  <c r="CA10" i="59" l="1"/>
  <c r="CA9" i="59"/>
  <c r="CA11" i="59" l="1"/>
  <c r="CA12" i="59" l="1"/>
  <c r="CA13" i="59" l="1"/>
  <c r="CA14" i="59" l="1"/>
  <c r="CA15" i="59" l="1"/>
  <c r="CA16" i="59" l="1"/>
  <c r="CA17" i="59" l="1"/>
  <c r="CA18" i="59" l="1"/>
  <c r="CA19" i="59" l="1"/>
  <c r="CA20" i="59" l="1"/>
  <c r="CA21" i="59" l="1"/>
  <c r="CA22" i="59" l="1"/>
  <c r="CA23" i="59" l="1"/>
  <c r="CA24" i="59" l="1"/>
  <c r="CA25" i="59" l="1"/>
  <c r="CA26" i="59" l="1"/>
  <c r="CA27" i="59" l="1"/>
  <c r="CA28" i="59" l="1"/>
  <c r="CA29" i="59" l="1"/>
  <c r="CA30" i="59" l="1"/>
  <c r="CA31" i="59" l="1"/>
  <c r="CA32" i="59" l="1"/>
  <c r="CA33" i="59" l="1"/>
  <c r="CA34" i="59" l="1"/>
  <c r="BZ40" i="59" s="1"/>
  <c r="X33" i="59" l="1"/>
  <c r="V34" i="59"/>
  <c r="V33" i="59"/>
  <c r="X34" i="59"/>
  <c r="V12" i="59"/>
  <c r="X32" i="59" l="1"/>
  <c r="X12" i="59"/>
  <c r="X28" i="59"/>
  <c r="V28" i="59"/>
  <c r="X24" i="59"/>
  <c r="V24" i="59"/>
  <c r="X5" i="59"/>
  <c r="V5" i="59"/>
  <c r="V32" i="59" l="1"/>
  <c r="X10" i="59"/>
  <c r="V10" i="59"/>
  <c r="X20" i="59"/>
  <c r="V20" i="59"/>
  <c r="V23" i="59"/>
  <c r="X23" i="59"/>
  <c r="X25" i="59"/>
  <c r="V25" i="59"/>
  <c r="X30" i="59"/>
  <c r="V30" i="59"/>
  <c r="X29" i="59"/>
  <c r="V29" i="59"/>
  <c r="X22" i="59"/>
  <c r="V22" i="59"/>
  <c r="X21" i="59"/>
  <c r="V21" i="59"/>
  <c r="X19" i="59"/>
  <c r="V19" i="59"/>
  <c r="V18" i="59"/>
  <c r="X18" i="59"/>
  <c r="X17" i="59"/>
  <c r="V17" i="59"/>
  <c r="X16" i="59"/>
  <c r="V16" i="59"/>
  <c r="X15" i="59"/>
  <c r="V15" i="59"/>
  <c r="X14" i="59"/>
  <c r="V14" i="59"/>
  <c r="X13" i="59"/>
  <c r="V13" i="59"/>
  <c r="V11" i="59"/>
  <c r="X11" i="59"/>
  <c r="X27" i="59" l="1"/>
  <c r="V27" i="59"/>
  <c r="X4" i="59"/>
  <c r="V4" i="59"/>
  <c r="V31" i="59"/>
  <c r="X31" i="59"/>
  <c r="X9" i="59"/>
  <c r="V9" i="59"/>
  <c r="V8" i="59"/>
  <c r="X8" i="59"/>
  <c r="X7" i="59" l="1"/>
  <c r="V7" i="59"/>
  <c r="Y4" i="59"/>
  <c r="W4" i="59"/>
  <c r="V26" i="59" l="1"/>
  <c r="X26" i="59"/>
  <c r="V6" i="59"/>
  <c r="X6" i="59"/>
  <c r="W5" i="59" l="1"/>
  <c r="Y5" i="59"/>
  <c r="Y6" i="59" l="1"/>
  <c r="W6" i="59"/>
  <c r="W7" i="59" l="1"/>
  <c r="Y7" i="59"/>
  <c r="Y8" i="59" l="1"/>
  <c r="W8" i="59"/>
  <c r="Y9" i="59" l="1"/>
  <c r="W9" i="59"/>
  <c r="W10" i="59" l="1"/>
  <c r="Y10" i="59"/>
  <c r="W11" i="59" l="1"/>
  <c r="Y11" i="59"/>
  <c r="Y12" i="59"/>
  <c r="W12" i="59"/>
  <c r="Y13" i="59" l="1"/>
  <c r="W13" i="59"/>
  <c r="Y14" i="59" l="1"/>
  <c r="W14" i="59"/>
  <c r="W15" i="59" l="1"/>
  <c r="Y15" i="59"/>
  <c r="Y16" i="59" l="1"/>
  <c r="W16" i="59"/>
  <c r="W17" i="59" l="1"/>
  <c r="Y17" i="59"/>
  <c r="Y18" i="59" l="1"/>
  <c r="W18" i="59"/>
  <c r="Y19" i="59" l="1"/>
  <c r="W19" i="59"/>
  <c r="Y20" i="59" l="1"/>
  <c r="W20" i="59"/>
  <c r="Y21" i="59" l="1"/>
  <c r="W21" i="59"/>
  <c r="W22" i="59" l="1"/>
  <c r="Y22" i="59"/>
  <c r="Y23" i="59" l="1"/>
  <c r="W23" i="59"/>
  <c r="W24" i="59" l="1"/>
  <c r="Y24" i="59"/>
  <c r="W25" i="59" l="1"/>
  <c r="Y25" i="59"/>
  <c r="Y26" i="59" l="1"/>
  <c r="W26" i="59"/>
  <c r="W27" i="59" l="1"/>
  <c r="Y27" i="59"/>
  <c r="Y28" i="59" l="1"/>
  <c r="W28" i="59"/>
  <c r="W29" i="59" l="1"/>
  <c r="Y29" i="59"/>
  <c r="Y30" i="59" l="1"/>
  <c r="W30" i="59"/>
  <c r="W31" i="59" l="1"/>
  <c r="Y31" i="59"/>
  <c r="Y32" i="59" l="1"/>
  <c r="W32" i="59"/>
  <c r="Y33" i="59" l="1"/>
  <c r="W33" i="59"/>
  <c r="W34" i="59" l="1"/>
  <c r="V40" i="59" s="1"/>
  <c r="Y34" i="59"/>
  <c r="X40" i="59" s="1"/>
</calcChain>
</file>

<file path=xl/comments1.xml><?xml version="1.0" encoding="utf-8"?>
<comments xmlns="http://schemas.openxmlformats.org/spreadsheetml/2006/main">
  <authors>
    <author>Produksi-PM</author>
  </authors>
  <commentList>
    <comment ref="H94" author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HB &amp; LB</t>
        </r>
      </text>
    </comment>
    <comment ref="H98" author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HB</t>
        </r>
      </text>
    </comment>
    <comment ref="H102" author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HB</t>
        </r>
      </text>
    </comment>
    <comment ref="H106" author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HB</t>
        </r>
      </text>
    </comment>
    <comment ref="H111" author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HB</t>
        </r>
      </text>
    </comment>
  </commentList>
</comments>
</file>

<file path=xl/comments2.xml><?xml version="1.0" encoding="utf-8"?>
<comments xmlns="http://schemas.openxmlformats.org/spreadsheetml/2006/main">
  <authors>
    <author>Produksi-PM</author>
  </authors>
  <commentList>
    <comment ref="H94" author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HB &amp; LB</t>
        </r>
      </text>
    </comment>
    <comment ref="H98" author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HB</t>
        </r>
      </text>
    </comment>
    <comment ref="H102" author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HB</t>
        </r>
      </text>
    </comment>
    <comment ref="H106" author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HB</t>
        </r>
      </text>
    </comment>
    <comment ref="H111" author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HB</t>
        </r>
      </text>
    </comment>
  </commentList>
</comments>
</file>

<file path=xl/sharedStrings.xml><?xml version="1.0" encoding="utf-8"?>
<sst xmlns="http://schemas.openxmlformats.org/spreadsheetml/2006/main" count="6135" uniqueCount="793">
  <si>
    <t xml:space="preserve"> </t>
  </si>
  <si>
    <t>Efficiency</t>
  </si>
  <si>
    <t>Total</t>
  </si>
  <si>
    <t>PRODUCTION DAILY REPORT</t>
  </si>
  <si>
    <t>GRADE</t>
  </si>
  <si>
    <t>GSM</t>
  </si>
  <si>
    <t>LOSS</t>
  </si>
  <si>
    <t>Facial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</si>
  <si>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</si>
  <si>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</si>
  <si>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</si>
  <si>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</si>
  <si>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</si>
  <si>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</si>
  <si>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</si>
  <si>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</si>
  <si>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</si>
  <si>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</si>
  <si>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</si>
  <si>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</si>
  <si>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</si>
  <si>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</si>
  <si>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</si>
  <si>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</si>
  <si>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</si>
  <si>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</si>
  <si>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</si>
  <si>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</si>
  <si>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</si>
  <si>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PM</t>
  </si>
  <si>
    <t>DATE</t>
  </si>
  <si>
    <t>PM PROD  Timbangan                       (TON)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</si>
  <si>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</si>
  <si>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</si>
  <si>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</si>
  <si>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</si>
  <si>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</si>
  <si>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</si>
  <si>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</si>
  <si>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</si>
  <si>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</si>
  <si>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</si>
  <si>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NBKP ASPA</t>
  </si>
  <si>
    <t>TOTAL NBKP</t>
  </si>
  <si>
    <t>LBKP RAPP MHW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</si>
  <si>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</si>
  <si>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</si>
  <si>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</si>
  <si>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</si>
  <si>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</si>
  <si>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</si>
  <si>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</si>
  <si>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</si>
  <si>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</si>
  <si>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</si>
  <si>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</si>
  <si>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</si>
  <si>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</si>
  <si>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</si>
  <si>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</si>
  <si>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</si>
  <si>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</si>
  <si>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</si>
  <si>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</si>
  <si>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</si>
  <si>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</si>
  <si>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</si>
  <si>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</si>
  <si>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</si>
  <si>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</si>
  <si>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</si>
  <si>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</si>
  <si>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</si>
  <si>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</si>
  <si>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</si>
  <si>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</si>
  <si>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</si>
  <si>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</si>
  <si>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</si>
  <si>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</si>
  <si>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</si>
  <si>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</si>
  <si>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</si>
  <si>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</si>
  <si>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</si>
  <si>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</si>
  <si>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</si>
  <si>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</si>
  <si>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</si>
  <si>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</si>
  <si>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</si>
  <si>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</si>
  <si>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</si>
  <si>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</si>
  <si>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</si>
  <si>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</si>
  <si>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</si>
  <si>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</si>
  <si>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</si>
  <si>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</si>
  <si>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</si>
  <si>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</si>
  <si>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</si>
  <si>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</si>
  <si>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</si>
  <si>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</si>
  <si>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</si>
  <si>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</si>
  <si>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</si>
  <si>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</si>
  <si>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</si>
  <si>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</si>
  <si>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</si>
  <si>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</si>
  <si>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</si>
  <si>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</si>
  <si>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</si>
  <si>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</si>
  <si>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</si>
  <si>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</si>
  <si>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</si>
  <si>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</si>
  <si>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</si>
  <si>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</si>
  <si>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</si>
  <si>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</si>
  <si>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</si>
  <si>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</si>
  <si>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</si>
  <si>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</si>
  <si>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</si>
  <si>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</si>
  <si>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</si>
  <si>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</si>
  <si>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</si>
  <si>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</si>
  <si>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</si>
  <si>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</si>
  <si>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</si>
  <si>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</si>
  <si>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</si>
  <si>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</si>
  <si>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</si>
  <si>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</si>
  <si>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</si>
  <si>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</si>
  <si>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Total PM11</t>
  </si>
  <si>
    <t>TISSUE MACHINE 11</t>
  </si>
  <si>
    <t>PM 11</t>
  </si>
  <si>
    <t xml:space="preserve">PM11 Efficiency Report </t>
  </si>
  <si>
    <t>TISSUE MACHINE 45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</si>
  <si>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</si>
  <si>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</si>
  <si>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</si>
  <si>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</si>
  <si>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</si>
  <si>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</si>
  <si>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</si>
  <si>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</si>
  <si>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</si>
  <si>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</si>
  <si>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</si>
  <si>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</si>
  <si>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</si>
  <si>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</si>
  <si>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</si>
  <si>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</si>
  <si>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</si>
  <si>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</si>
  <si>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</si>
  <si>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</si>
  <si>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</si>
  <si>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</si>
  <si>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</si>
  <si>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Vacuum A</t>
  </si>
  <si>
    <t>Vacuum B</t>
  </si>
  <si>
    <t>MCC Aux TM</t>
  </si>
  <si>
    <t>Multi Screen</t>
  </si>
  <si>
    <t>WL II 1250 A (yankee + popereel)</t>
  </si>
  <si>
    <t>WL II 3200 A (Hood, Fan Pump, Felt &amp; Wire)</t>
  </si>
  <si>
    <t>Stock Prep &amp; UTM 1 (3200 A)</t>
  </si>
  <si>
    <t>Stock Prep &amp; UTM 2 (3200 A)</t>
  </si>
  <si>
    <t>Rewinder 1 (800 A)</t>
  </si>
  <si>
    <t>Rewinder 2 (800A)</t>
  </si>
  <si>
    <t>Gas ConsumptionHood PM 11</t>
  </si>
  <si>
    <t>Off Reel</t>
  </si>
  <si>
    <t>Off Rewinder</t>
  </si>
  <si>
    <t>Kwh/ ton</t>
  </si>
  <si>
    <t>Stockprep</t>
  </si>
  <si>
    <t>Rewinder</t>
  </si>
  <si>
    <t>LEBIH TINGGI DARI OFF REEL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</si>
  <si>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</si>
  <si>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</si>
  <si>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</si>
  <si>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</si>
  <si>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</si>
  <si>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</si>
  <si>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</si>
  <si>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</si>
  <si>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>PAPER MACHINE 11 DAILY REPORT 1</t>
  </si>
  <si>
    <t xml:space="preserve">Kapasitas Teori Real (ton) </t>
  </si>
  <si>
    <t>Speed real (ton) with Available Time</t>
  </si>
  <si>
    <t>Change Grade</t>
  </si>
  <si>
    <t>sheet break</t>
  </si>
  <si>
    <t>change blade</t>
  </si>
  <si>
    <t>change spool</t>
  </si>
  <si>
    <t>Loss time sheet break</t>
  </si>
  <si>
    <t>Loss time change blade</t>
  </si>
  <si>
    <t>Loss time change spool</t>
  </si>
  <si>
    <t>Loss time change grade</t>
  </si>
  <si>
    <t>CANFOR</t>
  </si>
  <si>
    <t>LBKP TEL PELITA</t>
  </si>
  <si>
    <t>PM 12</t>
  </si>
  <si>
    <t>PM 16</t>
  </si>
  <si>
    <t>PHP (ton)</t>
  </si>
  <si>
    <t>STEAM/Ton FG</t>
  </si>
  <si>
    <t>ELECTRIC/ton FG</t>
  </si>
  <si>
    <t>STEAM /ton FG</t>
  </si>
  <si>
    <t>ELECTRIC /ton FG</t>
  </si>
  <si>
    <t>Today</t>
  </si>
  <si>
    <t>Todate</t>
  </si>
  <si>
    <t>November</t>
  </si>
  <si>
    <t>Oktober</t>
  </si>
  <si>
    <t>Juli</t>
  </si>
  <si>
    <t>Juni</t>
  </si>
  <si>
    <t>Mei</t>
  </si>
  <si>
    <t>April</t>
  </si>
  <si>
    <t>Maret</t>
  </si>
  <si>
    <t>Februari</t>
  </si>
  <si>
    <t>Januari</t>
  </si>
  <si>
    <t>Kehilangan Effisiensi PM 11 terdiri dari:</t>
  </si>
  <si>
    <t>MG</t>
  </si>
  <si>
    <t>awal bulan produksi MG mengikuti real speed karea usia felt sudah 7minggu</t>
  </si>
  <si>
    <t>CAKRAWALA</t>
  </si>
  <si>
    <t/>
  </si>
  <si>
    <t>NB : info pak hartono untuk napkin + towel speed 1600mpm, gsm tinggi 92ton(&gt;17)</t>
  </si>
  <si>
    <t>change Grade</t>
  </si>
  <si>
    <t>PM 11 Summary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</si>
  <si>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</si>
  <si>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</si>
  <si>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</si>
  <si>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</si>
  <si>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</si>
  <si>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</si>
  <si>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</si>
  <si>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</si>
  <si>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</si>
  <si>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</si>
  <si>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</si>
  <si>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</si>
  <si>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</si>
  <si>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</si>
  <si>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</si>
  <si>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</si>
  <si>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</si>
  <si>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</si>
  <si>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</si>
  <si>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Change Spool</t>
  </si>
  <si>
    <t>Sheet Breaks</t>
  </si>
  <si>
    <t>Hole</t>
  </si>
  <si>
    <t>Maintenance</t>
  </si>
  <si>
    <t>Down Time EID</t>
  </si>
  <si>
    <t>Down Time Mekanik</t>
  </si>
  <si>
    <t>Loss Time EID</t>
  </si>
  <si>
    <t>Loss Time Mekanik</t>
  </si>
  <si>
    <t>Scheduled Shut Down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</si>
  <si>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</si>
  <si>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</si>
  <si>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</si>
  <si>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</si>
  <si>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</si>
  <si>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</si>
  <si>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</si>
  <si>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</si>
  <si>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</si>
  <si>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LT/DT Percentage</t>
  </si>
  <si>
    <t>Total LT/DT (ton)</t>
  </si>
  <si>
    <t>- Sheet Breaks (0x)</t>
  </si>
  <si>
    <t>Tonase</t>
  </si>
  <si>
    <t>Prosentase</t>
  </si>
  <si>
    <t>Total Prosentase</t>
  </si>
  <si>
    <t>Baklog</t>
  </si>
  <si>
    <t>Sisa spool popereel</t>
  </si>
  <si>
    <t xml:space="preserve">Sisa Spool seset </t>
  </si>
  <si>
    <t>Sisa Spool rewinder</t>
  </si>
  <si>
    <t>Pending</t>
  </si>
  <si>
    <t>Ngelokor</t>
  </si>
  <si>
    <t>Keriput</t>
  </si>
  <si>
    <t>Start up</t>
  </si>
  <si>
    <t>Potongan jelek</t>
  </si>
  <si>
    <t>Trim</t>
  </si>
  <si>
    <t>Warisan</t>
  </si>
  <si>
    <t>Kertas sobek pinggir</t>
  </si>
  <si>
    <t>Joint</t>
  </si>
  <si>
    <t>Dirt</t>
  </si>
  <si>
    <t>Formasi jelek</t>
  </si>
  <si>
    <t>MDT &lt; std</t>
  </si>
  <si>
    <t>Lembab</t>
  </si>
  <si>
    <t>Seset Change Grade</t>
  </si>
  <si>
    <t>Diameter &lt; std</t>
  </si>
  <si>
    <t>soping</t>
  </si>
  <si>
    <t>Bw &lt; std</t>
  </si>
  <si>
    <t>Lebar kertas kurang</t>
  </si>
  <si>
    <t>Cap garis doctor</t>
  </si>
  <si>
    <t>White spot</t>
  </si>
  <si>
    <t>Thickness &lt; std</t>
  </si>
  <si>
    <t>Bulky &lt; std</t>
  </si>
  <si>
    <t>Bw &gt; std</t>
  </si>
  <si>
    <t>Kertas melipat</t>
  </si>
  <si>
    <t>warna kehijauan</t>
  </si>
  <si>
    <t>UNKNOWN</t>
  </si>
  <si>
    <t>Gripis</t>
  </si>
  <si>
    <t>TOTALIZER</t>
  </si>
  <si>
    <t>SUZANO</t>
  </si>
  <si>
    <t>PM 14</t>
  </si>
  <si>
    <t>PM 15</t>
  </si>
  <si>
    <t>PM 17</t>
  </si>
  <si>
    <t>STEAM/ton FG</t>
  </si>
  <si>
    <t>STEAM DIP/ton FG</t>
  </si>
  <si>
    <t>ELECTRIC DIP/ton FG</t>
  </si>
  <si>
    <t>GAS /ton FG</t>
  </si>
  <si>
    <t>STEAM DIP /ton FG</t>
  </si>
  <si>
    <t>ELECTRIC DIP /ton FG</t>
  </si>
  <si>
    <t>Desember</t>
  </si>
  <si>
    <t>PULP AND BROKE DAILY REPORT 11</t>
  </si>
  <si>
    <t>CHEMICAL DAILY REPORT PM 11</t>
  </si>
  <si>
    <t>SINERGY</t>
  </si>
  <si>
    <t>Loss time</t>
  </si>
  <si>
    <t>Down Time</t>
  </si>
  <si>
    <t>Backlog</t>
  </si>
  <si>
    <t>Loss Time Marketing</t>
  </si>
  <si>
    <t>Hood</t>
  </si>
  <si>
    <t>Yankee</t>
  </si>
  <si>
    <t>NBKP SCA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</si>
  <si>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</si>
  <si>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</si>
  <si>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</si>
  <si>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</si>
  <si>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</si>
  <si>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</si>
  <si>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</si>
  <si>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</si>
  <si>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</si>
  <si>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</si>
  <si>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</si>
  <si>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</si>
  <si>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</si>
  <si>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</si>
  <si>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</si>
  <si>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</si>
  <si>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</si>
  <si>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</si>
  <si>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</si>
  <si>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</si>
  <si>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</si>
  <si>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</si>
  <si>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</si>
  <si>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</si>
  <si>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</si>
  <si>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</si>
  <si>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</si>
  <si>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</si>
  <si>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</si>
  <si>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</si>
  <si>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</si>
  <si>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</si>
  <si>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</si>
  <si>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</si>
  <si>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</si>
  <si>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</si>
  <si>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</si>
  <si>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900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</si>
  <si>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</si>
  <si>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</si>
  <si>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</si>
  <si>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</si>
  <si>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</si>
  <si>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</si>
  <si>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</si>
  <si>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</si>
  <si>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</si>
  <si>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</si>
  <si>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</si>
  <si>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</si>
  <si>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</si>
  <si>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</si>
  <si>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</si>
  <si>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</si>
  <si>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</si>
  <si>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</si>
  <si>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</si>
  <si>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</si>
  <si>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</si>
  <si>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</si>
  <si>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</si>
  <si>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</si>
  <si>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</si>
  <si>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</si>
  <si>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</si>
  <si>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</si>
  <si>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</si>
  <si>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PM 11 Running Time</t>
  </si>
  <si>
    <t>Down Time PLN</t>
  </si>
  <si>
    <t>Eff Avaliable</t>
  </si>
  <si>
    <t>Eff Running</t>
  </si>
  <si>
    <t xml:space="preserve">Kapasitas Running (ton) </t>
  </si>
  <si>
    <t>Eff FG vs Target  Running(%)</t>
  </si>
  <si>
    <t>Off White</t>
  </si>
  <si>
    <t>133*2</t>
  </si>
  <si>
    <t>EBKP NAVIA/ENCE</t>
  </si>
  <si>
    <t>Seset Spol Getar &amp; Astor</t>
  </si>
  <si>
    <t>NBKP Catalyst/Crafton</t>
  </si>
  <si>
    <t>Steam, &amp; gangguan sinergy (X)</t>
  </si>
  <si>
    <t>Freq, Trip PLN (X)</t>
  </si>
  <si>
    <t>Cleaning Holes (X)</t>
  </si>
  <si>
    <t>Per hari</t>
  </si>
  <si>
    <t>NBKP METSA</t>
  </si>
  <si>
    <t>Blowing</t>
  </si>
  <si>
    <t>.06.24</t>
  </si>
  <si>
    <t>0</t>
  </si>
  <si>
    <t>- Change Spool (10x)</t>
  </si>
  <si>
    <t>Vaccum Turbo</t>
  </si>
  <si>
    <t>CRESSBROOKE</t>
  </si>
  <si>
    <t>Agustus</t>
  </si>
  <si>
    <t>September</t>
  </si>
  <si>
    <t>SS</t>
  </si>
  <si>
    <t>PHP PM</t>
  </si>
  <si>
    <t xml:space="preserve">PM11 Efficiency Running Report </t>
  </si>
  <si>
    <t>Electric WPL /ton FG</t>
  </si>
  <si>
    <t>ELECTRIC WPL /ton FG</t>
  </si>
  <si>
    <t>- Awal Shift PM stop revisi</t>
  </si>
  <si>
    <t>Planned Shut</t>
  </si>
  <si>
    <t>Job revisi
* Cleaning area felt wire
* Pasang sleeve
* Cleaning hood</t>
  </si>
  <si>
    <t>* Cleaning magnet trap pulper
* Ganti pisau tickling reviner</t>
  </si>
  <si>
    <t>* Cleaning silo
* Cleaning couch pit</t>
  </si>
  <si>
    <t># cleaning nbkp dump
# cleaning nbkp storage</t>
  </si>
  <si>
    <t># cleaning broke storage 
# cleaning mixing chest</t>
  </si>
  <si>
    <t># cleaning machine chest
# cleaning krofta</t>
  </si>
  <si>
    <t># cleaning ww
# cleaning cw
# cleaning hood</t>
  </si>
  <si>
    <t>- Awal shift pm stop revisi ganti felt dan sleeve</t>
  </si>
  <si>
    <t># 23.00 Buka Header
# 23.30 Pre Compect Felt</t>
  </si>
  <si>
    <t># 01.20 Kertas Muncul Hole Acak &amp; PM Turun Speed 1160 / 24 %</t>
  </si>
  <si>
    <t># 02.10 Hole Acak Mulai Berkurang &amp; Kertas Acc Qc</t>
  </si>
  <si>
    <t># 00.30 Pre Compact Felt Selesai &amp; PM Langsung Jalan 
# 01.10 On Reel F 13.5 Speed 1200/-24%</t>
  </si>
  <si>
    <t>1161/882</t>
  </si>
  <si>
    <t>- Change Spool (7x)</t>
  </si>
  <si>
    <t>- Change Blade (0x)</t>
  </si>
  <si>
    <t>- Sheet Breaks (4x)</t>
  </si>
  <si>
    <t>- Change Spool (0x)</t>
  </si>
  <si>
    <t>Angga Permana</t>
  </si>
  <si>
    <t>Slamet Ariadi</t>
  </si>
  <si>
    <t>Iir Endra</t>
  </si>
  <si>
    <t>13,5</t>
  </si>
  <si>
    <t>PM stop revisi ganti felt dan sleeve</t>
  </si>
  <si>
    <t>AGUSTUS</t>
  </si>
  <si>
    <t>BROKE</t>
  </si>
  <si>
    <t>EBKP GHN/CAKRAWALA</t>
  </si>
  <si>
    <t>F 13,5 VP OW</t>
  </si>
  <si>
    <t>SODIUM HYPOCHLORID</t>
  </si>
  <si>
    <t>CHEMZYME CL</t>
  </si>
  <si>
    <t>- Awal shift Prod F 13.5 Speed 1200/-24%</t>
  </si>
  <si>
    <t>- Speed PM belum maksimal felt baru..naik bertahap.</t>
  </si>
  <si>
    <t>- 14.15 lock spoll clamp eror tidak bisa open perbaikan eid.</t>
  </si>
  <si>
    <t>- 14.30 ok</t>
  </si>
  <si>
    <t>- Speed masih belum maksimal, felt baru</t>
  </si>
  <si>
    <t>- 16.17 pipa oil lepas lagi, pm sirkulasi ke utm
- 16.37 mekanik selesai pasang pipa oil, pm on reel</t>
  </si>
  <si>
    <t>- 15.46 pm sirkulasi ke utm, mekanik ganti pipa oil secondary arm yg bocor</t>
  </si>
  <si>
    <t>- 16.05 mekanik selesai pasang pipa oil, pm on reel</t>
  </si>
  <si>
    <t>- Speed PM belum maksimal Felt Masih Baru &amp; Speed Naik Bertahap rawan hole felt ( banyak spot hitam)</t>
  </si>
  <si>
    <t xml:space="preserve">- Speed PM blm target felt baru/rawan hole. </t>
  </si>
  <si>
    <t>- Speed Up bertahap sambil pantau kertas/Jumbo.</t>
  </si>
  <si>
    <t>- Speed masih belum maksimal, felt baru, speed naik bertahap</t>
  </si>
  <si>
    <t>- awal shift formasi jelek setting sudut headbox</t>
  </si>
  <si>
    <t xml:space="preserve">- Speed PM belum maksimal Felt Masih Baru &amp; Speed Naik Bertahap rawan hole felt </t>
  </si>
  <si>
    <t>- Kertas Sering muncul soping</t>
  </si>
  <si>
    <t>1200/912</t>
  </si>
  <si>
    <t>- Awal shift Prod F 13.5 Speed 1170/-24%</t>
  </si>
  <si>
    <t>- Awal shift Prod F 13.5 Speed 1300/-24%</t>
  </si>
  <si>
    <t>- Awal shift Prod F 13.5 Speed 1320/-24%</t>
  </si>
  <si>
    <t>LT</t>
  </si>
  <si>
    <t>1263/960</t>
  </si>
  <si>
    <t>- Change Blade (3x)</t>
  </si>
  <si>
    <t>- Change Blade (6x)</t>
  </si>
  <si>
    <t>- Change Blade (5x)</t>
  </si>
  <si>
    <t>- Sheet Breaks (5x)</t>
  </si>
  <si>
    <t>Dicky F</t>
  </si>
  <si>
    <t>1460/1109</t>
  </si>
  <si>
    <t>- Awal shift Prod F 13.5 Speed 1460/-24%</t>
  </si>
  <si>
    <t>- Awal shift Prod F 13.5 Speed 1520/-24%</t>
  </si>
  <si>
    <t>- 03.00 Change Grade F 13 speed 1600/-24%</t>
  </si>
  <si>
    <t>1560/1185</t>
  </si>
  <si>
    <t>- Change Blade (7x)</t>
  </si>
  <si>
    <t>- Sheet Breaks (3x)</t>
  </si>
  <si>
    <t>- Change Spool (9x)</t>
  </si>
  <si>
    <t>- Sheet Breaks (6x)</t>
  </si>
  <si>
    <t>F 13 VP OW</t>
  </si>
  <si>
    <t>- Sheet Breaks (9x)</t>
  </si>
  <si>
    <t>- Change Blade (21x)</t>
  </si>
  <si>
    <t>- Change Spool (29x)</t>
  </si>
  <si>
    <t>- Change Blade (14x)</t>
  </si>
  <si>
    <t>- Change Spool (24x)</t>
  </si>
  <si>
    <t>Lock spoll clamp eror tidak bisa open perbaikan eid.</t>
  </si>
  <si>
    <t>PM sirkulasi ke utm, mekanik ganti pipa oil secondary arm yg bocor</t>
  </si>
  <si>
    <t>Angga Pemana</t>
  </si>
  <si>
    <t>F 13,5</t>
  </si>
  <si>
    <t>F 13</t>
  </si>
  <si>
    <t>140+60*2</t>
  </si>
  <si>
    <t>1170/889</t>
  </si>
  <si>
    <t>1300/988</t>
  </si>
  <si>
    <t>1320/1003</t>
  </si>
  <si>
    <t>- Awal shift Prod F 13 speed 1600/-24%</t>
  </si>
  <si>
    <t>- jumbo turunan awal shift ada hole dan blowing</t>
  </si>
  <si>
    <t>- Speed PM blm target felt baru/rawan hole+blowing.</t>
  </si>
  <si>
    <t>- Speed PM belum maksimal Felt Masih Baru &amp; Speed Naik Bertahap rawan hole felt</t>
  </si>
  <si>
    <t>- 12:00 pm turun speed 1520 mpm dan cleaning spr, blowing dan hole hilang</t>
  </si>
  <si>
    <t>1570/1193</t>
  </si>
  <si>
    <t>- Awal shift Prod F 13 speed 1570/-24%</t>
  </si>
  <si>
    <t>- Awal shift Prod F 13 speed 1560/-24%</t>
  </si>
  <si>
    <t>1566/1190</t>
  </si>
  <si>
    <t>- Change Blade (8x)</t>
  </si>
  <si>
    <t>- Change Spool (12x)</t>
  </si>
  <si>
    <t>- Change Blade (1x)</t>
  </si>
  <si>
    <t>- Sheet Breaks (2x)</t>
  </si>
  <si>
    <t>- Sheet Breaks (13x)</t>
  </si>
  <si>
    <t>- Change Spool (32x)</t>
  </si>
  <si>
    <t>13,5/13</t>
  </si>
  <si>
    <t>13</t>
  </si>
  <si>
    <t>140+129</t>
  </si>
  <si>
    <t>LBKP RAPP/ACACIA</t>
  </si>
  <si>
    <t>- Awal shift Prod F13 Speed 1630/-24%</t>
  </si>
  <si>
    <t>- 04.31 Change ke MG 16.5 speed 1245/-0.35%</t>
  </si>
  <si>
    <t>- 16.00 Change ke MG 17 Gsm HW speed 1210/-0,35%</t>
  </si>
  <si>
    <t>- Awal shift Prod MG 17 Gsm HW speed 1210/-0,35%</t>
  </si>
  <si>
    <t>- Awal shift Prod F13 Speed 1570/-24%</t>
  </si>
  <si>
    <t>1262/959</t>
  </si>
  <si>
    <t>1246/947</t>
  </si>
  <si>
    <t>MG 17</t>
  </si>
  <si>
    <t>1359/1033</t>
  </si>
  <si>
    <t>- Change Spool (11x)</t>
  </si>
  <si>
    <t>- Change Spool (8x)</t>
  </si>
  <si>
    <t>- Change Spool (27x)</t>
  </si>
  <si>
    <t>- Change Grade</t>
  </si>
  <si>
    <t>13/17/16,5</t>
  </si>
  <si>
    <t>MG 17 VP OW</t>
  </si>
  <si>
    <t>60*3</t>
  </si>
  <si>
    <t>91*2+76+14</t>
  </si>
  <si>
    <t>53*2+79*2</t>
  </si>
  <si>
    <t>MG 16,5</t>
  </si>
  <si>
    <t>42*5+61</t>
  </si>
  <si>
    <t>MG 16,5 VP OW</t>
  </si>
  <si>
    <t>- Awal shift Prod MG 16,5 Gsm HW speed 1260/-0.35%</t>
  </si>
  <si>
    <t>1260/1255</t>
  </si>
  <si>
    <t>MG 16,5 VP HW</t>
  </si>
  <si>
    <t>16,5</t>
  </si>
  <si>
    <t>42*2+61+72+51</t>
  </si>
  <si>
    <t>42*2+61*2+60</t>
  </si>
  <si>
    <t>- 13.20 Change ke MG 14 Gsm Hw Speed 1340 Mpm/-0 35 %</t>
  </si>
  <si>
    <t>- 10.25 Change Spool manual pakai crane</t>
  </si>
  <si>
    <t>- 08.45 PM trip semua sistem DCS OFF, info Eid CPU di PLC Error
- 09.35 PM persiapan jln
- 10.30 Kertas ON Reel</t>
  </si>
  <si>
    <t>DT</t>
  </si>
  <si>
    <t>- Awal Shift PM Prod MG.14 Gsm Hw speed 1340/-0.35%</t>
  </si>
  <si>
    <t>- Change Spool manual pakai crane</t>
  </si>
  <si>
    <t>1281/1276</t>
  </si>
  <si>
    <t>1340/1335</t>
  </si>
  <si>
    <t>1320/1315</t>
  </si>
  <si>
    <t>MG 14 VP HW</t>
  </si>
  <si>
    <t>High White</t>
  </si>
  <si>
    <t>- Change Blade (2x)</t>
  </si>
  <si>
    <t>- Change Spool (23x)</t>
  </si>
  <si>
    <t>- 08.45 PM trip semua sistem DCS OFF, info Eid CPU di PLC Error</t>
  </si>
  <si>
    <t>PM trip semua sistem DCS OFF, info Eid CPU di PLC Error</t>
  </si>
  <si>
    <t>MG 14</t>
  </si>
  <si>
    <t>42*2+61*3</t>
  </si>
  <si>
    <t>Facial/MG</t>
  </si>
  <si>
    <t>16/14</t>
  </si>
  <si>
    <t>- Awal Shift PM MG 14 HW, Speed 1340 / -0.35 %
Speed Awal 1340 / - 0.35 %</t>
  </si>
  <si>
    <t xml:space="preserve"> Awal Sampai Akhir Shift Change Spool Pakai Crane Manual</t>
  </si>
  <si>
    <t>- Awal Shift PM Prod MG 14 HW, Speed 1340 / -0.35 %
Speed Awal 1340 / - 0.35 %</t>
  </si>
  <si>
    <t>1340/1335,31</t>
  </si>
  <si>
    <t>14</t>
  </si>
  <si>
    <t>- Sheet Breaks (7x)</t>
  </si>
  <si>
    <t>- Change Spool (22x)</t>
  </si>
  <si>
    <t>Iir E</t>
  </si>
  <si>
    <t>Angga P</t>
  </si>
  <si>
    <t>- Awal Shift PM MG 17 HW, Speed 1260 / - 0.35 %
Speed Awal 1260 / - 0.35 %
Speed Akhir 1260 / - 0.35 %</t>
  </si>
  <si>
    <t>- Awal Shift PM MG17HW
Speed awal : 1260/-0.35%</t>
  </si>
  <si>
    <t>- Awal Shift PM  MG17HW speed 1260/-0.35%
Speed awal : 1260/-0.35%</t>
  </si>
  <si>
    <t>- Awal Shift PM MG 17 HW, Speed 1240 / - 0.35 %
Speed Awal 1240 / - 0.35 %</t>
  </si>
  <si>
    <t>- Awal Shift PM MG 14 HW, Speed 1340 / -0.35 %
20.30 Change Grade MG 17 HW, Speed 1240 / - 0.35 %
Speed Awal 1340 / - 0.35 %</t>
  </si>
  <si>
    <t>- Awal Shift PM  MG14HW
Speed awal : 1340/-0.35%</t>
  </si>
  <si>
    <t>1308,75/1304,17</t>
  </si>
  <si>
    <t>1240/1235,66</t>
  </si>
  <si>
    <t>1296,25/1291,71</t>
  </si>
  <si>
    <t>1260/1255,59</t>
  </si>
  <si>
    <t>14/17</t>
  </si>
  <si>
    <t>17</t>
  </si>
  <si>
    <t>- Change Spool (25x)</t>
  </si>
  <si>
    <t>130*2</t>
  </si>
  <si>
    <t>42*2+62*3</t>
  </si>
  <si>
    <t>MG 17 NP HW</t>
  </si>
  <si>
    <t>MG 17 VP HW</t>
  </si>
  <si>
    <t>MG  17 VP HW</t>
  </si>
  <si>
    <t>- 08.19 change MG17OW Speed 1260/-0.35%</t>
  </si>
  <si>
    <t>- Change Spool masih manual pakai crane</t>
  </si>
  <si>
    <t>- Awal Sampai Akhir Shift Change Spool Pakai Crane Manual</t>
  </si>
  <si>
    <t xml:space="preserve">- PM Tidak Lancar Kertas Putus Sebelah DS, Change Grade MG 17 HW Terkendala Jatah Join  </t>
  </si>
  <si>
    <t>- Awal Shift  salah komunikasi stock prep masalah warna</t>
  </si>
  <si>
    <t>- Awal Shift PM MG.16,5 Gsm Hw Speed 1260 Mpm/-0,35%</t>
  </si>
  <si>
    <t>- Awal-akhir shift change spool manual pakai crane</t>
  </si>
  <si>
    <t>- Loading Arm spool masih blm bisa.</t>
  </si>
  <si>
    <t>- 09.11 change MG21OW Speed 1060/-0.35%</t>
  </si>
  <si>
    <t>- Awal Shift PM MG21OW Speed 1060/-0.35%</t>
  </si>
  <si>
    <t>- 20.30 Change Grade MG 17 HW, Speed 1260/-0.35 %</t>
  </si>
  <si>
    <t>1197/1193</t>
  </si>
  <si>
    <t>1092/1089</t>
  </si>
  <si>
    <t>1183/1179</t>
  </si>
  <si>
    <t>High White/Off White</t>
  </si>
  <si>
    <t>- Change Spool (26x)</t>
  </si>
  <si>
    <t>Change Spool manual pakai crane</t>
  </si>
  <si>
    <t>17/21/16,5</t>
  </si>
  <si>
    <t>Slamet A</t>
  </si>
  <si>
    <t>MG 21 VP OW</t>
  </si>
  <si>
    <t>60*4+22</t>
  </si>
  <si>
    <t>MG 21</t>
  </si>
  <si>
    <t>271*1</t>
  </si>
  <si>
    <t>90*3</t>
  </si>
  <si>
    <t>51*2+60+61+42</t>
  </si>
  <si>
    <t>Awal shift change spool masih pakai crane
12.28 loading arm ok/change spool auto</t>
  </si>
  <si>
    <t>- Awal Shift PM MG21OW speed 1010/-0.35%</t>
  </si>
  <si>
    <t>- 08.53 change MG21OW speed 1030/-0.35%</t>
  </si>
  <si>
    <t>- 07.44 change MG17OW Speed 1260 Mpm/-0,35%</t>
  </si>
  <si>
    <t>1084/1080</t>
  </si>
  <si>
    <t>- Awal Shift PM MG21OW speed 1030/-0.35%</t>
  </si>
  <si>
    <t>1030/1026</t>
  </si>
  <si>
    <t>1010/1006</t>
  </si>
  <si>
    <t>1041/1037</t>
  </si>
  <si>
    <t>16,5/17/21</t>
  </si>
  <si>
    <t>22+60*4</t>
  </si>
  <si>
    <t>264*1</t>
  </si>
  <si>
    <t>MG 22</t>
  </si>
  <si>
    <t>MG 21,5</t>
  </si>
  <si>
    <t>92,5*2+83</t>
  </si>
  <si>
    <t>270*1</t>
  </si>
  <si>
    <t>- 11.16 change MG22HW Speed 1010/-0.35%</t>
  </si>
  <si>
    <t>- Awal Shift PM MG22HW Speed 1010/-0.35%</t>
  </si>
  <si>
    <t>- 15.15 Change Grade MG 16 Hw speed 1260/-0.35%</t>
  </si>
  <si>
    <t>- Awal Shift PM MG 16 Hw speed 1260/-0.35%</t>
  </si>
  <si>
    <t>1174/1169</t>
  </si>
  <si>
    <t>- Sheet Breaks (1x)</t>
  </si>
  <si>
    <t>MG 22 VP HW</t>
  </si>
  <si>
    <t>MG 16 VP HW</t>
  </si>
  <si>
    <t>21/22/16</t>
  </si>
  <si>
    <t>MG 16</t>
  </si>
  <si>
    <t>100*2+61</t>
  </si>
  <si>
    <t>- Awal Shift PM MG 16,5 Hw speed 1260/-0.35%</t>
  </si>
  <si>
    <t>16/16,5</t>
  </si>
  <si>
    <t>- 20.49 change grade Mg 16 Hw speed 1260/-0.35%</t>
  </si>
  <si>
    <t>Iir Endro</t>
  </si>
  <si>
    <t>16,5/16</t>
  </si>
  <si>
    <t>15+98*2+61</t>
  </si>
  <si>
    <t>- 01.00 Change ke MG.17 Gsm Hw Speed 1260 Mpm/-0,35%</t>
  </si>
  <si>
    <t>- Awal Shift PM MG.17 Gsm Hw Speed 1260 Mpm/-0,35%</t>
  </si>
  <si>
    <t>- 17.37 change grade MG 16.5 Hw speed 1260/-0.35</t>
  </si>
  <si>
    <t>- 20.05 change grade Mg 17 Ow speed 1260/-0,35%</t>
  </si>
  <si>
    <t>- Awal Shift PM prod F 10.3 speed 1680/-16%</t>
  </si>
  <si>
    <t>1311/1274</t>
  </si>
  <si>
    <t>1680/1411</t>
  </si>
  <si>
    <t>1417/1313</t>
  </si>
  <si>
    <t>- 22.01 change grade F10.3 speed 1680/-16%</t>
  </si>
  <si>
    <t>F 10,3 VP OW</t>
  </si>
  <si>
    <t>16/17</t>
  </si>
  <si>
    <t>17/16,5/10,3</t>
  </si>
  <si>
    <t>MG/Facial</t>
  </si>
  <si>
    <t>19+93+81+79</t>
  </si>
  <si>
    <t>77*2+61+51</t>
  </si>
  <si>
    <t>79+101+88</t>
  </si>
  <si>
    <t>266*1</t>
  </si>
  <si>
    <t>F 10,3</t>
  </si>
  <si>
    <t>- Awal Shift PM prod F 10.3 speed 1730/-16%</t>
  </si>
  <si>
    <t>- Awal Shift PM prod F 10.3 speed 1720/-16%</t>
  </si>
  <si>
    <t>1720/1444</t>
  </si>
  <si>
    <t>1730/1453</t>
  </si>
  <si>
    <t>- Change Spool (6x)</t>
  </si>
  <si>
    <t>1726/1450</t>
  </si>
  <si>
    <t>- Change Blade (19x)</t>
  </si>
  <si>
    <t>- Change Spool (20x)</t>
  </si>
  <si>
    <t>10,3</t>
  </si>
  <si>
    <t>backlog</t>
  </si>
  <si>
    <t>- Med Perbaikan selang hidrolis pope rell yg bocor</t>
  </si>
  <si>
    <t>- 05.33 change F10.3 HB core12" Speed 1730/-20%</t>
  </si>
  <si>
    <t>1730/1440</t>
  </si>
  <si>
    <t>1730/1449</t>
  </si>
  <si>
    <t>- Change Blade (9x)</t>
  </si>
  <si>
    <t>Dicky Fahrizal</t>
  </si>
  <si>
    <t>- Change Blade (23x)</t>
  </si>
  <si>
    <t>- Awal Shift PM prod F10.3 HB core12" Speed 1730/-20%</t>
  </si>
  <si>
    <t>- PM Kurang lancar, saat change spoil susah nyambung, secendary sebelah FS getar</t>
  </si>
  <si>
    <t>- Awal Shift PM prod F10.3 HB core12" Speed 1710/-20%</t>
  </si>
  <si>
    <t>1730/1384</t>
  </si>
  <si>
    <t>1710/1368</t>
  </si>
  <si>
    <t>1716/1373</t>
  </si>
  <si>
    <t>- Sheet Breaks (10x)</t>
  </si>
  <si>
    <t>- Change Blade (18x)</t>
  </si>
  <si>
    <t>EBKP UPM KORAB/EUCA</t>
  </si>
  <si>
    <t>277*1</t>
  </si>
  <si>
    <t>- Change Spool (31x)</t>
  </si>
  <si>
    <t>08.15 kertas sirkulasi UTM selang oli secondary arm lepas perbaikan med</t>
  </si>
  <si>
    <t xml:space="preserve">08.46 ok. 
09.20 kertas putus putus seting secondary arm spool kurang mepet sebelah fs. </t>
  </si>
  <si>
    <t>11.10 Pm turun speed black line 1670/-20%
Pm naik speed perlahan.</t>
  </si>
  <si>
    <t>- Awal Shift PM prod F10.3 HB core12" Speed 1690/-20%</t>
  </si>
  <si>
    <t>- Awal Shift PM prod F10.3 HB core12" Speed 1700/-20%</t>
  </si>
  <si>
    <t>1690/1352</t>
  </si>
  <si>
    <t>1700/1360</t>
  </si>
  <si>
    <t>1693/1354</t>
  </si>
  <si>
    <t>- Sheet Breaks (8x)</t>
  </si>
  <si>
    <t>- Change Spool (33x)</t>
  </si>
  <si>
    <t>- 08.15 kertas sirkulasi UTM selang oli secondary arm lepas perbaikan med</t>
  </si>
  <si>
    <t>Kertas sirkulasi UTM selang oli secondary arm lepas perbaikan med</t>
  </si>
  <si>
    <t xml:space="preserve">- jumbo permukaan gelombang, di gulung di rew jadi melintir. </t>
  </si>
  <si>
    <t>- 05.00 ganti coating 6101 permukaan jumbo relatif lebih rata dan digulung di rew juga bagus.</t>
  </si>
  <si>
    <t>- Change Blade (4x)</t>
  </si>
  <si>
    <t>Sanitary Napkin</t>
  </si>
  <si>
    <t>- Change Blade (13x)</t>
  </si>
  <si>
    <t>- Change Spool (18x)</t>
  </si>
  <si>
    <t>10,3/13</t>
  </si>
  <si>
    <t>Facial/Sanitary Napkin</t>
  </si>
  <si>
    <t>SN 13</t>
  </si>
  <si>
    <t>15+48*4+54</t>
  </si>
  <si>
    <t>48*5+15*2</t>
  </si>
  <si>
    <t>SN 13 VP OW</t>
  </si>
  <si>
    <t>- Change Spool (5x)</t>
  </si>
  <si>
    <t>SN 14 VP OW</t>
  </si>
  <si>
    <t>- Change Spool (17x)</t>
  </si>
  <si>
    <t>13/14</t>
  </si>
  <si>
    <t>SN 14</t>
  </si>
  <si>
    <t>23+39*6</t>
  </si>
  <si>
    <t>68+48*4</t>
  </si>
  <si>
    <t>- Change Blade (15x)</t>
  </si>
  <si>
    <t>- Change Spool (19x)</t>
  </si>
  <si>
    <t>- 08.35 change grade SN 13 speed 1300/-20%</t>
  </si>
  <si>
    <t>- Awal Shift PM prod SN 13 speed 1300/-20%</t>
  </si>
  <si>
    <t>1339/1061</t>
  </si>
  <si>
    <t>1379/1103</t>
  </si>
  <si>
    <t>1300/1040</t>
  </si>
  <si>
    <t>- 00.00 Change Grade SN 14, Speed 1300/-20%</t>
  </si>
  <si>
    <t>- Awal Shift PM prod SN 14 speed 1300/-20%</t>
  </si>
  <si>
    <t>- 18:58 Change grade SN 15 speed 1300/-20%</t>
  </si>
  <si>
    <t>- Awal Shift PM prod SN 15 speed 1300/-20%</t>
  </si>
  <si>
    <t>SN 15 VP OW</t>
  </si>
  <si>
    <t>26*10</t>
  </si>
  <si>
    <t>26+60*4</t>
  </si>
  <si>
    <t>54*5</t>
  </si>
  <si>
    <t>SN 15</t>
  </si>
  <si>
    <t>26,5+27,5*3+54*3</t>
  </si>
  <si>
    <t>- Change Blade (16x)</t>
  </si>
  <si>
    <t>15</t>
  </si>
  <si>
    <t>14/15</t>
  </si>
  <si>
    <t>26,5*6+27,5*4</t>
  </si>
  <si>
    <t>27,5+26,5*2+23,5*8</t>
  </si>
  <si>
    <t>- 16,28 change grade SN 16 Speed 1300/-20%</t>
  </si>
  <si>
    <t>- 19.21 change grade F 12,5 Speed 1650/-24%</t>
  </si>
  <si>
    <t>1459/1137</t>
  </si>
  <si>
    <t>1650/1254</t>
  </si>
  <si>
    <t>- Awal Shift PM prod F12.5 Speed 1650/-24%</t>
  </si>
  <si>
    <t>1469/1143</t>
  </si>
  <si>
    <t>- Change Spool (21x)</t>
  </si>
  <si>
    <t>15/16/12,5</t>
  </si>
  <si>
    <t>Sanitary Napkin/Facial</t>
  </si>
  <si>
    <t>28*8+23*2</t>
  </si>
  <si>
    <t>54*3+27,5*3+26,5</t>
  </si>
  <si>
    <t>SN 16</t>
  </si>
  <si>
    <t>F 12,5</t>
  </si>
  <si>
    <t>120+140</t>
  </si>
  <si>
    <t>18*15</t>
  </si>
  <si>
    <t>F 12,5 VP OW</t>
  </si>
  <si>
    <t>SN 16 VP OW</t>
  </si>
  <si>
    <t>- 00.30 Change grade F 10.3 LB speed 1650/-16%</t>
  </si>
  <si>
    <t>1650/1361</t>
  </si>
  <si>
    <t>1650/1289</t>
  </si>
  <si>
    <t>- Change Blade (12x)</t>
  </si>
  <si>
    <t>12,5/10,3</t>
  </si>
  <si>
    <t>- Awal Shift PM prod F 10.3 LB speed 1650/-16%</t>
  </si>
  <si>
    <t>- Awal Shift PM prod F 10.3 LB speed 1680/-16%</t>
  </si>
  <si>
    <t>- 23.35 Change grade F12 speed 1680/-20%</t>
  </si>
  <si>
    <t>1680/1348</t>
  </si>
  <si>
    <t>1680/1390</t>
  </si>
  <si>
    <t>F 12 VP OW</t>
  </si>
  <si>
    <t>- Awal Shift PM prod F 10.3 LB speed 1681/-16%</t>
  </si>
  <si>
    <t>1650/1386</t>
  </si>
  <si>
    <t>1681/1412</t>
  </si>
  <si>
    <t>1670/1403</t>
  </si>
  <si>
    <t>10,3/12</t>
  </si>
  <si>
    <t>F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</si>
</sst>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#,##0.000"/>
    <numFmt numFmtId="171" formatCode="_(* #,##0.0_);_(* \(#,##0.0\);_(* &quot;-&quot;??_);_(@_)"/>
    <numFmt numFmtId="172" formatCode="[$-409]d\-mmm\-yy;@"/>
    <numFmt numFmtId="173" formatCode="_(* #,##0.000_);_(* \(#,##0.000\);_(* &quot;-&quot;??_);_(@_)"/>
    <numFmt numFmtId="174" formatCode="#,##0.000_);\(#,##0.000\)"/>
    <numFmt numFmtId="175" formatCode="0.0"/>
    <numFmt numFmtId="176" formatCode="0.000"/>
    <numFmt numFmtId="177" formatCode="0_);[Red]\(0\)"/>
    <numFmt numFmtId="178" formatCode="_(* #,##0.00_);_(* \(#,##0.00\);_(* &quot;-&quot;_);_(@_)"/>
    <numFmt numFmtId="179" formatCode="_(* #,##0.0_);_(* \(#,##0.0\);_(* &quot;-&quot;_);_(@_)"/>
    <numFmt numFmtId="180" formatCode="[$-409]mmm\-yy;@"/>
    <numFmt numFmtId="181" formatCode="_(* #,##0.000_);_(* \(#,##0.000\);_(* &quot;-&quot;_);_(@_)"/>
    <numFmt numFmtId="182" formatCode="_-* #,##0.000_-;\-* #,##0.000_-;_-* &quot;-&quot;???_-;_-@_-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10"/>
      <color rgb="FFFF0000"/>
      <name val="Arial"/>
      <family val="2"/>
    </font>
    <font>
      <sz val="9"/>
      <color indexed="81"/>
      <name val="Tahoma"/>
    </font>
    <font>
      <b/>
      <sz val="9"/>
      <color indexed="81"/>
      <name val="Tahoma"/>
    </font>
  </fonts>
  <fills count="5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C8E98"/>
        <bgColor indexed="64"/>
      </patternFill>
    </fill>
    <fill>
      <patternFill patternType="solid">
        <fgColor rgb="FF8C91FE"/>
        <bgColor indexed="64"/>
      </patternFill>
    </fill>
    <fill>
      <patternFill patternType="solid">
        <fgColor rgb="FFC9EE9C"/>
        <bgColor indexed="64"/>
      </patternFill>
    </fill>
    <fill>
      <patternFill patternType="solid">
        <fgColor rgb="FFEAA0C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ABF8F"/>
        <bgColor indexed="64"/>
      </patternFill>
    </fill>
  </fills>
  <borders count="10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6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9" fillId="3" borderId="0" applyNumberFormat="0" applyBorder="0" applyAlignment="0" applyProtection="0"/>
    <xf numFmtId="0" fontId="12" fillId="20" borderId="1" applyNumberFormat="0" applyAlignment="0" applyProtection="0"/>
    <xf numFmtId="0" fontId="17" fillId="21" borderId="2" applyNumberFormat="0" applyAlignment="0" applyProtection="0"/>
    <xf numFmtId="165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165" fontId="5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8" fillId="0" borderId="6" applyNumberFormat="0" applyFill="0" applyAlignment="0" applyProtection="0"/>
    <xf numFmtId="0" fontId="3" fillId="22" borderId="0" applyNumberFormat="0" applyBorder="0" applyAlignment="0" applyProtection="0"/>
    <xf numFmtId="0" fontId="48" fillId="0" borderId="0"/>
    <xf numFmtId="0" fontId="4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23" borderId="7" applyNumberFormat="0" applyFont="0" applyAlignment="0" applyProtection="0"/>
    <xf numFmtId="0" fontId="13" fillId="20" borderId="8" applyNumberFormat="0" applyAlignment="0" applyProtection="0"/>
    <xf numFmtId="9" fontId="45" fillId="0" borderId="0" applyFont="0" applyFill="0" applyBorder="0" applyAlignment="0" applyProtection="0"/>
    <xf numFmtId="9" fontId="5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7" fillId="0" borderId="0" applyNumberFormat="0" applyFill="0" applyBorder="0" applyAlignment="0" applyProtection="0"/>
    <xf numFmtId="0" fontId="45" fillId="0" borderId="0"/>
    <xf numFmtId="0" fontId="45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028">
    <xf numFmtId="0" fontId="0" fillId="0" borderId="0" xfId="0"/>
    <xf numFmtId="0" fontId="0" fillId="0" borderId="0" xfId="0" applyAlignment="1">
      <alignment horizontal="center"/>
    </xf>
    <xf numFmtId="0" fontId="28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8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8" fillId="0" borderId="18" xfId="0" applyFont="1" applyBorder="1"/>
    <xf numFmtId="165" fontId="28" fillId="0" borderId="18" xfId="28" applyFont="1" applyBorder="1"/>
    <xf numFmtId="165" fontId="0" fillId="0" borderId="0" xfId="0" applyNumberFormat="1"/>
    <xf numFmtId="170" fontId="0" fillId="0" borderId="11" xfId="0" applyNumberFormat="1" applyBorder="1"/>
    <xf numFmtId="2" fontId="0" fillId="0" borderId="11" xfId="28" applyNumberFormat="1" applyFont="1" applyBorder="1"/>
    <xf numFmtId="16" fontId="0" fillId="0" borderId="11" xfId="0" applyNumberFormat="1" applyBorder="1"/>
    <xf numFmtId="2" fontId="28" fillId="0" borderId="11" xfId="0" applyNumberFormat="1" applyFont="1" applyBorder="1"/>
    <xf numFmtId="165" fontId="28" fillId="0" borderId="0" xfId="0" applyNumberFormat="1" applyFont="1"/>
    <xf numFmtId="165" fontId="28" fillId="0" borderId="18" xfId="28" applyFont="1" applyFill="1" applyBorder="1"/>
    <xf numFmtId="0" fontId="28" fillId="0" borderId="0" xfId="0" applyFont="1"/>
    <xf numFmtId="0" fontId="28" fillId="0" borderId="18" xfId="28" applyNumberFormat="1" applyFont="1" applyBorder="1"/>
    <xf numFmtId="0" fontId="27" fillId="24" borderId="11" xfId="0" quotePrefix="1" applyFont="1" applyFill="1" applyBorder="1"/>
    <xf numFmtId="0" fontId="41" fillId="0" borderId="0" xfId="0" applyFont="1"/>
    <xf numFmtId="0" fontId="42" fillId="0" borderId="0" xfId="0" applyFont="1" applyAlignment="1">
      <alignment horizontal="center" vertical="center" wrapText="1"/>
    </xf>
    <xf numFmtId="164" fontId="42" fillId="0" borderId="0" xfId="29" applyFont="1" applyFill="1" applyBorder="1" applyAlignment="1">
      <alignment horizontal="center" vertical="center" wrapText="1"/>
    </xf>
    <xf numFmtId="177" fontId="42" fillId="0" borderId="0" xfId="0" applyNumberFormat="1" applyFont="1" applyAlignment="1">
      <alignment horizontal="center" vertical="center" wrapText="1"/>
    </xf>
    <xf numFmtId="178" fontId="42" fillId="0" borderId="0" xfId="29" applyNumberFormat="1" applyFont="1" applyFill="1" applyBorder="1" applyAlignment="1">
      <alignment horizontal="center" vertical="center" wrapText="1"/>
    </xf>
    <xf numFmtId="166" fontId="42" fillId="0" borderId="0" xfId="51" applyNumberFormat="1" applyFont="1" applyFill="1" applyBorder="1" applyAlignment="1">
      <alignment horizontal="center" vertical="center" wrapText="1"/>
    </xf>
    <xf numFmtId="0" fontId="43" fillId="0" borderId="0" xfId="0" applyFont="1"/>
    <xf numFmtId="0" fontId="43" fillId="0" borderId="14" xfId="0" applyFont="1" applyBorder="1" applyAlignment="1">
      <alignment horizontal="center" vertical="center" wrapText="1"/>
    </xf>
    <xf numFmtId="164" fontId="43" fillId="0" borderId="14" xfId="29" applyFont="1" applyFill="1" applyBorder="1" applyAlignment="1">
      <alignment horizontal="center" vertical="center" wrapText="1"/>
    </xf>
    <xf numFmtId="178" fontId="42" fillId="0" borderId="11" xfId="29" applyNumberFormat="1" applyFont="1" applyFill="1" applyBorder="1" applyAlignment="1">
      <alignment horizontal="center"/>
    </xf>
    <xf numFmtId="0" fontId="42" fillId="0" borderId="0" xfId="0" applyFont="1"/>
    <xf numFmtId="0" fontId="43" fillId="25" borderId="14" xfId="0" applyFont="1" applyFill="1" applyBorder="1" applyAlignment="1">
      <alignment horizontal="center" vertical="center" wrapText="1"/>
    </xf>
    <xf numFmtId="177" fontId="43" fillId="0" borderId="14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2" fillId="0" borderId="11" xfId="0" applyFont="1" applyBorder="1"/>
    <xf numFmtId="164" fontId="42" fillId="0" borderId="11" xfId="29" applyFont="1" applyFill="1" applyBorder="1" applyAlignment="1">
      <alignment vertical="center"/>
    </xf>
    <xf numFmtId="177" fontId="42" fillId="0" borderId="11" xfId="0" applyNumberFormat="1" applyFont="1" applyBorder="1"/>
    <xf numFmtId="164" fontId="42" fillId="0" borderId="11" xfId="29" applyFont="1" applyFill="1" applyBorder="1" applyAlignment="1">
      <alignment horizontal="center"/>
    </xf>
    <xf numFmtId="178" fontId="42" fillId="0" borderId="11" xfId="29" applyNumberFormat="1" applyFont="1" applyFill="1" applyBorder="1" applyAlignment="1">
      <alignment vertical="center"/>
    </xf>
    <xf numFmtId="166" fontId="42" fillId="0" borderId="11" xfId="51" applyNumberFormat="1" applyFont="1" applyFill="1" applyBorder="1" applyAlignment="1">
      <alignment vertical="center"/>
    </xf>
    <xf numFmtId="0" fontId="42" fillId="0" borderId="11" xfId="0" applyFont="1" applyBorder="1" applyAlignment="1">
      <alignment wrapText="1"/>
    </xf>
    <xf numFmtId="172" fontId="39" fillId="0" borderId="11" xfId="45" applyNumberFormat="1" applyFont="1" applyBorder="1" applyAlignment="1">
      <alignment horizontal="center"/>
    </xf>
    <xf numFmtId="0" fontId="39" fillId="0" borderId="11" xfId="45" applyFont="1" applyBorder="1" applyAlignment="1">
      <alignment horizontal="center"/>
    </xf>
    <xf numFmtId="0" fontId="39" fillId="0" borderId="11" xfId="31" applyNumberFormat="1" applyFont="1" applyFill="1" applyBorder="1" applyAlignment="1">
      <alignment horizontal="center"/>
    </xf>
    <xf numFmtId="0" fontId="42" fillId="0" borderId="11" xfId="0" applyFont="1" applyBorder="1" applyAlignment="1">
      <alignment horizontal="center" vertical="center" wrapText="1"/>
    </xf>
    <xf numFmtId="9" fontId="42" fillId="0" borderId="11" xfId="0" applyNumberFormat="1" applyFont="1" applyBorder="1" applyAlignment="1">
      <alignment horizontal="center" vertical="center" wrapText="1"/>
    </xf>
    <xf numFmtId="9" fontId="42" fillId="0" borderId="11" xfId="29" applyNumberFormat="1" applyFont="1" applyFill="1" applyBorder="1" applyAlignment="1">
      <alignment vertical="center"/>
    </xf>
    <xf numFmtId="9" fontId="42" fillId="0" borderId="11" xfId="51" applyFont="1" applyFill="1" applyBorder="1" applyAlignment="1">
      <alignment vertical="center"/>
    </xf>
    <xf numFmtId="164" fontId="39" fillId="0" borderId="11" xfId="29" applyFont="1" applyFill="1" applyBorder="1" applyAlignment="1">
      <alignment horizontal="center"/>
    </xf>
    <xf numFmtId="178" fontId="39" fillId="0" borderId="11" xfId="29" applyNumberFormat="1" applyFont="1" applyFill="1" applyBorder="1" applyAlignment="1">
      <alignment horizontal="center"/>
    </xf>
    <xf numFmtId="178" fontId="42" fillId="0" borderId="11" xfId="29" applyNumberFormat="1" applyFont="1" applyBorder="1" applyAlignment="1">
      <alignment vertical="center"/>
    </xf>
    <xf numFmtId="2" fontId="42" fillId="0" borderId="11" xfId="0" applyNumberFormat="1" applyFont="1" applyBorder="1"/>
    <xf numFmtId="2" fontId="39" fillId="0" borderId="11" xfId="47" applyNumberFormat="1" applyFont="1" applyBorder="1"/>
    <xf numFmtId="178" fontId="43" fillId="0" borderId="11" xfId="29" applyNumberFormat="1" applyFont="1" applyFill="1" applyBorder="1" applyAlignment="1">
      <alignment vertical="center"/>
    </xf>
    <xf numFmtId="2" fontId="36" fillId="0" borderId="11" xfId="47" applyNumberFormat="1" applyFont="1" applyBorder="1"/>
    <xf numFmtId="2" fontId="45" fillId="0" borderId="11" xfId="44" applyNumberFormat="1" applyBorder="1"/>
    <xf numFmtId="178" fontId="42" fillId="0" borderId="0" xfId="29" applyNumberFormat="1" applyFont="1" applyFill="1" applyBorder="1" applyAlignment="1">
      <alignment vertical="center"/>
    </xf>
    <xf numFmtId="0" fontId="42" fillId="0" borderId="0" xfId="0" applyFont="1" applyAlignment="1">
      <alignment horizontal="center"/>
    </xf>
    <xf numFmtId="177" fontId="42" fillId="0" borderId="0" xfId="0" applyNumberFormat="1" applyFont="1"/>
    <xf numFmtId="172" fontId="39" fillId="0" borderId="11" xfId="43" applyNumberFormat="1" applyFont="1" applyBorder="1" applyAlignment="1">
      <alignment horizontal="center"/>
    </xf>
    <xf numFmtId="0" fontId="39" fillId="0" borderId="11" xfId="43" applyFont="1" applyBorder="1" applyAlignment="1">
      <alignment horizontal="center"/>
    </xf>
    <xf numFmtId="0" fontId="39" fillId="0" borderId="11" xfId="30" applyNumberFormat="1" applyFont="1" applyFill="1" applyBorder="1" applyAlignment="1">
      <alignment horizontal="center"/>
    </xf>
    <xf numFmtId="164" fontId="43" fillId="0" borderId="11" xfId="29" applyFont="1" applyFill="1" applyBorder="1" applyAlignment="1">
      <alignment vertical="center"/>
    </xf>
    <xf numFmtId="9" fontId="43" fillId="25" borderId="11" xfId="29" applyNumberFormat="1" applyFont="1" applyFill="1" applyBorder="1" applyAlignment="1">
      <alignment vertical="center"/>
    </xf>
    <xf numFmtId="178" fontId="43" fillId="25" borderId="11" xfId="29" applyNumberFormat="1" applyFont="1" applyFill="1" applyBorder="1" applyAlignment="1">
      <alignment vertical="center"/>
    </xf>
    <xf numFmtId="177" fontId="43" fillId="0" borderId="11" xfId="0" applyNumberFormat="1" applyFont="1" applyBorder="1"/>
    <xf numFmtId="0" fontId="43" fillId="0" borderId="11" xfId="0" applyFont="1" applyBorder="1"/>
    <xf numFmtId="164" fontId="43" fillId="25" borderId="11" xfId="29" applyFont="1" applyFill="1" applyBorder="1" applyAlignment="1">
      <alignment horizontal="center"/>
    </xf>
    <xf numFmtId="0" fontId="42" fillId="0" borderId="11" xfId="48" applyFont="1" applyBorder="1"/>
    <xf numFmtId="10" fontId="43" fillId="25" borderId="11" xfId="51" applyNumberFormat="1" applyFont="1" applyFill="1" applyBorder="1" applyAlignment="1">
      <alignment vertical="center"/>
    </xf>
    <xf numFmtId="166" fontId="43" fillId="25" borderId="11" xfId="51" applyNumberFormat="1" applyFont="1" applyFill="1" applyBorder="1" applyAlignment="1">
      <alignment vertical="center"/>
    </xf>
    <xf numFmtId="165" fontId="43" fillId="0" borderId="11" xfId="0" applyNumberFormat="1" applyFont="1" applyBorder="1" applyAlignment="1">
      <alignment horizontal="right"/>
    </xf>
    <xf numFmtId="172" fontId="39" fillId="0" borderId="0" xfId="43" applyNumberFormat="1" applyFont="1" applyAlignment="1">
      <alignment horizontal="center"/>
    </xf>
    <xf numFmtId="0" fontId="39" fillId="0" borderId="0" xfId="43" applyFont="1" applyAlignment="1">
      <alignment horizontal="center"/>
    </xf>
    <xf numFmtId="0" fontId="39" fillId="0" borderId="0" xfId="30" applyNumberFormat="1" applyFont="1" applyFill="1" applyBorder="1" applyAlignment="1">
      <alignment horizontal="center"/>
    </xf>
    <xf numFmtId="164" fontId="42" fillId="0" borderId="0" xfId="29" applyFont="1" applyFill="1" applyBorder="1" applyAlignment="1">
      <alignment vertical="center"/>
    </xf>
    <xf numFmtId="164" fontId="42" fillId="0" borderId="0" xfId="29" applyFont="1" applyFill="1" applyBorder="1" applyAlignment="1">
      <alignment horizontal="center"/>
    </xf>
    <xf numFmtId="178" fontId="42" fillId="0" borderId="0" xfId="29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right"/>
    </xf>
    <xf numFmtId="178" fontId="43" fillId="0" borderId="0" xfId="29" applyNumberFormat="1" applyFont="1" applyFill="1" applyBorder="1" applyAlignment="1">
      <alignment horizontal="right"/>
    </xf>
    <xf numFmtId="166" fontId="43" fillId="0" borderId="0" xfId="51" applyNumberFormat="1" applyFont="1" applyFill="1" applyBorder="1" applyAlignment="1">
      <alignment vertical="center"/>
    </xf>
    <xf numFmtId="0" fontId="42" fillId="0" borderId="0" xfId="0" applyFont="1" applyAlignment="1">
      <alignment wrapText="1"/>
    </xf>
    <xf numFmtId="0" fontId="43" fillId="0" borderId="0" xfId="51" applyNumberFormat="1" applyFont="1" applyFill="1" applyBorder="1" applyAlignment="1">
      <alignment vertical="center"/>
    </xf>
    <xf numFmtId="165" fontId="42" fillId="0" borderId="0" xfId="29" applyNumberFormat="1" applyFont="1" applyFill="1" applyBorder="1" applyAlignment="1">
      <alignment horizontal="center" vertical="center" wrapText="1"/>
    </xf>
    <xf numFmtId="165" fontId="43" fillId="0" borderId="14" xfId="0" applyNumberFormat="1" applyFont="1" applyBorder="1" applyAlignment="1">
      <alignment horizontal="center" vertical="center" wrapText="1"/>
    </xf>
    <xf numFmtId="165" fontId="42" fillId="0" borderId="11" xfId="29" applyNumberFormat="1" applyFont="1" applyFill="1" applyBorder="1" applyAlignment="1">
      <alignment vertical="center"/>
    </xf>
    <xf numFmtId="165" fontId="42" fillId="0" borderId="0" xfId="0" applyNumberFormat="1" applyFont="1"/>
    <xf numFmtId="165" fontId="43" fillId="25" borderId="11" xfId="29" applyNumberFormat="1" applyFont="1" applyFill="1" applyBorder="1" applyAlignment="1">
      <alignment vertical="center"/>
    </xf>
    <xf numFmtId="165" fontId="43" fillId="0" borderId="11" xfId="29" applyNumberFormat="1" applyFont="1" applyFill="1" applyBorder="1" applyAlignment="1">
      <alignment vertical="center"/>
    </xf>
    <xf numFmtId="165" fontId="42" fillId="0" borderId="0" xfId="29" applyNumberFormat="1" applyFont="1" applyFill="1" applyBorder="1" applyAlignment="1">
      <alignment vertical="center"/>
    </xf>
    <xf numFmtId="179" fontId="50" fillId="0" borderId="11" xfId="29" applyNumberFormat="1" applyFont="1" applyFill="1" applyBorder="1" applyAlignment="1">
      <alignment vertical="center"/>
    </xf>
    <xf numFmtId="166" fontId="50" fillId="0" borderId="0" xfId="52" applyNumberFormat="1" applyFont="1" applyFill="1" applyBorder="1" applyAlignment="1">
      <alignment vertical="center"/>
    </xf>
    <xf numFmtId="178" fontId="49" fillId="0" borderId="11" xfId="29" applyNumberFormat="1" applyFont="1" applyFill="1" applyBorder="1" applyAlignment="1">
      <alignment vertical="center"/>
    </xf>
    <xf numFmtId="10" fontId="50" fillId="25" borderId="11" xfId="51" applyNumberFormat="1" applyFont="1" applyFill="1" applyBorder="1"/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2" fillId="0" borderId="0" xfId="0" applyNumberFormat="1" applyFont="1"/>
    <xf numFmtId="15" fontId="43" fillId="0" borderId="0" xfId="0" applyNumberFormat="1" applyFont="1"/>
    <xf numFmtId="17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7" fillId="24" borderId="33" xfId="28" applyFont="1" applyFill="1" applyBorder="1" applyAlignment="1" applyProtection="1">
      <alignment horizontal="center" vertical="center"/>
    </xf>
    <xf numFmtId="165" fontId="27" fillId="24" borderId="34" xfId="28" applyFont="1" applyFill="1" applyBorder="1" applyAlignment="1" applyProtection="1">
      <alignment horizontal="center" vertical="center"/>
    </xf>
    <xf numFmtId="165" fontId="27" fillId="24" borderId="35" xfId="28" applyFont="1" applyFill="1" applyBorder="1" applyAlignment="1" applyProtection="1">
      <alignment horizontal="center" vertical="center"/>
    </xf>
    <xf numFmtId="165" fontId="27" fillId="24" borderId="36" xfId="28" applyFont="1" applyFill="1" applyBorder="1" applyAlignment="1" applyProtection="1">
      <alignment horizontal="center" vertical="center"/>
    </xf>
    <xf numFmtId="166" fontId="27" fillId="24" borderId="37" xfId="51" applyNumberFormat="1" applyFont="1" applyFill="1" applyBorder="1" applyAlignment="1" applyProtection="1">
      <alignment horizontal="center" vertical="center"/>
    </xf>
    <xf numFmtId="166" fontId="27" fillId="24" borderId="30" xfId="51" applyNumberFormat="1" applyFont="1" applyFill="1" applyBorder="1" applyAlignment="1" applyProtection="1">
      <alignment horizontal="center" vertical="center"/>
    </xf>
    <xf numFmtId="166" fontId="27" fillId="24" borderId="38" xfId="51" applyNumberFormat="1" applyFont="1" applyFill="1" applyBorder="1" applyAlignment="1" applyProtection="1">
      <alignment horizontal="center" vertical="center"/>
    </xf>
    <xf numFmtId="165" fontId="27" fillId="24" borderId="39" xfId="28" applyFont="1" applyFill="1" applyBorder="1" applyAlignment="1" applyProtection="1">
      <alignment horizontal="center" vertical="center"/>
    </xf>
    <xf numFmtId="165" fontId="27" fillId="24" borderId="39" xfId="28" applyFont="1" applyFill="1" applyBorder="1" applyAlignment="1" applyProtection="1">
      <alignment horizontal="center"/>
    </xf>
    <xf numFmtId="165" fontId="27" fillId="24" borderId="40" xfId="28" applyFont="1" applyFill="1" applyBorder="1" applyAlignment="1" applyProtection="1">
      <alignment horizontal="center"/>
    </xf>
    <xf numFmtId="166" fontId="27" fillId="24" borderId="41" xfId="51" applyNumberFormat="1" applyFont="1" applyFill="1" applyBorder="1" applyAlignment="1" applyProtection="1">
      <alignment horizontal="center" vertical="center"/>
    </xf>
    <xf numFmtId="165" fontId="23" fillId="24" borderId="0" xfId="28" applyFont="1" applyFill="1" applyProtection="1"/>
    <xf numFmtId="165" fontId="27" fillId="24" borderId="15" xfId="28" applyFont="1" applyFill="1" applyBorder="1" applyAlignment="1" applyProtection="1">
      <alignment horizontal="center" vertical="center"/>
    </xf>
    <xf numFmtId="165" fontId="27" fillId="24" borderId="42" xfId="28" applyFont="1" applyFill="1" applyBorder="1" applyAlignment="1" applyProtection="1">
      <alignment horizontal="center" vertical="center"/>
    </xf>
    <xf numFmtId="166" fontId="27" fillId="24" borderId="36" xfId="51" applyNumberFormat="1" applyFont="1" applyFill="1" applyBorder="1" applyAlignment="1" applyProtection="1">
      <alignment horizontal="center" vertical="center"/>
    </xf>
    <xf numFmtId="166" fontId="27" fillId="24" borderId="15" xfId="51" applyNumberFormat="1" applyFont="1" applyFill="1" applyBorder="1" applyAlignment="1" applyProtection="1">
      <alignment horizontal="center" vertical="center"/>
    </xf>
    <xf numFmtId="166" fontId="27" fillId="24" borderId="35" xfId="51" applyNumberFormat="1" applyFont="1" applyFill="1" applyBorder="1" applyAlignment="1" applyProtection="1">
      <alignment horizontal="center" vertical="center"/>
    </xf>
    <xf numFmtId="165" fontId="27" fillId="24" borderId="36" xfId="28" applyFont="1" applyFill="1" applyBorder="1" applyAlignment="1" applyProtection="1">
      <alignment horizontal="center"/>
    </xf>
    <xf numFmtId="165" fontId="27" fillId="24" borderId="43" xfId="28" applyFont="1" applyFill="1" applyBorder="1" applyAlignment="1" applyProtection="1">
      <alignment horizontal="center"/>
    </xf>
    <xf numFmtId="165" fontId="27" fillId="24" borderId="11" xfId="28" applyFont="1" applyFill="1" applyBorder="1" applyAlignment="1" applyProtection="1">
      <alignment horizontal="center"/>
    </xf>
    <xf numFmtId="165" fontId="27" fillId="24" borderId="44" xfId="28" applyFont="1" applyFill="1" applyBorder="1" applyAlignment="1" applyProtection="1">
      <alignment horizontal="center"/>
    </xf>
    <xf numFmtId="165" fontId="27" fillId="24" borderId="38" xfId="28" applyFont="1" applyFill="1" applyBorder="1" applyAlignment="1" applyProtection="1">
      <alignment horizontal="center"/>
    </xf>
    <xf numFmtId="0" fontId="27" fillId="24" borderId="45" xfId="0" applyFont="1" applyFill="1" applyBorder="1" applyAlignment="1">
      <alignment horizontal="left"/>
    </xf>
    <xf numFmtId="0" fontId="27" fillId="24" borderId="46" xfId="0" applyFont="1" applyFill="1" applyBorder="1" applyAlignment="1">
      <alignment horizontal="left"/>
    </xf>
    <xf numFmtId="0" fontId="27" fillId="24" borderId="47" xfId="0" applyFont="1" applyFill="1" applyBorder="1" applyAlignment="1">
      <alignment horizontal="left"/>
    </xf>
    <xf numFmtId="165" fontId="27" fillId="24" borderId="27" xfId="0" applyNumberFormat="1" applyFont="1" applyFill="1" applyBorder="1" applyAlignment="1">
      <alignment horizontal="left"/>
    </xf>
    <xf numFmtId="165" fontId="27" fillId="24" borderId="21" xfId="28" applyFont="1" applyFill="1" applyBorder="1" applyAlignment="1" applyProtection="1">
      <alignment horizontal="right" vertical="center"/>
    </xf>
    <xf numFmtId="0" fontId="27" fillId="24" borderId="48" xfId="0" applyFont="1" applyFill="1" applyBorder="1" applyAlignment="1">
      <alignment horizontal="center"/>
    </xf>
    <xf numFmtId="165" fontId="27" fillId="24" borderId="17" xfId="28" applyFont="1" applyFill="1" applyBorder="1" applyAlignment="1" applyProtection="1">
      <alignment horizontal="right" vertical="center"/>
    </xf>
    <xf numFmtId="0" fontId="27" fillId="24" borderId="49" xfId="0" applyFont="1" applyFill="1" applyBorder="1" applyAlignment="1">
      <alignment horizontal="center"/>
    </xf>
    <xf numFmtId="165" fontId="27" fillId="0" borderId="11" xfId="28" applyFont="1" applyFill="1" applyBorder="1" applyAlignment="1" applyProtection="1">
      <alignment horizontal="right"/>
    </xf>
    <xf numFmtId="0" fontId="27" fillId="24" borderId="50" xfId="0" applyFont="1" applyFill="1" applyBorder="1" applyAlignment="1">
      <alignment horizontal="center"/>
    </xf>
    <xf numFmtId="165" fontId="27" fillId="24" borderId="11" xfId="28" applyFont="1" applyFill="1" applyBorder="1" applyAlignment="1" applyProtection="1">
      <alignment horizontal="right" vertical="center"/>
    </xf>
    <xf numFmtId="165" fontId="23" fillId="20" borderId="11" xfId="28" applyFont="1" applyFill="1" applyBorder="1" applyAlignment="1" applyProtection="1">
      <alignment horizontal="right"/>
    </xf>
    <xf numFmtId="165" fontId="27" fillId="24" borderId="11" xfId="28" applyFont="1" applyFill="1" applyBorder="1" applyAlignment="1" applyProtection="1">
      <alignment horizontal="right"/>
    </xf>
    <xf numFmtId="174" fontId="27" fillId="24" borderId="11" xfId="28" applyNumberFormat="1" applyFont="1" applyFill="1" applyBorder="1" applyAlignment="1" applyProtection="1">
      <alignment horizontal="right"/>
    </xf>
    <xf numFmtId="39" fontId="27" fillId="24" borderId="11" xfId="28" applyNumberFormat="1" applyFont="1" applyFill="1" applyBorder="1" applyAlignment="1" applyProtection="1">
      <alignment horizontal="right"/>
    </xf>
    <xf numFmtId="165" fontId="27" fillId="24" borderId="14" xfId="28" applyFont="1" applyFill="1" applyBorder="1" applyAlignment="1" applyProtection="1">
      <alignment horizontal="right"/>
    </xf>
    <xf numFmtId="0" fontId="27" fillId="24" borderId="51" xfId="0" applyFont="1" applyFill="1" applyBorder="1" applyAlignment="1">
      <alignment horizontal="center"/>
    </xf>
    <xf numFmtId="165" fontId="27" fillId="24" borderId="23" xfId="0" applyNumberFormat="1" applyFont="1" applyFill="1" applyBorder="1" applyAlignment="1">
      <alignment horizontal="right"/>
    </xf>
    <xf numFmtId="0" fontId="27" fillId="24" borderId="24" xfId="0" applyFont="1" applyFill="1" applyBorder="1" applyAlignment="1">
      <alignment horizontal="center"/>
    </xf>
    <xf numFmtId="165" fontId="27" fillId="24" borderId="11" xfId="28" applyFont="1" applyFill="1" applyBorder="1" applyProtection="1"/>
    <xf numFmtId="165" fontId="27" fillId="24" borderId="14" xfId="28" applyFont="1" applyFill="1" applyBorder="1" applyProtection="1"/>
    <xf numFmtId="165" fontId="23" fillId="20" borderId="11" xfId="28" applyFont="1" applyFill="1" applyBorder="1" applyProtection="1"/>
    <xf numFmtId="165" fontId="27" fillId="24" borderId="50" xfId="28" applyFont="1" applyFill="1" applyBorder="1" applyAlignment="1" applyProtection="1">
      <alignment horizontal="center"/>
    </xf>
    <xf numFmtId="165" fontId="27" fillId="24" borderId="21" xfId="28" applyFont="1" applyFill="1" applyBorder="1" applyAlignment="1" applyProtection="1">
      <alignment horizontal="center"/>
    </xf>
    <xf numFmtId="165" fontId="27" fillId="24" borderId="48" xfId="28" applyFont="1" applyFill="1" applyBorder="1" applyAlignment="1" applyProtection="1">
      <alignment horizontal="center"/>
    </xf>
    <xf numFmtId="166" fontId="27" fillId="24" borderId="23" xfId="51" applyNumberFormat="1" applyFont="1" applyFill="1" applyBorder="1" applyProtection="1"/>
    <xf numFmtId="166" fontId="27" fillId="24" borderId="24" xfId="51" applyNumberFormat="1" applyFont="1" applyFill="1" applyBorder="1" applyProtection="1"/>
    <xf numFmtId="0" fontId="20" fillId="0" borderId="0" xfId="0" applyFont="1"/>
    <xf numFmtId="0" fontId="23" fillId="24" borderId="0" xfId="0" applyFont="1" applyFill="1"/>
    <xf numFmtId="0" fontId="21" fillId="0" borderId="0" xfId="0" applyFont="1"/>
    <xf numFmtId="0" fontId="22" fillId="0" borderId="0" xfId="0" applyFont="1"/>
    <xf numFmtId="0" fontId="24" fillId="24" borderId="0" xfId="0" applyFont="1" applyFill="1"/>
    <xf numFmtId="165" fontId="25" fillId="24" borderId="0" xfId="28" applyFont="1" applyFill="1" applyAlignment="1" applyProtection="1">
      <alignment horizontal="right"/>
    </xf>
    <xf numFmtId="0" fontId="26" fillId="24" borderId="0" xfId="0" applyFont="1" applyFill="1"/>
    <xf numFmtId="165" fontId="23" fillId="24" borderId="0" xfId="0" applyNumberFormat="1" applyFont="1" applyFill="1"/>
    <xf numFmtId="0" fontId="27" fillId="24" borderId="33" xfId="0" applyFont="1" applyFill="1" applyBorder="1" applyAlignment="1">
      <alignment horizontal="center" vertical="center"/>
    </xf>
    <xf numFmtId="0" fontId="27" fillId="24" borderId="15" xfId="0" applyFont="1" applyFill="1" applyBorder="1" applyAlignment="1">
      <alignment horizontal="center" vertical="center"/>
    </xf>
    <xf numFmtId="0" fontId="27" fillId="24" borderId="42" xfId="0" applyFont="1" applyFill="1" applyBorder="1" applyAlignment="1">
      <alignment horizontal="center" vertical="center"/>
    </xf>
    <xf numFmtId="0" fontId="27" fillId="24" borderId="52" xfId="0" applyFont="1" applyFill="1" applyBorder="1" applyAlignment="1">
      <alignment horizontal="center"/>
    </xf>
    <xf numFmtId="0" fontId="27" fillId="24" borderId="42" xfId="0" applyFont="1" applyFill="1" applyBorder="1" applyAlignment="1">
      <alignment horizontal="center" wrapText="1"/>
    </xf>
    <xf numFmtId="0" fontId="27" fillId="24" borderId="33" xfId="0" applyFont="1" applyFill="1" applyBorder="1" applyAlignment="1">
      <alignment horizontal="center"/>
    </xf>
    <xf numFmtId="0" fontId="27" fillId="24" borderId="15" xfId="0" applyFont="1" applyFill="1" applyBorder="1" applyAlignment="1">
      <alignment horizontal="center"/>
    </xf>
    <xf numFmtId="0" fontId="27" fillId="24" borderId="35" xfId="0" applyFont="1" applyFill="1" applyBorder="1" applyAlignment="1">
      <alignment horizontal="center"/>
    </xf>
    <xf numFmtId="165" fontId="27" fillId="24" borderId="11" xfId="0" applyNumberFormat="1" applyFont="1" applyFill="1" applyBorder="1" applyAlignment="1">
      <alignment horizontal="center"/>
    </xf>
    <xf numFmtId="0" fontId="27" fillId="24" borderId="11" xfId="0" quotePrefix="1" applyFont="1" applyFill="1" applyBorder="1" applyAlignment="1">
      <alignment wrapText="1"/>
    </xf>
    <xf numFmtId="0" fontId="27" fillId="24" borderId="53" xfId="0" applyFont="1" applyFill="1" applyBorder="1" applyAlignment="1">
      <alignment horizontal="left" vertical="center"/>
    </xf>
    <xf numFmtId="0" fontId="27" fillId="24" borderId="54" xfId="0" quotePrefix="1" applyFont="1" applyFill="1" applyBorder="1"/>
    <xf numFmtId="0" fontId="27" fillId="24" borderId="35" xfId="0" applyFont="1" applyFill="1" applyBorder="1" applyAlignment="1">
      <alignment vertical="center" wrapText="1"/>
    </xf>
    <xf numFmtId="0" fontId="27" fillId="24" borderId="30" xfId="0" applyFont="1" applyFill="1" applyBorder="1" applyAlignment="1">
      <alignment horizontal="left" vertical="center"/>
    </xf>
    <xf numFmtId="0" fontId="27" fillId="24" borderId="41" xfId="0" applyFont="1" applyFill="1" applyBorder="1" applyAlignment="1">
      <alignment vertical="center" wrapText="1"/>
    </xf>
    <xf numFmtId="0" fontId="27" fillId="24" borderId="55" xfId="0" applyFont="1" applyFill="1" applyBorder="1" applyAlignment="1">
      <alignment horizontal="left" vertical="center"/>
    </xf>
    <xf numFmtId="0" fontId="27" fillId="24" borderId="54" xfId="0" applyFont="1" applyFill="1" applyBorder="1" applyAlignment="1">
      <alignment horizontal="center"/>
    </xf>
    <xf numFmtId="0" fontId="27" fillId="24" borderId="54" xfId="0" applyFont="1" applyFill="1" applyBorder="1"/>
    <xf numFmtId="0" fontId="27" fillId="24" borderId="56" xfId="0" applyFont="1" applyFill="1" applyBorder="1" applyAlignment="1">
      <alignment horizontal="center" vertical="center"/>
    </xf>
    <xf numFmtId="0" fontId="27" fillId="24" borderId="46" xfId="0" applyFont="1" applyFill="1" applyBorder="1" applyAlignment="1">
      <alignment horizontal="left" vertical="center"/>
    </xf>
    <xf numFmtId="0" fontId="27" fillId="24" borderId="29" xfId="0" applyFont="1" applyFill="1" applyBorder="1" applyAlignment="1">
      <alignment horizontal="center"/>
    </xf>
    <xf numFmtId="0" fontId="27" fillId="24" borderId="0" xfId="0" applyFont="1" applyFill="1"/>
    <xf numFmtId="0" fontId="27" fillId="24" borderId="0" xfId="0" applyFont="1" applyFill="1" applyAlignment="1">
      <alignment horizontal="center" vertical="center" wrapText="1"/>
    </xf>
    <xf numFmtId="0" fontId="27" fillId="24" borderId="0" xfId="0" applyFont="1" applyFill="1" applyAlignment="1">
      <alignment horizontal="center"/>
    </xf>
    <xf numFmtId="0" fontId="27" fillId="24" borderId="37" xfId="0" applyFont="1" applyFill="1" applyBorder="1" applyAlignment="1">
      <alignment horizontal="center"/>
    </xf>
    <xf numFmtId="0" fontId="27" fillId="24" borderId="41" xfId="0" applyFont="1" applyFill="1" applyBorder="1" applyAlignment="1">
      <alignment horizontal="center"/>
    </xf>
    <xf numFmtId="0" fontId="23" fillId="24" borderId="33" xfId="0" applyFont="1" applyFill="1" applyBorder="1"/>
    <xf numFmtId="0" fontId="23" fillId="24" borderId="42" xfId="0" applyFont="1" applyFill="1" applyBorder="1"/>
    <xf numFmtId="0" fontId="27" fillId="24" borderId="15" xfId="0" applyFont="1" applyFill="1" applyBorder="1"/>
    <xf numFmtId="0" fontId="27" fillId="24" borderId="42" xfId="0" applyFont="1" applyFill="1" applyBorder="1" applyAlignment="1">
      <alignment horizontal="center"/>
    </xf>
    <xf numFmtId="165" fontId="23" fillId="24" borderId="0" xfId="28" applyFont="1" applyFill="1" applyBorder="1" applyProtection="1"/>
    <xf numFmtId="0" fontId="23" fillId="24" borderId="57" xfId="0" applyFont="1" applyFill="1" applyBorder="1" applyAlignment="1">
      <alignment horizontal="center"/>
    </xf>
    <xf numFmtId="0" fontId="23" fillId="24" borderId="10" xfId="0" applyFont="1" applyFill="1" applyBorder="1" applyAlignment="1">
      <alignment horizontal="center"/>
    </xf>
    <xf numFmtId="0" fontId="27" fillId="24" borderId="10" xfId="0" applyFont="1" applyFill="1" applyBorder="1" applyAlignment="1">
      <alignment horizontal="center"/>
    </xf>
    <xf numFmtId="165" fontId="27" fillId="24" borderId="0" xfId="28" applyFont="1" applyFill="1" applyBorder="1" applyProtection="1"/>
    <xf numFmtId="0" fontId="27" fillId="24" borderId="12" xfId="0" applyFont="1" applyFill="1" applyBorder="1" applyAlignment="1">
      <alignment horizontal="center"/>
    </xf>
    <xf numFmtId="0" fontId="27" fillId="24" borderId="58" xfId="0" applyFont="1" applyFill="1" applyBorder="1" applyAlignment="1">
      <alignment horizontal="center"/>
    </xf>
    <xf numFmtId="165" fontId="27" fillId="24" borderId="23" xfId="0" applyNumberFormat="1" applyFont="1" applyFill="1" applyBorder="1"/>
    <xf numFmtId="2" fontId="23" fillId="24" borderId="0" xfId="0" applyNumberFormat="1" applyFont="1" applyFill="1"/>
    <xf numFmtId="0" fontId="27" fillId="24" borderId="59" xfId="0" applyFont="1" applyFill="1" applyBorder="1"/>
    <xf numFmtId="0" fontId="27" fillId="24" borderId="60" xfId="0" applyFont="1" applyFill="1" applyBorder="1" applyAlignment="1">
      <alignment horizontal="left"/>
    </xf>
    <xf numFmtId="0" fontId="23" fillId="24" borderId="60" xfId="0" applyFont="1" applyFill="1" applyBorder="1"/>
    <xf numFmtId="165" fontId="23" fillId="24" borderId="60" xfId="28" applyFont="1" applyFill="1" applyBorder="1" applyProtection="1"/>
    <xf numFmtId="0" fontId="23" fillId="24" borderId="32" xfId="0" applyFont="1" applyFill="1" applyBorder="1"/>
    <xf numFmtId="0" fontId="23" fillId="24" borderId="11" xfId="0" applyFont="1" applyFill="1" applyBorder="1"/>
    <xf numFmtId="165" fontId="23" fillId="24" borderId="11" xfId="0" applyNumberFormat="1" applyFont="1" applyFill="1" applyBorder="1"/>
    <xf numFmtId="166" fontId="23" fillId="24" borderId="11" xfId="51" applyNumberFormat="1" applyFont="1" applyFill="1" applyBorder="1" applyProtection="1"/>
    <xf numFmtId="0" fontId="27" fillId="24" borderId="29" xfId="0" applyFont="1" applyFill="1" applyBorder="1"/>
    <xf numFmtId="0" fontId="27" fillId="24" borderId="0" xfId="0" applyFont="1" applyFill="1" applyAlignment="1">
      <alignment horizontal="left"/>
    </xf>
    <xf numFmtId="0" fontId="23" fillId="24" borderId="61" xfId="0" applyFont="1" applyFill="1" applyBorder="1"/>
    <xf numFmtId="0" fontId="23" fillId="24" borderId="29" xfId="0" applyFont="1" applyFill="1" applyBorder="1"/>
    <xf numFmtId="0" fontId="23" fillId="24" borderId="31" xfId="0" applyFont="1" applyFill="1" applyBorder="1"/>
    <xf numFmtId="0" fontId="27" fillId="24" borderId="62" xfId="0" applyFont="1" applyFill="1" applyBorder="1"/>
    <xf numFmtId="165" fontId="27" fillId="24" borderId="62" xfId="28" applyFont="1" applyFill="1" applyBorder="1" applyProtection="1"/>
    <xf numFmtId="0" fontId="23" fillId="24" borderId="16" xfId="0" applyFont="1" applyFill="1" applyBorder="1"/>
    <xf numFmtId="0" fontId="27" fillId="24" borderId="15" xfId="0" applyFont="1" applyFill="1" applyBorder="1" applyAlignment="1">
      <alignment horizontal="center" wrapText="1"/>
    </xf>
    <xf numFmtId="2" fontId="42" fillId="0" borderId="11" xfId="51" applyNumberFormat="1" applyFont="1" applyFill="1" applyBorder="1" applyAlignment="1">
      <alignment vertical="center"/>
    </xf>
    <xf numFmtId="165" fontId="27" fillId="24" borderId="17" xfId="0" applyNumberFormat="1" applyFont="1" applyFill="1" applyBorder="1" applyAlignment="1">
      <alignment horizontal="left"/>
    </xf>
    <xf numFmtId="0" fontId="27" fillId="24" borderId="14" xfId="0" applyFont="1" applyFill="1" applyBorder="1" applyAlignment="1">
      <alignment horizontal="left"/>
    </xf>
    <xf numFmtId="165" fontId="27" fillId="24" borderId="10" xfId="0" applyNumberFormat="1" applyFont="1" applyFill="1" applyBorder="1" applyAlignment="1">
      <alignment horizontal="left"/>
    </xf>
    <xf numFmtId="0" fontId="27" fillId="24" borderId="63" xfId="0" applyFont="1" applyFill="1" applyBorder="1" applyAlignment="1" applyProtection="1">
      <alignment horizontal="left" vertical="center"/>
      <protection locked="0"/>
    </xf>
    <xf numFmtId="165" fontId="27" fillId="24" borderId="61" xfId="28" applyFont="1" applyFill="1" applyBorder="1" applyAlignment="1" applyProtection="1">
      <alignment horizontal="center" vertical="center"/>
      <protection locked="0"/>
    </xf>
    <xf numFmtId="165" fontId="27" fillId="24" borderId="63" xfId="28" applyFont="1" applyFill="1" applyBorder="1" applyAlignment="1" applyProtection="1">
      <alignment horizontal="center" vertical="center"/>
      <protection locked="0"/>
    </xf>
    <xf numFmtId="165" fontId="27" fillId="24" borderId="43" xfId="28" applyFont="1" applyFill="1" applyBorder="1" applyAlignment="1" applyProtection="1">
      <alignment horizontal="center" vertical="center"/>
      <protection locked="0"/>
    </xf>
    <xf numFmtId="165" fontId="27" fillId="24" borderId="44" xfId="28" applyFont="1" applyFill="1" applyBorder="1" applyAlignment="1" applyProtection="1">
      <protection locked="0"/>
    </xf>
    <xf numFmtId="165" fontId="27" fillId="24" borderId="44" xfId="28" applyFont="1" applyFill="1" applyBorder="1" applyAlignment="1" applyProtection="1">
      <alignment horizontal="center"/>
      <protection locked="0"/>
    </xf>
    <xf numFmtId="0" fontId="27" fillId="24" borderId="64" xfId="0" applyFont="1" applyFill="1" applyBorder="1" applyAlignment="1" applyProtection="1">
      <alignment horizontal="left" vertical="center"/>
      <protection locked="0"/>
    </xf>
    <xf numFmtId="165" fontId="27" fillId="24" borderId="56" xfId="51" applyNumberFormat="1" applyFont="1" applyFill="1" applyBorder="1" applyAlignment="1" applyProtection="1">
      <alignment horizontal="center" vertical="center"/>
      <protection locked="0"/>
    </xf>
    <xf numFmtId="165" fontId="27" fillId="24" borderId="55" xfId="51" applyNumberFormat="1" applyFont="1" applyFill="1" applyBorder="1" applyAlignment="1" applyProtection="1">
      <alignment horizontal="center" vertical="center"/>
      <protection locked="0"/>
    </xf>
    <xf numFmtId="165" fontId="27" fillId="24" borderId="65" xfId="51" applyNumberFormat="1" applyFont="1" applyFill="1" applyBorder="1" applyAlignment="1" applyProtection="1">
      <alignment horizontal="center" vertical="center"/>
      <protection locked="0"/>
    </xf>
    <xf numFmtId="165" fontId="27" fillId="24" borderId="44" xfId="28" applyFont="1" applyFill="1" applyBorder="1" applyAlignment="1" applyProtection="1">
      <alignment horizontal="center" vertical="center"/>
      <protection locked="0"/>
    </xf>
    <xf numFmtId="165" fontId="27" fillId="24" borderId="0" xfId="28" applyFont="1" applyFill="1" applyBorder="1" applyAlignment="1" applyProtection="1">
      <alignment horizontal="center" vertical="center"/>
      <protection locked="0"/>
    </xf>
    <xf numFmtId="165" fontId="23" fillId="24" borderId="44" xfId="28" applyFont="1" applyFill="1" applyBorder="1" applyProtection="1">
      <protection locked="0"/>
    </xf>
    <xf numFmtId="165" fontId="27" fillId="24" borderId="10" xfId="28" applyFont="1" applyFill="1" applyBorder="1" applyAlignment="1" applyProtection="1">
      <alignment horizontal="center"/>
      <protection locked="0"/>
    </xf>
    <xf numFmtId="165" fontId="27" fillId="24" borderId="11" xfId="0" applyNumberFormat="1" applyFont="1" applyFill="1" applyBorder="1" applyAlignment="1" applyProtection="1">
      <alignment horizontal="center"/>
      <protection locked="0"/>
    </xf>
    <xf numFmtId="0" fontId="27" fillId="24" borderId="11" xfId="0" quotePrefix="1" applyFont="1" applyFill="1" applyBorder="1" applyAlignment="1" applyProtection="1">
      <alignment wrapText="1"/>
      <protection locked="0"/>
    </xf>
    <xf numFmtId="165" fontId="27" fillId="24" borderId="28" xfId="28" applyFont="1" applyFill="1" applyBorder="1" applyAlignment="1" applyProtection="1">
      <alignment horizontal="center"/>
      <protection locked="0"/>
    </xf>
    <xf numFmtId="0" fontId="27" fillId="24" borderId="14" xfId="0" applyFont="1" applyFill="1" applyBorder="1" applyAlignment="1" applyProtection="1">
      <alignment horizontal="center"/>
      <protection locked="0"/>
    </xf>
    <xf numFmtId="0" fontId="27" fillId="24" borderId="13" xfId="0" quotePrefix="1" applyFont="1" applyFill="1" applyBorder="1" applyAlignment="1" applyProtection="1">
      <alignment wrapText="1"/>
      <protection locked="0"/>
    </xf>
    <xf numFmtId="0" fontId="46" fillId="24" borderId="14" xfId="0" quotePrefix="1" applyFont="1" applyFill="1" applyBorder="1" applyAlignment="1" applyProtection="1">
      <alignment wrapText="1"/>
      <protection locked="0"/>
    </xf>
    <xf numFmtId="2" fontId="27" fillId="24" borderId="0" xfId="0" applyNumberFormat="1" applyFont="1" applyFill="1" applyAlignment="1" applyProtection="1">
      <alignment horizontal="right"/>
      <protection locked="0"/>
    </xf>
    <xf numFmtId="165" fontId="27" fillId="24" borderId="12" xfId="28" applyFont="1" applyFill="1" applyBorder="1" applyAlignment="1" applyProtection="1">
      <alignment horizontal="center"/>
      <protection locked="0"/>
    </xf>
    <xf numFmtId="0" fontId="27" fillId="24" borderId="11" xfId="0" applyFont="1" applyFill="1" applyBorder="1" applyAlignment="1" applyProtection="1">
      <alignment horizontal="center"/>
      <protection locked="0"/>
    </xf>
    <xf numFmtId="165" fontId="27" fillId="24" borderId="21" xfId="0" applyNumberFormat="1" applyFont="1" applyFill="1" applyBorder="1" applyAlignment="1" applyProtection="1">
      <alignment horizontal="left"/>
      <protection locked="0"/>
    </xf>
    <xf numFmtId="165" fontId="27" fillId="24" borderId="11" xfId="0" applyNumberFormat="1" applyFont="1" applyFill="1" applyBorder="1" applyAlignment="1" applyProtection="1">
      <alignment horizontal="left"/>
      <protection locked="0"/>
    </xf>
    <xf numFmtId="165" fontId="27" fillId="24" borderId="11" xfId="0" applyNumberFormat="1" applyFont="1" applyFill="1" applyBorder="1" applyAlignment="1" applyProtection="1">
      <alignment horizontal="right"/>
      <protection locked="0"/>
    </xf>
    <xf numFmtId="165" fontId="27" fillId="24" borderId="23" xfId="0" applyNumberFormat="1" applyFont="1" applyFill="1" applyBorder="1" applyAlignment="1" applyProtection="1">
      <alignment horizontal="left"/>
      <protection locked="0"/>
    </xf>
    <xf numFmtId="165" fontId="27" fillId="24" borderId="64" xfId="0" applyNumberFormat="1" applyFont="1" applyFill="1" applyBorder="1" applyAlignment="1" applyProtection="1">
      <alignment horizontal="left"/>
      <protection locked="0"/>
    </xf>
    <xf numFmtId="165" fontId="27" fillId="24" borderId="14" xfId="0" applyNumberFormat="1" applyFont="1" applyFill="1" applyBorder="1" applyAlignment="1" applyProtection="1">
      <alignment horizontal="left"/>
      <protection locked="0"/>
    </xf>
    <xf numFmtId="165" fontId="27" fillId="24" borderId="55" xfId="28" applyFont="1" applyFill="1" applyBorder="1" applyAlignment="1" applyProtection="1">
      <alignment horizontal="center"/>
      <protection locked="0"/>
    </xf>
    <xf numFmtId="165" fontId="27" fillId="24" borderId="11" xfId="28" applyFont="1" applyFill="1" applyBorder="1" applyAlignment="1" applyProtection="1">
      <alignment horizontal="center"/>
      <protection locked="0"/>
    </xf>
    <xf numFmtId="49" fontId="27" fillId="0" borderId="11" xfId="28" applyNumberFormat="1" applyFont="1" applyFill="1" applyBorder="1" applyAlignment="1" applyProtection="1">
      <alignment horizontal="center"/>
      <protection locked="0"/>
    </xf>
    <xf numFmtId="168" fontId="39" fillId="0" borderId="11" xfId="0" applyNumberFormat="1" applyFont="1" applyBorder="1" applyAlignment="1">
      <alignment horizontal="center"/>
    </xf>
    <xf numFmtId="178" fontId="42" fillId="0" borderId="17" xfId="29" applyNumberFormat="1" applyFont="1" applyBorder="1" applyAlignment="1">
      <alignment vertical="center"/>
    </xf>
    <xf numFmtId="178" fontId="42" fillId="0" borderId="17" xfId="29" applyNumberFormat="1" applyFont="1" applyFill="1" applyBorder="1" applyAlignment="1">
      <alignment vertical="center"/>
    </xf>
    <xf numFmtId="0" fontId="27" fillId="24" borderId="10" xfId="0" applyFont="1" applyFill="1" applyBorder="1" applyAlignment="1" applyProtection="1">
      <alignment horizontal="left"/>
      <protection locked="0"/>
    </xf>
    <xf numFmtId="0" fontId="27" fillId="24" borderId="25" xfId="0" applyFont="1" applyFill="1" applyBorder="1" applyAlignment="1" applyProtection="1">
      <alignment horizontal="left"/>
      <protection locked="0"/>
    </xf>
    <xf numFmtId="0" fontId="27" fillId="24" borderId="58" xfId="0" applyFont="1" applyFill="1" applyBorder="1" applyAlignment="1" applyProtection="1">
      <alignment horizontal="left"/>
      <protection locked="0"/>
    </xf>
    <xf numFmtId="165" fontId="34" fillId="0" borderId="0" xfId="28" applyFont="1" applyBorder="1" applyAlignment="1" applyProtection="1">
      <alignment horizontal="center"/>
    </xf>
    <xf numFmtId="0" fontId="29" fillId="0" borderId="0" xfId="0" applyFont="1"/>
    <xf numFmtId="0" fontId="0" fillId="0" borderId="66" xfId="0" applyBorder="1"/>
    <xf numFmtId="165" fontId="0" fillId="0" borderId="66" xfId="0" applyNumberFormat="1" applyBorder="1"/>
    <xf numFmtId="0" fontId="53" fillId="0" borderId="0" xfId="41" applyFont="1"/>
    <xf numFmtId="0" fontId="54" fillId="0" borderId="0" xfId="41" applyFont="1"/>
    <xf numFmtId="0" fontId="54" fillId="0" borderId="0" xfId="41" applyFont="1" applyAlignment="1">
      <alignment horizontal="center"/>
    </xf>
    <xf numFmtId="2" fontId="54" fillId="0" borderId="0" xfId="41" applyNumberFormat="1" applyFont="1" applyAlignment="1">
      <alignment horizontal="center"/>
    </xf>
    <xf numFmtId="0" fontId="48" fillId="0" borderId="0" xfId="41"/>
    <xf numFmtId="0" fontId="48" fillId="0" borderId="0" xfId="41" applyAlignment="1">
      <alignment horizontal="center"/>
    </xf>
    <xf numFmtId="2" fontId="48" fillId="0" borderId="0" xfId="41" applyNumberFormat="1" applyAlignment="1">
      <alignment horizontal="center"/>
    </xf>
    <xf numFmtId="2" fontId="48" fillId="0" borderId="0" xfId="41" applyNumberFormat="1"/>
    <xf numFmtId="0" fontId="55" fillId="0" borderId="0" xfId="41" applyFont="1"/>
    <xf numFmtId="16" fontId="48" fillId="0" borderId="10" xfId="41" applyNumberFormat="1" applyBorder="1"/>
    <xf numFmtId="0" fontId="48" fillId="0" borderId="11" xfId="41" applyBorder="1"/>
    <xf numFmtId="2" fontId="48" fillId="0" borderId="11" xfId="41" applyNumberFormat="1" applyBorder="1" applyAlignment="1">
      <alignment horizontal="center"/>
    </xf>
    <xf numFmtId="165" fontId="48" fillId="11" borderId="11" xfId="28" applyFont="1" applyFill="1" applyBorder="1" applyAlignment="1" applyProtection="1">
      <alignment horizontal="center"/>
    </xf>
    <xf numFmtId="0" fontId="56" fillId="0" borderId="0" xfId="41" applyFont="1"/>
    <xf numFmtId="0" fontId="48" fillId="0" borderId="10" xfId="41" applyBorder="1"/>
    <xf numFmtId="0" fontId="48" fillId="0" borderId="11" xfId="41" applyBorder="1" applyAlignment="1">
      <alignment horizontal="left"/>
    </xf>
    <xf numFmtId="0" fontId="48" fillId="0" borderId="11" xfId="41" applyBorder="1" applyAlignment="1">
      <alignment horizontal="right"/>
    </xf>
    <xf numFmtId="165" fontId="56" fillId="0" borderId="23" xfId="28" applyFont="1" applyBorder="1" applyProtection="1"/>
    <xf numFmtId="0" fontId="48" fillId="0" borderId="0" xfId="42" applyAlignment="1">
      <alignment horizontal="center"/>
    </xf>
    <xf numFmtId="39" fontId="48" fillId="0" borderId="0" xfId="42" quotePrefix="1" applyNumberFormat="1" applyAlignment="1">
      <alignment horizontal="left"/>
    </xf>
    <xf numFmtId="0" fontId="48" fillId="0" borderId="0" xfId="41" quotePrefix="1"/>
    <xf numFmtId="39" fontId="48" fillId="0" borderId="0" xfId="42" applyNumberFormat="1"/>
    <xf numFmtId="39" fontId="48" fillId="0" borderId="0" xfId="42" quotePrefix="1" applyNumberFormat="1"/>
    <xf numFmtId="169" fontId="30" fillId="0" borderId="0" xfId="0" applyNumberFormat="1" applyFont="1"/>
    <xf numFmtId="0" fontId="31" fillId="0" borderId="0" xfId="0" applyFont="1" applyAlignment="1">
      <alignment horizontal="center"/>
    </xf>
    <xf numFmtId="0" fontId="31" fillId="0" borderId="0" xfId="0" applyFont="1"/>
    <xf numFmtId="170" fontId="31" fillId="0" borderId="0" xfId="0" applyNumberFormat="1" applyFont="1"/>
    <xf numFmtId="4" fontId="31" fillId="0" borderId="0" xfId="0" applyNumberFormat="1" applyFont="1"/>
    <xf numFmtId="168" fontId="31" fillId="0" borderId="0" xfId="0" applyNumberFormat="1" applyFont="1"/>
    <xf numFmtId="2" fontId="31" fillId="0" borderId="0" xfId="0" applyNumberFormat="1" applyFont="1"/>
    <xf numFmtId="170" fontId="31" fillId="0" borderId="11" xfId="0" applyNumberFormat="1" applyFont="1" applyBorder="1" applyAlignment="1">
      <alignment horizontal="center"/>
    </xf>
    <xf numFmtId="4" fontId="32" fillId="0" borderId="11" xfId="0" applyNumberFormat="1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168" fontId="31" fillId="0" borderId="11" xfId="0" applyNumberFormat="1" applyFont="1" applyBorder="1" applyAlignment="1">
      <alignment horizontal="center"/>
    </xf>
    <xf numFmtId="2" fontId="31" fillId="0" borderId="11" xfId="0" applyNumberFormat="1" applyFont="1" applyBorder="1" applyAlignment="1">
      <alignment horizontal="center"/>
    </xf>
    <xf numFmtId="2" fontId="32" fillId="0" borderId="11" xfId="0" applyNumberFormat="1" applyFont="1" applyBorder="1" applyAlignment="1">
      <alignment horizontal="center"/>
    </xf>
    <xf numFmtId="170" fontId="33" fillId="0" borderId="0" xfId="0" applyNumberFormat="1" applyFont="1" applyAlignment="1">
      <alignment horizontal="center"/>
    </xf>
    <xf numFmtId="168" fontId="33" fillId="0" borderId="0" xfId="0" applyNumberFormat="1" applyFont="1" applyAlignment="1">
      <alignment horizontal="center"/>
    </xf>
    <xf numFmtId="0" fontId="31" fillId="0" borderId="11" xfId="0" applyFont="1" applyBorder="1" applyAlignment="1">
      <alignment horizontal="center"/>
    </xf>
    <xf numFmtId="169" fontId="35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3" fontId="31" fillId="0" borderId="17" xfId="28" applyNumberFormat="1" applyFont="1" applyBorder="1" applyProtection="1"/>
    <xf numFmtId="167" fontId="31" fillId="0" borderId="17" xfId="28" applyNumberFormat="1" applyFont="1" applyBorder="1" applyProtection="1"/>
    <xf numFmtId="171" fontId="31" fillId="0" borderId="17" xfId="28" applyNumberFormat="1" applyFont="1" applyBorder="1" applyProtection="1"/>
    <xf numFmtId="173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1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7" fontId="0" fillId="0" borderId="17" xfId="28" applyNumberFormat="1" applyFont="1" applyBorder="1" applyProtection="1"/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8" fillId="0" borderId="11" xfId="28" applyNumberFormat="1" applyFont="1" applyBorder="1" applyProtection="1"/>
    <xf numFmtId="175" fontId="0" fillId="0" borderId="11" xfId="0" applyNumberFormat="1" applyBorder="1"/>
    <xf numFmtId="171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8" fillId="0" borderId="11" xfId="0" applyNumberFormat="1" applyFont="1" applyBorder="1" applyAlignment="1">
      <alignment horizontal="center"/>
    </xf>
    <xf numFmtId="2" fontId="28" fillId="0" borderId="17" xfId="0" applyNumberFormat="1" applyFont="1" applyBorder="1" applyAlignment="1">
      <alignment horizontal="center"/>
    </xf>
    <xf numFmtId="165" fontId="28" fillId="0" borderId="11" xfId="28" applyFont="1" applyBorder="1" applyProtection="1"/>
    <xf numFmtId="173" fontId="28" fillId="0" borderId="17" xfId="28" applyNumberFormat="1" applyFont="1" applyBorder="1" applyProtection="1"/>
    <xf numFmtId="0" fontId="28" fillId="0" borderId="11" xfId="0" applyFont="1" applyBorder="1"/>
    <xf numFmtId="171" fontId="28" fillId="0" borderId="11" xfId="28" applyNumberFormat="1" applyFont="1" applyBorder="1" applyProtection="1"/>
    <xf numFmtId="38" fontId="28" fillId="0" borderId="11" xfId="28" applyNumberFormat="1" applyFont="1" applyBorder="1" applyProtection="1"/>
    <xf numFmtId="1" fontId="28" fillId="0" borderId="17" xfId="0" applyNumberFormat="1" applyFont="1" applyBorder="1" applyAlignment="1">
      <alignment horizontal="center"/>
    </xf>
    <xf numFmtId="165" fontId="28" fillId="0" borderId="17" xfId="28" applyFont="1" applyBorder="1" applyProtection="1"/>
    <xf numFmtId="177" fontId="0" fillId="0" borderId="0" xfId="0" applyNumberFormat="1"/>
    <xf numFmtId="173" fontId="31" fillId="0" borderId="0" xfId="28" applyNumberFormat="1" applyFont="1" applyBorder="1" applyProtection="1"/>
    <xf numFmtId="173" fontId="0" fillId="0" borderId="0" xfId="0" applyNumberFormat="1"/>
    <xf numFmtId="165" fontId="23" fillId="24" borderId="0" xfId="28" applyFont="1" applyFill="1" applyBorder="1" applyProtection="1">
      <protection locked="0"/>
    </xf>
    <xf numFmtId="0" fontId="23" fillId="24" borderId="0" xfId="0" applyFont="1" applyFill="1" applyProtection="1">
      <protection locked="0"/>
    </xf>
    <xf numFmtId="165" fontId="23" fillId="24" borderId="0" xfId="0" applyNumberFormat="1" applyFont="1" applyFill="1" applyProtection="1">
      <protection locked="0"/>
    </xf>
    <xf numFmtId="0" fontId="27" fillId="24" borderId="0" xfId="0" applyFont="1" applyFill="1" applyProtection="1">
      <protection locked="0"/>
    </xf>
    <xf numFmtId="180" fontId="0" fillId="0" borderId="0" xfId="0" applyNumberFormat="1" applyAlignment="1">
      <alignment horizontal="right" vertical="center"/>
    </xf>
    <xf numFmtId="165" fontId="46" fillId="24" borderId="10" xfId="0" applyNumberFormat="1" applyFont="1" applyFill="1" applyBorder="1" applyAlignment="1">
      <alignment horizontal="left"/>
    </xf>
    <xf numFmtId="172" fontId="47" fillId="0" borderId="11" xfId="45" applyNumberFormat="1" applyFont="1" applyBorder="1" applyAlignment="1">
      <alignment horizontal="center"/>
    </xf>
    <xf numFmtId="0" fontId="53" fillId="0" borderId="0" xfId="0" applyFont="1"/>
    <xf numFmtId="0" fontId="48" fillId="0" borderId="0" xfId="0" applyFont="1"/>
    <xf numFmtId="16" fontId="23" fillId="24" borderId="0" xfId="28" applyNumberFormat="1" applyFont="1" applyFill="1" applyBorder="1" applyProtection="1">
      <protection locked="0"/>
    </xf>
    <xf numFmtId="167" fontId="56" fillId="0" borderId="11" xfId="28" applyNumberFormat="1" applyFont="1" applyBorder="1" applyProtection="1"/>
    <xf numFmtId="164" fontId="42" fillId="0" borderId="11" xfId="29" applyFont="1" applyFill="1" applyBorder="1"/>
    <xf numFmtId="164" fontId="42" fillId="0" borderId="0" xfId="29" applyFont="1" applyFill="1"/>
    <xf numFmtId="164" fontId="43" fillId="25" borderId="11" xfId="29" applyFont="1" applyFill="1" applyBorder="1" applyAlignment="1">
      <alignment vertical="center"/>
    </xf>
    <xf numFmtId="178" fontId="43" fillId="0" borderId="0" xfId="29" applyNumberFormat="1" applyFont="1" applyFill="1" applyBorder="1" applyAlignment="1">
      <alignment vertical="center"/>
    </xf>
    <xf numFmtId="178" fontId="27" fillId="24" borderId="21" xfId="29" applyNumberFormat="1" applyFont="1" applyFill="1" applyBorder="1" applyAlignment="1" applyProtection="1">
      <alignment horizontal="right" vertical="center"/>
    </xf>
    <xf numFmtId="178" fontId="27" fillId="24" borderId="17" xfId="29" applyNumberFormat="1" applyFont="1" applyFill="1" applyBorder="1" applyAlignment="1" applyProtection="1">
      <alignment horizontal="right" vertical="center"/>
    </xf>
    <xf numFmtId="178" fontId="27" fillId="0" borderId="11" xfId="29" applyNumberFormat="1" applyFont="1" applyFill="1" applyBorder="1" applyAlignment="1" applyProtection="1">
      <alignment horizontal="right"/>
    </xf>
    <xf numFmtId="178" fontId="27" fillId="24" borderId="11" xfId="29" applyNumberFormat="1" applyFont="1" applyFill="1" applyBorder="1" applyAlignment="1" applyProtection="1">
      <alignment horizontal="right" vertical="center"/>
    </xf>
    <xf numFmtId="178" fontId="23" fillId="20" borderId="11" xfId="29" applyNumberFormat="1" applyFont="1" applyFill="1" applyBorder="1" applyAlignment="1" applyProtection="1">
      <alignment horizontal="right"/>
    </xf>
    <xf numFmtId="178" fontId="27" fillId="24" borderId="11" xfId="29" applyNumberFormat="1" applyFont="1" applyFill="1" applyBorder="1" applyAlignment="1" applyProtection="1">
      <alignment horizontal="right"/>
    </xf>
    <xf numFmtId="178" fontId="27" fillId="24" borderId="14" xfId="29" applyNumberFormat="1" applyFont="1" applyFill="1" applyBorder="1" applyAlignment="1" applyProtection="1">
      <alignment horizontal="right"/>
    </xf>
    <xf numFmtId="178" fontId="27" fillId="24" borderId="23" xfId="29" applyNumberFormat="1" applyFont="1" applyFill="1" applyBorder="1" applyAlignment="1" applyProtection="1">
      <alignment horizontal="right"/>
    </xf>
    <xf numFmtId="10" fontId="42" fillId="0" borderId="0" xfId="51" applyNumberFormat="1" applyFont="1" applyFill="1" applyBorder="1"/>
    <xf numFmtId="10" fontId="43" fillId="0" borderId="11" xfId="51" applyNumberFormat="1" applyFont="1" applyFill="1" applyBorder="1"/>
    <xf numFmtId="10" fontId="42" fillId="0" borderId="0" xfId="51" applyNumberFormat="1" applyFont="1" applyFill="1" applyBorder="1" applyAlignment="1">
      <alignment vertical="center"/>
    </xf>
    <xf numFmtId="10" fontId="43" fillId="27" borderId="0" xfId="51" applyNumberFormat="1" applyFont="1" applyFill="1" applyBorder="1"/>
    <xf numFmtId="10" fontId="43" fillId="0" borderId="11" xfId="51" applyNumberFormat="1" applyFont="1" applyFill="1" applyBorder="1" applyAlignment="1">
      <alignment vertical="center"/>
    </xf>
    <xf numFmtId="0" fontId="42" fillId="28" borderId="0" xfId="0" applyFont="1" applyFill="1"/>
    <xf numFmtId="0" fontId="52" fillId="28" borderId="0" xfId="0" applyFont="1" applyFill="1"/>
    <xf numFmtId="178" fontId="42" fillId="28" borderId="0" xfId="29" applyNumberFormat="1" applyFont="1" applyFill="1" applyBorder="1" applyAlignment="1">
      <alignment vertical="center"/>
    </xf>
    <xf numFmtId="0" fontId="42" fillId="28" borderId="0" xfId="0" applyFont="1" applyFill="1" applyAlignment="1">
      <alignment horizontal="right"/>
    </xf>
    <xf numFmtId="166" fontId="42" fillId="28" borderId="0" xfId="0" applyNumberFormat="1" applyFont="1" applyFill="1" applyAlignment="1">
      <alignment horizontal="right"/>
    </xf>
    <xf numFmtId="166" fontId="42" fillId="28" borderId="0" xfId="0" applyNumberFormat="1" applyFont="1" applyFill="1"/>
    <xf numFmtId="10" fontId="42" fillId="28" borderId="0" xfId="0" applyNumberFormat="1" applyFont="1" applyFill="1"/>
    <xf numFmtId="10" fontId="42" fillId="28" borderId="0" xfId="0" applyNumberFormat="1" applyFont="1" applyFill="1" applyAlignment="1">
      <alignment horizontal="right"/>
    </xf>
    <xf numFmtId="165" fontId="43" fillId="28" borderId="0" xfId="0" applyNumberFormat="1" applyFont="1" applyFill="1" applyAlignment="1">
      <alignment horizontal="right"/>
    </xf>
    <xf numFmtId="166" fontId="43" fillId="28" borderId="0" xfId="51" applyNumberFormat="1" applyFont="1" applyFill="1" applyBorder="1" applyAlignment="1">
      <alignment vertical="center"/>
    </xf>
    <xf numFmtId="178" fontId="43" fillId="25" borderId="13" xfId="29" applyNumberFormat="1" applyFont="1" applyFill="1" applyBorder="1" applyAlignment="1">
      <alignment vertical="center"/>
    </xf>
    <xf numFmtId="178" fontId="43" fillId="25" borderId="19" xfId="29" applyNumberFormat="1" applyFont="1" applyFill="1" applyBorder="1" applyAlignment="1">
      <alignment vertical="center"/>
    </xf>
    <xf numFmtId="166" fontId="43" fillId="25" borderId="19" xfId="51" applyNumberFormat="1" applyFont="1" applyFill="1" applyBorder="1" applyAlignment="1">
      <alignment vertical="center"/>
    </xf>
    <xf numFmtId="0" fontId="42" fillId="0" borderId="17" xfId="0" applyFont="1" applyBorder="1"/>
    <xf numFmtId="10" fontId="50" fillId="29" borderId="11" xfId="51" applyNumberFormat="1" applyFont="1" applyFill="1" applyBorder="1" applyAlignment="1">
      <alignment vertical="center"/>
    </xf>
    <xf numFmtId="178" fontId="43" fillId="4" borderId="11" xfId="29" applyNumberFormat="1" applyFont="1" applyFill="1" applyBorder="1" applyAlignment="1">
      <alignment horizontal="center"/>
    </xf>
    <xf numFmtId="10" fontId="50" fillId="4" borderId="11" xfId="51" applyNumberFormat="1" applyFont="1" applyFill="1" applyBorder="1" applyAlignment="1">
      <alignment vertical="center"/>
    </xf>
    <xf numFmtId="0" fontId="45" fillId="0" borderId="0" xfId="0" applyFont="1"/>
    <xf numFmtId="0" fontId="0" fillId="0" borderId="68" xfId="0" applyBorder="1"/>
    <xf numFmtId="0" fontId="0" fillId="0" borderId="27" xfId="0" applyBorder="1"/>
    <xf numFmtId="0" fontId="45" fillId="0" borderId="27" xfId="0" applyFont="1" applyBorder="1"/>
    <xf numFmtId="167" fontId="33" fillId="30" borderId="13" xfId="28" applyNumberFormat="1" applyFont="1" applyFill="1" applyBorder="1" applyAlignment="1" applyProtection="1">
      <alignment horizontal="center"/>
    </xf>
    <xf numFmtId="167" fontId="33" fillId="30" borderId="11" xfId="28" applyNumberFormat="1" applyFont="1" applyFill="1" applyBorder="1" applyAlignment="1" applyProtection="1">
      <alignment horizontal="center"/>
    </xf>
    <xf numFmtId="168" fontId="37" fillId="30" borderId="13" xfId="0" applyNumberFormat="1" applyFont="1" applyFill="1" applyBorder="1" applyAlignment="1">
      <alignment horizontal="center" vertical="center" wrapText="1"/>
    </xf>
    <xf numFmtId="167" fontId="33" fillId="31" borderId="13" xfId="28" applyNumberFormat="1" applyFont="1" applyFill="1" applyBorder="1" applyAlignment="1" applyProtection="1">
      <alignment horizontal="center"/>
    </xf>
    <xf numFmtId="167" fontId="33" fillId="31" borderId="11" xfId="28" applyNumberFormat="1" applyFont="1" applyFill="1" applyBorder="1" applyAlignment="1" applyProtection="1">
      <alignment horizontal="center"/>
    </xf>
    <xf numFmtId="168" fontId="37" fillId="31" borderId="13" xfId="0" applyNumberFormat="1" applyFont="1" applyFill="1" applyBorder="1" applyAlignment="1">
      <alignment horizontal="center" vertical="center" wrapText="1"/>
    </xf>
    <xf numFmtId="167" fontId="33" fillId="32" borderId="13" xfId="28" applyNumberFormat="1" applyFont="1" applyFill="1" applyBorder="1" applyAlignment="1" applyProtection="1">
      <alignment horizontal="center"/>
    </xf>
    <xf numFmtId="167" fontId="33" fillId="32" borderId="11" xfId="28" applyNumberFormat="1" applyFont="1" applyFill="1" applyBorder="1" applyAlignment="1" applyProtection="1">
      <alignment horizontal="center"/>
    </xf>
    <xf numFmtId="168" fontId="37" fillId="32" borderId="13" xfId="0" applyNumberFormat="1" applyFont="1" applyFill="1" applyBorder="1" applyAlignment="1">
      <alignment horizontal="center" vertical="center" wrapText="1"/>
    </xf>
    <xf numFmtId="167" fontId="33" fillId="33" borderId="13" xfId="28" applyNumberFormat="1" applyFont="1" applyFill="1" applyBorder="1" applyAlignment="1" applyProtection="1">
      <alignment horizontal="center"/>
    </xf>
    <xf numFmtId="167" fontId="33" fillId="33" borderId="11" xfId="28" applyNumberFormat="1" applyFont="1" applyFill="1" applyBorder="1" applyAlignment="1" applyProtection="1">
      <alignment horizontal="center"/>
    </xf>
    <xf numFmtId="168" fontId="37" fillId="33" borderId="13" xfId="0" applyNumberFormat="1" applyFont="1" applyFill="1" applyBorder="1" applyAlignment="1">
      <alignment horizontal="center" vertical="center" wrapText="1"/>
    </xf>
    <xf numFmtId="167" fontId="33" fillId="34" borderId="11" xfId="28" applyNumberFormat="1" applyFont="1" applyFill="1" applyBorder="1" applyAlignment="1" applyProtection="1">
      <alignment horizontal="center"/>
    </xf>
    <xf numFmtId="167" fontId="33" fillId="35" borderId="13" xfId="28" applyNumberFormat="1" applyFont="1" applyFill="1" applyBorder="1" applyAlignment="1" applyProtection="1">
      <alignment horizontal="center"/>
    </xf>
    <xf numFmtId="167" fontId="33" fillId="35" borderId="11" xfId="28" applyNumberFormat="1" applyFont="1" applyFill="1" applyBorder="1" applyAlignment="1" applyProtection="1">
      <alignment horizontal="center"/>
    </xf>
    <xf numFmtId="168" fontId="37" fillId="35" borderId="13" xfId="0" applyNumberFormat="1" applyFont="1" applyFill="1" applyBorder="1" applyAlignment="1">
      <alignment horizontal="center" vertical="center" wrapText="1"/>
    </xf>
    <xf numFmtId="167" fontId="33" fillId="36" borderId="11" xfId="28" applyNumberFormat="1" applyFont="1" applyFill="1" applyBorder="1" applyAlignment="1" applyProtection="1">
      <alignment horizontal="center"/>
    </xf>
    <xf numFmtId="167" fontId="33" fillId="27" borderId="11" xfId="28" applyNumberFormat="1" applyFont="1" applyFill="1" applyBorder="1" applyAlignment="1" applyProtection="1">
      <alignment horizontal="center"/>
    </xf>
    <xf numFmtId="167" fontId="33" fillId="37" borderId="11" xfId="28" applyNumberFormat="1" applyFont="1" applyFill="1" applyBorder="1" applyAlignment="1" applyProtection="1">
      <alignment horizontal="center"/>
    </xf>
    <xf numFmtId="167" fontId="33" fillId="38" borderId="11" xfId="28" applyNumberFormat="1" applyFont="1" applyFill="1" applyBorder="1" applyAlignment="1" applyProtection="1">
      <alignment horizontal="center"/>
    </xf>
    <xf numFmtId="167" fontId="33" fillId="27" borderId="17" xfId="28" applyNumberFormat="1" applyFont="1" applyFill="1" applyBorder="1" applyAlignment="1" applyProtection="1">
      <alignment horizontal="center"/>
    </xf>
    <xf numFmtId="0" fontId="28" fillId="27" borderId="11" xfId="0" applyFont="1" applyFill="1" applyBorder="1"/>
    <xf numFmtId="0" fontId="28" fillId="0" borderId="11" xfId="28" applyNumberFormat="1" applyFont="1" applyBorder="1" applyProtection="1"/>
    <xf numFmtId="178" fontId="58" fillId="0" borderId="0" xfId="29" applyNumberFormat="1" applyFont="1" applyProtection="1"/>
    <xf numFmtId="9" fontId="0" fillId="0" borderId="0" xfId="51" applyFont="1" applyProtection="1"/>
    <xf numFmtId="0" fontId="45" fillId="0" borderId="70" xfId="0" applyFont="1" applyBorder="1"/>
    <xf numFmtId="0" fontId="45" fillId="0" borderId="37" xfId="0" applyFont="1" applyBorder="1"/>
    <xf numFmtId="2" fontId="0" fillId="0" borderId="71" xfId="0" applyNumberFormat="1" applyBorder="1" applyAlignment="1">
      <alignment vertical="center"/>
    </xf>
    <xf numFmtId="2" fontId="0" fillId="0" borderId="41" xfId="0" applyNumberFormat="1" applyBorder="1" applyAlignment="1">
      <alignment vertical="center"/>
    </xf>
    <xf numFmtId="10" fontId="42" fillId="0" borderId="11" xfId="51" applyNumberFormat="1" applyFont="1" applyFill="1" applyBorder="1" applyAlignment="1">
      <alignment vertical="center"/>
    </xf>
    <xf numFmtId="16" fontId="48" fillId="0" borderId="11" xfId="41" applyNumberFormat="1" applyBorder="1"/>
    <xf numFmtId="0" fontId="0" fillId="0" borderId="17" xfId="28" applyNumberFormat="1" applyFont="1" applyBorder="1" applyProtection="1"/>
    <xf numFmtId="2" fontId="39" fillId="0" borderId="11" xfId="46" applyNumberFormat="1" applyFont="1" applyBorder="1" applyAlignment="1">
      <alignment horizontal="center"/>
    </xf>
    <xf numFmtId="2" fontId="42" fillId="0" borderId="0" xfId="0" applyNumberFormat="1" applyFont="1"/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5" fillId="0" borderId="11" xfId="0" quotePrefix="1" applyFont="1" applyBorder="1" applyAlignment="1" applyProtection="1">
      <alignment horizontal="center" vertical="center"/>
      <protection locked="0"/>
    </xf>
    <xf numFmtId="0" fontId="0" fillId="0" borderId="63" xfId="0" applyBorder="1" applyAlignment="1">
      <alignment horizontal="center" vertical="center"/>
    </xf>
    <xf numFmtId="4" fontId="0" fillId="0" borderId="63" xfId="0" applyNumberFormat="1" applyBorder="1" applyAlignment="1">
      <alignment vertical="center" wrapText="1"/>
    </xf>
    <xf numFmtId="4" fontId="0" fillId="0" borderId="63" xfId="0" applyNumberFormat="1" applyBorder="1" applyAlignment="1">
      <alignment vertical="center"/>
    </xf>
    <xf numFmtId="168" fontId="0" fillId="0" borderId="63" xfId="0" applyNumberFormat="1" applyBorder="1" applyAlignment="1">
      <alignment vertical="center"/>
    </xf>
    <xf numFmtId="2" fontId="0" fillId="0" borderId="63" xfId="0" applyNumberFormat="1" applyBorder="1" applyAlignment="1">
      <alignment vertical="center" wrapText="1"/>
    </xf>
    <xf numFmtId="16" fontId="28" fillId="0" borderId="67" xfId="0" applyNumberFormat="1" applyFont="1" applyBorder="1" applyAlignment="1">
      <alignment vertical="center"/>
    </xf>
    <xf numFmtId="0" fontId="28" fillId="0" borderId="67" xfId="0" applyFont="1" applyBorder="1" applyAlignment="1">
      <alignment horizontal="center" vertical="center"/>
    </xf>
    <xf numFmtId="4" fontId="28" fillId="0" borderId="67" xfId="0" applyNumberFormat="1" applyFont="1" applyBorder="1" applyAlignment="1">
      <alignment vertical="center"/>
    </xf>
    <xf numFmtId="170" fontId="28" fillId="0" borderId="67" xfId="0" applyNumberFormat="1" applyFont="1" applyBorder="1" applyAlignment="1">
      <alignment vertical="center"/>
    </xf>
    <xf numFmtId="168" fontId="28" fillId="0" borderId="67" xfId="0" applyNumberFormat="1" applyFont="1" applyBorder="1" applyAlignment="1">
      <alignment vertical="center"/>
    </xf>
    <xf numFmtId="2" fontId="28" fillId="0" borderId="67" xfId="0" applyNumberFormat="1" applyFont="1" applyBorder="1" applyAlignment="1">
      <alignment vertical="center" wrapText="1"/>
    </xf>
    <xf numFmtId="4" fontId="28" fillId="0" borderId="67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1" applyFont="1" applyBorder="1" applyAlignment="1" applyProtection="1">
      <alignment horizontal="center" vertical="center"/>
      <protection locked="0"/>
    </xf>
    <xf numFmtId="9" fontId="0" fillId="0" borderId="63" xfId="51" applyFont="1" applyBorder="1" applyAlignment="1" applyProtection="1">
      <alignment horizontal="center" vertical="center"/>
    </xf>
    <xf numFmtId="9" fontId="28" fillId="0" borderId="67" xfId="51" applyFont="1" applyFill="1" applyBorder="1" applyAlignment="1" applyProtection="1">
      <alignment horizontal="center" vertical="center"/>
    </xf>
    <xf numFmtId="0" fontId="0" fillId="0" borderId="11" xfId="0" quotePrefix="1" applyBorder="1" applyAlignment="1" applyProtection="1">
      <alignment horizontal="center" vertical="center"/>
      <protection locked="0"/>
    </xf>
    <xf numFmtId="2" fontId="0" fillId="0" borderId="17" xfId="28" applyNumberFormat="1" applyFont="1" applyBorder="1" applyProtection="1"/>
    <xf numFmtId="10" fontId="45" fillId="0" borderId="11" xfId="51" applyNumberFormat="1" applyFont="1" applyFill="1" applyBorder="1" applyAlignment="1" applyProtection="1">
      <alignment horizontal="center" vertical="center"/>
      <protection locked="0"/>
    </xf>
    <xf numFmtId="10" fontId="45" fillId="27" borderId="11" xfId="51" applyNumberFormat="1" applyFont="1" applyFill="1" applyBorder="1" applyAlignment="1" applyProtection="1">
      <alignment horizontal="center" vertical="center"/>
      <protection locked="0"/>
    </xf>
    <xf numFmtId="2" fontId="39" fillId="0" borderId="11" xfId="45" applyNumberFormat="1" applyFont="1" applyBorder="1" applyAlignment="1">
      <alignment horizontal="center"/>
    </xf>
    <xf numFmtId="165" fontId="43" fillId="33" borderId="11" xfId="29" applyNumberFormat="1" applyFont="1" applyFill="1" applyBorder="1" applyAlignment="1">
      <alignment vertical="center"/>
    </xf>
    <xf numFmtId="0" fontId="45" fillId="0" borderId="11" xfId="0" applyFont="1" applyBorder="1" applyAlignment="1" applyProtection="1">
      <alignment horizontal="center" vertical="center"/>
      <protection locked="0"/>
    </xf>
    <xf numFmtId="0" fontId="38" fillId="27" borderId="11" xfId="0" applyFont="1" applyFill="1" applyBorder="1" applyAlignment="1">
      <alignment horizontal="center" vertical="center" wrapText="1"/>
    </xf>
    <xf numFmtId="10" fontId="45" fillId="27" borderId="63" xfId="51" applyNumberFormat="1" applyFont="1" applyFill="1" applyBorder="1" applyAlignment="1" applyProtection="1">
      <alignment horizontal="center" vertical="center"/>
      <protection locked="0"/>
    </xf>
    <xf numFmtId="0" fontId="38" fillId="27" borderId="11" xfId="0" applyFont="1" applyFill="1" applyBorder="1" applyAlignment="1">
      <alignment vertical="center" wrapText="1"/>
    </xf>
    <xf numFmtId="0" fontId="59" fillId="0" borderId="0" xfId="0" applyFont="1"/>
    <xf numFmtId="178" fontId="43" fillId="0" borderId="17" xfId="29" applyNumberFormat="1" applyFont="1" applyFill="1" applyBorder="1" applyAlignment="1">
      <alignment horizontal="center" vertical="center" wrapText="1"/>
    </xf>
    <xf numFmtId="178" fontId="43" fillId="0" borderId="17" xfId="29" applyNumberFormat="1" applyFont="1" applyFill="1" applyBorder="1" applyAlignment="1">
      <alignment vertical="center" wrapText="1"/>
    </xf>
    <xf numFmtId="178" fontId="42" fillId="0" borderId="19" xfId="29" applyNumberFormat="1" applyFont="1" applyFill="1" applyBorder="1" applyAlignment="1">
      <alignment vertical="center"/>
    </xf>
    <xf numFmtId="0" fontId="60" fillId="41" borderId="0" xfId="0" applyFont="1" applyFill="1"/>
    <xf numFmtId="0" fontId="61" fillId="41" borderId="0" xfId="0" applyFont="1" applyFill="1"/>
    <xf numFmtId="181" fontId="43" fillId="25" borderId="11" xfId="29" applyNumberFormat="1" applyFont="1" applyFill="1" applyBorder="1" applyAlignment="1">
      <alignment vertical="center"/>
    </xf>
    <xf numFmtId="177" fontId="42" fillId="0" borderId="11" xfId="0" applyNumberFormat="1" applyFont="1" applyBorder="1" applyAlignment="1">
      <alignment horizontal="center" vertical="center" wrapText="1"/>
    </xf>
    <xf numFmtId="0" fontId="27" fillId="24" borderId="14" xfId="0" quotePrefix="1" applyFont="1" applyFill="1" applyBorder="1" applyAlignment="1" applyProtection="1">
      <alignment wrapText="1"/>
      <protection locked="0"/>
    </xf>
    <xf numFmtId="3" fontId="60" fillId="41" borderId="0" xfId="0" applyNumberFormat="1" applyFont="1" applyFill="1"/>
    <xf numFmtId="3" fontId="61" fillId="41" borderId="0" xfId="0" applyNumberFormat="1" applyFont="1" applyFill="1"/>
    <xf numFmtId="17" fontId="0" fillId="0" borderId="11" xfId="0" quotePrefix="1" applyNumberFormat="1" applyBorder="1" applyAlignment="1" applyProtection="1">
      <alignment horizontal="center" vertical="center"/>
      <protection locked="0"/>
    </xf>
    <xf numFmtId="0" fontId="0" fillId="0" borderId="0" xfId="0" applyAlignment="1">
      <alignment horizontal="right"/>
    </xf>
    <xf numFmtId="2" fontId="59" fillId="27" borderId="11" xfId="0" applyNumberFormat="1" applyFont="1" applyFill="1" applyBorder="1" applyAlignment="1">
      <alignment horizontal="center" vertical="center" wrapText="1"/>
    </xf>
    <xf numFmtId="0" fontId="59" fillId="27" borderId="11" xfId="0" applyFont="1" applyFill="1" applyBorder="1" applyAlignment="1">
      <alignment horizontal="center" vertical="center" wrapText="1"/>
    </xf>
    <xf numFmtId="9" fontId="59" fillId="27" borderId="11" xfId="51" applyFont="1" applyFill="1" applyBorder="1" applyAlignment="1">
      <alignment horizontal="center" vertical="center" wrapText="1"/>
    </xf>
    <xf numFmtId="10" fontId="0" fillId="0" borderId="11" xfId="51" applyNumberFormat="1" applyFont="1" applyFill="1" applyBorder="1" applyAlignment="1">
      <alignment horizontal="center" vertical="center"/>
    </xf>
    <xf numFmtId="0" fontId="59" fillId="0" borderId="61" xfId="0" applyFont="1" applyBorder="1" applyAlignment="1">
      <alignment vertical="center"/>
    </xf>
    <xf numFmtId="10" fontId="0" fillId="0" borderId="11" xfId="51" applyNumberFormat="1" applyFont="1" applyBorder="1" applyAlignment="1">
      <alignment horizontal="center"/>
    </xf>
    <xf numFmtId="10" fontId="59" fillId="0" borderId="11" xfId="51" applyNumberFormat="1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11" xfId="0" applyNumberFormat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center"/>
    </xf>
    <xf numFmtId="14" fontId="59" fillId="0" borderId="0" xfId="0" applyNumberFormat="1" applyFont="1" applyAlignment="1">
      <alignment horizontal="center" vertical="center"/>
    </xf>
    <xf numFmtId="2" fontId="59" fillId="0" borderId="0" xfId="0" applyNumberFormat="1" applyFont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0" fillId="27" borderId="11" xfId="0" applyFill="1" applyBorder="1"/>
    <xf numFmtId="10" fontId="0" fillId="0" borderId="11" xfId="51" applyNumberFormat="1" applyFont="1" applyBorder="1"/>
    <xf numFmtId="10" fontId="0" fillId="0" borderId="11" xfId="0" applyNumberFormat="1" applyBorder="1" applyAlignment="1">
      <alignment horizontal="right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2" fontId="59" fillId="39" borderId="11" xfId="0" applyNumberFormat="1" applyFont="1" applyFill="1" applyBorder="1" applyAlignment="1">
      <alignment horizontal="center"/>
    </xf>
    <xf numFmtId="10" fontId="59" fillId="39" borderId="11" xfId="51" applyNumberFormat="1" applyFont="1" applyFill="1" applyBorder="1" applyAlignment="1">
      <alignment horizontal="center"/>
    </xf>
    <xf numFmtId="0" fontId="28" fillId="39" borderId="11" xfId="0" applyFont="1" applyFill="1" applyBorder="1"/>
    <xf numFmtId="0" fontId="39" fillId="0" borderId="11" xfId="57" applyFont="1" applyBorder="1" applyAlignment="1">
      <alignment horizontal="left"/>
    </xf>
    <xf numFmtId="0" fontId="45" fillId="0" borderId="11" xfId="0" applyFont="1" applyBorder="1"/>
    <xf numFmtId="0" fontId="39" fillId="50" borderId="11" xfId="57" applyFont="1" applyFill="1" applyBorder="1" applyAlignment="1">
      <alignment horizontal="left"/>
    </xf>
    <xf numFmtId="0" fontId="0" fillId="51" borderId="11" xfId="0" applyFill="1" applyBorder="1"/>
    <xf numFmtId="0" fontId="45" fillId="51" borderId="11" xfId="0" applyFont="1" applyFill="1" applyBorder="1"/>
    <xf numFmtId="10" fontId="0" fillId="50" borderId="17" xfId="51" applyNumberFormat="1" applyFont="1" applyFill="1" applyBorder="1"/>
    <xf numFmtId="10" fontId="0" fillId="0" borderId="17" xfId="51" applyNumberFormat="1" applyFont="1" applyBorder="1"/>
    <xf numFmtId="0" fontId="39" fillId="0" borderId="19" xfId="57" applyFont="1" applyBorder="1" applyAlignment="1">
      <alignment horizontal="left"/>
    </xf>
    <xf numFmtId="0" fontId="31" fillId="0" borderId="11" xfId="57" applyFont="1" applyBorder="1" applyAlignment="1">
      <alignment horizontal="left"/>
    </xf>
    <xf numFmtId="0" fontId="65" fillId="0" borderId="11" xfId="57" applyFont="1" applyBorder="1" applyAlignment="1">
      <alignment horizontal="left"/>
    </xf>
    <xf numFmtId="10" fontId="64" fillId="27" borderId="11" xfId="51" applyNumberFormat="1" applyFont="1" applyFill="1" applyBorder="1"/>
    <xf numFmtId="10" fontId="28" fillId="0" borderId="11" xfId="0" applyNumberFormat="1" applyFont="1" applyBorder="1"/>
    <xf numFmtId="0" fontId="45" fillId="0" borderId="0" xfId="0" quotePrefix="1" applyFont="1"/>
    <xf numFmtId="0" fontId="66" fillId="24" borderId="13" xfId="0" quotePrefix="1" applyFont="1" applyFill="1" applyBorder="1" applyAlignment="1" applyProtection="1">
      <alignment wrapText="1"/>
      <protection locked="0"/>
    </xf>
    <xf numFmtId="16" fontId="45" fillId="0" borderId="11" xfId="0" quotePrefix="1" applyNumberFormat="1" applyFont="1" applyBorder="1" applyAlignment="1" applyProtection="1">
      <alignment horizontal="center" vertical="center"/>
      <protection locked="0"/>
    </xf>
    <xf numFmtId="0" fontId="0" fillId="0" borderId="0" xfId="0" quotePrefix="1"/>
    <xf numFmtId="0" fontId="0" fillId="0" borderId="11" xfId="0" applyBorder="1" applyAlignment="1">
      <alignment horizontal="center" vertical="center"/>
    </xf>
    <xf numFmtId="0" fontId="0" fillId="41" borderId="11" xfId="0" applyFill="1" applyBorder="1"/>
    <xf numFmtId="0" fontId="45" fillId="0" borderId="58" xfId="56" applyBorder="1"/>
    <xf numFmtId="0" fontId="45" fillId="0" borderId="23" xfId="56" applyBorder="1"/>
    <xf numFmtId="0" fontId="45" fillId="0" borderId="24" xfId="56" applyBorder="1"/>
    <xf numFmtId="165" fontId="0" fillId="0" borderId="11" xfId="51" applyNumberFormat="1" applyFont="1" applyFill="1" applyBorder="1"/>
    <xf numFmtId="165" fontId="0" fillId="0" borderId="50" xfId="51" applyNumberFormat="1" applyFont="1" applyFill="1" applyBorder="1"/>
    <xf numFmtId="10" fontId="45" fillId="0" borderId="10" xfId="56" applyNumberFormat="1" applyBorder="1"/>
    <xf numFmtId="10" fontId="45" fillId="0" borderId="11" xfId="56" applyNumberFormat="1" applyBorder="1"/>
    <xf numFmtId="165" fontId="45" fillId="0" borderId="11" xfId="51" applyNumberFormat="1" applyFont="1" applyFill="1" applyBorder="1"/>
    <xf numFmtId="165" fontId="45" fillId="0" borderId="50" xfId="51" applyNumberFormat="1" applyFont="1" applyFill="1" applyBorder="1"/>
    <xf numFmtId="0" fontId="22" fillId="0" borderId="0" xfId="41" applyFont="1"/>
    <xf numFmtId="178" fontId="43" fillId="4" borderId="14" xfId="29" applyNumberFormat="1" applyFont="1" applyFill="1" applyBorder="1" applyAlignment="1">
      <alignment horizontal="center" vertical="center" wrapText="1"/>
    </xf>
    <xf numFmtId="10" fontId="45" fillId="0" borderId="57" xfId="56" applyNumberFormat="1" applyBorder="1"/>
    <xf numFmtId="10" fontId="45" fillId="0" borderId="21" xfId="56" applyNumberFormat="1" applyBorder="1"/>
    <xf numFmtId="165" fontId="0" fillId="0" borderId="21" xfId="51" applyNumberFormat="1" applyFont="1" applyFill="1" applyBorder="1"/>
    <xf numFmtId="165" fontId="45" fillId="0" borderId="21" xfId="51" applyNumberFormat="1" applyFont="1" applyFill="1" applyBorder="1"/>
    <xf numFmtId="165" fontId="45" fillId="0" borderId="48" xfId="51" applyNumberFormat="1" applyFont="1" applyFill="1" applyBorder="1"/>
    <xf numFmtId="0" fontId="45" fillId="0" borderId="11" xfId="0" applyFon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0" fontId="0" fillId="27" borderId="0" xfId="0" applyNumberFormat="1" applyFill="1"/>
    <xf numFmtId="178" fontId="43" fillId="42" borderId="11" xfId="58" applyNumberFormat="1" applyFont="1" applyFill="1" applyBorder="1" applyAlignment="1">
      <alignment horizontal="center" vertical="center" wrapText="1"/>
    </xf>
    <xf numFmtId="178" fontId="43" fillId="26" borderId="14" xfId="58" applyNumberFormat="1" applyFont="1" applyFill="1" applyBorder="1" applyAlignment="1">
      <alignment horizontal="center" vertical="center" wrapText="1"/>
    </xf>
    <xf numFmtId="178" fontId="43" fillId="26" borderId="11" xfId="58" applyNumberFormat="1" applyFont="1" applyFill="1" applyBorder="1" applyAlignment="1">
      <alignment horizontal="center" vertical="center" wrapText="1"/>
    </xf>
    <xf numFmtId="178" fontId="43" fillId="42" borderId="14" xfId="58" applyNumberFormat="1" applyFont="1" applyFill="1" applyBorder="1" applyAlignment="1">
      <alignment horizontal="center" vertical="center" wrapText="1"/>
    </xf>
    <xf numFmtId="10" fontId="43" fillId="28" borderId="0" xfId="0" applyNumberFormat="1" applyFont="1" applyFill="1"/>
    <xf numFmtId="2" fontId="0" fillId="0" borderId="0" xfId="28" applyNumberFormat="1" applyFont="1" applyAlignment="1"/>
    <xf numFmtId="2" fontId="28" fillId="0" borderId="88" xfId="28" applyNumberFormat="1" applyFont="1" applyFill="1" applyBorder="1" applyAlignment="1" applyProtection="1">
      <alignment horizontal="center" vertical="center"/>
    </xf>
    <xf numFmtId="2" fontId="28" fillId="0" borderId="90" xfId="28" applyNumberFormat="1" applyFont="1" applyBorder="1" applyAlignment="1">
      <alignment horizontal="center" vertical="center"/>
    </xf>
    <xf numFmtId="2" fontId="28" fillId="0" borderId="90" xfId="28" applyNumberFormat="1" applyFont="1" applyFill="1" applyBorder="1" applyAlignment="1" applyProtection="1">
      <alignment horizontal="center" vertical="center"/>
    </xf>
    <xf numFmtId="2" fontId="0" fillId="0" borderId="91" xfId="28" applyNumberFormat="1" applyFont="1" applyBorder="1" applyAlignment="1"/>
    <xf numFmtId="2" fontId="0" fillId="0" borderId="91" xfId="28" applyNumberFormat="1" applyFont="1" applyBorder="1" applyAlignment="1" applyProtection="1">
      <alignment horizontal="center" vertical="center"/>
      <protection hidden="1"/>
    </xf>
    <xf numFmtId="2" fontId="28" fillId="0" borderId="11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0" fontId="43" fillId="0" borderId="14" xfId="0" applyFont="1" applyBorder="1" applyAlignment="1">
      <alignment horizontal="center" vertical="center" wrapText="1"/>
    </xf>
    <xf numFmtId="178" fontId="43" fillId="4" borderId="14" xfId="29" applyNumberFormat="1" applyFont="1" applyFill="1" applyBorder="1" applyAlignment="1">
      <alignment horizontal="center" vertical="center" wrapText="1"/>
    </xf>
    <xf numFmtId="178" fontId="43" fillId="0" borderId="17" xfId="29" applyNumberFormat="1" applyFont="1" applyFill="1" applyBorder="1" applyAlignment="1">
      <alignment horizontal="center" vertical="center" wrapText="1"/>
    </xf>
    <xf numFmtId="164" fontId="43" fillId="0" borderId="14" xfId="29" applyFont="1" applyFill="1" applyBorder="1" applyAlignment="1">
      <alignment horizontal="center" vertical="center" wrapText="1"/>
    </xf>
    <xf numFmtId="0" fontId="59" fillId="0" borderId="11" xfId="0" applyFont="1" applyBorder="1" applyAlignment="1">
      <alignment horizontal="left" vertical="center"/>
    </xf>
    <xf numFmtId="0" fontId="59" fillId="27" borderId="1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1" applyNumberFormat="1" applyFont="1" applyFill="1" applyBorder="1" applyAlignment="1">
      <alignment horizontal="center" vertical="center"/>
    </xf>
    <xf numFmtId="0" fontId="45" fillId="0" borderId="11" xfId="0" applyFont="1" applyBorder="1" applyAlignment="1">
      <alignment vertical="top" wrapText="1"/>
    </xf>
    <xf numFmtId="0" fontId="45" fillId="0" borderId="90" xfId="56" applyBorder="1"/>
    <xf numFmtId="0" fontId="45" fillId="0" borderId="93" xfId="56" applyBorder="1"/>
    <xf numFmtId="165" fontId="0" fillId="0" borderId="48" xfId="51" applyNumberFormat="1" applyFont="1" applyFill="1" applyBorder="1"/>
    <xf numFmtId="173" fontId="27" fillId="24" borderId="11" xfId="28" applyNumberFormat="1" applyFont="1" applyFill="1" applyBorder="1" applyAlignment="1" applyProtection="1">
      <alignment horizontal="center"/>
      <protection locked="0"/>
    </xf>
    <xf numFmtId="0" fontId="45" fillId="0" borderId="0" xfId="0" applyFont="1" applyFill="1" applyBorder="1"/>
    <xf numFmtId="172" fontId="45" fillId="0" borderId="69" xfId="0" applyNumberFormat="1" applyFont="1" applyBorder="1"/>
    <xf numFmtId="0" fontId="0" fillId="0" borderId="0" xfId="0" applyBorder="1"/>
    <xf numFmtId="0" fontId="45" fillId="0" borderId="0" xfId="0" applyFont="1" applyBorder="1"/>
    <xf numFmtId="0" fontId="48" fillId="0" borderId="0" xfId="0" applyFont="1" applyBorder="1"/>
    <xf numFmtId="172" fontId="45" fillId="0" borderId="36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5" fillId="0" borderId="36" xfId="0" applyFont="1" applyBorder="1" applyAlignment="1">
      <alignment horizontal="center" vertical="center" wrapText="1"/>
    </xf>
    <xf numFmtId="1" fontId="48" fillId="0" borderId="40" xfId="0" applyNumberFormat="1" applyFont="1" applyBorder="1" applyAlignment="1">
      <alignment horizontal="center" vertical="center"/>
    </xf>
    <xf numFmtId="0" fontId="0" fillId="0" borderId="71" xfId="0" applyBorder="1"/>
    <xf numFmtId="0" fontId="45" fillId="0" borderId="95" xfId="56" applyBorder="1"/>
    <xf numFmtId="173" fontId="23" fillId="24" borderId="0" xfId="0" applyNumberFormat="1" applyFont="1" applyFill="1"/>
    <xf numFmtId="16" fontId="45" fillId="0" borderId="98" xfId="56" applyNumberFormat="1" applyBorder="1" applyAlignment="1">
      <alignment horizontal="center"/>
    </xf>
    <xf numFmtId="16" fontId="45" fillId="0" borderId="99" xfId="56" applyNumberFormat="1" applyBorder="1" applyAlignment="1">
      <alignment horizontal="center"/>
    </xf>
    <xf numFmtId="0" fontId="28" fillId="49" borderId="99" xfId="56" applyFont="1" applyFill="1" applyBorder="1" applyAlignment="1"/>
    <xf numFmtId="16" fontId="28" fillId="34" borderId="99" xfId="56" applyNumberFormat="1" applyFont="1" applyFill="1" applyBorder="1" applyAlignment="1"/>
    <xf numFmtId="16" fontId="28" fillId="44" borderId="99" xfId="56" applyNumberFormat="1" applyFont="1" applyFill="1" applyBorder="1" applyAlignment="1"/>
    <xf numFmtId="16" fontId="28" fillId="40" borderId="99" xfId="56" applyNumberFormat="1" applyFont="1" applyFill="1" applyBorder="1" applyAlignment="1"/>
    <xf numFmtId="16" fontId="28" fillId="35" borderId="99" xfId="56" applyNumberFormat="1" applyFont="1" applyFill="1" applyBorder="1" applyAlignment="1"/>
    <xf numFmtId="0" fontId="28" fillId="45" borderId="99" xfId="56" applyFont="1" applyFill="1" applyBorder="1" applyAlignment="1"/>
    <xf numFmtId="0" fontId="28" fillId="46" borderId="99" xfId="56" applyFont="1" applyFill="1" applyBorder="1" applyAlignment="1"/>
    <xf numFmtId="0" fontId="28" fillId="47" borderId="99" xfId="56" applyFont="1" applyFill="1" applyBorder="1" applyAlignment="1"/>
    <xf numFmtId="0" fontId="28" fillId="48" borderId="99" xfId="56" applyFont="1" applyFill="1" applyBorder="1" applyAlignment="1"/>
    <xf numFmtId="0" fontId="28" fillId="40" borderId="99" xfId="56" applyFont="1" applyFill="1" applyBorder="1" applyAlignment="1"/>
    <xf numFmtId="0" fontId="28" fillId="44" borderId="100" xfId="56" applyFont="1" applyFill="1" applyBorder="1" applyAlignment="1"/>
    <xf numFmtId="170" fontId="0" fillId="0" borderId="11" xfId="0" applyNumberFormat="1" applyBorder="1" applyAlignment="1" applyProtection="1">
      <alignment vertical="center" wrapText="1"/>
      <protection locked="0"/>
    </xf>
    <xf numFmtId="0" fontId="28" fillId="0" borderId="17" xfId="0" applyFont="1" applyBorder="1" applyAlignment="1">
      <alignment horizontal="center" vertical="center" wrapText="1"/>
    </xf>
    <xf numFmtId="1" fontId="43" fillId="0" borderId="0" xfId="51" applyNumberFormat="1" applyFont="1" applyFill="1" applyBorder="1" applyAlignment="1">
      <alignment vertical="center"/>
    </xf>
    <xf numFmtId="0" fontId="45" fillId="0" borderId="11" xfId="0" applyFont="1" applyBorder="1" applyAlignment="1">
      <alignment wrapText="1"/>
    </xf>
    <xf numFmtId="0" fontId="0" fillId="0" borderId="11" xfId="0" applyBorder="1" applyAlignment="1">
      <alignment horizontal="center"/>
    </xf>
    <xf numFmtId="176" fontId="23" fillId="24" borderId="0" xfId="0" applyNumberFormat="1" applyFont="1" applyFill="1"/>
    <xf numFmtId="0" fontId="45" fillId="0" borderId="92" xfId="56" applyBorder="1"/>
    <xf numFmtId="165" fontId="0" fillId="0" borderId="102" xfId="51" applyNumberFormat="1" applyFont="1" applyFill="1" applyBorder="1"/>
    <xf numFmtId="0" fontId="0" fillId="0" borderId="11" xfId="0" applyBorder="1" applyAlignment="1">
      <alignment horizontal="center" vertical="center"/>
    </xf>
    <xf numFmtId="170" fontId="0" fillId="0" borderId="11" xfId="0" applyNumberFormat="1" applyBorder="1" applyAlignment="1">
      <alignment vertical="justify"/>
    </xf>
    <xf numFmtId="0" fontId="45" fillId="0" borderId="0" xfId="56"/>
    <xf numFmtId="0" fontId="45" fillId="0" borderId="11" xfId="56" applyBorder="1"/>
    <xf numFmtId="0" fontId="45" fillId="0" borderId="0" xfId="56" applyFont="1" applyAlignment="1"/>
    <xf numFmtId="0" fontId="45" fillId="0" borderId="0" xfId="56" quotePrefix="1" applyFont="1"/>
    <xf numFmtId="0" fontId="45" fillId="0" borderId="0" xfId="56" applyAlignment="1"/>
    <xf numFmtId="1" fontId="45" fillId="27" borderId="40" xfId="0" applyNumberFormat="1" applyFont="1" applyFill="1" applyBorder="1" applyAlignment="1">
      <alignment horizontal="center" vertical="center"/>
    </xf>
    <xf numFmtId="0" fontId="27" fillId="24" borderId="102" xfId="0" quotePrefix="1" applyFont="1" applyFill="1" applyBorder="1" applyAlignment="1" applyProtection="1">
      <alignment wrapText="1"/>
      <protection locked="0"/>
    </xf>
    <xf numFmtId="0" fontId="45" fillId="0" borderId="26" xfId="56" applyBorder="1"/>
    <xf numFmtId="165" fontId="0" fillId="0" borderId="17" xfId="51" applyNumberFormat="1" applyFont="1" applyFill="1" applyBorder="1"/>
    <xf numFmtId="0" fontId="45" fillId="0" borderId="14" xfId="56" applyBorder="1"/>
    <xf numFmtId="0" fontId="45" fillId="0" borderId="51" xfId="56" applyBorder="1"/>
    <xf numFmtId="10" fontId="45" fillId="0" borderId="25" xfId="56" applyNumberFormat="1" applyBorder="1"/>
    <xf numFmtId="10" fontId="45" fillId="0" borderId="17" xfId="56" applyNumberFormat="1" applyBorder="1"/>
    <xf numFmtId="165" fontId="45" fillId="0" borderId="17" xfId="51" applyNumberFormat="1" applyFont="1" applyFill="1" applyBorder="1"/>
    <xf numFmtId="9" fontId="42" fillId="27" borderId="11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45" fillId="0" borderId="70" xfId="0" applyFont="1" applyFill="1" applyBorder="1"/>
    <xf numFmtId="17" fontId="45" fillId="0" borderId="11" xfId="0" quotePrefix="1" applyNumberFormat="1" applyFont="1" applyBorder="1" applyAlignment="1" applyProtection="1">
      <alignment horizontal="center" vertical="center"/>
      <protection locked="0"/>
    </xf>
    <xf numFmtId="2" fontId="45" fillId="0" borderId="71" xfId="0" applyNumberFormat="1" applyFont="1" applyBorder="1" applyAlignment="1">
      <alignment vertical="center"/>
    </xf>
    <xf numFmtId="9" fontId="42" fillId="33" borderId="11" xfId="0" applyNumberFormat="1" applyFont="1" applyFill="1" applyBorder="1" applyAlignment="1">
      <alignment horizontal="center" vertical="center" wrapText="1"/>
    </xf>
    <xf numFmtId="9" fontId="42" fillId="0" borderId="11" xfId="0" applyNumberFormat="1" applyFont="1" applyFill="1" applyBorder="1" applyAlignment="1">
      <alignment horizontal="center" vertical="center" wrapText="1"/>
    </xf>
    <xf numFmtId="172" fontId="45" fillId="0" borderId="0" xfId="0" applyNumberFormat="1" applyFont="1" applyBorder="1"/>
    <xf numFmtId="0" fontId="0" fillId="0" borderId="71" xfId="0" applyFill="1" applyBorder="1"/>
    <xf numFmtId="182" fontId="23" fillId="24" borderId="0" xfId="0" applyNumberFormat="1" applyFont="1" applyFill="1"/>
    <xf numFmtId="170" fontId="0" fillId="0" borderId="63" xfId="0" applyNumberFormat="1" applyBorder="1" applyAlignment="1">
      <alignment vertical="center"/>
    </xf>
    <xf numFmtId="170" fontId="36" fillId="0" borderId="0" xfId="28" applyNumberFormat="1" applyFont="1" applyBorder="1" applyAlignment="1" applyProtection="1">
      <alignment horizontal="right"/>
    </xf>
    <xf numFmtId="178" fontId="42" fillId="0" borderId="11" xfId="0" applyNumberFormat="1" applyFont="1" applyBorder="1"/>
    <xf numFmtId="178" fontId="42" fillId="0" borderId="0" xfId="0" applyNumberFormat="1" applyFont="1"/>
    <xf numFmtId="178" fontId="43" fillId="25" borderId="11" xfId="51" applyNumberFormat="1" applyFont="1" applyFill="1" applyBorder="1" applyAlignment="1">
      <alignment vertical="center"/>
    </xf>
    <xf numFmtId="178" fontId="42" fillId="28" borderId="0" xfId="0" applyNumberFormat="1" applyFont="1" applyFill="1"/>
    <xf numFmtId="2" fontId="28" fillId="49" borderId="102" xfId="56" applyNumberFormat="1" applyFont="1" applyFill="1" applyBorder="1" applyAlignment="1">
      <alignment horizontal="center"/>
    </xf>
    <xf numFmtId="2" fontId="28" fillId="49" borderId="104" xfId="56" applyNumberFormat="1" applyFont="1" applyFill="1" applyBorder="1" applyAlignment="1">
      <alignment horizontal="center"/>
    </xf>
    <xf numFmtId="2" fontId="28" fillId="49" borderId="11" xfId="56" applyNumberFormat="1" applyFont="1" applyFill="1" applyBorder="1" applyAlignment="1">
      <alignment horizontal="center"/>
    </xf>
    <xf numFmtId="10" fontId="28" fillId="49" borderId="28" xfId="56" applyNumberFormat="1" applyFont="1" applyFill="1" applyBorder="1" applyAlignment="1">
      <alignment horizontal="center"/>
    </xf>
    <xf numFmtId="10" fontId="28" fillId="49" borderId="104" xfId="56" applyNumberFormat="1" applyFont="1" applyFill="1" applyBorder="1" applyAlignment="1">
      <alignment horizontal="center"/>
    </xf>
    <xf numFmtId="10" fontId="28" fillId="49" borderId="102" xfId="56" applyNumberFormat="1" applyFont="1" applyFill="1" applyBorder="1" applyAlignment="1">
      <alignment horizontal="center"/>
    </xf>
    <xf numFmtId="10" fontId="28" fillId="34" borderId="102" xfId="56" applyNumberFormat="1" applyFont="1" applyFill="1" applyBorder="1" applyAlignment="1">
      <alignment horizontal="center"/>
    </xf>
    <xf numFmtId="10" fontId="28" fillId="34" borderId="104" xfId="56" applyNumberFormat="1" applyFont="1" applyFill="1" applyBorder="1" applyAlignment="1">
      <alignment horizontal="center"/>
    </xf>
    <xf numFmtId="0" fontId="45" fillId="0" borderId="96" xfId="56" applyBorder="1" applyAlignment="1">
      <alignment horizontal="center" vertical="center"/>
    </xf>
    <xf numFmtId="0" fontId="45" fillId="0" borderId="69" xfId="56" applyBorder="1" applyAlignment="1">
      <alignment horizontal="center" vertical="center"/>
    </xf>
    <xf numFmtId="0" fontId="45" fillId="0" borderId="97" xfId="56" applyBorder="1" applyAlignment="1">
      <alignment horizontal="center" vertical="center"/>
    </xf>
    <xf numFmtId="0" fontId="28" fillId="42" borderId="36" xfId="56" applyFont="1" applyFill="1" applyBorder="1" applyAlignment="1">
      <alignment horizontal="center" vertical="center"/>
    </xf>
    <xf numFmtId="0" fontId="28" fillId="42" borderId="54" xfId="56" applyFont="1" applyFill="1" applyBorder="1" applyAlignment="1">
      <alignment horizontal="center" vertical="center"/>
    </xf>
    <xf numFmtId="0" fontId="28" fillId="42" borderId="35" xfId="56" applyFont="1" applyFill="1" applyBorder="1" applyAlignment="1">
      <alignment horizontal="center" vertical="center"/>
    </xf>
    <xf numFmtId="0" fontId="28" fillId="43" borderId="36" xfId="56" applyFont="1" applyFill="1" applyBorder="1" applyAlignment="1">
      <alignment horizontal="center" vertical="center"/>
    </xf>
    <xf numFmtId="0" fontId="28" fillId="43" borderId="54" xfId="56" applyFont="1" applyFill="1" applyBorder="1" applyAlignment="1">
      <alignment horizontal="center" vertical="center"/>
    </xf>
    <xf numFmtId="0" fontId="28" fillId="43" borderId="35" xfId="56" applyFont="1" applyFill="1" applyBorder="1" applyAlignment="1">
      <alignment horizontal="center" vertical="center"/>
    </xf>
    <xf numFmtId="0" fontId="28" fillId="32" borderId="36" xfId="56" applyFont="1" applyFill="1" applyBorder="1" applyAlignment="1">
      <alignment horizontal="center" vertical="center" wrapText="1"/>
    </xf>
    <xf numFmtId="0" fontId="28" fillId="32" borderId="54" xfId="56" applyFont="1" applyFill="1" applyBorder="1" applyAlignment="1">
      <alignment horizontal="center" vertical="center" wrapText="1"/>
    </xf>
    <xf numFmtId="0" fontId="28" fillId="32" borderId="35" xfId="56" applyFont="1" applyFill="1" applyBorder="1" applyAlignment="1">
      <alignment horizontal="center" vertical="center" wrapText="1"/>
    </xf>
    <xf numFmtId="0" fontId="45" fillId="0" borderId="75" xfId="56" applyBorder="1" applyAlignment="1">
      <alignment horizontal="center"/>
    </xf>
    <xf numFmtId="0" fontId="45" fillId="0" borderId="77" xfId="56" applyBorder="1" applyAlignment="1">
      <alignment horizontal="center"/>
    </xf>
    <xf numFmtId="0" fontId="45" fillId="0" borderId="76" xfId="56" applyBorder="1" applyAlignment="1">
      <alignment horizontal="center"/>
    </xf>
    <xf numFmtId="0" fontId="45" fillId="0" borderId="78" xfId="56" applyBorder="1" applyAlignment="1">
      <alignment horizontal="center"/>
    </xf>
    <xf numFmtId="10" fontId="28" fillId="49" borderId="107" xfId="56" applyNumberFormat="1" applyFont="1" applyFill="1" applyBorder="1" applyAlignment="1">
      <alignment horizontal="center"/>
    </xf>
    <xf numFmtId="4" fontId="28" fillId="49" borderId="102" xfId="56" applyNumberFormat="1" applyFont="1" applyFill="1" applyBorder="1" applyAlignment="1">
      <alignment horizontal="center"/>
    </xf>
    <xf numFmtId="4" fontId="28" fillId="49" borderId="104" xfId="56" applyNumberFormat="1" applyFont="1" applyFill="1" applyBorder="1" applyAlignment="1">
      <alignment horizontal="center"/>
    </xf>
    <xf numFmtId="165" fontId="28" fillId="49" borderId="102" xfId="56" applyNumberFormat="1" applyFont="1" applyFill="1" applyBorder="1" applyAlignment="1">
      <alignment horizontal="center"/>
    </xf>
    <xf numFmtId="165" fontId="28" fillId="49" borderId="104" xfId="56" applyNumberFormat="1" applyFont="1" applyFill="1" applyBorder="1" applyAlignment="1">
      <alignment horizontal="center"/>
    </xf>
    <xf numFmtId="165" fontId="28" fillId="49" borderId="103" xfId="56" applyNumberFormat="1" applyFont="1" applyFill="1" applyBorder="1" applyAlignment="1">
      <alignment horizontal="center"/>
    </xf>
    <xf numFmtId="0" fontId="45" fillId="0" borderId="21" xfId="56" applyBorder="1" applyAlignment="1">
      <alignment horizontal="center"/>
    </xf>
    <xf numFmtId="10" fontId="28" fillId="40" borderId="102" xfId="56" applyNumberFormat="1" applyFont="1" applyFill="1" applyBorder="1" applyAlignment="1">
      <alignment horizontal="center"/>
    </xf>
    <xf numFmtId="10" fontId="28" fillId="40" borderId="104" xfId="56" applyNumberFormat="1" applyFont="1" applyFill="1" applyBorder="1" applyAlignment="1">
      <alignment horizontal="center"/>
    </xf>
    <xf numFmtId="4" fontId="28" fillId="40" borderId="102" xfId="56" applyNumberFormat="1" applyFont="1" applyFill="1" applyBorder="1" applyAlignment="1">
      <alignment horizontal="center"/>
    </xf>
    <xf numFmtId="4" fontId="28" fillId="40" borderId="104" xfId="56" applyNumberFormat="1" applyFont="1" applyFill="1" applyBorder="1" applyAlignment="1">
      <alignment horizontal="center"/>
    </xf>
    <xf numFmtId="4" fontId="28" fillId="49" borderId="11" xfId="56" applyNumberFormat="1" applyFont="1" applyFill="1" applyBorder="1" applyAlignment="1">
      <alignment horizontal="center"/>
    </xf>
    <xf numFmtId="10" fontId="28" fillId="49" borderId="10" xfId="56" applyNumberFormat="1" applyFont="1" applyFill="1" applyBorder="1" applyAlignment="1">
      <alignment horizontal="center"/>
    </xf>
    <xf numFmtId="10" fontId="28" fillId="49" borderId="11" xfId="56" applyNumberFormat="1" applyFont="1" applyFill="1" applyBorder="1" applyAlignment="1">
      <alignment horizontal="center"/>
    </xf>
    <xf numFmtId="2" fontId="28" fillId="49" borderId="103" xfId="56" applyNumberFormat="1" applyFont="1" applyFill="1" applyBorder="1" applyAlignment="1">
      <alignment horizontal="center"/>
    </xf>
    <xf numFmtId="10" fontId="28" fillId="34" borderId="10" xfId="56" applyNumberFormat="1" applyFont="1" applyFill="1" applyBorder="1" applyAlignment="1">
      <alignment horizontal="center"/>
    </xf>
    <xf numFmtId="10" fontId="28" fillId="34" borderId="11" xfId="56" applyNumberFormat="1" applyFont="1" applyFill="1" applyBorder="1" applyAlignment="1">
      <alignment horizontal="center"/>
    </xf>
    <xf numFmtId="4" fontId="28" fillId="34" borderId="11" xfId="56" applyNumberFormat="1" applyFont="1" applyFill="1" applyBorder="1" applyAlignment="1">
      <alignment horizontal="center"/>
    </xf>
    <xf numFmtId="2" fontId="28" fillId="34" borderId="11" xfId="56" applyNumberFormat="1" applyFont="1" applyFill="1" applyBorder="1" applyAlignment="1">
      <alignment horizontal="center"/>
    </xf>
    <xf numFmtId="2" fontId="28" fillId="34" borderId="102" xfId="56" applyNumberFormat="1" applyFont="1" applyFill="1" applyBorder="1" applyAlignment="1">
      <alignment horizontal="center"/>
    </xf>
    <xf numFmtId="2" fontId="28" fillId="34" borderId="104" xfId="56" applyNumberFormat="1" applyFont="1" applyFill="1" applyBorder="1" applyAlignment="1">
      <alignment horizontal="center"/>
    </xf>
    <xf numFmtId="10" fontId="28" fillId="34" borderId="28" xfId="56" applyNumberFormat="1" applyFont="1" applyFill="1" applyBorder="1" applyAlignment="1">
      <alignment horizontal="center"/>
    </xf>
    <xf numFmtId="0" fontId="45" fillId="0" borderId="29" xfId="56" applyBorder="1" applyAlignment="1">
      <alignment horizontal="center"/>
    </xf>
    <xf numFmtId="0" fontId="45" fillId="0" borderId="0" xfId="56" applyAlignment="1">
      <alignment horizontal="center"/>
    </xf>
    <xf numFmtId="10" fontId="28" fillId="34" borderId="107" xfId="56" applyNumberFormat="1" applyFont="1" applyFill="1" applyBorder="1" applyAlignment="1">
      <alignment horizontal="center"/>
    </xf>
    <xf numFmtId="4" fontId="28" fillId="34" borderId="102" xfId="56" applyNumberFormat="1" applyFont="1" applyFill="1" applyBorder="1" applyAlignment="1">
      <alignment horizontal="center"/>
    </xf>
    <xf numFmtId="4" fontId="28" fillId="34" borderId="104" xfId="56" applyNumberFormat="1" applyFont="1" applyFill="1" applyBorder="1" applyAlignment="1">
      <alignment horizontal="center"/>
    </xf>
    <xf numFmtId="165" fontId="28" fillId="34" borderId="102" xfId="56" applyNumberFormat="1" applyFont="1" applyFill="1" applyBorder="1" applyAlignment="1">
      <alignment horizontal="center"/>
    </xf>
    <xf numFmtId="165" fontId="28" fillId="34" borderId="104" xfId="56" applyNumberFormat="1" applyFont="1" applyFill="1" applyBorder="1" applyAlignment="1">
      <alignment horizontal="center"/>
    </xf>
    <xf numFmtId="165" fontId="28" fillId="34" borderId="103" xfId="56" applyNumberFormat="1" applyFont="1" applyFill="1" applyBorder="1" applyAlignment="1">
      <alignment horizontal="center"/>
    </xf>
    <xf numFmtId="2" fontId="28" fillId="34" borderId="103" xfId="56" applyNumberFormat="1" applyFont="1" applyFill="1" applyBorder="1" applyAlignment="1">
      <alignment horizontal="center"/>
    </xf>
    <xf numFmtId="4" fontId="28" fillId="44" borderId="102" xfId="56" applyNumberFormat="1" applyFont="1" applyFill="1" applyBorder="1" applyAlignment="1">
      <alignment horizontal="center"/>
    </xf>
    <xf numFmtId="4" fontId="28" fillId="44" borderId="104" xfId="56" applyNumberFormat="1" applyFont="1" applyFill="1" applyBorder="1" applyAlignment="1">
      <alignment horizontal="center"/>
    </xf>
    <xf numFmtId="2" fontId="28" fillId="44" borderId="102" xfId="56" applyNumberFormat="1" applyFont="1" applyFill="1" applyBorder="1" applyAlignment="1">
      <alignment horizontal="center"/>
    </xf>
    <xf numFmtId="2" fontId="28" fillId="44" borderId="104" xfId="56" applyNumberFormat="1" applyFont="1" applyFill="1" applyBorder="1" applyAlignment="1">
      <alignment horizontal="center"/>
    </xf>
    <xf numFmtId="2" fontId="28" fillId="44" borderId="103" xfId="56" applyNumberFormat="1" applyFont="1" applyFill="1" applyBorder="1" applyAlignment="1">
      <alignment horizontal="center"/>
    </xf>
    <xf numFmtId="10" fontId="28" fillId="44" borderId="10" xfId="56" applyNumberFormat="1" applyFont="1" applyFill="1" applyBorder="1" applyAlignment="1">
      <alignment horizontal="center"/>
    </xf>
    <xf numFmtId="10" fontId="28" fillId="44" borderId="11" xfId="56" applyNumberFormat="1" applyFont="1" applyFill="1" applyBorder="1" applyAlignment="1">
      <alignment horizontal="center"/>
    </xf>
    <xf numFmtId="4" fontId="28" fillId="44" borderId="11" xfId="56" applyNumberFormat="1" applyFont="1" applyFill="1" applyBorder="1" applyAlignment="1">
      <alignment horizontal="center"/>
    </xf>
    <xf numFmtId="10" fontId="28" fillId="44" borderId="28" xfId="56" applyNumberFormat="1" applyFont="1" applyFill="1" applyBorder="1" applyAlignment="1">
      <alignment horizontal="center"/>
    </xf>
    <xf numFmtId="10" fontId="28" fillId="44" borderId="104" xfId="56" applyNumberFormat="1" applyFont="1" applyFill="1" applyBorder="1" applyAlignment="1">
      <alignment horizontal="center"/>
    </xf>
    <xf numFmtId="2" fontId="28" fillId="44" borderId="11" xfId="56" applyNumberFormat="1" applyFont="1" applyFill="1" applyBorder="1" applyAlignment="1">
      <alignment horizontal="center"/>
    </xf>
    <xf numFmtId="10" fontId="28" fillId="44" borderId="102" xfId="56" applyNumberFormat="1" applyFont="1" applyFill="1" applyBorder="1" applyAlignment="1">
      <alignment horizontal="center"/>
    </xf>
    <xf numFmtId="2" fontId="28" fillId="34" borderId="50" xfId="56" applyNumberFormat="1" applyFont="1" applyFill="1" applyBorder="1" applyAlignment="1">
      <alignment horizontal="center"/>
    </xf>
    <xf numFmtId="10" fontId="28" fillId="44" borderId="107" xfId="56" applyNumberFormat="1" applyFont="1" applyFill="1" applyBorder="1" applyAlignment="1">
      <alignment horizontal="center"/>
    </xf>
    <xf numFmtId="165" fontId="28" fillId="44" borderId="102" xfId="56" applyNumberFormat="1" applyFont="1" applyFill="1" applyBorder="1" applyAlignment="1">
      <alignment horizontal="center"/>
    </xf>
    <xf numFmtId="165" fontId="28" fillId="44" borderId="104" xfId="56" applyNumberFormat="1" applyFont="1" applyFill="1" applyBorder="1" applyAlignment="1">
      <alignment horizontal="center"/>
    </xf>
    <xf numFmtId="165" fontId="28" fillId="44" borderId="103" xfId="56" applyNumberFormat="1" applyFont="1" applyFill="1" applyBorder="1" applyAlignment="1">
      <alignment horizontal="center"/>
    </xf>
    <xf numFmtId="2" fontId="28" fillId="44" borderId="50" xfId="56" applyNumberFormat="1" applyFont="1" applyFill="1" applyBorder="1" applyAlignment="1">
      <alignment horizontal="center"/>
    </xf>
    <xf numFmtId="10" fontId="28" fillId="40" borderId="107" xfId="56" applyNumberFormat="1" applyFont="1" applyFill="1" applyBorder="1" applyAlignment="1">
      <alignment horizontal="center"/>
    </xf>
    <xf numFmtId="2" fontId="28" fillId="40" borderId="102" xfId="56" applyNumberFormat="1" applyFont="1" applyFill="1" applyBorder="1" applyAlignment="1">
      <alignment horizontal="center"/>
    </xf>
    <xf numFmtId="2" fontId="28" fillId="40" borderId="104" xfId="56" applyNumberFormat="1" applyFont="1" applyFill="1" applyBorder="1" applyAlignment="1">
      <alignment horizontal="center"/>
    </xf>
    <xf numFmtId="2" fontId="28" fillId="40" borderId="103" xfId="56" applyNumberFormat="1" applyFont="1" applyFill="1" applyBorder="1" applyAlignment="1">
      <alignment horizontal="center"/>
    </xf>
    <xf numFmtId="175" fontId="28" fillId="53" borderId="11" xfId="56" applyNumberFormat="1" applyFont="1" applyFill="1" applyBorder="1" applyAlignment="1">
      <alignment horizontal="center"/>
    </xf>
    <xf numFmtId="4" fontId="28" fillId="40" borderId="11" xfId="56" applyNumberFormat="1" applyFont="1" applyFill="1" applyBorder="1" applyAlignment="1">
      <alignment horizontal="center"/>
    </xf>
    <xf numFmtId="4" fontId="28" fillId="40" borderId="103" xfId="56" applyNumberFormat="1" applyFont="1" applyFill="1" applyBorder="1" applyAlignment="1">
      <alignment horizontal="center"/>
    </xf>
    <xf numFmtId="10" fontId="28" fillId="40" borderId="10" xfId="56" applyNumberFormat="1" applyFont="1" applyFill="1" applyBorder="1" applyAlignment="1">
      <alignment horizontal="center"/>
    </xf>
    <xf numFmtId="10" fontId="28" fillId="40" borderId="11" xfId="56" applyNumberFormat="1" applyFont="1" applyFill="1" applyBorder="1" applyAlignment="1">
      <alignment horizontal="center"/>
    </xf>
    <xf numFmtId="2" fontId="28" fillId="53" borderId="11" xfId="56" applyNumberFormat="1" applyFont="1" applyFill="1" applyBorder="1" applyAlignment="1">
      <alignment horizontal="center"/>
    </xf>
    <xf numFmtId="4" fontId="28" fillId="53" borderId="11" xfId="56" applyNumberFormat="1" applyFont="1" applyFill="1" applyBorder="1" applyAlignment="1">
      <alignment horizontal="center"/>
    </xf>
    <xf numFmtId="2" fontId="28" fillId="40" borderId="11" xfId="56" applyNumberFormat="1" applyFont="1" applyFill="1" applyBorder="1" applyAlignment="1">
      <alignment horizontal="center"/>
    </xf>
    <xf numFmtId="2" fontId="28" fillId="53" borderId="50" xfId="56" applyNumberFormat="1" applyFont="1" applyFill="1" applyBorder="1" applyAlignment="1">
      <alignment horizontal="center"/>
    </xf>
    <xf numFmtId="10" fontId="28" fillId="35" borderId="107" xfId="56" applyNumberFormat="1" applyFont="1" applyFill="1" applyBorder="1" applyAlignment="1">
      <alignment horizontal="center"/>
    </xf>
    <xf numFmtId="10" fontId="28" fillId="35" borderId="104" xfId="56" applyNumberFormat="1" applyFont="1" applyFill="1" applyBorder="1" applyAlignment="1">
      <alignment horizontal="center"/>
    </xf>
    <xf numFmtId="2" fontId="28" fillId="35" borderId="102" xfId="56" applyNumberFormat="1" applyFont="1" applyFill="1" applyBorder="1" applyAlignment="1">
      <alignment horizontal="center"/>
    </xf>
    <xf numFmtId="2" fontId="28" fillId="35" borderId="104" xfId="56" applyNumberFormat="1" applyFont="1" applyFill="1" applyBorder="1" applyAlignment="1">
      <alignment horizontal="center"/>
    </xf>
    <xf numFmtId="2" fontId="28" fillId="35" borderId="103" xfId="56" applyNumberFormat="1" applyFont="1" applyFill="1" applyBorder="1" applyAlignment="1">
      <alignment horizontal="center"/>
    </xf>
    <xf numFmtId="10" fontId="28" fillId="40" borderId="28" xfId="56" applyNumberFormat="1" applyFont="1" applyFill="1" applyBorder="1" applyAlignment="1">
      <alignment horizontal="center"/>
    </xf>
    <xf numFmtId="2" fontId="28" fillId="53" borderId="102" xfId="56" applyNumberFormat="1" applyFont="1" applyFill="1" applyBorder="1" applyAlignment="1">
      <alignment horizontal="center"/>
    </xf>
    <xf numFmtId="4" fontId="28" fillId="35" borderId="102" xfId="56" applyNumberFormat="1" applyFont="1" applyFill="1" applyBorder="1" applyAlignment="1">
      <alignment horizontal="center"/>
    </xf>
    <xf numFmtId="4" fontId="28" fillId="35" borderId="104" xfId="56" applyNumberFormat="1" applyFont="1" applyFill="1" applyBorder="1" applyAlignment="1">
      <alignment horizontal="center"/>
    </xf>
    <xf numFmtId="10" fontId="28" fillId="35" borderId="11" xfId="56" applyNumberFormat="1" applyFont="1" applyFill="1" applyBorder="1" applyAlignment="1">
      <alignment horizontal="center"/>
    </xf>
    <xf numFmtId="175" fontId="28" fillId="35" borderId="11" xfId="56" applyNumberFormat="1" applyFont="1" applyFill="1" applyBorder="1" applyAlignment="1">
      <alignment horizontal="center"/>
    </xf>
    <xf numFmtId="10" fontId="28" fillId="35" borderId="10" xfId="56" applyNumberFormat="1" applyFont="1" applyFill="1" applyBorder="1" applyAlignment="1">
      <alignment horizontal="center"/>
    </xf>
    <xf numFmtId="2" fontId="28" fillId="35" borderId="11" xfId="56" applyNumberFormat="1" applyFont="1" applyFill="1" applyBorder="1" applyAlignment="1">
      <alignment horizontal="center"/>
    </xf>
    <xf numFmtId="2" fontId="28" fillId="35" borderId="50" xfId="56" applyNumberFormat="1" applyFont="1" applyFill="1" applyBorder="1" applyAlignment="1">
      <alignment horizontal="center"/>
    </xf>
    <xf numFmtId="10" fontId="28" fillId="35" borderId="28" xfId="56" applyNumberFormat="1" applyFont="1" applyFill="1" applyBorder="1" applyAlignment="1">
      <alignment horizontal="center"/>
    </xf>
    <xf numFmtId="4" fontId="28" fillId="45" borderId="102" xfId="56" applyNumberFormat="1" applyFont="1" applyFill="1" applyBorder="1" applyAlignment="1">
      <alignment horizontal="center"/>
    </xf>
    <xf numFmtId="4" fontId="28" fillId="45" borderId="104" xfId="56" applyNumberFormat="1" applyFont="1" applyFill="1" applyBorder="1" applyAlignment="1">
      <alignment horizontal="center"/>
    </xf>
    <xf numFmtId="2" fontId="28" fillId="45" borderId="102" xfId="56" applyNumberFormat="1" applyFont="1" applyFill="1" applyBorder="1" applyAlignment="1">
      <alignment horizontal="center"/>
    </xf>
    <xf numFmtId="2" fontId="28" fillId="45" borderId="104" xfId="56" applyNumberFormat="1" applyFont="1" applyFill="1" applyBorder="1" applyAlignment="1">
      <alignment horizontal="center"/>
    </xf>
    <xf numFmtId="2" fontId="28" fillId="45" borderId="103" xfId="56" applyNumberFormat="1" applyFont="1" applyFill="1" applyBorder="1" applyAlignment="1">
      <alignment horizontal="center"/>
    </xf>
    <xf numFmtId="10" fontId="28" fillId="45" borderId="10" xfId="56" applyNumberFormat="1" applyFont="1" applyFill="1" applyBorder="1" applyAlignment="1">
      <alignment horizontal="center"/>
    </xf>
    <xf numFmtId="10" fontId="28" fillId="45" borderId="11" xfId="56" applyNumberFormat="1" applyFont="1" applyFill="1" applyBorder="1" applyAlignment="1">
      <alignment horizontal="center"/>
    </xf>
    <xf numFmtId="10" fontId="28" fillId="45" borderId="107" xfId="56" applyNumberFormat="1" applyFont="1" applyFill="1" applyBorder="1" applyAlignment="1">
      <alignment horizontal="center"/>
    </xf>
    <xf numFmtId="10" fontId="28" fillId="45" borderId="104" xfId="56" applyNumberFormat="1" applyFont="1" applyFill="1" applyBorder="1" applyAlignment="1">
      <alignment horizontal="center"/>
    </xf>
    <xf numFmtId="10" fontId="28" fillId="45" borderId="102" xfId="56" applyNumberFormat="1" applyFont="1" applyFill="1" applyBorder="1" applyAlignment="1">
      <alignment horizontal="center"/>
    </xf>
    <xf numFmtId="2" fontId="28" fillId="52" borderId="102" xfId="56" applyNumberFormat="1" applyFont="1" applyFill="1" applyBorder="1" applyAlignment="1">
      <alignment horizontal="center"/>
    </xf>
    <xf numFmtId="2" fontId="28" fillId="52" borderId="104" xfId="56" applyNumberFormat="1" applyFont="1" applyFill="1" applyBorder="1" applyAlignment="1">
      <alignment horizontal="center"/>
    </xf>
    <xf numFmtId="10" fontId="28" fillId="35" borderId="102" xfId="56" applyNumberFormat="1" applyFont="1" applyFill="1" applyBorder="1" applyAlignment="1">
      <alignment horizontal="center"/>
    </xf>
    <xf numFmtId="175" fontId="28" fillId="52" borderId="11" xfId="56" applyNumberFormat="1" applyFont="1" applyFill="1" applyBorder="1" applyAlignment="1">
      <alignment horizontal="center"/>
    </xf>
    <xf numFmtId="2" fontId="28" fillId="45" borderId="11" xfId="56" applyNumberFormat="1" applyFont="1" applyFill="1" applyBorder="1" applyAlignment="1">
      <alignment horizontal="center"/>
    </xf>
    <xf numFmtId="4" fontId="28" fillId="45" borderId="11" xfId="56" applyNumberFormat="1" applyFont="1" applyFill="1" applyBorder="1" applyAlignment="1">
      <alignment horizontal="center"/>
    </xf>
    <xf numFmtId="2" fontId="28" fillId="52" borderId="11" xfId="56" applyNumberFormat="1" applyFont="1" applyFill="1" applyBorder="1" applyAlignment="1">
      <alignment horizontal="center"/>
    </xf>
    <xf numFmtId="2" fontId="28" fillId="45" borderId="50" xfId="56" applyNumberFormat="1" applyFont="1" applyFill="1" applyBorder="1" applyAlignment="1">
      <alignment horizontal="center"/>
    </xf>
    <xf numFmtId="2" fontId="28" fillId="46" borderId="102" xfId="56" applyNumberFormat="1" applyFont="1" applyFill="1" applyBorder="1" applyAlignment="1">
      <alignment horizontal="center"/>
    </xf>
    <xf numFmtId="2" fontId="28" fillId="46" borderId="104" xfId="56" applyNumberFormat="1" applyFont="1" applyFill="1" applyBorder="1" applyAlignment="1">
      <alignment horizontal="center"/>
    </xf>
    <xf numFmtId="4" fontId="28" fillId="46" borderId="102" xfId="56" applyNumberFormat="1" applyFont="1" applyFill="1" applyBorder="1" applyAlignment="1">
      <alignment horizontal="center"/>
    </xf>
    <xf numFmtId="4" fontId="28" fillId="46" borderId="104" xfId="56" applyNumberFormat="1" applyFont="1" applyFill="1" applyBorder="1" applyAlignment="1">
      <alignment horizontal="center"/>
    </xf>
    <xf numFmtId="10" fontId="28" fillId="46" borderId="107" xfId="56" applyNumberFormat="1" applyFont="1" applyFill="1" applyBorder="1" applyAlignment="1">
      <alignment horizontal="center"/>
    </xf>
    <xf numFmtId="10" fontId="28" fillId="46" borderId="104" xfId="56" applyNumberFormat="1" applyFont="1" applyFill="1" applyBorder="1" applyAlignment="1">
      <alignment horizontal="center"/>
    </xf>
    <xf numFmtId="10" fontId="28" fillId="46" borderId="102" xfId="56" applyNumberFormat="1" applyFont="1" applyFill="1" applyBorder="1" applyAlignment="1">
      <alignment horizontal="center"/>
    </xf>
    <xf numFmtId="2" fontId="28" fillId="46" borderId="103" xfId="56" applyNumberFormat="1" applyFont="1" applyFill="1" applyBorder="1" applyAlignment="1">
      <alignment horizontal="center"/>
    </xf>
    <xf numFmtId="10" fontId="28" fillId="45" borderId="28" xfId="56" applyNumberFormat="1" applyFont="1" applyFill="1" applyBorder="1" applyAlignment="1">
      <alignment horizontal="center"/>
    </xf>
    <xf numFmtId="10" fontId="28" fillId="52" borderId="102" xfId="56" applyNumberFormat="1" applyFont="1" applyFill="1" applyBorder="1" applyAlignment="1">
      <alignment horizontal="center"/>
    </xf>
    <xf numFmtId="10" fontId="28" fillId="52" borderId="104" xfId="56" applyNumberFormat="1" applyFont="1" applyFill="1" applyBorder="1" applyAlignment="1">
      <alignment horizontal="center"/>
    </xf>
    <xf numFmtId="2" fontId="28" fillId="47" borderId="102" xfId="56" applyNumberFormat="1" applyFont="1" applyFill="1" applyBorder="1" applyAlignment="1">
      <alignment horizontal="center"/>
    </xf>
    <xf numFmtId="2" fontId="28" fillId="47" borderId="103" xfId="56" applyNumberFormat="1" applyFont="1" applyFill="1" applyBorder="1" applyAlignment="1">
      <alignment horizontal="center"/>
    </xf>
    <xf numFmtId="10" fontId="28" fillId="47" borderId="102" xfId="56" applyNumberFormat="1" applyFont="1" applyFill="1" applyBorder="1" applyAlignment="1">
      <alignment horizontal="center"/>
    </xf>
    <xf numFmtId="10" fontId="28" fillId="47" borderId="104" xfId="56" applyNumberFormat="1" applyFont="1" applyFill="1" applyBorder="1" applyAlignment="1">
      <alignment horizontal="center"/>
    </xf>
    <xf numFmtId="2" fontId="28" fillId="47" borderId="104" xfId="56" applyNumberFormat="1" applyFont="1" applyFill="1" applyBorder="1" applyAlignment="1">
      <alignment horizontal="center"/>
    </xf>
    <xf numFmtId="2" fontId="28" fillId="46" borderId="11" xfId="56" applyNumberFormat="1" applyFont="1" applyFill="1" applyBorder="1" applyAlignment="1">
      <alignment horizontal="center"/>
    </xf>
    <xf numFmtId="2" fontId="28" fillId="46" borderId="50" xfId="56" applyNumberFormat="1" applyFont="1" applyFill="1" applyBorder="1" applyAlignment="1">
      <alignment horizontal="center"/>
    </xf>
    <xf numFmtId="10" fontId="28" fillId="47" borderId="107" xfId="56" applyNumberFormat="1" applyFont="1" applyFill="1" applyBorder="1" applyAlignment="1">
      <alignment horizontal="center"/>
    </xf>
    <xf numFmtId="4" fontId="28" fillId="47" borderId="102" xfId="56" applyNumberFormat="1" applyFont="1" applyFill="1" applyBorder="1" applyAlignment="1">
      <alignment horizontal="center"/>
    </xf>
    <xf numFmtId="4" fontId="28" fillId="47" borderId="104" xfId="56" applyNumberFormat="1" applyFont="1" applyFill="1" applyBorder="1" applyAlignment="1">
      <alignment horizontal="center"/>
    </xf>
    <xf numFmtId="10" fontId="28" fillId="46" borderId="28" xfId="56" applyNumberFormat="1" applyFont="1" applyFill="1" applyBorder="1" applyAlignment="1">
      <alignment horizontal="center"/>
    </xf>
    <xf numFmtId="10" fontId="28" fillId="46" borderId="11" xfId="56" applyNumberFormat="1" applyFont="1" applyFill="1" applyBorder="1" applyAlignment="1">
      <alignment horizontal="center"/>
    </xf>
    <xf numFmtId="175" fontId="28" fillId="46" borderId="11" xfId="56" applyNumberFormat="1" applyFont="1" applyFill="1" applyBorder="1" applyAlignment="1">
      <alignment horizontal="center"/>
    </xf>
    <xf numFmtId="4" fontId="28" fillId="46" borderId="11" xfId="56" applyNumberFormat="1" applyFont="1" applyFill="1" applyBorder="1" applyAlignment="1">
      <alignment horizontal="center"/>
    </xf>
    <xf numFmtId="4" fontId="28" fillId="48" borderId="11" xfId="56" applyNumberFormat="1" applyFont="1" applyFill="1" applyBorder="1" applyAlignment="1">
      <alignment horizontal="center"/>
    </xf>
    <xf numFmtId="10" fontId="28" fillId="48" borderId="107" xfId="56" applyNumberFormat="1" applyFont="1" applyFill="1" applyBorder="1" applyAlignment="1">
      <alignment horizontal="center"/>
    </xf>
    <xf numFmtId="10" fontId="28" fillId="48" borderId="104" xfId="56" applyNumberFormat="1" applyFont="1" applyFill="1" applyBorder="1" applyAlignment="1">
      <alignment horizontal="center"/>
    </xf>
    <xf numFmtId="10" fontId="28" fillId="48" borderId="102" xfId="56" applyNumberFormat="1" applyFont="1" applyFill="1" applyBorder="1" applyAlignment="1">
      <alignment horizontal="center"/>
    </xf>
    <xf numFmtId="2" fontId="28" fillId="48" borderId="102" xfId="56" applyNumberFormat="1" applyFont="1" applyFill="1" applyBorder="1" applyAlignment="1">
      <alignment horizontal="center"/>
    </xf>
    <xf numFmtId="2" fontId="28" fillId="48" borderId="104" xfId="56" applyNumberFormat="1" applyFont="1" applyFill="1" applyBorder="1" applyAlignment="1">
      <alignment horizontal="center"/>
    </xf>
    <xf numFmtId="10" fontId="28" fillId="46" borderId="10" xfId="56" applyNumberFormat="1" applyFont="1" applyFill="1" applyBorder="1" applyAlignment="1">
      <alignment horizontal="center"/>
    </xf>
    <xf numFmtId="175" fontId="28" fillId="47" borderId="102" xfId="56" applyNumberFormat="1" applyFont="1" applyFill="1" applyBorder="1" applyAlignment="1">
      <alignment horizontal="center"/>
    </xf>
    <xf numFmtId="175" fontId="28" fillId="47" borderId="104" xfId="56" applyNumberFormat="1" applyFont="1" applyFill="1" applyBorder="1" applyAlignment="1">
      <alignment horizontal="center"/>
    </xf>
    <xf numFmtId="4" fontId="28" fillId="48" borderId="102" xfId="56" applyNumberFormat="1" applyFont="1" applyFill="1" applyBorder="1" applyAlignment="1">
      <alignment horizontal="center"/>
    </xf>
    <xf numFmtId="4" fontId="28" fillId="48" borderId="104" xfId="56" applyNumberFormat="1" applyFont="1" applyFill="1" applyBorder="1" applyAlignment="1">
      <alignment horizontal="center"/>
    </xf>
    <xf numFmtId="2" fontId="28" fillId="48" borderId="103" xfId="56" applyNumberFormat="1" applyFont="1" applyFill="1" applyBorder="1" applyAlignment="1">
      <alignment horizontal="center"/>
    </xf>
    <xf numFmtId="10" fontId="28" fillId="47" borderId="28" xfId="56" applyNumberFormat="1" applyFont="1" applyFill="1" applyBorder="1" applyAlignment="1">
      <alignment horizontal="center"/>
    </xf>
    <xf numFmtId="4" fontId="28" fillId="48" borderId="103" xfId="56" applyNumberFormat="1" applyFont="1" applyFill="1" applyBorder="1" applyAlignment="1">
      <alignment horizontal="center"/>
    </xf>
    <xf numFmtId="2" fontId="28" fillId="48" borderId="11" xfId="56" applyNumberFormat="1" applyFont="1" applyFill="1" applyBorder="1" applyAlignment="1">
      <alignment horizontal="center"/>
    </xf>
    <xf numFmtId="2" fontId="28" fillId="48" borderId="50" xfId="56" applyNumberFormat="1" applyFont="1" applyFill="1" applyBorder="1" applyAlignment="1">
      <alignment horizontal="center"/>
    </xf>
    <xf numFmtId="2" fontId="28" fillId="48" borderId="105" xfId="56" applyNumberFormat="1" applyFont="1" applyFill="1" applyBorder="1" applyAlignment="1">
      <alignment horizontal="center"/>
    </xf>
    <xf numFmtId="10" fontId="28" fillId="48" borderId="10" xfId="56" applyNumberFormat="1" applyFont="1" applyFill="1" applyBorder="1" applyAlignment="1">
      <alignment horizontal="center"/>
    </xf>
    <xf numFmtId="10" fontId="28" fillId="48" borderId="11" xfId="56" applyNumberFormat="1" applyFont="1" applyFill="1" applyBorder="1" applyAlignment="1">
      <alignment horizontal="center"/>
    </xf>
    <xf numFmtId="10" fontId="28" fillId="48" borderId="28" xfId="56" applyNumberFormat="1" applyFont="1" applyFill="1" applyBorder="1" applyAlignment="1">
      <alignment horizontal="center"/>
    </xf>
    <xf numFmtId="175" fontId="28" fillId="48" borderId="11" xfId="56" applyNumberFormat="1" applyFont="1" applyFill="1" applyBorder="1" applyAlignment="1">
      <alignment horizontal="center"/>
    </xf>
    <xf numFmtId="4" fontId="28" fillId="49" borderId="50" xfId="56" applyNumberFormat="1" applyFont="1" applyFill="1" applyBorder="1" applyAlignment="1">
      <alignment horizontal="center"/>
    </xf>
    <xf numFmtId="4" fontId="28" fillId="49" borderId="105" xfId="56" applyNumberFormat="1" applyFont="1" applyFill="1" applyBorder="1" applyAlignment="1">
      <alignment horizontal="center"/>
    </xf>
    <xf numFmtId="175" fontId="28" fillId="49" borderId="11" xfId="56" applyNumberFormat="1" applyFont="1" applyFill="1" applyBorder="1" applyAlignment="1">
      <alignment horizontal="center"/>
    </xf>
    <xf numFmtId="4" fontId="28" fillId="49" borderId="103" xfId="56" applyNumberFormat="1" applyFont="1" applyFill="1" applyBorder="1" applyAlignment="1">
      <alignment horizontal="center"/>
    </xf>
    <xf numFmtId="2" fontId="28" fillId="40" borderId="50" xfId="56" applyNumberFormat="1" applyFont="1" applyFill="1" applyBorder="1" applyAlignment="1">
      <alignment horizontal="center"/>
    </xf>
    <xf numFmtId="4" fontId="28" fillId="40" borderId="105" xfId="56" applyNumberFormat="1" applyFont="1" applyFill="1" applyBorder="1" applyAlignment="1">
      <alignment horizontal="center"/>
    </xf>
    <xf numFmtId="10" fontId="28" fillId="44" borderId="26" xfId="56" applyNumberFormat="1" applyFont="1" applyFill="1" applyBorder="1" applyAlignment="1">
      <alignment horizontal="center"/>
    </xf>
    <xf numFmtId="10" fontId="28" fillId="44" borderId="22" xfId="56" applyNumberFormat="1" applyFont="1" applyFill="1" applyBorder="1" applyAlignment="1">
      <alignment horizontal="center"/>
    </xf>
    <xf numFmtId="2" fontId="28" fillId="44" borderId="26" xfId="56" applyNumberFormat="1" applyFont="1" applyFill="1" applyBorder="1" applyAlignment="1">
      <alignment horizontal="center"/>
    </xf>
    <xf numFmtId="2" fontId="28" fillId="44" borderId="22" xfId="56" applyNumberFormat="1" applyFont="1" applyFill="1" applyBorder="1" applyAlignment="1">
      <alignment horizontal="center"/>
    </xf>
    <xf numFmtId="4" fontId="28" fillId="44" borderId="26" xfId="56" applyNumberFormat="1" applyFont="1" applyFill="1" applyBorder="1" applyAlignment="1">
      <alignment horizontal="center"/>
    </xf>
    <xf numFmtId="4" fontId="28" fillId="44" borderId="22" xfId="56" applyNumberFormat="1" applyFont="1" applyFill="1" applyBorder="1" applyAlignment="1">
      <alignment horizontal="center"/>
    </xf>
    <xf numFmtId="4" fontId="28" fillId="44" borderId="101" xfId="56" applyNumberFormat="1" applyFont="1" applyFill="1" applyBorder="1" applyAlignment="1">
      <alignment horizontal="center"/>
    </xf>
    <xf numFmtId="10" fontId="28" fillId="44" borderId="79" xfId="56" applyNumberFormat="1" applyFont="1" applyFill="1" applyBorder="1" applyAlignment="1">
      <alignment horizontal="center"/>
    </xf>
    <xf numFmtId="2" fontId="28" fillId="44" borderId="101" xfId="56" applyNumberFormat="1" applyFont="1" applyFill="1" applyBorder="1" applyAlignment="1">
      <alignment horizontal="center"/>
    </xf>
    <xf numFmtId="4" fontId="28" fillId="44" borderId="80" xfId="56" applyNumberFormat="1" applyFont="1" applyFill="1" applyBorder="1" applyAlignment="1">
      <alignment horizontal="center"/>
    </xf>
    <xf numFmtId="10" fontId="28" fillId="44" borderId="58" xfId="56" applyNumberFormat="1" applyFont="1" applyFill="1" applyBorder="1" applyAlignment="1">
      <alignment horizontal="center"/>
    </xf>
    <xf numFmtId="10" fontId="28" fillId="44" borderId="23" xfId="56" applyNumberFormat="1" applyFont="1" applyFill="1" applyBorder="1" applyAlignment="1">
      <alignment horizontal="center"/>
    </xf>
    <xf numFmtId="2" fontId="28" fillId="44" borderId="23" xfId="56" applyNumberFormat="1" applyFont="1" applyFill="1" applyBorder="1" applyAlignment="1">
      <alignment horizontal="center"/>
    </xf>
    <xf numFmtId="2" fontId="28" fillId="44" borderId="24" xfId="56" applyNumberFormat="1" applyFont="1" applyFill="1" applyBorder="1" applyAlignment="1">
      <alignment horizontal="center"/>
    </xf>
    <xf numFmtId="175" fontId="28" fillId="44" borderId="23" xfId="56" applyNumberFormat="1" applyFont="1" applyFill="1" applyBorder="1" applyAlignment="1">
      <alignment horizontal="center"/>
    </xf>
    <xf numFmtId="4" fontId="28" fillId="44" borderId="23" xfId="56" applyNumberFormat="1" applyFont="1" applyFill="1" applyBorder="1" applyAlignment="1">
      <alignment horizontal="center"/>
    </xf>
    <xf numFmtId="0" fontId="28" fillId="27" borderId="36" xfId="56" applyFont="1" applyFill="1" applyBorder="1" applyAlignment="1">
      <alignment horizontal="center" vertical="center" wrapText="1"/>
    </xf>
    <xf numFmtId="0" fontId="28" fillId="27" borderId="54" xfId="56" applyFont="1" applyFill="1" applyBorder="1" applyAlignment="1">
      <alignment horizontal="center" vertical="center" wrapText="1"/>
    </xf>
    <xf numFmtId="0" fontId="28" fillId="27" borderId="35" xfId="56" applyFont="1" applyFill="1" applyBorder="1" applyAlignment="1">
      <alignment horizontal="center" vertical="center" wrapText="1"/>
    </xf>
    <xf numFmtId="0" fontId="45" fillId="0" borderId="48" xfId="56" applyBorder="1" applyAlignment="1">
      <alignment horizontal="center"/>
    </xf>
    <xf numFmtId="2" fontId="28" fillId="49" borderId="50" xfId="56" applyNumberFormat="1" applyFont="1" applyFill="1" applyBorder="1" applyAlignment="1">
      <alignment horizontal="center"/>
    </xf>
    <xf numFmtId="2" fontId="28" fillId="47" borderId="28" xfId="56" applyNumberFormat="1" applyFont="1" applyFill="1" applyBorder="1" applyAlignment="1">
      <alignment horizontal="center"/>
    </xf>
    <xf numFmtId="0" fontId="28" fillId="35" borderId="36" xfId="56" applyFont="1" applyFill="1" applyBorder="1" applyAlignment="1">
      <alignment horizontal="center" vertical="center" wrapText="1"/>
    </xf>
    <xf numFmtId="0" fontId="28" fillId="35" borderId="54" xfId="56" applyFont="1" applyFill="1" applyBorder="1" applyAlignment="1">
      <alignment horizontal="center" vertical="center" wrapText="1"/>
    </xf>
    <xf numFmtId="0" fontId="28" fillId="35" borderId="35" xfId="56" applyFont="1" applyFill="1" applyBorder="1" applyAlignment="1">
      <alignment horizontal="center" vertical="center" wrapText="1"/>
    </xf>
    <xf numFmtId="175" fontId="28" fillId="40" borderId="11" xfId="56" applyNumberFormat="1" applyFont="1" applyFill="1" applyBorder="1" applyAlignment="1">
      <alignment horizontal="center"/>
    </xf>
    <xf numFmtId="0" fontId="28" fillId="33" borderId="56" xfId="56" applyFont="1" applyFill="1" applyBorder="1" applyAlignment="1">
      <alignment horizontal="center" vertical="center" wrapText="1"/>
    </xf>
    <xf numFmtId="0" fontId="28" fillId="33" borderId="46" xfId="56" applyFont="1" applyFill="1" applyBorder="1" applyAlignment="1">
      <alignment horizontal="center" vertical="center" wrapText="1"/>
    </xf>
    <xf numFmtId="0" fontId="28" fillId="33" borderId="65" xfId="56" applyFont="1" applyFill="1" applyBorder="1" applyAlignment="1">
      <alignment horizontal="center" vertical="center" wrapText="1"/>
    </xf>
    <xf numFmtId="170" fontId="38" fillId="0" borderId="11" xfId="0" applyNumberFormat="1" applyFont="1" applyBorder="1" applyAlignment="1">
      <alignment horizontal="center" vertical="center" wrapText="1"/>
    </xf>
    <xf numFmtId="0" fontId="38" fillId="27" borderId="92" xfId="0" applyFont="1" applyFill="1" applyBorder="1" applyAlignment="1">
      <alignment horizontal="center" vertical="center" wrapText="1"/>
    </xf>
    <xf numFmtId="0" fontId="38" fillId="27" borderId="94" xfId="0" applyFont="1" applyFill="1" applyBorder="1" applyAlignment="1">
      <alignment horizontal="center" vertical="center" wrapText="1"/>
    </xf>
    <xf numFmtId="0" fontId="38" fillId="27" borderId="29" xfId="0" applyFont="1" applyFill="1" applyBorder="1" applyAlignment="1">
      <alignment horizontal="center" vertical="center" wrapText="1"/>
    </xf>
    <xf numFmtId="0" fontId="38" fillId="27" borderId="61" xfId="0" applyFont="1" applyFill="1" applyBorder="1" applyAlignment="1">
      <alignment horizontal="center" vertical="center" wrapText="1"/>
    </xf>
    <xf numFmtId="169" fontId="35" fillId="0" borderId="0" xfId="0" applyNumberFormat="1" applyFont="1" applyAlignment="1">
      <alignment horizontal="center" vertical="center"/>
    </xf>
    <xf numFmtId="168" fontId="38" fillId="0" borderId="11" xfId="0" applyNumberFormat="1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8" fillId="0" borderId="72" xfId="0" applyFont="1" applyBorder="1" applyAlignment="1">
      <alignment horizontal="center" vertical="center" wrapText="1"/>
    </xf>
    <xf numFmtId="0" fontId="38" fillId="0" borderId="73" xfId="0" applyFont="1" applyBorder="1" applyAlignment="1">
      <alignment horizontal="center" vertical="center" wrapText="1"/>
    </xf>
    <xf numFmtId="0" fontId="38" fillId="0" borderId="74" xfId="0" applyFont="1" applyBorder="1" applyAlignment="1">
      <alignment horizontal="center" vertical="center" wrapText="1"/>
    </xf>
    <xf numFmtId="0" fontId="38" fillId="27" borderId="59" xfId="0" applyFont="1" applyFill="1" applyBorder="1" applyAlignment="1">
      <alignment horizontal="center" vertical="center" wrapText="1"/>
    </xf>
    <xf numFmtId="0" fontId="38" fillId="27" borderId="32" xfId="0" applyFont="1" applyFill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5" fillId="0" borderId="29" xfId="0" applyFont="1" applyBorder="1" applyAlignment="1">
      <alignment horizontal="center" vertical="center"/>
    </xf>
    <xf numFmtId="0" fontId="45" fillId="0" borderId="61" xfId="0" applyFont="1" applyBorder="1" applyAlignment="1">
      <alignment horizontal="center" vertical="center"/>
    </xf>
    <xf numFmtId="2" fontId="38" fillId="0" borderId="11" xfId="0" applyNumberFormat="1" applyFont="1" applyBorder="1" applyAlignment="1">
      <alignment horizontal="center" vertical="center" wrapText="1"/>
    </xf>
    <xf numFmtId="4" fontId="38" fillId="0" borderId="11" xfId="0" applyNumberFormat="1" applyFont="1" applyBorder="1" applyAlignment="1">
      <alignment horizontal="center" vertical="center" wrapText="1"/>
    </xf>
    <xf numFmtId="169" fontId="35" fillId="0" borderId="0" xfId="0" applyNumberFormat="1" applyFont="1" applyAlignment="1">
      <alignment horizontal="center" vertical="justify" wrapText="1"/>
    </xf>
    <xf numFmtId="0" fontId="40" fillId="4" borderId="14" xfId="0" applyFont="1" applyFill="1" applyBorder="1" applyAlignment="1">
      <alignment horizontal="center" vertical="center"/>
    </xf>
    <xf numFmtId="0" fontId="40" fillId="4" borderId="63" xfId="0" applyFont="1" applyFill="1" applyBorder="1" applyAlignment="1">
      <alignment horizontal="center" vertical="center"/>
    </xf>
    <xf numFmtId="0" fontId="40" fillId="4" borderId="17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 wrapText="1"/>
    </xf>
    <xf numFmtId="0" fontId="33" fillId="4" borderId="63" xfId="0" applyFont="1" applyFill="1" applyBorder="1" applyAlignment="1">
      <alignment horizontal="center" vertical="center" wrapText="1"/>
    </xf>
    <xf numFmtId="0" fontId="33" fillId="4" borderId="17" xfId="0" applyFont="1" applyFill="1" applyBorder="1" applyAlignment="1">
      <alignment horizontal="center" vertical="center" wrapText="1"/>
    </xf>
    <xf numFmtId="167" fontId="33" fillId="30" borderId="13" xfId="28" applyNumberFormat="1" applyFont="1" applyFill="1" applyBorder="1" applyAlignment="1" applyProtection="1">
      <alignment horizontal="center"/>
    </xf>
    <xf numFmtId="167" fontId="57" fillId="30" borderId="20" xfId="28" applyNumberFormat="1" applyFont="1" applyFill="1" applyBorder="1" applyAlignment="1" applyProtection="1">
      <alignment horizontal="center"/>
    </xf>
    <xf numFmtId="167" fontId="57" fillId="30" borderId="19" xfId="28" applyNumberFormat="1" applyFont="1" applyFill="1" applyBorder="1" applyAlignment="1" applyProtection="1">
      <alignment horizontal="center"/>
    </xf>
    <xf numFmtId="167" fontId="33" fillId="34" borderId="13" xfId="28" applyNumberFormat="1" applyFont="1" applyFill="1" applyBorder="1" applyAlignment="1" applyProtection="1">
      <alignment horizontal="center"/>
    </xf>
    <xf numFmtId="167" fontId="57" fillId="34" borderId="20" xfId="28" applyNumberFormat="1" applyFont="1" applyFill="1" applyBorder="1" applyAlignment="1" applyProtection="1">
      <alignment horizontal="center"/>
    </xf>
    <xf numFmtId="167" fontId="57" fillId="34" borderId="19" xfId="28" applyNumberFormat="1" applyFont="1" applyFill="1" applyBorder="1" applyAlignment="1" applyProtection="1">
      <alignment horizontal="center"/>
    </xf>
    <xf numFmtId="167" fontId="33" fillId="36" borderId="13" xfId="28" applyNumberFormat="1" applyFont="1" applyFill="1" applyBorder="1" applyAlignment="1" applyProtection="1">
      <alignment horizontal="center"/>
    </xf>
    <xf numFmtId="167" fontId="57" fillId="36" borderId="20" xfId="28" applyNumberFormat="1" applyFont="1" applyFill="1" applyBorder="1" applyAlignment="1" applyProtection="1">
      <alignment horizontal="center"/>
    </xf>
    <xf numFmtId="167" fontId="57" fillId="36" borderId="19" xfId="28" applyNumberFormat="1" applyFont="1" applyFill="1" applyBorder="1" applyAlignment="1" applyProtection="1">
      <alignment horizontal="center"/>
    </xf>
    <xf numFmtId="167" fontId="33" fillId="38" borderId="13" xfId="28" applyNumberFormat="1" applyFont="1" applyFill="1" applyBorder="1" applyAlignment="1" applyProtection="1">
      <alignment horizontal="center"/>
    </xf>
    <xf numFmtId="167" fontId="57" fillId="38" borderId="20" xfId="28" applyNumberFormat="1" applyFont="1" applyFill="1" applyBorder="1" applyAlignment="1" applyProtection="1">
      <alignment horizontal="center"/>
    </xf>
    <xf numFmtId="167" fontId="57" fillId="38" borderId="19" xfId="28" applyNumberFormat="1" applyFont="1" applyFill="1" applyBorder="1" applyAlignment="1" applyProtection="1">
      <alignment horizontal="center"/>
    </xf>
    <xf numFmtId="167" fontId="33" fillId="31" borderId="13" xfId="28" applyNumberFormat="1" applyFont="1" applyFill="1" applyBorder="1" applyAlignment="1" applyProtection="1">
      <alignment horizontal="center"/>
    </xf>
    <xf numFmtId="167" fontId="57" fillId="31" borderId="20" xfId="28" applyNumberFormat="1" applyFont="1" applyFill="1" applyBorder="1" applyAlignment="1" applyProtection="1">
      <alignment horizontal="center"/>
    </xf>
    <xf numFmtId="167" fontId="57" fillId="31" borderId="19" xfId="28" applyNumberFormat="1" applyFont="1" applyFill="1" applyBorder="1" applyAlignment="1" applyProtection="1">
      <alignment horizontal="center"/>
    </xf>
    <xf numFmtId="167" fontId="33" fillId="27" borderId="92" xfId="28" applyNumberFormat="1" applyFont="1" applyFill="1" applyBorder="1" applyAlignment="1" applyProtection="1">
      <alignment horizontal="center" vertical="center"/>
    </xf>
    <xf numFmtId="167" fontId="33" fillId="27" borderId="106" xfId="28" applyNumberFormat="1" applyFont="1" applyFill="1" applyBorder="1" applyAlignment="1" applyProtection="1">
      <alignment horizontal="center" vertical="center"/>
    </xf>
    <xf numFmtId="167" fontId="33" fillId="27" borderId="94" xfId="28" applyNumberFormat="1" applyFont="1" applyFill="1" applyBorder="1" applyAlignment="1" applyProtection="1">
      <alignment horizontal="center" vertical="center"/>
    </xf>
    <xf numFmtId="167" fontId="33" fillId="27" borderId="31" xfId="28" applyNumberFormat="1" applyFont="1" applyFill="1" applyBorder="1" applyAlignment="1" applyProtection="1">
      <alignment horizontal="center" vertical="center"/>
    </xf>
    <xf numFmtId="167" fontId="33" fillId="27" borderId="62" xfId="28" applyNumberFormat="1" applyFont="1" applyFill="1" applyBorder="1" applyAlignment="1" applyProtection="1">
      <alignment horizontal="center" vertical="center"/>
    </xf>
    <xf numFmtId="167" fontId="33" fillId="27" borderId="16" xfId="28" applyNumberFormat="1" applyFont="1" applyFill="1" applyBorder="1" applyAlignment="1" applyProtection="1">
      <alignment horizontal="center" vertical="center"/>
    </xf>
    <xf numFmtId="167" fontId="33" fillId="33" borderId="13" xfId="28" applyNumberFormat="1" applyFont="1" applyFill="1" applyBorder="1" applyAlignment="1" applyProtection="1">
      <alignment horizontal="center"/>
    </xf>
    <xf numFmtId="167" fontId="57" fillId="33" borderId="20" xfId="28" applyNumberFormat="1" applyFont="1" applyFill="1" applyBorder="1" applyAlignment="1" applyProtection="1">
      <alignment horizontal="center"/>
    </xf>
    <xf numFmtId="167" fontId="57" fillId="33" borderId="19" xfId="28" applyNumberFormat="1" applyFont="1" applyFill="1" applyBorder="1" applyAlignment="1" applyProtection="1">
      <alignment horizontal="center"/>
    </xf>
    <xf numFmtId="167" fontId="33" fillId="35" borderId="13" xfId="28" applyNumberFormat="1" applyFont="1" applyFill="1" applyBorder="1" applyAlignment="1" applyProtection="1">
      <alignment horizontal="center"/>
    </xf>
    <xf numFmtId="167" fontId="57" fillId="35" borderId="20" xfId="28" applyNumberFormat="1" applyFont="1" applyFill="1" applyBorder="1" applyAlignment="1" applyProtection="1">
      <alignment horizontal="center"/>
    </xf>
    <xf numFmtId="167" fontId="57" fillId="35" borderId="19" xfId="28" applyNumberFormat="1" applyFont="1" applyFill="1" applyBorder="1" applyAlignment="1" applyProtection="1">
      <alignment horizontal="center"/>
    </xf>
    <xf numFmtId="167" fontId="33" fillId="32" borderId="11" xfId="28" applyNumberFormat="1" applyFont="1" applyFill="1" applyBorder="1" applyAlignment="1" applyProtection="1">
      <alignment horizontal="center"/>
    </xf>
    <xf numFmtId="167" fontId="57" fillId="32" borderId="11" xfId="28" applyNumberFormat="1" applyFont="1" applyFill="1" applyBorder="1" applyAlignment="1" applyProtection="1">
      <alignment horizontal="center"/>
    </xf>
    <xf numFmtId="167" fontId="33" fillId="27" borderId="13" xfId="28" applyNumberFormat="1" applyFont="1" applyFill="1" applyBorder="1" applyAlignment="1" applyProtection="1">
      <alignment horizontal="center"/>
    </xf>
    <xf numFmtId="167" fontId="57" fillId="27" borderId="20" xfId="28" applyNumberFormat="1" applyFont="1" applyFill="1" applyBorder="1" applyAlignment="1" applyProtection="1">
      <alignment horizontal="center"/>
    </xf>
    <xf numFmtId="167" fontId="57" fillId="27" borderId="19" xfId="28" applyNumberFormat="1" applyFont="1" applyFill="1" applyBorder="1" applyAlignment="1" applyProtection="1">
      <alignment horizontal="center"/>
    </xf>
    <xf numFmtId="167" fontId="33" fillId="37" borderId="13" xfId="28" applyNumberFormat="1" applyFont="1" applyFill="1" applyBorder="1" applyAlignment="1" applyProtection="1">
      <alignment horizontal="center"/>
    </xf>
    <xf numFmtId="167" fontId="57" fillId="37" borderId="20" xfId="28" applyNumberFormat="1" applyFont="1" applyFill="1" applyBorder="1" applyAlignment="1" applyProtection="1">
      <alignment horizontal="center"/>
    </xf>
    <xf numFmtId="167" fontId="57" fillId="37" borderId="19" xfId="28" applyNumberFormat="1" applyFont="1" applyFill="1" applyBorder="1" applyAlignment="1" applyProtection="1">
      <alignment horizontal="center"/>
    </xf>
    <xf numFmtId="167" fontId="57" fillId="0" borderId="13" xfId="28" applyNumberFormat="1" applyFont="1" applyFill="1" applyBorder="1" applyAlignment="1" applyProtection="1">
      <alignment horizontal="center"/>
    </xf>
    <xf numFmtId="167" fontId="57" fillId="0" borderId="20" xfId="28" applyNumberFormat="1" applyFont="1" applyFill="1" applyBorder="1" applyAlignment="1" applyProtection="1">
      <alignment horizontal="center"/>
    </xf>
    <xf numFmtId="167" fontId="57" fillId="0" borderId="19" xfId="28" applyNumberFormat="1" applyFont="1" applyFill="1" applyBorder="1" applyAlignment="1" applyProtection="1">
      <alignment horizontal="center"/>
    </xf>
    <xf numFmtId="0" fontId="43" fillId="0" borderId="11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178" fontId="43" fillId="0" borderId="11" xfId="29" applyNumberFormat="1" applyFont="1" applyFill="1" applyBorder="1" applyAlignment="1">
      <alignment horizontal="center" vertical="center" wrapText="1"/>
    </xf>
    <xf numFmtId="178" fontId="43" fillId="0" borderId="14" xfId="29" applyNumberFormat="1" applyFont="1" applyFill="1" applyBorder="1" applyAlignment="1">
      <alignment horizontal="center" vertical="center" wrapText="1"/>
    </xf>
    <xf numFmtId="178" fontId="43" fillId="25" borderId="11" xfId="29" applyNumberFormat="1" applyFont="1" applyFill="1" applyBorder="1" applyAlignment="1">
      <alignment horizontal="center" vertical="center" wrapText="1"/>
    </xf>
    <xf numFmtId="178" fontId="43" fillId="25" borderId="14" xfId="29" applyNumberFormat="1" applyFont="1" applyFill="1" applyBorder="1" applyAlignment="1">
      <alignment horizontal="center" vertical="center" wrapText="1"/>
    </xf>
    <xf numFmtId="178" fontId="44" fillId="25" borderId="11" xfId="29" applyNumberFormat="1" applyFont="1" applyFill="1" applyBorder="1" applyAlignment="1">
      <alignment horizontal="center"/>
    </xf>
    <xf numFmtId="178" fontId="43" fillId="4" borderId="11" xfId="29" applyNumberFormat="1" applyFont="1" applyFill="1" applyBorder="1" applyAlignment="1">
      <alignment horizontal="center" vertical="center" wrapText="1"/>
    </xf>
    <xf numFmtId="178" fontId="43" fillId="4" borderId="14" xfId="29" applyNumberFormat="1" applyFont="1" applyFill="1" applyBorder="1" applyAlignment="1">
      <alignment horizontal="center" vertical="center" wrapText="1"/>
    </xf>
    <xf numFmtId="178" fontId="43" fillId="4" borderId="59" xfId="29" applyNumberFormat="1" applyFont="1" applyFill="1" applyBorder="1" applyAlignment="1">
      <alignment horizontal="center" vertical="center" wrapText="1"/>
    </xf>
    <xf numFmtId="178" fontId="43" fillId="4" borderId="32" xfId="29" applyNumberFormat="1" applyFont="1" applyFill="1" applyBorder="1" applyAlignment="1">
      <alignment horizontal="center" vertical="center" wrapText="1"/>
    </xf>
    <xf numFmtId="178" fontId="43" fillId="4" borderId="31" xfId="29" applyNumberFormat="1" applyFont="1" applyFill="1" applyBorder="1" applyAlignment="1">
      <alignment horizontal="center" vertical="center" wrapText="1"/>
    </xf>
    <xf numFmtId="178" fontId="43" fillId="4" borderId="16" xfId="29" applyNumberFormat="1" applyFont="1" applyFill="1" applyBorder="1" applyAlignment="1">
      <alignment horizontal="center" vertical="center" wrapText="1"/>
    </xf>
    <xf numFmtId="178" fontId="43" fillId="42" borderId="59" xfId="58" applyNumberFormat="1" applyFont="1" applyFill="1" applyBorder="1" applyAlignment="1">
      <alignment horizontal="center" vertical="center" wrapText="1"/>
    </xf>
    <xf numFmtId="178" fontId="43" fillId="42" borderId="32" xfId="58" applyNumberFormat="1" applyFont="1" applyFill="1" applyBorder="1" applyAlignment="1">
      <alignment horizontal="center" vertical="center" wrapText="1"/>
    </xf>
    <xf numFmtId="178" fontId="43" fillId="26" borderId="13" xfId="58" applyNumberFormat="1" applyFont="1" applyFill="1" applyBorder="1" applyAlignment="1">
      <alignment horizontal="center" vertical="center" wrapText="1"/>
    </xf>
    <xf numFmtId="178" fontId="43" fillId="26" borderId="19" xfId="58" applyNumberFormat="1" applyFont="1" applyFill="1" applyBorder="1" applyAlignment="1">
      <alignment horizontal="center" vertical="center" wrapText="1"/>
    </xf>
    <xf numFmtId="178" fontId="43" fillId="26" borderId="14" xfId="29" applyNumberFormat="1" applyFont="1" applyFill="1" applyBorder="1" applyAlignment="1">
      <alignment horizontal="center" vertical="center" wrapText="1"/>
    </xf>
    <xf numFmtId="178" fontId="43" fillId="26" borderId="63" xfId="29" applyNumberFormat="1" applyFont="1" applyFill="1" applyBorder="1" applyAlignment="1">
      <alignment horizontal="center" vertical="center" wrapText="1"/>
    </xf>
    <xf numFmtId="178" fontId="43" fillId="26" borderId="17" xfId="29" applyNumberFormat="1" applyFont="1" applyFill="1" applyBorder="1" applyAlignment="1">
      <alignment horizontal="center" vertical="center" wrapText="1"/>
    </xf>
    <xf numFmtId="178" fontId="43" fillId="0" borderId="13" xfId="29" applyNumberFormat="1" applyFont="1" applyFill="1" applyBorder="1" applyAlignment="1">
      <alignment horizontal="right"/>
    </xf>
    <xf numFmtId="178" fontId="43" fillId="0" borderId="19" xfId="29" applyNumberFormat="1" applyFont="1" applyFill="1" applyBorder="1" applyAlignment="1">
      <alignment horizontal="right"/>
    </xf>
    <xf numFmtId="0" fontId="43" fillId="0" borderId="63" xfId="0" applyFont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52" fillId="22" borderId="11" xfId="0" applyFont="1" applyFill="1" applyBorder="1" applyAlignment="1">
      <alignment horizontal="center"/>
    </xf>
    <xf numFmtId="178" fontId="43" fillId="0" borderId="63" xfId="29" applyNumberFormat="1" applyFont="1" applyFill="1" applyBorder="1" applyAlignment="1">
      <alignment horizontal="center" vertical="center" wrapText="1"/>
    </xf>
    <xf numFmtId="178" fontId="43" fillId="0" borderId="17" xfId="29" applyNumberFormat="1" applyFont="1" applyFill="1" applyBorder="1" applyAlignment="1">
      <alignment horizontal="center" vertical="center" wrapText="1"/>
    </xf>
    <xf numFmtId="178" fontId="43" fillId="25" borderId="63" xfId="29" applyNumberFormat="1" applyFont="1" applyFill="1" applyBorder="1" applyAlignment="1">
      <alignment horizontal="center" vertical="center" wrapText="1"/>
    </xf>
    <xf numFmtId="166" fontId="43" fillId="25" borderId="14" xfId="51" applyNumberFormat="1" applyFont="1" applyFill="1" applyBorder="1" applyAlignment="1">
      <alignment horizontal="center" vertical="center" wrapText="1"/>
    </xf>
    <xf numFmtId="166" fontId="43" fillId="25" borderId="63" xfId="51" applyNumberFormat="1" applyFont="1" applyFill="1" applyBorder="1" applyAlignment="1">
      <alignment horizontal="center" vertical="center" wrapText="1"/>
    </xf>
    <xf numFmtId="178" fontId="43" fillId="42" borderId="90" xfId="58" applyNumberFormat="1" applyFont="1" applyFill="1" applyBorder="1" applyAlignment="1">
      <alignment horizontal="center" vertical="center" wrapText="1"/>
    </xf>
    <xf numFmtId="178" fontId="43" fillId="42" borderId="63" xfId="58" applyNumberFormat="1" applyFont="1" applyFill="1" applyBorder="1" applyAlignment="1">
      <alignment horizontal="center" vertical="center" wrapText="1"/>
    </xf>
    <xf numFmtId="178" fontId="43" fillId="42" borderId="17" xfId="58" applyNumberFormat="1" applyFont="1" applyFill="1" applyBorder="1" applyAlignment="1">
      <alignment horizontal="center" vertical="center" wrapText="1"/>
    </xf>
    <xf numFmtId="178" fontId="43" fillId="26" borderId="90" xfId="58" applyNumberFormat="1" applyFont="1" applyFill="1" applyBorder="1" applyAlignment="1">
      <alignment horizontal="center" vertical="center" wrapText="1"/>
    </xf>
    <xf numFmtId="178" fontId="43" fillId="26" borderId="63" xfId="58" applyNumberFormat="1" applyFont="1" applyFill="1" applyBorder="1" applyAlignment="1">
      <alignment horizontal="center" vertical="center" wrapText="1"/>
    </xf>
    <xf numFmtId="178" fontId="43" fillId="26" borderId="17" xfId="58" applyNumberFormat="1" applyFont="1" applyFill="1" applyBorder="1" applyAlignment="1">
      <alignment horizontal="center" vertical="center" wrapText="1"/>
    </xf>
    <xf numFmtId="0" fontId="43" fillId="0" borderId="90" xfId="0" applyFont="1" applyBorder="1" applyAlignment="1">
      <alignment horizontal="center" vertical="center" wrapText="1"/>
    </xf>
    <xf numFmtId="166" fontId="43" fillId="25" borderId="17" xfId="51" applyNumberFormat="1" applyFont="1" applyFill="1" applyBorder="1" applyAlignment="1">
      <alignment horizontal="center" vertical="center" wrapText="1"/>
    </xf>
    <xf numFmtId="177" fontId="43" fillId="0" borderId="59" xfId="0" applyNumberFormat="1" applyFont="1" applyBorder="1" applyAlignment="1">
      <alignment horizontal="center" vertical="center"/>
    </xf>
    <xf numFmtId="177" fontId="43" fillId="0" borderId="60" xfId="0" applyNumberFormat="1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177" fontId="43" fillId="0" borderId="31" xfId="0" applyNumberFormat="1" applyFont="1" applyBorder="1" applyAlignment="1">
      <alignment horizontal="center" vertical="center"/>
    </xf>
    <xf numFmtId="177" fontId="43" fillId="0" borderId="62" xfId="0" applyNumberFormat="1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164" fontId="43" fillId="0" borderId="14" xfId="29" applyFont="1" applyFill="1" applyBorder="1" applyAlignment="1">
      <alignment horizontal="center" vertical="center" wrapText="1"/>
    </xf>
    <xf numFmtId="164" fontId="43" fillId="0" borderId="63" xfId="29" applyFont="1" applyFill="1" applyBorder="1" applyAlignment="1">
      <alignment horizontal="center" vertical="center" wrapText="1"/>
    </xf>
    <xf numFmtId="178" fontId="43" fillId="22" borderId="14" xfId="29" applyNumberFormat="1" applyFont="1" applyFill="1" applyBorder="1" applyAlignment="1">
      <alignment horizontal="center" vertical="center" wrapText="1"/>
    </xf>
    <xf numFmtId="178" fontId="43" fillId="22" borderId="63" xfId="29" applyNumberFormat="1" applyFont="1" applyFill="1" applyBorder="1" applyAlignment="1">
      <alignment horizontal="center" vertical="center" wrapText="1"/>
    </xf>
    <xf numFmtId="178" fontId="43" fillId="22" borderId="17" xfId="29" applyNumberFormat="1" applyFont="1" applyFill="1" applyBorder="1" applyAlignment="1">
      <alignment horizontal="center" vertical="center" wrapText="1"/>
    </xf>
    <xf numFmtId="178" fontId="43" fillId="0" borderId="13" xfId="29" applyNumberFormat="1" applyFont="1" applyFill="1" applyBorder="1" applyAlignment="1">
      <alignment horizontal="center" vertical="center" wrapText="1"/>
    </xf>
    <xf numFmtId="178" fontId="43" fillId="0" borderId="20" xfId="29" applyNumberFormat="1" applyFont="1" applyFill="1" applyBorder="1" applyAlignment="1">
      <alignment horizontal="center" vertical="center" wrapText="1"/>
    </xf>
    <xf numFmtId="178" fontId="43" fillId="0" borderId="19" xfId="29" applyNumberFormat="1" applyFont="1" applyFill="1" applyBorder="1" applyAlignment="1">
      <alignment horizontal="center" vertical="center" wrapText="1"/>
    </xf>
    <xf numFmtId="164" fontId="43" fillId="0" borderId="59" xfId="29" applyFont="1" applyFill="1" applyBorder="1" applyAlignment="1">
      <alignment horizontal="center" vertical="center"/>
    </xf>
    <xf numFmtId="164" fontId="43" fillId="0" borderId="60" xfId="29" applyFont="1" applyFill="1" applyBorder="1" applyAlignment="1">
      <alignment horizontal="center" vertical="center"/>
    </xf>
    <xf numFmtId="164" fontId="43" fillId="0" borderId="32" xfId="29" applyFont="1" applyFill="1" applyBorder="1" applyAlignment="1">
      <alignment horizontal="center" vertical="center"/>
    </xf>
    <xf numFmtId="164" fontId="43" fillId="0" borderId="31" xfId="29" applyFont="1" applyFill="1" applyBorder="1" applyAlignment="1">
      <alignment horizontal="center" vertical="center"/>
    </xf>
    <xf numFmtId="164" fontId="43" fillId="0" borderId="62" xfId="29" applyFont="1" applyFill="1" applyBorder="1" applyAlignment="1">
      <alignment horizontal="center" vertical="center"/>
    </xf>
    <xf numFmtId="164" fontId="43" fillId="0" borderId="16" xfId="29" applyFont="1" applyFill="1" applyBorder="1" applyAlignment="1">
      <alignment horizontal="center" vertical="center"/>
    </xf>
    <xf numFmtId="0" fontId="28" fillId="0" borderId="82" xfId="0" applyFont="1" applyBorder="1" applyAlignment="1">
      <alignment horizontal="center" vertical="center" wrapText="1"/>
    </xf>
    <xf numFmtId="0" fontId="28" fillId="0" borderId="83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4" xfId="0" applyFont="1" applyBorder="1" applyAlignment="1">
      <alignment horizontal="center" vertical="center" wrapText="1"/>
    </xf>
    <xf numFmtId="0" fontId="28" fillId="0" borderId="85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85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86" xfId="0" applyFont="1" applyBorder="1" applyAlignment="1">
      <alignment horizontal="center" vertical="center" wrapText="1"/>
    </xf>
    <xf numFmtId="0" fontId="28" fillId="0" borderId="87" xfId="0" applyFont="1" applyBorder="1" applyAlignment="1">
      <alignment horizontal="center" vertical="center" wrapText="1"/>
    </xf>
    <xf numFmtId="2" fontId="28" fillId="0" borderId="13" xfId="28" applyNumberFormat="1" applyFont="1" applyBorder="1" applyAlignment="1">
      <alignment horizontal="center" vertical="center"/>
    </xf>
    <xf numFmtId="2" fontId="28" fillId="0" borderId="89" xfId="28" applyNumberFormat="1" applyFont="1" applyBorder="1" applyAlignment="1">
      <alignment horizontal="center" vertical="center"/>
    </xf>
    <xf numFmtId="2" fontId="28" fillId="0" borderId="11" xfId="28" applyNumberFormat="1" applyFont="1" applyBorder="1" applyAlignment="1">
      <alignment horizontal="center" vertical="center"/>
    </xf>
    <xf numFmtId="2" fontId="28" fillId="0" borderId="31" xfId="28" applyNumberFormat="1" applyFont="1" applyBorder="1" applyAlignment="1">
      <alignment horizontal="center" vertical="center"/>
    </xf>
    <xf numFmtId="2" fontId="28" fillId="0" borderId="62" xfId="28" applyNumberFormat="1" applyFont="1" applyBorder="1" applyAlignment="1">
      <alignment horizontal="center" vertical="center"/>
    </xf>
    <xf numFmtId="2" fontId="28" fillId="0" borderId="16" xfId="28" applyNumberFormat="1" applyFont="1" applyBorder="1" applyAlignment="1">
      <alignment horizontal="center" vertical="center"/>
    </xf>
    <xf numFmtId="2" fontId="28" fillId="0" borderId="31" xfId="28" quotePrefix="1" applyNumberFormat="1" applyFont="1" applyBorder="1" applyAlignment="1">
      <alignment horizontal="center" vertical="center"/>
    </xf>
    <xf numFmtId="2" fontId="0" fillId="0" borderId="11" xfId="28" applyNumberFormat="1" applyFont="1" applyBorder="1" applyAlignment="1">
      <alignment horizontal="center" vertical="center"/>
    </xf>
    <xf numFmtId="2" fontId="28" fillId="0" borderId="88" xfId="28" applyNumberFormat="1" applyFont="1" applyBorder="1" applyAlignment="1">
      <alignment horizontal="center" vertical="center"/>
    </xf>
    <xf numFmtId="0" fontId="56" fillId="0" borderId="79" xfId="41" applyFont="1" applyBorder="1" applyAlignment="1">
      <alignment horizontal="center"/>
    </xf>
    <xf numFmtId="0" fontId="56" fillId="0" borderId="80" xfId="41" applyFont="1" applyBorder="1" applyAlignment="1">
      <alignment horizontal="center"/>
    </xf>
    <xf numFmtId="0" fontId="56" fillId="0" borderId="22" xfId="41" applyFont="1" applyBorder="1" applyAlignment="1">
      <alignment horizontal="center"/>
    </xf>
    <xf numFmtId="0" fontId="56" fillId="0" borderId="55" xfId="41" applyFont="1" applyBorder="1" applyAlignment="1">
      <alignment horizontal="center" vertical="center"/>
    </xf>
    <xf numFmtId="0" fontId="56" fillId="0" borderId="63" xfId="41" applyFont="1" applyBorder="1" applyAlignment="1">
      <alignment horizontal="center" vertical="center"/>
    </xf>
    <xf numFmtId="0" fontId="56" fillId="0" borderId="30" xfId="41" applyFont="1" applyBorder="1" applyAlignment="1">
      <alignment horizontal="center" vertical="center"/>
    </xf>
    <xf numFmtId="0" fontId="56" fillId="11" borderId="55" xfId="41" applyFont="1" applyFill="1" applyBorder="1" applyAlignment="1">
      <alignment horizontal="center" vertical="center" wrapText="1"/>
    </xf>
    <xf numFmtId="0" fontId="56" fillId="11" borderId="63" xfId="41" applyFont="1" applyFill="1" applyBorder="1" applyAlignment="1">
      <alignment horizontal="center" vertical="center" wrapText="1"/>
    </xf>
    <xf numFmtId="0" fontId="56" fillId="11" borderId="30" xfId="41" applyFont="1" applyFill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56" fillId="0" borderId="45" xfId="41" applyFont="1" applyBorder="1" applyAlignment="1">
      <alignment horizontal="center" vertical="center"/>
    </xf>
    <xf numFmtId="0" fontId="56" fillId="0" borderId="81" xfId="41" applyFont="1" applyBorder="1" applyAlignment="1">
      <alignment horizontal="center" vertical="center"/>
    </xf>
    <xf numFmtId="0" fontId="56" fillId="0" borderId="47" xfId="41" applyFont="1" applyBorder="1" applyAlignment="1">
      <alignment horizontal="center" vertical="center"/>
    </xf>
    <xf numFmtId="2" fontId="0" fillId="0" borderId="13" xfId="28" applyNumberFormat="1" applyFont="1" applyBorder="1" applyAlignment="1">
      <alignment horizontal="center"/>
    </xf>
    <xf numFmtId="2" fontId="0" fillId="0" borderId="88" xfId="28" applyNumberFormat="1" applyFont="1" applyBorder="1" applyAlignment="1">
      <alignment horizontal="center"/>
    </xf>
    <xf numFmtId="2" fontId="0" fillId="0" borderId="89" xfId="28" applyNumberFormat="1" applyFont="1" applyBorder="1" applyAlignment="1">
      <alignment horizontal="center"/>
    </xf>
    <xf numFmtId="10" fontId="64" fillId="27" borderId="11" xfId="0" applyNumberFormat="1" applyFont="1" applyFill="1" applyBorder="1" applyAlignment="1">
      <alignment horizontal="center" vertical="center"/>
    </xf>
    <xf numFmtId="0" fontId="64" fillId="27" borderId="11" xfId="0" applyFont="1" applyFill="1" applyBorder="1" applyAlignment="1">
      <alignment horizontal="center" vertical="center"/>
    </xf>
    <xf numFmtId="0" fontId="59" fillId="0" borderId="11" xfId="0" applyFont="1" applyBorder="1" applyAlignment="1">
      <alignment horizontal="center" vertical="center"/>
    </xf>
    <xf numFmtId="10" fontId="62" fillId="0" borderId="11" xfId="0" applyNumberFormat="1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59" fillId="0" borderId="90" xfId="0" applyFont="1" applyBorder="1" applyAlignment="1">
      <alignment horizontal="center" vertical="center"/>
    </xf>
    <xf numFmtId="0" fontId="59" fillId="0" borderId="63" xfId="0" applyFont="1" applyBorder="1" applyAlignment="1">
      <alignment horizontal="center" vertical="center"/>
    </xf>
    <xf numFmtId="10" fontId="63" fillId="0" borderId="11" xfId="0" applyNumberFormat="1" applyFont="1" applyBorder="1" applyAlignment="1">
      <alignment horizontal="center" vertical="center"/>
    </xf>
    <xf numFmtId="0" fontId="59" fillId="0" borderId="11" xfId="0" applyFont="1" applyBorder="1" applyAlignment="1">
      <alignment horizontal="left" vertical="center"/>
    </xf>
    <xf numFmtId="10" fontId="1" fillId="0" borderId="11" xfId="51" applyNumberFormat="1" applyFont="1" applyFill="1" applyBorder="1" applyAlignment="1">
      <alignment horizontal="center" vertical="center"/>
    </xf>
    <xf numFmtId="0" fontId="59" fillId="0" borderId="90" xfId="0" applyFont="1" applyBorder="1" applyAlignment="1">
      <alignment horizontal="left" vertical="center"/>
    </xf>
    <xf numFmtId="0" fontId="59" fillId="0" borderId="63" xfId="0" applyFont="1" applyBorder="1" applyAlignment="1">
      <alignment horizontal="left" vertical="center"/>
    </xf>
    <xf numFmtId="0" fontId="59" fillId="0" borderId="17" xfId="0" applyFont="1" applyBorder="1" applyAlignment="1">
      <alignment horizontal="left" vertical="center"/>
    </xf>
    <xf numFmtId="10" fontId="1" fillId="0" borderId="90" xfId="51" applyNumberFormat="1" applyFont="1" applyFill="1" applyBorder="1" applyAlignment="1">
      <alignment horizontal="center" vertical="center"/>
    </xf>
    <xf numFmtId="10" fontId="1" fillId="0" borderId="17" xfId="51" applyNumberFormat="1" applyFont="1" applyFill="1" applyBorder="1" applyAlignment="1">
      <alignment horizontal="center" vertical="center"/>
    </xf>
    <xf numFmtId="10" fontId="59" fillId="0" borderId="11" xfId="0" applyNumberFormat="1" applyFont="1" applyBorder="1" applyAlignment="1">
      <alignment horizontal="center" vertical="center"/>
    </xf>
    <xf numFmtId="10" fontId="1" fillId="0" borderId="63" xfId="51" applyNumberFormat="1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/>
    </xf>
    <xf numFmtId="10" fontId="59" fillId="0" borderId="90" xfId="51" applyNumberFormat="1" applyFont="1" applyFill="1" applyBorder="1" applyAlignment="1">
      <alignment horizontal="center" vertical="center"/>
    </xf>
    <xf numFmtId="10" fontId="59" fillId="0" borderId="17" xfId="51" applyNumberFormat="1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top" wrapText="1"/>
    </xf>
    <xf numFmtId="0" fontId="59" fillId="27" borderId="90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23" fillId="24" borderId="79" xfId="0" applyFont="1" applyFill="1" applyBorder="1" applyAlignment="1">
      <alignment horizontal="center"/>
    </xf>
    <xf numFmtId="0" fontId="23" fillId="24" borderId="22" xfId="0" applyFont="1" applyFill="1" applyBorder="1" applyAlignment="1">
      <alignment horizontal="center"/>
    </xf>
    <xf numFmtId="0" fontId="27" fillId="24" borderId="28" xfId="0" applyFont="1" applyFill="1" applyBorder="1" applyAlignment="1">
      <alignment horizontal="center"/>
    </xf>
    <xf numFmtId="0" fontId="27" fillId="24" borderId="19" xfId="0" applyFont="1" applyFill="1" applyBorder="1" applyAlignment="1">
      <alignment horizontal="center"/>
    </xf>
    <xf numFmtId="0" fontId="27" fillId="24" borderId="79" xfId="0" applyFont="1" applyFill="1" applyBorder="1" applyAlignment="1">
      <alignment horizontal="center"/>
    </xf>
    <xf numFmtId="0" fontId="27" fillId="24" borderId="22" xfId="0" applyFont="1" applyFill="1" applyBorder="1" applyAlignment="1">
      <alignment horizontal="center"/>
    </xf>
    <xf numFmtId="0" fontId="27" fillId="24" borderId="78" xfId="0" applyFont="1" applyFill="1" applyBorder="1" applyAlignment="1">
      <alignment horizontal="center"/>
    </xf>
    <xf numFmtId="0" fontId="27" fillId="24" borderId="77" xfId="0" applyFont="1" applyFill="1" applyBorder="1" applyAlignment="1">
      <alignment horizontal="center"/>
    </xf>
    <xf numFmtId="0" fontId="27" fillId="24" borderId="45" xfId="0" applyFont="1" applyFill="1" applyBorder="1" applyAlignment="1" applyProtection="1">
      <alignment horizontal="center" vertical="center" textRotation="180" wrapText="1"/>
      <protection locked="0"/>
    </xf>
    <xf numFmtId="0" fontId="45" fillId="0" borderId="81" xfId="0" applyFont="1" applyBorder="1" applyAlignment="1" applyProtection="1">
      <alignment horizontal="center" vertical="center" textRotation="180" wrapText="1"/>
      <protection locked="0"/>
    </xf>
    <xf numFmtId="0" fontId="45" fillId="0" borderId="47" xfId="0" applyFont="1" applyBorder="1" applyAlignment="1" applyProtection="1">
      <alignment horizontal="center" vertical="center" textRotation="180" wrapText="1"/>
      <protection locked="0"/>
    </xf>
    <xf numFmtId="0" fontId="27" fillId="24" borderId="43" xfId="0" applyFont="1" applyFill="1" applyBorder="1" applyAlignment="1" applyProtection="1">
      <alignment horizontal="center" vertical="center" wrapText="1"/>
      <protection locked="0"/>
    </xf>
    <xf numFmtId="0" fontId="0" fillId="0" borderId="44" xfId="0" applyBorder="1" applyAlignment="1" applyProtection="1">
      <alignment horizontal="center" vertical="center" wrapText="1"/>
      <protection locked="0"/>
    </xf>
    <xf numFmtId="0" fontId="0" fillId="0" borderId="38" xfId="0" applyBorder="1" applyAlignment="1" applyProtection="1">
      <alignment horizontal="center" vertical="center" wrapText="1"/>
      <protection locked="0"/>
    </xf>
    <xf numFmtId="0" fontId="0" fillId="0" borderId="81" xfId="0" applyBorder="1" applyAlignment="1" applyProtection="1">
      <alignment horizontal="center" vertical="center" textRotation="180" wrapText="1"/>
      <protection locked="0"/>
    </xf>
    <xf numFmtId="0" fontId="0" fillId="0" borderId="47" xfId="0" applyBorder="1" applyAlignment="1" applyProtection="1">
      <alignment horizontal="center" vertical="center" textRotation="180" wrapText="1"/>
      <protection locked="0"/>
    </xf>
    <xf numFmtId="0" fontId="27" fillId="24" borderId="70" xfId="0" applyFont="1" applyFill="1" applyBorder="1" applyAlignment="1">
      <alignment horizontal="center"/>
    </xf>
    <xf numFmtId="0" fontId="27" fillId="24" borderId="71" xfId="0" applyFont="1" applyFill="1" applyBorder="1" applyAlignment="1">
      <alignment horizontal="center"/>
    </xf>
    <xf numFmtId="0" fontId="27" fillId="24" borderId="36" xfId="0" applyFont="1" applyFill="1" applyBorder="1" applyAlignment="1">
      <alignment horizontal="center"/>
    </xf>
    <xf numFmtId="0" fontId="27" fillId="24" borderId="34" xfId="0" applyFont="1" applyFill="1" applyBorder="1" applyAlignment="1">
      <alignment horizontal="center"/>
    </xf>
    <xf numFmtId="0" fontId="46" fillId="24" borderId="28" xfId="0" applyFont="1" applyFill="1" applyBorder="1" applyAlignment="1">
      <alignment horizontal="center"/>
    </xf>
  </cellXfs>
  <cellStyles count="6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8"/>
    <cellStyle name="Comma 2" xfId="59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6"/>
    <cellStyle name="Normal 5" xfId="60"/>
    <cellStyle name="Normal_April_3" xfId="43"/>
    <cellStyle name="Normal_DES 11_1" xfId="57"/>
    <cellStyle name="Normal_Juli_9" xfId="44"/>
    <cellStyle name="Normal_Juni" xfId="45"/>
    <cellStyle name="Normal_Juni_4" xfId="46"/>
    <cellStyle name="Normal_Mar_18" xfId="47"/>
    <cellStyle name="Normal_Mar_6" xfId="48"/>
    <cellStyle name="Note" xfId="49" builtinId="10" customBuiltin="1"/>
    <cellStyle name="Output" xfId="50" builtinId="21" customBuiltin="1"/>
    <cellStyle name="Percent" xfId="51" builtinId="5"/>
    <cellStyle name="Percent 2" xfId="61"/>
    <cellStyle name="Percent_Okt_6" xfId="52"/>
    <cellStyle name="Title" xfId="53" builtinId="15" customBuiltin="1"/>
    <cellStyle name="Total" xfId="54" builtinId="25" customBuiltin="1"/>
    <cellStyle name="Warning Text" xfId="55" builtinId="11" customBuiltin="1"/>
  </cellStyles>
  <dxfs count="97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</dxfs>
  <tableStyles count="0" defaultTableStyle="TableStyleMedium9" defaultPivotStyle="PivotStyleLight16"/>
  <colors>
    <mruColors>
      <color rgb="FFEAA0C1"/>
      <color rgb="FFFABF8F"/>
      <color rgb="FF9BBB59"/>
      <color rgb="FF8C91FE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4.xml"/><Relationship Id="rId50" Type="http://schemas.openxmlformats.org/officeDocument/2006/relationships/externalLink" Target="externalLinks/externalLink7.xml"/><Relationship Id="rId55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3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2.xml"/><Relationship Id="rId53" Type="http://schemas.openxmlformats.org/officeDocument/2006/relationships/externalLink" Target="externalLinks/externalLink10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6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52" Type="http://schemas.openxmlformats.org/officeDocument/2006/relationships/externalLink" Target="externalLinks/externalLink9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5.xml"/><Relationship Id="rId56" Type="http://schemas.openxmlformats.org/officeDocument/2006/relationships/externalLink" Target="externalLinks/externalLink1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Report1!$R$9:$R$39</c:f>
              <c:numCache>
                <c:formatCode>#,##0.000</c:formatCode>
                <c:ptCount val="31"/>
                <c:pt idx="0">
                  <c:v>7.7140000000000004</c:v>
                </c:pt>
                <c:pt idx="1">
                  <c:v>44.24</c:v>
                </c:pt>
                <c:pt idx="2">
                  <c:v>51.625</c:v>
                </c:pt>
                <c:pt idx="3">
                  <c:v>43.804000000000002</c:v>
                </c:pt>
                <c:pt idx="4">
                  <c:v>56.883000000000003</c:v>
                </c:pt>
                <c:pt idx="5">
                  <c:v>73.584000000000003</c:v>
                </c:pt>
                <c:pt idx="6">
                  <c:v>69.284000000000006</c:v>
                </c:pt>
                <c:pt idx="7">
                  <c:v>70.066000000000003</c:v>
                </c:pt>
                <c:pt idx="8">
                  <c:v>74.421000000000006</c:v>
                </c:pt>
                <c:pt idx="9">
                  <c:v>81.748999999999995</c:v>
                </c:pt>
                <c:pt idx="10">
                  <c:v>61.018000000000001</c:v>
                </c:pt>
                <c:pt idx="11">
                  <c:v>84.668000000000006</c:v>
                </c:pt>
                <c:pt idx="12">
                  <c:v>75.933000000000007</c:v>
                </c:pt>
                <c:pt idx="13">
                  <c:v>82.355000000000004</c:v>
                </c:pt>
                <c:pt idx="14">
                  <c:v>77.778000000000006</c:v>
                </c:pt>
                <c:pt idx="15">
                  <c:v>80.367999999999995</c:v>
                </c:pt>
                <c:pt idx="16">
                  <c:v>73.183000000000007</c:v>
                </c:pt>
                <c:pt idx="17">
                  <c:v>56.569000000000003</c:v>
                </c:pt>
                <c:pt idx="18">
                  <c:v>55.167999999999999</c:v>
                </c:pt>
                <c:pt idx="19">
                  <c:v>55.423000000000002</c:v>
                </c:pt>
                <c:pt idx="20">
                  <c:v>56.616</c:v>
                </c:pt>
                <c:pt idx="21">
                  <c:v>55.46</c:v>
                </c:pt>
                <c:pt idx="22">
                  <c:v>41.737000000000002</c:v>
                </c:pt>
                <c:pt idx="23">
                  <c:v>44.899000000000001</c:v>
                </c:pt>
                <c:pt idx="24">
                  <c:v>40.061999999999998</c:v>
                </c:pt>
                <c:pt idx="25">
                  <c:v>49.328000000000003</c:v>
                </c:pt>
                <c:pt idx="26">
                  <c:v>56.872999999999998</c:v>
                </c:pt>
                <c:pt idx="27">
                  <c:v>57.351999999999997</c:v>
                </c:pt>
                <c:pt idx="28">
                  <c:v>77.828000000000003</c:v>
                </c:pt>
                <c:pt idx="29">
                  <c:v>61.204000000000001</c:v>
                </c:pt>
                <c:pt idx="30">
                  <c:v>48.325000000000003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C6D-4B8B-91BF-BF47FD5D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2672"/>
        <c:axId val="38414208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FC6D-4B8B-91BF-BF47FD5D2F2B}"/>
              </c:ext>
            </c:extLst>
          </c:dPt>
          <c:cat>
            <c:numRef>
              <c:f>Report1!$A$9</c:f>
              <c:numCache>
                <c:formatCode>d\-mmm</c:formatCode>
                <c:ptCount val="1"/>
                <c:pt idx="0">
                  <c:v>45870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0.11550916662961484</c:v>
                </c:pt>
                <c:pt idx="1">
                  <c:v>0.66209516620163322</c:v>
                </c:pt>
                <c:pt idx="2">
                  <c:v>0.78055074259255575</c:v>
                </c:pt>
                <c:pt idx="3">
                  <c:v>0.68443015671764551</c:v>
                </c:pt>
                <c:pt idx="4">
                  <c:v>0.76602828634014486</c:v>
                </c:pt>
                <c:pt idx="5">
                  <c:v>0.9206027578524032</c:v>
                </c:pt>
                <c:pt idx="6">
                  <c:v>0.93472606491672794</c:v>
                </c:pt>
                <c:pt idx="7">
                  <c:v>0.97140590076192956</c:v>
                </c:pt>
                <c:pt idx="8">
                  <c:v>0.98913092366095912</c:v>
                </c:pt>
                <c:pt idx="9">
                  <c:v>1.019358954407974</c:v>
                </c:pt>
                <c:pt idx="10">
                  <c:v>0.72974618419024206</c:v>
                </c:pt>
                <c:pt idx="11">
                  <c:v>1.0214101881452593</c:v>
                </c:pt>
                <c:pt idx="12">
                  <c:v>0.96594056400670769</c:v>
                </c:pt>
                <c:pt idx="13">
                  <c:v>1.0379524466916799</c:v>
                </c:pt>
                <c:pt idx="14">
                  <c:v>0.96966855007746189</c:v>
                </c:pt>
                <c:pt idx="15">
                  <c:v>1.0021387472367862</c:v>
                </c:pt>
                <c:pt idx="16">
                  <c:v>0.99953816659635486</c:v>
                </c:pt>
                <c:pt idx="17">
                  <c:v>0.9866696260148462</c:v>
                </c:pt>
                <c:pt idx="18">
                  <c:v>0.96500987229287571</c:v>
                </c:pt>
                <c:pt idx="19">
                  <c:v>0.97942225553071971</c:v>
                </c:pt>
                <c:pt idx="20">
                  <c:v>0.99568876472732981</c:v>
                </c:pt>
                <c:pt idx="21">
                  <c:v>0.98022427050564487</c:v>
                </c:pt>
                <c:pt idx="22">
                  <c:v>0.80290783777060148</c:v>
                </c:pt>
                <c:pt idx="23">
                  <c:v>0.87883768679858632</c:v>
                </c:pt>
                <c:pt idx="24">
                  <c:v>0.77499150997452282</c:v>
                </c:pt>
                <c:pt idx="25">
                  <c:v>0.85579198215296204</c:v>
                </c:pt>
                <c:pt idx="26">
                  <c:v>0.9373920416037046</c:v>
                </c:pt>
                <c:pt idx="27">
                  <c:v>0.93879878219169843</c:v>
                </c:pt>
                <c:pt idx="28">
                  <c:v>1.3003677406153014</c:v>
                </c:pt>
                <c:pt idx="29">
                  <c:v>1.0587561035287552</c:v>
                </c:pt>
                <c:pt idx="30">
                  <c:v>0.81840225842820513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C6D-4B8B-91BF-BF47FD5D2F2B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Report1!$A$9</c:f>
              <c:numCache>
                <c:formatCode>d\-mmm</c:formatCode>
                <c:ptCount val="1"/>
                <c:pt idx="0">
                  <c:v>45870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0.11550916662961484</c:v>
                </c:pt>
                <c:pt idx="1">
                  <c:v>0.38887501099624505</c:v>
                </c:pt>
                <c:pt idx="2">
                  <c:v>0.51856922936571559</c:v>
                </c:pt>
                <c:pt idx="3">
                  <c:v>0.55881790984855062</c:v>
                </c:pt>
                <c:pt idx="4">
                  <c:v>0.60434138834387341</c:v>
                </c:pt>
                <c:pt idx="5">
                  <c:v>0.66482752685688695</c:v>
                </c:pt>
                <c:pt idx="6">
                  <c:v>0.70548493838188719</c:v>
                </c:pt>
                <c:pt idx="7">
                  <c:v>0.73948208913798441</c:v>
                </c:pt>
                <c:pt idx="8">
                  <c:v>0.76885769299811146</c:v>
                </c:pt>
                <c:pt idx="9">
                  <c:v>0.79677449600583394</c:v>
                </c:pt>
                <c:pt idx="10">
                  <c:v>0.78979691494059368</c:v>
                </c:pt>
                <c:pt idx="11">
                  <c:v>0.81146341639911712</c:v>
                </c:pt>
                <c:pt idx="12">
                  <c:v>0.82405085280809742</c:v>
                </c:pt>
                <c:pt idx="13">
                  <c:v>0.8403061214870583</c:v>
                </c:pt>
                <c:pt idx="14">
                  <c:v>0.84953532483850758</c:v>
                </c:pt>
                <c:pt idx="15">
                  <c:v>0.85969590553192432</c:v>
                </c:pt>
                <c:pt idx="16">
                  <c:v>0.86770936561385437</c:v>
                </c:pt>
                <c:pt idx="17">
                  <c:v>0.87281813477930881</c:v>
                </c:pt>
                <c:pt idx="18">
                  <c:v>0.87660382512390667</c:v>
                </c:pt>
                <c:pt idx="19">
                  <c:v>0.88061975038636775</c:v>
                </c:pt>
                <c:pt idx="20">
                  <c:v>0.88496534930381121</c:v>
                </c:pt>
                <c:pt idx="21">
                  <c:v>0.88841531771425353</c:v>
                </c:pt>
                <c:pt idx="22">
                  <c:v>0.885661729435536</c:v>
                </c:pt>
                <c:pt idx="23">
                  <c:v>0.88545237753621198</c:v>
                </c:pt>
                <c:pt idx="24">
                  <c:v>0.88212673812562148</c:v>
                </c:pt>
                <c:pt idx="25">
                  <c:v>0.881271384772779</c:v>
                </c:pt>
                <c:pt idx="26">
                  <c:v>0.88312662018369126</c:v>
                </c:pt>
                <c:pt idx="27">
                  <c:v>0.88492005174358068</c:v>
                </c:pt>
                <c:pt idx="28">
                  <c:v>0.89763053623653799</c:v>
                </c:pt>
                <c:pt idx="29">
                  <c:v>0.90225516525260618</c:v>
                </c:pt>
                <c:pt idx="30">
                  <c:v>0.89986679210292397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C6D-4B8B-91BF-BF47FD5D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21632"/>
        <c:axId val="38415744"/>
      </c:lineChart>
      <c:dateAx>
        <c:axId val="3841267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38414208"/>
        <c:crosses val="autoZero"/>
        <c:auto val="1"/>
        <c:lblOffset val="100"/>
        <c:baseTimeUnit val="days"/>
      </c:dateAx>
      <c:valAx>
        <c:axId val="38414208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38412672"/>
        <c:crosses val="autoZero"/>
        <c:crossBetween val="between"/>
      </c:valAx>
      <c:valAx>
        <c:axId val="3841574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8421632"/>
        <c:crosses val="max"/>
        <c:crossBetween val="between"/>
      </c:valAx>
      <c:dateAx>
        <c:axId val="38421632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one"/>
        <c:crossAx val="38415744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504824</xdr:colOff>
      <xdr:row>25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2%20AGUSTUS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4%20AGUSTUS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5%20AGUSTUS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6%20AGUSTUS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7%20AGUSTUS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7.%20JULI\DAILY%20REPORT%20PM%2011%20JULI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6.%20JUNI\DAILY%20REPORT%20PM%2011%20JUNI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5.%20MEI\DAILY%20REPORT%20PM%2011%20MEI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4.%20APRIL\DAILY%20REPORT%20PM%2011%20APRIL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3.%20MARET\DAILY%20REPORT%20PM%2011%20MARET%20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2.%20FEBRUARI\DAILY%20REPORT%20PM%2011%20FEBRUARI%20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1.%20JANUARI\DAILY%20REPORT%20PM%2011%20JANUARI%20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1.0736612946546025</v>
          </cell>
          <cell r="K9">
            <v>1.0736612946546025</v>
          </cell>
          <cell r="R9">
            <v>80.168999999999997</v>
          </cell>
          <cell r="S9">
            <v>80.168999999999997</v>
          </cell>
          <cell r="AL9">
            <v>2.3001160049395653</v>
          </cell>
          <cell r="AM9">
            <v>2.3001160049395653</v>
          </cell>
          <cell r="AR9">
            <v>0.23949406877970289</v>
          </cell>
          <cell r="AS9">
            <v>0.23949406877970289</v>
          </cell>
          <cell r="AX9">
            <v>428.99287754617444</v>
          </cell>
          <cell r="AY9">
            <v>428.99287754617444</v>
          </cell>
          <cell r="BD9">
            <v>393.75569110254588</v>
          </cell>
          <cell r="BE9">
            <v>393.75569110254588</v>
          </cell>
          <cell r="BJ9">
            <v>1.0736612946546025</v>
          </cell>
          <cell r="BK9">
            <v>1.0736612946546025</v>
          </cell>
        </row>
        <row r="10">
          <cell r="J10">
            <v>1.0084006925939923</v>
          </cell>
          <cell r="K10">
            <v>1.0426799600844918</v>
          </cell>
          <cell r="R10">
            <v>68.052000000000007</v>
          </cell>
          <cell r="S10">
            <v>148.221</v>
          </cell>
          <cell r="AL10">
            <v>2.682110738846764</v>
          </cell>
          <cell r="AM10">
            <v>2.4754994231586616</v>
          </cell>
          <cell r="AR10">
            <v>0.26303415035561034</v>
          </cell>
          <cell r="AS10">
            <v>0.25030191403377383</v>
          </cell>
          <cell r="AX10">
            <v>531.02759654383976</v>
          </cell>
          <cell r="AY10">
            <v>475.8395908811886</v>
          </cell>
          <cell r="BD10">
            <v>461.57350261564682</v>
          </cell>
          <cell r="BE10">
            <v>424.8925590840704</v>
          </cell>
          <cell r="BJ10">
            <v>1.0084006925939923</v>
          </cell>
          <cell r="BK10">
            <v>1.0426799600844918</v>
          </cell>
        </row>
        <row r="11">
          <cell r="J11">
            <v>0.91110339907076565</v>
          </cell>
          <cell r="K11">
            <v>1.0044026983975332</v>
          </cell>
          <cell r="R11">
            <v>53.136000000000003</v>
          </cell>
          <cell r="S11">
            <v>201.357</v>
          </cell>
          <cell r="AL11">
            <v>2.894214844926227</v>
          </cell>
          <cell r="AM11">
            <v>2.5859940305030369</v>
          </cell>
          <cell r="AR11">
            <v>0.28605841613971694</v>
          </cell>
          <cell r="AS11">
            <v>0.2597376798422702</v>
          </cell>
          <cell r="AX11">
            <v>677.61875188195825</v>
          </cell>
          <cell r="AY11">
            <v>529.08699474068635</v>
          </cell>
          <cell r="BD11">
            <v>477.86811201445352</v>
          </cell>
          <cell r="BE11">
            <v>438.87225177172883</v>
          </cell>
          <cell r="BJ11">
            <v>0.91110339907076565</v>
          </cell>
          <cell r="BK11">
            <v>1.0044026983975332</v>
          </cell>
        </row>
        <row r="12">
          <cell r="J12">
            <v>0.80052628435133444</v>
          </cell>
          <cell r="K12">
            <v>0.9613215669015448</v>
          </cell>
          <cell r="R12">
            <v>42.997999999999998</v>
          </cell>
          <cell r="S12">
            <v>244.35499999999999</v>
          </cell>
          <cell r="AL12">
            <v>3.4281594492767105</v>
          </cell>
          <cell r="AM12">
            <v>2.7341859180290968</v>
          </cell>
          <cell r="AR12">
            <v>0.23722033582957347</v>
          </cell>
          <cell r="AS12">
            <v>0.25577540872910315</v>
          </cell>
          <cell r="AX12">
            <v>879.37322666170667</v>
          </cell>
          <cell r="AY12">
            <v>590.72521536289594</v>
          </cell>
          <cell r="BD12">
            <v>389.64603004790922</v>
          </cell>
          <cell r="BE12">
            <v>430.21014507581185</v>
          </cell>
          <cell r="BJ12">
            <v>0.80052628435133444</v>
          </cell>
          <cell r="BK12">
            <v>0.9613215669015448</v>
          </cell>
        </row>
        <row r="13">
          <cell r="J13">
            <v>4.5486570452663515E-2</v>
          </cell>
          <cell r="K13">
            <v>0.80530974396073562</v>
          </cell>
          <cell r="R13">
            <v>2.3740000000000001</v>
          </cell>
          <cell r="S13">
            <v>246.72899999999998</v>
          </cell>
          <cell r="AL13">
            <v>19.467986520640267</v>
          </cell>
          <cell r="AM13">
            <v>2.895196754333702</v>
          </cell>
          <cell r="AR13">
            <v>0</v>
          </cell>
          <cell r="AS13">
            <v>0.25331436515367062</v>
          </cell>
          <cell r="AX13">
            <v>4236.3732097726042</v>
          </cell>
          <cell r="AY13">
            <v>625.80324971933021</v>
          </cell>
          <cell r="BD13">
            <v>264.11120471777588</v>
          </cell>
          <cell r="BE13">
            <v>428.6119588698532</v>
          </cell>
          <cell r="BJ13">
            <v>0.34593654160131782</v>
          </cell>
          <cell r="BK13">
            <v>0.9451441546282926</v>
          </cell>
        </row>
        <row r="14">
          <cell r="J14">
            <v>0.60009356716637552</v>
          </cell>
          <cell r="K14">
            <v>0.77405446118790122</v>
          </cell>
          <cell r="R14">
            <v>33.033000000000001</v>
          </cell>
          <cell r="S14">
            <v>279.762</v>
          </cell>
          <cell r="AL14">
            <v>3.9973662700935422</v>
          </cell>
          <cell r="AM14">
            <v>3.0253358211622734</v>
          </cell>
          <cell r="AR14">
            <v>0</v>
          </cell>
          <cell r="AS14">
            <v>0.22340417926666237</v>
          </cell>
          <cell r="AX14">
            <v>1370.7223079950318</v>
          </cell>
          <cell r="AY14">
            <v>713.75983872005668</v>
          </cell>
          <cell r="BD14">
            <v>18.557200375382195</v>
          </cell>
          <cell r="BE14">
            <v>380.19459397630845</v>
          </cell>
          <cell r="BJ14">
            <v>0.67266853480307953</v>
          </cell>
          <cell r="BK14">
            <v>0.90200280595936655</v>
          </cell>
        </row>
        <row r="15">
          <cell r="J15">
            <v>0.55646883810175429</v>
          </cell>
          <cell r="K15">
            <v>0.74460828309688887</v>
          </cell>
          <cell r="R15">
            <v>31.478000000000002</v>
          </cell>
          <cell r="S15">
            <v>311.24</v>
          </cell>
          <cell r="AL15">
            <v>3.4532689497426774</v>
          </cell>
          <cell r="AM15">
            <v>3.0686158591440686</v>
          </cell>
          <cell r="AR15">
            <v>0</v>
          </cell>
          <cell r="AS15">
            <v>0.20080966456753629</v>
          </cell>
          <cell r="AX15">
            <v>1113.3779147341004</v>
          </cell>
          <cell r="AY15">
            <v>754.17616630253349</v>
          </cell>
          <cell r="BD15">
            <v>15.058135840904759</v>
          </cell>
          <cell r="BE15">
            <v>343.26564708906312</v>
          </cell>
          <cell r="BJ15">
            <v>0.55646883810175429</v>
          </cell>
          <cell r="BK15">
            <v>0.84870395475009042</v>
          </cell>
        </row>
        <row r="16">
          <cell r="J16">
            <v>0.86040660712842121</v>
          </cell>
          <cell r="K16">
            <v>0.76319655153210064</v>
          </cell>
          <cell r="R16">
            <v>68.77</v>
          </cell>
          <cell r="S16">
            <v>380.01</v>
          </cell>
          <cell r="AL16">
            <v>2.1362803548058746</v>
          </cell>
          <cell r="AM16">
            <v>2.899892108102418</v>
          </cell>
          <cell r="AR16">
            <v>0</v>
          </cell>
          <cell r="AS16">
            <v>0.16446935606957713</v>
          </cell>
          <cell r="AX16">
            <v>636.78653482622281</v>
          </cell>
          <cell r="AY16">
            <v>732.93229125549283</v>
          </cell>
          <cell r="BD16">
            <v>7.5468954485967723</v>
          </cell>
          <cell r="BE16">
            <v>282.51098655298546</v>
          </cell>
          <cell r="BJ16">
            <v>0.86040660712842121</v>
          </cell>
          <cell r="BK16">
            <v>0.85079812067636107</v>
          </cell>
        </row>
        <row r="17">
          <cell r="J17">
            <v>0.83020675659207965</v>
          </cell>
          <cell r="K17">
            <v>0.77264687086455175</v>
          </cell>
          <cell r="R17">
            <v>67.869</v>
          </cell>
          <cell r="S17">
            <v>447.87900000000002</v>
          </cell>
          <cell r="AL17">
            <v>2.3344531376622615</v>
          </cell>
          <cell r="AM17">
            <v>2.8142087483449765</v>
          </cell>
          <cell r="AR17">
            <v>0</v>
          </cell>
          <cell r="AS17">
            <v>0.13954661861797493</v>
          </cell>
          <cell r="AX17">
            <v>667.80754099810235</v>
          </cell>
          <cell r="AY17">
            <v>723.0636622837867</v>
          </cell>
          <cell r="BD17">
            <v>6.6451546361372644</v>
          </cell>
          <cell r="BE17">
            <v>240.70786975946629</v>
          </cell>
          <cell r="BJ17">
            <v>0.83020675659207965</v>
          </cell>
          <cell r="BK17">
            <v>0.84761240576078301</v>
          </cell>
        </row>
        <row r="18">
          <cell r="J18">
            <v>0.9720304898436728</v>
          </cell>
          <cell r="K18">
            <v>0.79608712975948037</v>
          </cell>
          <cell r="R18">
            <v>75.066999999999993</v>
          </cell>
          <cell r="S18">
            <v>522.94600000000003</v>
          </cell>
          <cell r="AL18">
            <v>2.0930368870475711</v>
          </cell>
          <cell r="AM18">
            <v>2.710687145517892</v>
          </cell>
          <cell r="AR18">
            <v>0</v>
          </cell>
          <cell r="AS18">
            <v>0.11951520807119664</v>
          </cell>
          <cell r="AX18">
            <v>604.44416321419283</v>
          </cell>
          <cell r="AY18">
            <v>706.03626378249362</v>
          </cell>
          <cell r="BD18">
            <v>6.0612519482595548</v>
          </cell>
          <cell r="BE18">
            <v>207.02519954259142</v>
          </cell>
          <cell r="BJ18">
            <v>0.9720304898436728</v>
          </cell>
          <cell r="BK18">
            <v>0.86347765650278663</v>
          </cell>
        </row>
        <row r="19">
          <cell r="J19">
            <v>0.86127935191573768</v>
          </cell>
          <cell r="K19">
            <v>0.80110245220455134</v>
          </cell>
          <cell r="R19">
            <v>47.152999999999999</v>
          </cell>
          <cell r="S19">
            <v>570.09900000000005</v>
          </cell>
          <cell r="AL19">
            <v>2.8393527453184317</v>
          </cell>
          <cell r="AM19">
            <v>2.7213291024892161</v>
          </cell>
          <cell r="AR19">
            <v>0</v>
          </cell>
          <cell r="AS19">
            <v>0.10963008179281142</v>
          </cell>
          <cell r="AX19">
            <v>965.59561427692665</v>
          </cell>
          <cell r="AY19">
            <v>727.50446852213361</v>
          </cell>
          <cell r="BD19">
            <v>9.7342692935762312</v>
          </cell>
          <cell r="BE19">
            <v>190.7072280428487</v>
          </cell>
          <cell r="BJ19">
            <v>0.86127935191573768</v>
          </cell>
          <cell r="BK19">
            <v>0.86329540869569776</v>
          </cell>
        </row>
        <row r="20">
          <cell r="J20">
            <v>0.91022183735166273</v>
          </cell>
          <cell r="K20">
            <v>0.80878019015104674</v>
          </cell>
          <cell r="R20">
            <v>49.026000000000003</v>
          </cell>
          <cell r="S20">
            <v>619.125</v>
          </cell>
          <cell r="AL20">
            <v>2.3781462897238197</v>
          </cell>
          <cell r="AM20">
            <v>2.6941538461538457</v>
          </cell>
          <cell r="AR20">
            <v>0</v>
          </cell>
          <cell r="AS20">
            <v>0.10094891984655764</v>
          </cell>
          <cell r="AX20">
            <v>943.06857585771957</v>
          </cell>
          <cell r="AY20">
            <v>744.57411669695205</v>
          </cell>
          <cell r="BD20">
            <v>9.301187125198874</v>
          </cell>
          <cell r="BE20">
            <v>176.34241873611953</v>
          </cell>
          <cell r="BJ20">
            <v>0.91022183735166273</v>
          </cell>
          <cell r="BK20">
            <v>0.86683419557299013</v>
          </cell>
        </row>
        <row r="21">
          <cell r="J21">
            <v>0.80938961655449282</v>
          </cell>
          <cell r="K21">
            <v>0.80881995828541453</v>
          </cell>
          <cell r="R21">
            <v>43.253999999999998</v>
          </cell>
          <cell r="S21">
            <v>662.37900000000002</v>
          </cell>
          <cell r="AL21">
            <v>2.6957275627687616</v>
          </cell>
          <cell r="AM21">
            <v>2.6942566113961939</v>
          </cell>
          <cell r="AR21">
            <v>0</v>
          </cell>
          <cell r="AS21">
            <v>9.4356856120136653E-2</v>
          </cell>
          <cell r="AX21">
            <v>1051.8063069311509</v>
          </cell>
          <cell r="AY21">
            <v>764.63668081264723</v>
          </cell>
          <cell r="BD21">
            <v>12.27632126508531</v>
          </cell>
          <cell r="BE21">
            <v>165.62874124934515</v>
          </cell>
          <cell r="BJ21">
            <v>0.80938961655449282</v>
          </cell>
          <cell r="BK21">
            <v>0.86283530930713548</v>
          </cell>
        </row>
        <row r="22">
          <cell r="J22">
            <v>0.87026645183675888</v>
          </cell>
          <cell r="K22">
            <v>0.81248963960997045</v>
          </cell>
          <cell r="R22">
            <v>45.267000000000003</v>
          </cell>
          <cell r="S22">
            <v>707.64600000000007</v>
          </cell>
          <cell r="AL22">
            <v>2.5568515695760707</v>
          </cell>
          <cell r="AM22">
            <v>2.6854670272989596</v>
          </cell>
          <cell r="AR22">
            <v>0</v>
          </cell>
          <cell r="AS22">
            <v>8.8320996656520337E-2</v>
          </cell>
          <cell r="AX22">
            <v>916.03684803499164</v>
          </cell>
          <cell r="AY22">
            <v>774.32151103800527</v>
          </cell>
          <cell r="BD22">
            <v>8.019086751938497</v>
          </cell>
          <cell r="BE22">
            <v>155.5466999036241</v>
          </cell>
          <cell r="BJ22">
            <v>0.87026645183675888</v>
          </cell>
          <cell r="BK22">
            <v>0.86330686631275988</v>
          </cell>
        </row>
        <row r="23">
          <cell r="J23">
            <v>0.93086423512678151</v>
          </cell>
          <cell r="K23">
            <v>0.81916074772247494</v>
          </cell>
          <cell r="R23">
            <v>48.418999999999997</v>
          </cell>
          <cell r="S23">
            <v>756.06500000000005</v>
          </cell>
          <cell r="AL23">
            <v>2.4348086494970982</v>
          </cell>
          <cell r="AM23">
            <v>2.6694146667283891</v>
          </cell>
          <cell r="AR23">
            <v>0</v>
          </cell>
          <cell r="AS23">
            <v>8.2664850244357296E-2</v>
          </cell>
          <cell r="AX23">
            <v>938.5631673516383</v>
          </cell>
          <cell r="AY23">
            <v>784.83967648284124</v>
          </cell>
          <cell r="BD23">
            <v>9.1699539436997863</v>
          </cell>
          <cell r="BE23">
            <v>146.17261743368627</v>
          </cell>
          <cell r="BJ23">
            <v>0.93086423512678151</v>
          </cell>
          <cell r="BK23">
            <v>0.86733803950917276</v>
          </cell>
        </row>
        <row r="24">
          <cell r="J24">
            <v>0.9403614765434285</v>
          </cell>
          <cell r="K24">
            <v>0.82562672889425337</v>
          </cell>
          <cell r="R24">
            <v>48.912999999999997</v>
          </cell>
          <cell r="S24">
            <v>804.97800000000007</v>
          </cell>
          <cell r="AL24">
            <v>2.3599043199149512</v>
          </cell>
          <cell r="AM24">
            <v>2.6506078426988058</v>
          </cell>
          <cell r="AR24">
            <v>0</v>
          </cell>
          <cell r="AS24">
            <v>7.7641873442504006E-2</v>
          </cell>
          <cell r="AX24">
            <v>929.22535931143716</v>
          </cell>
          <cell r="AY24">
            <v>793.61300557282254</v>
          </cell>
          <cell r="BD24">
            <v>8.9546746263774466</v>
          </cell>
          <cell r="BE24">
            <v>137.83482281503342</v>
          </cell>
          <cell r="BJ24">
            <v>0.9403614765434285</v>
          </cell>
          <cell r="BK24">
            <v>0.87145001209327055</v>
          </cell>
        </row>
        <row r="25">
          <cell r="J25">
            <v>0.94687881427671472</v>
          </cell>
          <cell r="K25">
            <v>0.83176782629675139</v>
          </cell>
          <cell r="R25">
            <v>49.252000000000002</v>
          </cell>
          <cell r="S25">
            <v>854.23</v>
          </cell>
          <cell r="AL25">
            <v>2.3009217899780716</v>
          </cell>
          <cell r="AM25">
            <v>2.6304461327745448</v>
          </cell>
          <cell r="AR25">
            <v>0</v>
          </cell>
          <cell r="AS25">
            <v>7.3165306767498217E-2</v>
          </cell>
          <cell r="AX25">
            <v>876.81129700319298</v>
          </cell>
          <cell r="AY25">
            <v>798.40993643398247</v>
          </cell>
          <cell r="BD25">
            <v>8.5681799723869077</v>
          </cell>
          <cell r="BE25">
            <v>130.38174730459011</v>
          </cell>
          <cell r="BJ25">
            <v>0.94687881427671472</v>
          </cell>
          <cell r="BK25">
            <v>0.87547100800376421</v>
          </cell>
        </row>
        <row r="26">
          <cell r="J26">
            <v>0.93131339103461508</v>
          </cell>
          <cell r="K26">
            <v>0.83788225367884606</v>
          </cell>
          <cell r="R26">
            <v>62.594000000000001</v>
          </cell>
          <cell r="S26">
            <v>916.82400000000007</v>
          </cell>
          <cell r="AL26">
            <v>2.1687701696648243</v>
          </cell>
          <cell r="AM26">
            <v>2.5989262933780086</v>
          </cell>
          <cell r="AR26">
            <v>0</v>
          </cell>
          <cell r="AS26">
            <v>6.8170117710705649E-2</v>
          </cell>
          <cell r="AX26">
            <v>740.36600952167794</v>
          </cell>
          <cell r="AY26">
            <v>794.44712398453873</v>
          </cell>
          <cell r="BD26">
            <v>7.2051634341949704</v>
          </cell>
          <cell r="BE26">
            <v>121.97215605176129</v>
          </cell>
          <cell r="BJ26">
            <v>0.93131339103461508</v>
          </cell>
          <cell r="BK26">
            <v>0.87906964559102796</v>
          </cell>
        </row>
        <row r="27">
          <cell r="J27">
            <v>0.8981666494042837</v>
          </cell>
          <cell r="K27">
            <v>0.84145922659684025</v>
          </cell>
          <cell r="R27">
            <v>61.991999999999997</v>
          </cell>
          <cell r="S27">
            <v>978.81600000000003</v>
          </cell>
          <cell r="AL27">
            <v>2.2392728093947607</v>
          </cell>
          <cell r="AM27">
            <v>2.5761481218124747</v>
          </cell>
          <cell r="AR27">
            <v>0</v>
          </cell>
          <cell r="AS27">
            <v>6.385265463580489E-2</v>
          </cell>
          <cell r="AX27">
            <v>776.05642663569085</v>
          </cell>
          <cell r="AY27">
            <v>793.28237380672226</v>
          </cell>
          <cell r="BD27">
            <v>7.2267389340560069</v>
          </cell>
          <cell r="BE27">
            <v>114.7049087877599</v>
          </cell>
          <cell r="BJ27">
            <v>0.8981666494042837</v>
          </cell>
          <cell r="BK27">
            <v>0.88025500868897233</v>
          </cell>
        </row>
        <row r="28">
          <cell r="J28">
            <v>0.93268989894130183</v>
          </cell>
          <cell r="K28">
            <v>0.84549324359895961</v>
          </cell>
          <cell r="R28">
            <v>50.192999999999998</v>
          </cell>
          <cell r="S28">
            <v>1029.009</v>
          </cell>
          <cell r="AL28">
            <v>2.4520351443428368</v>
          </cell>
          <cell r="AM28">
            <v>2.5700941391183161</v>
          </cell>
          <cell r="AR28">
            <v>0</v>
          </cell>
          <cell r="AS28">
            <v>6.0738049910156279E-2</v>
          </cell>
          <cell r="AX28">
            <v>962.07040822423994</v>
          </cell>
          <cell r="AY28">
            <v>801.5155163851822</v>
          </cell>
          <cell r="BD28">
            <v>8.9255473870858477</v>
          </cell>
          <cell r="BE28">
            <v>109.54520320036073</v>
          </cell>
          <cell r="BJ28">
            <v>0.93268989894130183</v>
          </cell>
          <cell r="BK28">
            <v>0.88267552579181319</v>
          </cell>
        </row>
        <row r="29">
          <cell r="J29">
            <v>0.92668258275493076</v>
          </cell>
          <cell r="K29">
            <v>0.84893653502373134</v>
          </cell>
          <cell r="R29">
            <v>49.95</v>
          </cell>
          <cell r="S29">
            <v>1078.9590000000001</v>
          </cell>
          <cell r="AL29">
            <v>2.1656856856856854</v>
          </cell>
          <cell r="AM29">
            <v>2.5513722022801599</v>
          </cell>
          <cell r="AR29">
            <v>0</v>
          </cell>
          <cell r="AS29">
            <v>5.7926204795548296E-2</v>
          </cell>
          <cell r="AX29">
            <v>859.21221221222402</v>
          </cell>
          <cell r="AY29">
            <v>804.18656315949033</v>
          </cell>
          <cell r="BD29">
            <v>8.5285285285285291</v>
          </cell>
          <cell r="BE29">
            <v>104.86867434258392</v>
          </cell>
          <cell r="BJ29">
            <v>0.92668258275493076</v>
          </cell>
          <cell r="BK29">
            <v>0.88462034304190851</v>
          </cell>
        </row>
        <row r="30">
          <cell r="J30">
            <v>0.94399890877308856</v>
          </cell>
          <cell r="K30">
            <v>0.85273860744503582</v>
          </cell>
          <cell r="R30">
            <v>49.984999999999999</v>
          </cell>
          <cell r="S30">
            <v>1128.944</v>
          </cell>
          <cell r="AL30">
            <v>2.103671101330399</v>
          </cell>
          <cell r="AM30">
            <v>2.531549837724457</v>
          </cell>
          <cell r="AR30">
            <v>0</v>
          </cell>
          <cell r="AS30">
            <v>5.5361470542382975E-2</v>
          </cell>
          <cell r="AX30">
            <v>875.50825247574937</v>
          </cell>
          <cell r="AY30">
            <v>807.34439440751794</v>
          </cell>
          <cell r="BD30">
            <v>8.8426527958387524</v>
          </cell>
          <cell r="BE30">
            <v>100.61703680607718</v>
          </cell>
          <cell r="BJ30">
            <v>0.94399890877308856</v>
          </cell>
          <cell r="BK30">
            <v>0.88709089293109966</v>
          </cell>
        </row>
        <row r="31">
          <cell r="J31">
            <v>0.97979699434719558</v>
          </cell>
          <cell r="K31">
            <v>0.85747628699385758</v>
          </cell>
          <cell r="R31">
            <v>50.241</v>
          </cell>
          <cell r="S31">
            <v>1179.1849999999999</v>
          </cell>
          <cell r="AL31">
            <v>2.0961167174220261</v>
          </cell>
          <cell r="AM31">
            <v>2.512997536434062</v>
          </cell>
          <cell r="AR31">
            <v>0</v>
          </cell>
          <cell r="AS31">
            <v>5.3002709498509569E-2</v>
          </cell>
          <cell r="AX31">
            <v>866.84998308154331</v>
          </cell>
          <cell r="AY31">
            <v>809.87972201138984</v>
          </cell>
          <cell r="BD31">
            <v>5.3541927907485913</v>
          </cell>
          <cell r="BE31">
            <v>96.558216056004781</v>
          </cell>
          <cell r="BJ31">
            <v>0.97979699434719558</v>
          </cell>
          <cell r="BK31">
            <v>0.89068152568739622</v>
          </cell>
        </row>
        <row r="32">
          <cell r="J32">
            <v>0.99753962165299936</v>
          </cell>
          <cell r="K32">
            <v>0.86251857185039715</v>
          </cell>
          <cell r="R32">
            <v>51.228999999999999</v>
          </cell>
          <cell r="S32">
            <v>1230.414</v>
          </cell>
          <cell r="AL32">
            <v>2.0516894727595698</v>
          </cell>
          <cell r="AM32">
            <v>2.493790707843051</v>
          </cell>
          <cell r="AR32">
            <v>0</v>
          </cell>
          <cell r="AS32">
            <v>5.0795910969803661E-2</v>
          </cell>
          <cell r="AX32">
            <v>841.86456889652641</v>
          </cell>
          <cell r="AY32">
            <v>811.21142964888304</v>
          </cell>
          <cell r="BD32">
            <v>14.366862519276191</v>
          </cell>
          <cell r="BE32">
            <v>93.136131415929924</v>
          </cell>
          <cell r="BJ32">
            <v>0.99753962165299936</v>
          </cell>
          <cell r="BK32">
            <v>0.8946718266495155</v>
          </cell>
        </row>
        <row r="33">
          <cell r="J33">
            <v>0.9506970633727001</v>
          </cell>
          <cell r="K33">
            <v>0.86594795770164679</v>
          </cell>
          <cell r="R33">
            <v>54.878999999999998</v>
          </cell>
          <cell r="S33">
            <v>1285.2929999999999</v>
          </cell>
          <cell r="AL33">
            <v>1.9921099145392591</v>
          </cell>
          <cell r="AM33">
            <v>2.4723701132737825</v>
          </cell>
          <cell r="AR33">
            <v>0</v>
          </cell>
          <cell r="AS33">
            <v>4.8627044572716112E-2</v>
          </cell>
          <cell r="AX33">
            <v>788.15521419850143</v>
          </cell>
          <cell r="AY33">
            <v>810.2269832637387</v>
          </cell>
          <cell r="BD33">
            <v>7.9447511798684376</v>
          </cell>
          <cell r="BE33">
            <v>89.498659060618863</v>
          </cell>
          <cell r="BJ33">
            <v>0.9506970633727001</v>
          </cell>
          <cell r="BK33">
            <v>0.89692868086526856</v>
          </cell>
        </row>
        <row r="34">
          <cell r="J34">
            <v>0.95058438496035369</v>
          </cell>
          <cell r="K34">
            <v>0.86925299953692914</v>
          </cell>
          <cell r="R34">
            <v>57.335000000000001</v>
          </cell>
          <cell r="S34">
            <v>1342.6279999999999</v>
          </cell>
          <cell r="AL34">
            <v>2.139495944885323</v>
          </cell>
          <cell r="AM34">
            <v>2.4581552001001019</v>
          </cell>
          <cell r="AR34">
            <v>0</v>
          </cell>
          <cell r="AS34">
            <v>4.6550496488975357E-2</v>
          </cell>
          <cell r="AX34">
            <v>796.8778233190809</v>
          </cell>
          <cell r="AY34">
            <v>809.65692656491581</v>
          </cell>
          <cell r="BD34">
            <v>7.8660504055114675</v>
          </cell>
          <cell r="BE34">
            <v>86.01265577658144</v>
          </cell>
          <cell r="BJ34">
            <v>0.95058438496035369</v>
          </cell>
          <cell r="BK34">
            <v>0.89909586263281072</v>
          </cell>
        </row>
        <row r="35">
          <cell r="J35">
            <v>0.9383288248377758</v>
          </cell>
          <cell r="K35">
            <v>0.87209700134365442</v>
          </cell>
          <cell r="R35">
            <v>62.234000000000002</v>
          </cell>
          <cell r="S35">
            <v>1404.8619999999999</v>
          </cell>
          <cell r="AL35">
            <v>2.0777709933476878</v>
          </cell>
          <cell r="AM35">
            <v>2.4413045551805088</v>
          </cell>
          <cell r="AR35">
            <v>0.14782916090882794</v>
          </cell>
          <cell r="AS35">
            <v>5.1037041360646108E-2</v>
          </cell>
          <cell r="AX35">
            <v>607.47549570975627</v>
          </cell>
          <cell r="AY35">
            <v>800.70048873127826</v>
          </cell>
          <cell r="BD35">
            <v>462.72519844458003</v>
          </cell>
          <cell r="BE35">
            <v>102.7006496011708</v>
          </cell>
          <cell r="BJ35">
            <v>0.9383288248377758</v>
          </cell>
          <cell r="BK35">
            <v>0.90076426670652232</v>
          </cell>
        </row>
        <row r="36">
          <cell r="J36">
            <v>0.95200122713825619</v>
          </cell>
          <cell r="K36">
            <v>0.8752603523035809</v>
          </cell>
          <cell r="R36">
            <v>63.216000000000001</v>
          </cell>
          <cell r="S36">
            <v>1468.0779999999997</v>
          </cell>
          <cell r="AL36">
            <v>1.933719311566692</v>
          </cell>
          <cell r="AM36">
            <v>2.41944774051515</v>
          </cell>
          <cell r="AR36">
            <v>0.25626423690205008</v>
          </cell>
          <cell r="AS36">
            <v>5.9874202869329846E-2</v>
          </cell>
          <cell r="AX36">
            <v>544.9917742343705</v>
          </cell>
          <cell r="AY36">
            <v>789.6895737147488</v>
          </cell>
          <cell r="BD36">
            <v>477.96443938243482</v>
          </cell>
          <cell r="BE36">
            <v>118.85965187135834</v>
          </cell>
          <cell r="BJ36">
            <v>0.95200122713825619</v>
          </cell>
          <cell r="BK36">
            <v>0.90285665622407207</v>
          </cell>
        </row>
        <row r="37">
          <cell r="J37">
            <v>1.0434582719936254</v>
          </cell>
          <cell r="K37">
            <v>0.88161543590567792</v>
          </cell>
          <cell r="R37">
            <v>68.724999999999994</v>
          </cell>
          <cell r="S37">
            <v>1536.8029999999997</v>
          </cell>
          <cell r="AL37">
            <v>1.9365296471444162</v>
          </cell>
          <cell r="AM37">
            <v>2.3978519042453721</v>
          </cell>
          <cell r="AR37">
            <v>0.25609312477264462</v>
          </cell>
          <cell r="AS37">
            <v>6.8649007062063269E-2</v>
          </cell>
          <cell r="AX37">
            <v>517.36078574025839</v>
          </cell>
          <cell r="AY37">
            <v>777.51117742482302</v>
          </cell>
          <cell r="BD37">
            <v>454.15787559112403</v>
          </cell>
          <cell r="BE37">
            <v>133.85400731258335</v>
          </cell>
          <cell r="BJ37">
            <v>1.0434582719936254</v>
          </cell>
          <cell r="BK37">
            <v>0.90833003430569537</v>
          </cell>
        </row>
        <row r="38">
          <cell r="J38">
            <v>0.91878251905884101</v>
          </cell>
          <cell r="K38">
            <v>0.88318126803303565</v>
          </cell>
          <cell r="R38">
            <v>70.441999999999993</v>
          </cell>
          <cell r="S38">
            <v>1607.2449999999997</v>
          </cell>
          <cell r="AL38">
            <v>2.1058317481048241</v>
          </cell>
          <cell r="AM38">
            <v>2.3850533055010286</v>
          </cell>
          <cell r="AR38">
            <v>0.27256466312711169</v>
          </cell>
          <cell r="AS38">
            <v>7.7586180078332817E-2</v>
          </cell>
          <cell r="AX38">
            <v>514.11530053094725</v>
          </cell>
          <cell r="AY38">
            <v>765.9671176454126</v>
          </cell>
          <cell r="BD38">
            <v>461.4008687998637</v>
          </cell>
          <cell r="BE38">
            <v>148.20966311918843</v>
          </cell>
          <cell r="BJ38">
            <v>0.91878251905884101</v>
          </cell>
          <cell r="BK38">
            <v>0.90878315790725361</v>
          </cell>
        </row>
        <row r="39">
          <cell r="J39">
            <v>0.96985461089263214</v>
          </cell>
          <cell r="K39">
            <v>0.88665975535746266</v>
          </cell>
          <cell r="R39">
            <v>73.796000000000006</v>
          </cell>
          <cell r="S39">
            <v>1681.0409999999997</v>
          </cell>
          <cell r="AL39">
            <v>1.8394628435145535</v>
          </cell>
          <cell r="AM39">
            <v>2.3611024359310693</v>
          </cell>
          <cell r="AR39">
            <v>0.26017670334435467</v>
          </cell>
          <cell r="AS39">
            <v>8.5601719410769897E-2</v>
          </cell>
          <cell r="AX39">
            <v>434.63344896742785</v>
          </cell>
          <cell r="AY39">
            <v>751.421904641232</v>
          </cell>
          <cell r="BD39">
            <v>425.8496395468589</v>
          </cell>
          <cell r="BE39">
            <v>160.39777732964276</v>
          </cell>
          <cell r="BJ39">
            <v>0.96985461089263214</v>
          </cell>
          <cell r="BK39">
            <v>0.91130227636045102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0.93571530238499145</v>
          </cell>
          <cell r="K9">
            <v>0.93571530238499145</v>
          </cell>
          <cell r="R9">
            <v>44.627000000000002</v>
          </cell>
          <cell r="S9">
            <v>44.627000000000002</v>
          </cell>
          <cell r="X9">
            <v>92.489962357539497</v>
          </cell>
          <cell r="Y9">
            <v>92.489962357539483</v>
          </cell>
          <cell r="AD9">
            <v>1.3332735787751808</v>
          </cell>
          <cell r="AE9">
            <v>1.3332735787751808</v>
          </cell>
          <cell r="AJ9">
            <v>841.77784749144519</v>
          </cell>
          <cell r="AK9">
            <v>841.77784749144519</v>
          </cell>
          <cell r="BC9">
            <v>0.93571530238499145</v>
          </cell>
          <cell r="BD9">
            <v>0.93571530238499145</v>
          </cell>
        </row>
        <row r="10">
          <cell r="J10">
            <v>0.95928273913585382</v>
          </cell>
          <cell r="K10">
            <v>0.94749902076042258</v>
          </cell>
          <cell r="R10">
            <v>45.750999999999998</v>
          </cell>
          <cell r="S10">
            <v>90.378</v>
          </cell>
          <cell r="X10">
            <v>88.306060210923548</v>
          </cell>
          <cell r="Y10">
            <v>90.371994410585302</v>
          </cell>
          <cell r="AD10">
            <v>1.3267469563506811</v>
          </cell>
          <cell r="AE10">
            <v>1.3299696828874283</v>
          </cell>
          <cell r="AJ10">
            <v>853.34659351708149</v>
          </cell>
          <cell r="AK10">
            <v>847.63415875545729</v>
          </cell>
          <cell r="BC10">
            <v>0.95928273913585382</v>
          </cell>
          <cell r="BD10">
            <v>0.94749902076042258</v>
          </cell>
        </row>
        <row r="11">
          <cell r="J11">
            <v>0.62858379568870104</v>
          </cell>
          <cell r="K11">
            <v>0.8411939457365154</v>
          </cell>
          <cell r="R11">
            <v>29.978999999999999</v>
          </cell>
          <cell r="S11">
            <v>120.357</v>
          </cell>
          <cell r="X11">
            <v>96.908808779457274</v>
          </cell>
          <cell r="Y11">
            <v>92.000210118557533</v>
          </cell>
          <cell r="AD11">
            <v>1.5777711064411755</v>
          </cell>
          <cell r="AE11">
            <v>1.3916930465199366</v>
          </cell>
          <cell r="AJ11">
            <v>969.79552353312772</v>
          </cell>
          <cell r="AK11">
            <v>878.06259710694314</v>
          </cell>
          <cell r="BC11">
            <v>0.62858379568870104</v>
          </cell>
          <cell r="BD11">
            <v>0.8411939457365154</v>
          </cell>
        </row>
        <row r="12">
          <cell r="J12">
            <v>0.92728637927658697</v>
          </cell>
          <cell r="K12">
            <v>0.86271705412153321</v>
          </cell>
          <cell r="R12">
            <v>44.225000000000001</v>
          </cell>
          <cell r="S12">
            <v>164.58199999999999</v>
          </cell>
          <cell r="X12">
            <v>96.428790299210732</v>
          </cell>
          <cell r="Y12">
            <v>93.19021849425711</v>
          </cell>
          <cell r="AD12">
            <v>1.3408705483323911</v>
          </cell>
          <cell r="AE12">
            <v>1.3780364802955367</v>
          </cell>
          <cell r="AJ12">
            <v>828.13928773317434</v>
          </cell>
          <cell r="AK12">
            <v>864.64765284174462</v>
          </cell>
          <cell r="BC12">
            <v>0.92728637927658697</v>
          </cell>
          <cell r="BD12">
            <v>0.86271705412153321</v>
          </cell>
        </row>
        <row r="13">
          <cell r="J13">
            <v>0.89698838452125262</v>
          </cell>
          <cell r="K13">
            <v>0.86957132020147709</v>
          </cell>
          <cell r="R13">
            <v>42.78</v>
          </cell>
          <cell r="S13">
            <v>207.36199999999999</v>
          </cell>
          <cell r="X13">
            <v>96.845417491214278</v>
          </cell>
          <cell r="Y13">
            <v>93.94430754186385</v>
          </cell>
          <cell r="AD13">
            <v>1.2973352033660588</v>
          </cell>
          <cell r="AE13">
            <v>1.3613873322981067</v>
          </cell>
          <cell r="AJ13">
            <v>848.47826086959935</v>
          </cell>
          <cell r="AK13">
            <v>861.31181219317648</v>
          </cell>
          <cell r="BC13">
            <v>0.89698838452125262</v>
          </cell>
          <cell r="BD13">
            <v>0.86957132020147709</v>
          </cell>
        </row>
        <row r="14">
          <cell r="J14">
            <v>0.89021991201295658</v>
          </cell>
          <cell r="K14">
            <v>0.87303250780941077</v>
          </cell>
          <cell r="R14">
            <v>42.75</v>
          </cell>
          <cell r="S14">
            <v>250.11199999999999</v>
          </cell>
          <cell r="X14">
            <v>94.947024824009816</v>
          </cell>
          <cell r="Y14">
            <v>94.115695415343495</v>
          </cell>
          <cell r="AD14">
            <v>1.3543859649122807</v>
          </cell>
          <cell r="AE14">
            <v>1.3601906345957011</v>
          </cell>
          <cell r="AJ14">
            <v>914.59602339178741</v>
          </cell>
          <cell r="AK14">
            <v>870.41933213920311</v>
          </cell>
          <cell r="BC14">
            <v>0.89021991201295658</v>
          </cell>
          <cell r="BD14">
            <v>0.87303250780941077</v>
          </cell>
        </row>
        <row r="15">
          <cell r="J15">
            <v>0.92251305166472508</v>
          </cell>
          <cell r="K15">
            <v>0.88077142129555108</v>
          </cell>
          <cell r="R15">
            <v>48.999000000000002</v>
          </cell>
          <cell r="S15">
            <v>299.11099999999999</v>
          </cell>
          <cell r="X15">
            <v>95.878766798322388</v>
          </cell>
          <cell r="Y15">
            <v>94.404513729262348</v>
          </cell>
          <cell r="AD15">
            <v>1.2592093716198289</v>
          </cell>
          <cell r="AE15">
            <v>1.3436483445944816</v>
          </cell>
          <cell r="AJ15">
            <v>729.79734280290688</v>
          </cell>
          <cell r="AK15">
            <v>847.38327911711701</v>
          </cell>
          <cell r="BC15">
            <v>0.92251305166472508</v>
          </cell>
          <cell r="BD15">
            <v>0.88077142129555108</v>
          </cell>
        </row>
        <row r="16">
          <cell r="J16">
            <v>0.82670870787697237</v>
          </cell>
          <cell r="K16">
            <v>0.87347982399293889</v>
          </cell>
          <cell r="R16">
            <v>43.768999999999998</v>
          </cell>
          <cell r="S16">
            <v>342.88</v>
          </cell>
          <cell r="X16">
            <v>103.36941168375184</v>
          </cell>
          <cell r="Y16">
            <v>95.548892574835293</v>
          </cell>
          <cell r="AD16">
            <v>1.3000068541661907</v>
          </cell>
          <cell r="AE16">
            <v>1.3380774615025663</v>
          </cell>
          <cell r="AJ16">
            <v>811.08867006332014</v>
          </cell>
          <cell r="AK16">
            <v>842.75023331778289</v>
          </cell>
          <cell r="BC16">
            <v>0.82670870787697237</v>
          </cell>
          <cell r="BD16">
            <v>0.87347982399293889</v>
          </cell>
        </row>
        <row r="17">
          <cell r="J17">
            <v>0.95697160394552683</v>
          </cell>
          <cell r="K17">
            <v>0.88236428051111226</v>
          </cell>
          <cell r="R17">
            <v>44.734000000000002</v>
          </cell>
          <cell r="S17">
            <v>387.61399999999998</v>
          </cell>
          <cell r="X17">
            <v>93.762406534006487</v>
          </cell>
          <cell r="Y17">
            <v>95.342716671616031</v>
          </cell>
          <cell r="AD17">
            <v>1.2093709482720079</v>
          </cell>
          <cell r="AE17">
            <v>1.3232236193739133</v>
          </cell>
          <cell r="AJ17">
            <v>869.8846514954904</v>
          </cell>
          <cell r="AK17">
            <v>845.88177929589926</v>
          </cell>
          <cell r="BC17">
            <v>0.95697160394552683</v>
          </cell>
          <cell r="BD17">
            <v>0.88236428051111226</v>
          </cell>
        </row>
        <row r="18">
          <cell r="J18">
            <v>0.91104547274797243</v>
          </cell>
          <cell r="K18">
            <v>0.88490805469823708</v>
          </cell>
          <cell r="R18">
            <v>38.950000000000003</v>
          </cell>
          <cell r="S18">
            <v>426.56399999999996</v>
          </cell>
          <cell r="X18">
            <v>101.64431912093821</v>
          </cell>
          <cell r="Y18">
            <v>95.918122508491848</v>
          </cell>
          <cell r="AD18">
            <v>1.3247753530166879</v>
          </cell>
          <cell r="AE18">
            <v>1.3233653097776654</v>
          </cell>
          <cell r="AJ18">
            <v>942.29884467267595</v>
          </cell>
          <cell r="AK18">
            <v>854.68572125167964</v>
          </cell>
          <cell r="BC18">
            <v>0.91104547274797243</v>
          </cell>
          <cell r="BD18">
            <v>0.88490805469823708</v>
          </cell>
        </row>
        <row r="19">
          <cell r="J19">
            <v>0.90631824825211993</v>
          </cell>
          <cell r="K19">
            <v>0.88672808887952603</v>
          </cell>
          <cell r="R19">
            <v>40.588999999999999</v>
          </cell>
          <cell r="S19">
            <v>467.15299999999996</v>
          </cell>
          <cell r="X19">
            <v>98.498282314256116</v>
          </cell>
          <cell r="Y19">
            <v>96.142301966519881</v>
          </cell>
          <cell r="AD19">
            <v>1.295917613146419</v>
          </cell>
          <cell r="AE19">
            <v>1.3209804924724877</v>
          </cell>
          <cell r="AJ19">
            <v>964.01044617996365</v>
          </cell>
          <cell r="AK19">
            <v>864.18449629992756</v>
          </cell>
          <cell r="BC19">
            <v>0.90631824825211993</v>
          </cell>
          <cell r="BD19">
            <v>0.88672808887952603</v>
          </cell>
        </row>
        <row r="20">
          <cell r="J20">
            <v>0.9163286374484596</v>
          </cell>
          <cell r="K20">
            <v>0.88905803611785295</v>
          </cell>
          <cell r="R20">
            <v>41.244999999999997</v>
          </cell>
          <cell r="S20">
            <v>508.39799999999997</v>
          </cell>
          <cell r="X20">
            <v>92.05425849110965</v>
          </cell>
          <cell r="Y20">
            <v>95.810649691838833</v>
          </cell>
          <cell r="AD20">
            <v>1.3262213601648687</v>
          </cell>
          <cell r="AE20">
            <v>1.3214056703606232</v>
          </cell>
          <cell r="AJ20">
            <v>954.38283428297859</v>
          </cell>
          <cell r="AK20">
            <v>871.50205154229866</v>
          </cell>
          <cell r="BC20">
            <v>0.9163286374484596</v>
          </cell>
          <cell r="BD20">
            <v>0.88905803611785295</v>
          </cell>
        </row>
        <row r="21">
          <cell r="J21">
            <v>0.95002271047008524</v>
          </cell>
          <cell r="K21">
            <v>0.89368668299888032</v>
          </cell>
          <cell r="R21">
            <v>44.634999999999998</v>
          </cell>
          <cell r="S21">
            <v>553.03300000000002</v>
          </cell>
          <cell r="X21">
            <v>84.983096617005472</v>
          </cell>
          <cell r="Y21">
            <v>94.936763628086425</v>
          </cell>
          <cell r="AD21">
            <v>1.2815055449759158</v>
          </cell>
          <cell r="AE21">
            <v>1.3181853524111582</v>
          </cell>
          <cell r="AJ21">
            <v>841.57768567264577</v>
          </cell>
          <cell r="AK21">
            <v>869.08687185032363</v>
          </cell>
          <cell r="BC21">
            <v>0.95002271047008524</v>
          </cell>
          <cell r="BD21">
            <v>0.89368668299888032</v>
          </cell>
        </row>
        <row r="22">
          <cell r="J22">
            <v>0.91292631390021106</v>
          </cell>
          <cell r="K22">
            <v>0.89501941715941469</v>
          </cell>
          <cell r="R22">
            <v>42.045999999999999</v>
          </cell>
          <cell r="S22">
            <v>595.07900000000006</v>
          </cell>
          <cell r="X22">
            <v>99.641968640218778</v>
          </cell>
          <cell r="Y22">
            <v>95.269215369687302</v>
          </cell>
          <cell r="AD22">
            <v>1.3675498263806307</v>
          </cell>
          <cell r="AE22">
            <v>1.3216732568280851</v>
          </cell>
          <cell r="AJ22">
            <v>914.05032583362822</v>
          </cell>
          <cell r="AK22">
            <v>872.26381707302835</v>
          </cell>
          <cell r="BC22">
            <v>0.91292631390021106</v>
          </cell>
          <cell r="BD22">
            <v>0.89501941715941469</v>
          </cell>
        </row>
        <row r="23">
          <cell r="J23">
            <v>0.90554591220211911</v>
          </cell>
          <cell r="K23">
            <v>0.8957503301660138</v>
          </cell>
          <cell r="R23">
            <v>44.924999999999997</v>
          </cell>
          <cell r="S23">
            <v>640.00400000000002</v>
          </cell>
          <cell r="X23">
            <v>91.414059866040546</v>
          </cell>
          <cell r="Y23">
            <v>94.998603215698679</v>
          </cell>
          <cell r="AD23">
            <v>1.3489148580968282</v>
          </cell>
          <cell r="AE23">
            <v>1.3235854775907652</v>
          </cell>
          <cell r="AJ23">
            <v>828.45765164162492</v>
          </cell>
          <cell r="AK23">
            <v>869.18884881969609</v>
          </cell>
          <cell r="BC23">
            <v>0.90554591220211911</v>
          </cell>
          <cell r="BD23">
            <v>0.8957503301660138</v>
          </cell>
        </row>
        <row r="24">
          <cell r="J24">
            <v>0.92632761137808772</v>
          </cell>
          <cell r="K24">
            <v>0.89773563019657709</v>
          </cell>
          <cell r="R24">
            <v>45.956000000000003</v>
          </cell>
          <cell r="S24">
            <v>685.96</v>
          </cell>
          <cell r="X24">
            <v>92.422312318337376</v>
          </cell>
          <cell r="Y24">
            <v>94.826004194649158</v>
          </cell>
          <cell r="AD24">
            <v>1.2968926799547393</v>
          </cell>
          <cell r="AE24">
            <v>1.3217971893404865</v>
          </cell>
          <cell r="AJ24">
            <v>806.13630429106104</v>
          </cell>
          <cell r="AK24">
            <v>864.96463350632814</v>
          </cell>
          <cell r="BC24">
            <v>0.92632761137808772</v>
          </cell>
          <cell r="BD24">
            <v>0.89773563019657709</v>
          </cell>
        </row>
        <row r="25">
          <cell r="J25">
            <v>0.92867599385729549</v>
          </cell>
          <cell r="K25">
            <v>0.89953187494877029</v>
          </cell>
          <cell r="R25">
            <v>43.734999999999999</v>
          </cell>
          <cell r="S25">
            <v>729.69500000000005</v>
          </cell>
          <cell r="X25">
            <v>95.219846234453513</v>
          </cell>
          <cell r="Y25">
            <v>94.84960951140593</v>
          </cell>
          <cell r="AD25">
            <v>1.3536069509546131</v>
          </cell>
          <cell r="AE25">
            <v>1.3237037392335156</v>
          </cell>
          <cell r="AJ25">
            <v>850.79547273352534</v>
          </cell>
          <cell r="AK25">
            <v>864.11539067692877</v>
          </cell>
          <cell r="BC25">
            <v>0.92867599385729549</v>
          </cell>
          <cell r="BD25">
            <v>0.89953187494877029</v>
          </cell>
        </row>
        <row r="26">
          <cell r="J26">
            <v>0.99878774754597022</v>
          </cell>
          <cell r="K26">
            <v>0.9045641968662177</v>
          </cell>
          <cell r="R26">
            <v>43.271999999999998</v>
          </cell>
          <cell r="S26">
            <v>772.9670000000001</v>
          </cell>
          <cell r="X26">
            <v>73.048842527754402</v>
          </cell>
          <cell r="Y26">
            <v>93.629165703434083</v>
          </cell>
          <cell r="AD26">
            <v>1.2895174708818635</v>
          </cell>
          <cell r="AE26">
            <v>1.3217899341110293</v>
          </cell>
          <cell r="AJ26">
            <v>843.00656313551497</v>
          </cell>
          <cell r="AK26">
            <v>862.93368280922914</v>
          </cell>
          <cell r="BC26">
            <v>0.99878774754597022</v>
          </cell>
          <cell r="BD26">
            <v>0.9045641968662177</v>
          </cell>
        </row>
        <row r="27">
          <cell r="J27">
            <v>0.75325327245909912</v>
          </cell>
          <cell r="K27">
            <v>0.8968099347849593</v>
          </cell>
          <cell r="R27">
            <v>34.768000000000001</v>
          </cell>
          <cell r="S27">
            <v>807.73500000000013</v>
          </cell>
          <cell r="X27">
            <v>99.584489428207959</v>
          </cell>
          <cell r="Y27">
            <v>93.885505586270583</v>
          </cell>
          <cell r="AD27">
            <v>1.5157616198803499</v>
          </cell>
          <cell r="AE27">
            <v>1.3301392164509398</v>
          </cell>
          <cell r="AJ27">
            <v>987.87563276576168</v>
          </cell>
          <cell r="AK27">
            <v>868.31166162169689</v>
          </cell>
          <cell r="BC27">
            <v>0.75325327245909912</v>
          </cell>
          <cell r="BD27">
            <v>0.8968099347849593</v>
          </cell>
        </row>
        <row r="28">
          <cell r="J28">
            <v>0.93323277801661286</v>
          </cell>
          <cell r="K28">
            <v>0.89850555846028046</v>
          </cell>
          <cell r="R28">
            <v>41.040999999999997</v>
          </cell>
          <cell r="S28">
            <v>848.77600000000007</v>
          </cell>
          <cell r="X28">
            <v>91.640886865995824</v>
          </cell>
          <cell r="Y28">
            <v>93.776971182730904</v>
          </cell>
          <cell r="AD28">
            <v>1.4083477498111645</v>
          </cell>
          <cell r="AE28">
            <v>1.3339208460182663</v>
          </cell>
          <cell r="AJ28">
            <v>898.53561073073274</v>
          </cell>
          <cell r="AK28">
            <v>869.77308500711786</v>
          </cell>
          <cell r="BC28">
            <v>0.93323277801661286</v>
          </cell>
          <cell r="BD28">
            <v>0.89850555846028046</v>
          </cell>
        </row>
        <row r="29">
          <cell r="J29">
            <v>0.9519032187092431</v>
          </cell>
          <cell r="K29">
            <v>0.90088328206332746</v>
          </cell>
          <cell r="R29">
            <v>41.906999999999996</v>
          </cell>
          <cell r="S29">
            <v>890.68300000000011</v>
          </cell>
          <cell r="X29">
            <v>86.831017462061567</v>
          </cell>
          <cell r="Y29">
            <v>93.450161214906103</v>
          </cell>
          <cell r="AD29">
            <v>1.3434509747774834</v>
          </cell>
          <cell r="AE29">
            <v>1.3343692424802089</v>
          </cell>
          <cell r="AJ29">
            <v>844.77294962651933</v>
          </cell>
          <cell r="AK29">
            <v>868.5968183966686</v>
          </cell>
          <cell r="BC29">
            <v>0.9519032187092431</v>
          </cell>
          <cell r="BD29">
            <v>0.90088328206332746</v>
          </cell>
        </row>
        <row r="30">
          <cell r="J30">
            <v>1.0052664550061756</v>
          </cell>
          <cell r="K30">
            <v>0.90538231031683081</v>
          </cell>
          <cell r="R30">
            <v>44.767000000000003</v>
          </cell>
          <cell r="S30">
            <v>935.45000000000016</v>
          </cell>
          <cell r="X30">
            <v>84.377996281025176</v>
          </cell>
          <cell r="Y30">
            <v>93.016002673460761</v>
          </cell>
          <cell r="AD30">
            <v>1.3201688743940849</v>
          </cell>
          <cell r="AE30">
            <v>1.3336896680741885</v>
          </cell>
          <cell r="AJ30">
            <v>839.34862733712544</v>
          </cell>
          <cell r="AK30">
            <v>867.1971136886001</v>
          </cell>
          <cell r="BC30">
            <v>1.0052664550061756</v>
          </cell>
          <cell r="BD30">
            <v>0.90538231031683081</v>
          </cell>
        </row>
        <row r="31">
          <cell r="J31">
            <v>0.90847818579762052</v>
          </cell>
          <cell r="K31">
            <v>0.90551464907843149</v>
          </cell>
          <cell r="R31">
            <v>41.915999999999997</v>
          </cell>
          <cell r="S31">
            <v>977.36600000000021</v>
          </cell>
          <cell r="X31">
            <v>95.56066757356831</v>
          </cell>
          <cell r="Y31">
            <v>93.125134947299742</v>
          </cell>
          <cell r="AD31">
            <v>1.4242771256799314</v>
          </cell>
          <cell r="AE31">
            <v>1.3375746649668596</v>
          </cell>
          <cell r="AJ31">
            <v>885.33113846739366</v>
          </cell>
          <cell r="AK31">
            <v>867.97482212395369</v>
          </cell>
          <cell r="BC31">
            <v>0.90847818579762052</v>
          </cell>
          <cell r="BD31">
            <v>0.90551464907843149</v>
          </cell>
        </row>
        <row r="32">
          <cell r="J32">
            <v>0.96789333551893486</v>
          </cell>
          <cell r="K32">
            <v>0.90808235022413608</v>
          </cell>
          <cell r="R32">
            <v>44.848999999999997</v>
          </cell>
          <cell r="S32">
            <v>1022.2150000000003</v>
          </cell>
          <cell r="X32">
            <v>88.815860106301798</v>
          </cell>
          <cell r="Y32">
            <v>92.936068393449602</v>
          </cell>
          <cell r="AD32">
            <v>1.3400521750763674</v>
          </cell>
          <cell r="AE32">
            <v>1.3376833640672456</v>
          </cell>
          <cell r="AJ32">
            <v>817.03315570023051</v>
          </cell>
          <cell r="AK32">
            <v>865.73979055286782</v>
          </cell>
          <cell r="BC32">
            <v>0.96789333551893486</v>
          </cell>
          <cell r="BD32">
            <v>0.90808235022413608</v>
          </cell>
        </row>
        <row r="33">
          <cell r="J33">
            <v>0.89183625181888104</v>
          </cell>
          <cell r="K33">
            <v>0.90744619864028198</v>
          </cell>
          <cell r="R33">
            <v>40.912999999999997</v>
          </cell>
          <cell r="S33">
            <v>1063.1280000000002</v>
          </cell>
          <cell r="X33">
            <v>101.16618419173648</v>
          </cell>
          <cell r="Y33">
            <v>93.25279293429071</v>
          </cell>
          <cell r="AD33">
            <v>1.4836360081147804</v>
          </cell>
          <cell r="AE33">
            <v>1.3433001482417919</v>
          </cell>
          <cell r="AJ33">
            <v>871.34113851345762</v>
          </cell>
          <cell r="AK33">
            <v>865.95535062570161</v>
          </cell>
          <cell r="BC33">
            <v>0.89183625181888104</v>
          </cell>
          <cell r="BD33">
            <v>0.90744619864028198</v>
          </cell>
        </row>
        <row r="34">
          <cell r="J34">
            <v>0.88567217476587146</v>
          </cell>
          <cell r="K34">
            <v>0.90663958597811156</v>
          </cell>
          <cell r="R34">
            <v>39.917000000000002</v>
          </cell>
          <cell r="S34">
            <v>1103.0450000000001</v>
          </cell>
          <cell r="X34">
            <v>102.69579742056152</v>
          </cell>
          <cell r="Y34">
            <v>93.594516445188702</v>
          </cell>
          <cell r="AD34">
            <v>1.5006137735801788</v>
          </cell>
          <cell r="AE34">
            <v>1.3489930147908742</v>
          </cell>
          <cell r="AJ34">
            <v>949.79732945862656</v>
          </cell>
          <cell r="AK34">
            <v>868.98942472881993</v>
          </cell>
          <cell r="BC34">
            <v>0.88567217476587146</v>
          </cell>
          <cell r="BD34">
            <v>0.90663958597811156</v>
          </cell>
        </row>
        <row r="35">
          <cell r="J35">
            <v>0.93982438386848344</v>
          </cell>
          <cell r="K35">
            <v>0.90777765513332431</v>
          </cell>
          <cell r="R35">
            <v>40.606000000000002</v>
          </cell>
          <cell r="S35">
            <v>1143.6510000000001</v>
          </cell>
          <cell r="X35">
            <v>100.85089263506249</v>
          </cell>
          <cell r="Y35">
            <v>93.852158340807236</v>
          </cell>
          <cell r="AD35">
            <v>1.4160468896222234</v>
          </cell>
          <cell r="AE35">
            <v>1.3513738019728045</v>
          </cell>
          <cell r="AJ35">
            <v>851.12101659854125</v>
          </cell>
          <cell r="AK35">
            <v>868.35499641061949</v>
          </cell>
          <cell r="BC35">
            <v>0.93982438386848344</v>
          </cell>
          <cell r="BD35">
            <v>0.90777765513332431</v>
          </cell>
        </row>
        <row r="36">
          <cell r="J36">
            <v>0.92386749820454228</v>
          </cell>
          <cell r="K36">
            <v>0.90831142220689443</v>
          </cell>
          <cell r="R36">
            <v>39.936999999999998</v>
          </cell>
          <cell r="S36">
            <v>1183.588</v>
          </cell>
          <cell r="X36">
            <v>82.333896499130574</v>
          </cell>
          <cell r="Y36">
            <v>93.463505512989585</v>
          </cell>
          <cell r="AD36">
            <v>1.424743971755515</v>
          </cell>
          <cell r="AE36">
            <v>1.3538494814073818</v>
          </cell>
          <cell r="AJ36">
            <v>878.99942409293726</v>
          </cell>
          <cell r="AK36">
            <v>868.71416405032915</v>
          </cell>
          <cell r="BC36">
            <v>0.92386749820454228</v>
          </cell>
          <cell r="BD36">
            <v>0.90831142220689443</v>
          </cell>
        </row>
        <row r="37">
          <cell r="J37">
            <v>0.82356973734924943</v>
          </cell>
          <cell r="K37">
            <v>0.90544419463105841</v>
          </cell>
          <cell r="R37">
            <v>37.582000000000001</v>
          </cell>
          <cell r="S37">
            <v>1221.17</v>
          </cell>
          <cell r="X37">
            <v>105.05340558647656</v>
          </cell>
          <cell r="Y37">
            <v>93.820189369096255</v>
          </cell>
          <cell r="AD37">
            <v>1.4900750359214516</v>
          </cell>
          <cell r="AE37">
            <v>1.3580418778712218</v>
          </cell>
          <cell r="AJ37">
            <v>911.62471395881005</v>
          </cell>
          <cell r="AK37">
            <v>870.03475355601677</v>
          </cell>
          <cell r="BC37">
            <v>0.82356973734924943</v>
          </cell>
          <cell r="BD37">
            <v>0.90544419463105841</v>
          </cell>
        </row>
        <row r="38">
          <cell r="J38">
            <v>0.87476475753086813</v>
          </cell>
          <cell r="K38">
            <v>0.90444877505057475</v>
          </cell>
          <cell r="R38">
            <v>39.563000000000002</v>
          </cell>
          <cell r="S38">
            <v>1260.7330000000002</v>
          </cell>
          <cell r="X38">
            <v>99.959689463279545</v>
          </cell>
          <cell r="Y38">
            <v>94.012852718295619</v>
          </cell>
          <cell r="AD38">
            <v>1.4685438414680383</v>
          </cell>
          <cell r="AE38">
            <v>1.3615095345326884</v>
          </cell>
          <cell r="AJ38">
            <v>926.74822435100759</v>
          </cell>
          <cell r="AK38">
            <v>871.81447618171319</v>
          </cell>
          <cell r="BC38">
            <v>0.87476475753086813</v>
          </cell>
          <cell r="BD38">
            <v>0.90444877505057475</v>
          </cell>
        </row>
        <row r="39">
          <cell r="J39">
            <v>0.96751081846380171</v>
          </cell>
          <cell r="K39">
            <v>0.90643195002874466</v>
          </cell>
          <cell r="R39">
            <v>43.789000000000001</v>
          </cell>
          <cell r="S39">
            <v>1304.5220000000002</v>
          </cell>
          <cell r="X39">
            <v>84.332540569091989</v>
          </cell>
          <cell r="Y39">
            <v>93.687912863926385</v>
          </cell>
          <cell r="AD39">
            <v>1.3222498801068761</v>
          </cell>
          <cell r="AE39">
            <v>1.3601917024013392</v>
          </cell>
          <cell r="AJ39">
            <v>758.02461805476264</v>
          </cell>
          <cell r="AK39">
            <v>867.9948824167011</v>
          </cell>
          <cell r="BC39">
            <v>0.96751081846380171</v>
          </cell>
          <cell r="BD39">
            <v>0.90643195002874466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0.89220755657812334</v>
          </cell>
          <cell r="K9">
            <v>0.89220755657812334</v>
          </cell>
          <cell r="R9">
            <v>45.591999999999999</v>
          </cell>
          <cell r="S9">
            <v>45.591999999999999</v>
          </cell>
          <cell r="AF9">
            <v>119.11206199069575</v>
          </cell>
          <cell r="AG9">
            <v>119.11206199069575</v>
          </cell>
          <cell r="AL9">
            <v>1.5879978943674331</v>
          </cell>
          <cell r="AM9">
            <v>1.5879978943674331</v>
          </cell>
          <cell r="AR9">
            <v>0.19082295139498157</v>
          </cell>
          <cell r="AS9">
            <v>0.19082295139498157</v>
          </cell>
          <cell r="AX9">
            <v>938.67389015616914</v>
          </cell>
          <cell r="AY9">
            <v>938.67389015616914</v>
          </cell>
          <cell r="BD9">
            <v>545.80854097209397</v>
          </cell>
          <cell r="BE9">
            <v>545.80854097209397</v>
          </cell>
          <cell r="BJ9">
            <v>15.302289875416616</v>
          </cell>
          <cell r="BK9">
            <v>15.302289875416616</v>
          </cell>
          <cell r="BN9">
            <v>0.89220755657812334</v>
          </cell>
          <cell r="BO9">
            <v>0.89220755657812334</v>
          </cell>
        </row>
        <row r="10">
          <cell r="J10">
            <v>0.89586703221157027</v>
          </cell>
          <cell r="K10">
            <v>0.89403729439484692</v>
          </cell>
          <cell r="R10">
            <v>45.779000000000003</v>
          </cell>
          <cell r="S10">
            <v>91.371000000000009</v>
          </cell>
          <cell r="AF10">
            <v>118.40144868438162</v>
          </cell>
          <cell r="AG10">
            <v>118.75602816650914</v>
          </cell>
          <cell r="AL10">
            <v>1.5487450577775836</v>
          </cell>
          <cell r="AM10">
            <v>1.5683313086208972</v>
          </cell>
          <cell r="AR10">
            <v>0.24028484676379996</v>
          </cell>
          <cell r="AS10">
            <v>0.21560451346707377</v>
          </cell>
          <cell r="AX10">
            <v>922.07038161602384</v>
          </cell>
          <cell r="AY10">
            <v>930.35514550568553</v>
          </cell>
          <cell r="BD10">
            <v>516.82577164202905</v>
          </cell>
          <cell r="BE10">
            <v>531.28749822153793</v>
          </cell>
          <cell r="BJ10">
            <v>15.458529019856332</v>
          </cell>
          <cell r="BK10">
            <v>15.380569327248221</v>
          </cell>
          <cell r="BN10">
            <v>0.89586703221157027</v>
          </cell>
          <cell r="BO10">
            <v>0.89403729439484692</v>
          </cell>
        </row>
        <row r="11">
          <cell r="J11">
            <v>0.98639502301544812</v>
          </cell>
          <cell r="K11">
            <v>0.92482320393504736</v>
          </cell>
          <cell r="R11">
            <v>50.405000000000001</v>
          </cell>
          <cell r="S11">
            <v>141.77600000000001</v>
          </cell>
          <cell r="AF11">
            <v>107.6514392733048</v>
          </cell>
          <cell r="AG11">
            <v>114.80806233899274</v>
          </cell>
          <cell r="AL11">
            <v>1.4145422081142742</v>
          </cell>
          <cell r="AM11">
            <v>1.5136553436406726</v>
          </cell>
          <cell r="AR11">
            <v>0.22418410871937308</v>
          </cell>
          <cell r="AS11">
            <v>0.21865477937027422</v>
          </cell>
          <cell r="AX11">
            <v>861.88870151770629</v>
          </cell>
          <cell r="AY11">
            <v>906.01357070308086</v>
          </cell>
          <cell r="BD11">
            <v>523.57206626325365</v>
          </cell>
          <cell r="BE11">
            <v>528.54446450738817</v>
          </cell>
          <cell r="BJ11">
            <v>13.930165658168717</v>
          </cell>
          <cell r="BK11">
            <v>14.86491366662899</v>
          </cell>
          <cell r="BN11">
            <v>0.98639502301544812</v>
          </cell>
          <cell r="BO11">
            <v>0.92482320393504736</v>
          </cell>
        </row>
        <row r="12">
          <cell r="J12">
            <v>0.93655179072459693</v>
          </cell>
          <cell r="K12">
            <v>0.92775535063243475</v>
          </cell>
          <cell r="R12">
            <v>47.857999999999997</v>
          </cell>
          <cell r="S12">
            <v>189.63400000000001</v>
          </cell>
          <cell r="AF12">
            <v>112.83687736242176</v>
          </cell>
          <cell r="AG12">
            <v>114.31059368564611</v>
          </cell>
          <cell r="AL12">
            <v>1.4668393998913454</v>
          </cell>
          <cell r="AM12">
            <v>1.5018403872723245</v>
          </cell>
          <cell r="AR12">
            <v>0.17969827406076311</v>
          </cell>
          <cell r="AS12">
            <v>0.20882331227522491</v>
          </cell>
          <cell r="AX12">
            <v>917.59914747795665</v>
          </cell>
          <cell r="AY12">
            <v>908.93742683274127</v>
          </cell>
          <cell r="BD12">
            <v>460.94696811402241</v>
          </cell>
          <cell r="BE12">
            <v>511.48486030986186</v>
          </cell>
          <cell r="BJ12">
            <v>14.375861924861351</v>
          </cell>
          <cell r="BK12">
            <v>14.74149150468801</v>
          </cell>
          <cell r="BN12">
            <v>0.93655179072459693</v>
          </cell>
          <cell r="BO12">
            <v>0.92775535063243475</v>
          </cell>
        </row>
        <row r="13">
          <cell r="J13">
            <v>0.93103322319180559</v>
          </cell>
          <cell r="K13">
            <v>0.9284109251443089</v>
          </cell>
          <cell r="R13">
            <v>47.576000000000001</v>
          </cell>
          <cell r="S13">
            <v>237.21</v>
          </cell>
          <cell r="AF13">
            <v>115.54346686285565</v>
          </cell>
          <cell r="AG13">
            <v>114.55786477151484</v>
          </cell>
          <cell r="AL13">
            <v>1.4797376828653104</v>
          </cell>
          <cell r="AM13">
            <v>1.4974073605665867</v>
          </cell>
          <cell r="AR13">
            <v>0.20808811165293425</v>
          </cell>
          <cell r="AS13">
            <v>0.20867585683571518</v>
          </cell>
          <cell r="AX13">
            <v>852.27635782747552</v>
          </cell>
          <cell r="AY13">
            <v>897.57320517684752</v>
          </cell>
          <cell r="BD13">
            <v>537.45480914746088</v>
          </cell>
          <cell r="BE13">
            <v>516.69352050925318</v>
          </cell>
          <cell r="BJ13">
            <v>3.9578779216409194</v>
          </cell>
          <cell r="BK13">
            <v>12.578677121537854</v>
          </cell>
          <cell r="BN13">
            <v>0.93103322319180559</v>
          </cell>
          <cell r="BO13">
            <v>0.9284109251443089</v>
          </cell>
        </row>
        <row r="14">
          <cell r="J14">
            <v>0.94067469080857868</v>
          </cell>
          <cell r="K14">
            <v>0.93052831822366144</v>
          </cell>
          <cell r="R14">
            <v>50.155999999999999</v>
          </cell>
          <cell r="S14">
            <v>287.36599999999999</v>
          </cell>
          <cell r="AF14">
            <v>110.53195587433846</v>
          </cell>
          <cell r="AG14">
            <v>113.85519470391193</v>
          </cell>
          <cell r="AL14">
            <v>1.4335273945290694</v>
          </cell>
          <cell r="AM14">
            <v>1.4862579428324856</v>
          </cell>
          <cell r="AR14">
            <v>0.19339660259988833</v>
          </cell>
          <cell r="AS14">
            <v>0.20600906161480484</v>
          </cell>
          <cell r="AX14">
            <v>881.0307839540626</v>
          </cell>
          <cell r="AY14">
            <v>894.68594057752136</v>
          </cell>
          <cell r="BD14">
            <v>459.88158944094425</v>
          </cell>
          <cell r="BE14">
            <v>506.77773640583769</v>
          </cell>
          <cell r="BJ14">
            <v>4.1689927426429536</v>
          </cell>
          <cell r="BK14">
            <v>11.110876025695436</v>
          </cell>
          <cell r="BN14">
            <v>0.94067469080857868</v>
          </cell>
          <cell r="BO14">
            <v>0.93052831822366144</v>
          </cell>
        </row>
        <row r="15">
          <cell r="J15">
            <v>0.94103815675437796</v>
          </cell>
          <cell r="K15">
            <v>0.93211222386370551</v>
          </cell>
          <cell r="R15">
            <v>51.569000000000003</v>
          </cell>
          <cell r="S15">
            <v>338.935</v>
          </cell>
          <cell r="AF15">
            <v>98.312336655470844</v>
          </cell>
          <cell r="AG15">
            <v>111.49034702898884</v>
          </cell>
          <cell r="AL15">
            <v>1.2546297194050688</v>
          </cell>
          <cell r="AM15">
            <v>1.4510156814728488</v>
          </cell>
          <cell r="AR15">
            <v>0.12604471678721713</v>
          </cell>
          <cell r="AS15">
            <v>0.193842477171139</v>
          </cell>
          <cell r="AX15">
            <v>759.1642265702277</v>
          </cell>
          <cell r="AY15">
            <v>874.06629589744375</v>
          </cell>
          <cell r="BD15">
            <v>338.61273245554497</v>
          </cell>
          <cell r="BE15">
            <v>481.19141133255636</v>
          </cell>
          <cell r="BJ15">
            <v>4.1265101126645858</v>
          </cell>
          <cell r="BK15">
            <v>10.048203932907473</v>
          </cell>
          <cell r="BN15">
            <v>0.97564619473491199</v>
          </cell>
          <cell r="BO15">
            <v>0.93712195012047306</v>
          </cell>
        </row>
        <row r="16">
          <cell r="J16">
            <v>7.1476656962109725E-2</v>
          </cell>
          <cell r="K16">
            <v>0.82278522658447395</v>
          </cell>
          <cell r="R16">
            <v>3.782</v>
          </cell>
          <cell r="S16">
            <v>342.71699999999998</v>
          </cell>
          <cell r="AF16">
            <v>467.83210917506204</v>
          </cell>
          <cell r="AG16">
            <v>115.42270096660049</v>
          </cell>
          <cell r="AL16">
            <v>7.2448439978847166</v>
          </cell>
          <cell r="AM16">
            <v>1.5149525701964013</v>
          </cell>
          <cell r="AR16">
            <v>0</v>
          </cell>
          <cell r="AS16">
            <v>0.19170335874788821</v>
          </cell>
          <cell r="AX16">
            <v>5105.9069275515394</v>
          </cell>
          <cell r="AY16">
            <v>920.76611314874958</v>
          </cell>
          <cell r="BD16">
            <v>220.12162876784768</v>
          </cell>
          <cell r="BE16">
            <v>478.31041646606377</v>
          </cell>
          <cell r="BJ16">
            <v>1.3220518244315178</v>
          </cell>
          <cell r="BK16">
            <v>9.9519078423305363</v>
          </cell>
          <cell r="BN16">
            <v>0.10140530642900294</v>
          </cell>
          <cell r="BO16">
            <v>0.85899928527009528</v>
          </cell>
        </row>
        <row r="17">
          <cell r="J17">
            <v>0.79384984370732836</v>
          </cell>
          <cell r="K17">
            <v>0.81951946950487498</v>
          </cell>
          <cell r="R17">
            <v>42.067999999999998</v>
          </cell>
          <cell r="S17">
            <v>384.78499999999997</v>
          </cell>
          <cell r="AF17">
            <v>123.12678448599827</v>
          </cell>
          <cell r="AG17">
            <v>116.26497752492273</v>
          </cell>
          <cell r="AL17">
            <v>1.5902823999239328</v>
          </cell>
          <cell r="AM17">
            <v>1.5231882739711788</v>
          </cell>
          <cell r="AR17">
            <v>0</v>
          </cell>
          <cell r="AS17">
            <v>0.17074470158660032</v>
          </cell>
          <cell r="AX17">
            <v>1056.9416183322244</v>
          </cell>
          <cell r="AY17">
            <v>935.65398859103163</v>
          </cell>
          <cell r="BD17">
            <v>21.52467433678752</v>
          </cell>
          <cell r="BE17">
            <v>428.37067713138498</v>
          </cell>
          <cell r="BJ17">
            <v>0</v>
          </cell>
          <cell r="BK17">
            <v>8.8638798289953993</v>
          </cell>
          <cell r="BN17">
            <v>0.79384984370732836</v>
          </cell>
          <cell r="BO17">
            <v>0.85136058262855852</v>
          </cell>
        </row>
        <row r="18">
          <cell r="J18">
            <v>0.92215643375897138</v>
          </cell>
          <cell r="K18">
            <v>0.82993452836093051</v>
          </cell>
          <cell r="R18">
            <v>48.898000000000003</v>
          </cell>
          <cell r="S18">
            <v>433.68299999999999</v>
          </cell>
          <cell r="AF18">
            <v>101.90029773069767</v>
          </cell>
          <cell r="AG18">
            <v>114.64535187075131</v>
          </cell>
          <cell r="AL18">
            <v>1.3988302180048264</v>
          </cell>
          <cell r="AM18">
            <v>1.5091668338394635</v>
          </cell>
          <cell r="AR18">
            <v>0</v>
          </cell>
          <cell r="AS18">
            <v>0.15149314130367111</v>
          </cell>
          <cell r="AX18">
            <v>883.72816884126223</v>
          </cell>
          <cell r="AY18">
            <v>929.79932346898568</v>
          </cell>
          <cell r="BD18">
            <v>13.364554787516871</v>
          </cell>
          <cell r="BE18">
            <v>381.57850549825548</v>
          </cell>
          <cell r="BJ18">
            <v>0.10225367090678555</v>
          </cell>
          <cell r="BK18">
            <v>7.8760015956355103</v>
          </cell>
          <cell r="BN18">
            <v>0.92215643375897138</v>
          </cell>
          <cell r="BO18">
            <v>0.85879438654606699</v>
          </cell>
        </row>
        <row r="19">
          <cell r="J19">
            <v>0.89069999522344911</v>
          </cell>
          <cell r="K19">
            <v>0.83553262290517571</v>
          </cell>
          <cell r="R19">
            <v>47.23</v>
          </cell>
          <cell r="S19">
            <v>480.91300000000001</v>
          </cell>
          <cell r="AF19">
            <v>105.0313424263941</v>
          </cell>
          <cell r="AG19">
            <v>113.70116931370463</v>
          </cell>
          <cell r="AL19">
            <v>1.4567012492060132</v>
          </cell>
          <cell r="AM19">
            <v>1.5040142395817953</v>
          </cell>
          <cell r="AR19">
            <v>0</v>
          </cell>
          <cell r="AS19">
            <v>0.13661514660655877</v>
          </cell>
          <cell r="AX19">
            <v>1009.9136142282439</v>
          </cell>
          <cell r="AY19">
            <v>937.66727037946589</v>
          </cell>
          <cell r="BD19">
            <v>25.333474486556121</v>
          </cell>
          <cell r="BE19">
            <v>346.59202600054476</v>
          </cell>
          <cell r="BJ19">
            <v>0</v>
          </cell>
          <cell r="BK19">
            <v>7.1025071062749285</v>
          </cell>
          <cell r="BN19">
            <v>0.89069999522344911</v>
          </cell>
          <cell r="BO19">
            <v>0.86182622963205691</v>
          </cell>
        </row>
        <row r="20">
          <cell r="J20">
            <v>0.93075510186318511</v>
          </cell>
          <cell r="K20">
            <v>0.84355662204337589</v>
          </cell>
          <cell r="R20">
            <v>49.296999999999997</v>
          </cell>
          <cell r="S20">
            <v>530.21</v>
          </cell>
          <cell r="AF20">
            <v>96.987303454126021</v>
          </cell>
          <cell r="AG20">
            <v>112.14717477327791</v>
          </cell>
          <cell r="AL20">
            <v>1.3956224516704872</v>
          </cell>
          <cell r="AM20">
            <v>1.493936364836574</v>
          </cell>
          <cell r="AR20">
            <v>0</v>
          </cell>
          <cell r="AS20">
            <v>0.12391316648120555</v>
          </cell>
          <cell r="AX20">
            <v>925.68553867375431</v>
          </cell>
          <cell r="AY20">
            <v>936.55325248486474</v>
          </cell>
          <cell r="BD20">
            <v>13.885226281518145</v>
          </cell>
          <cell r="BE20">
            <v>315.65815620225953</v>
          </cell>
          <cell r="BJ20">
            <v>0</v>
          </cell>
          <cell r="BK20">
            <v>6.4421417928745113</v>
          </cell>
          <cell r="BN20">
            <v>0.93075510186318511</v>
          </cell>
          <cell r="BO20">
            <v>0.86780151606157507</v>
          </cell>
        </row>
        <row r="21">
          <cell r="J21">
            <v>0.92316886849514723</v>
          </cell>
          <cell r="K21">
            <v>0.8491121855910716</v>
          </cell>
          <cell r="R21">
            <v>43.529000000000003</v>
          </cell>
          <cell r="S21">
            <v>573.73900000000003</v>
          </cell>
          <cell r="AF21">
            <v>95.849751673002061</v>
          </cell>
          <cell r="AG21">
            <v>110.91070569913111</v>
          </cell>
          <cell r="AL21">
            <v>1.5690688965976702</v>
          </cell>
          <cell r="AM21">
            <v>1.4996365943399348</v>
          </cell>
          <cell r="AR21">
            <v>0</v>
          </cell>
          <cell r="AS21">
            <v>0.11451199935859337</v>
          </cell>
          <cell r="AX21">
            <v>1013.8946449493434</v>
          </cell>
          <cell r="AY21">
            <v>942.42106602479532</v>
          </cell>
          <cell r="BD21">
            <v>19.240046865308187</v>
          </cell>
          <cell r="BE21">
            <v>293.16921283022418</v>
          </cell>
          <cell r="BJ21">
            <v>0.11486595143467573</v>
          </cell>
          <cell r="BK21">
            <v>5.9620977482792599</v>
          </cell>
          <cell r="BN21">
            <v>0.92316886849514723</v>
          </cell>
          <cell r="BO21">
            <v>0.87176829496202357</v>
          </cell>
        </row>
        <row r="22">
          <cell r="J22">
            <v>0.38930879334084101</v>
          </cell>
          <cell r="K22">
            <v>0.81803956025332036</v>
          </cell>
          <cell r="R22">
            <v>19.065000000000001</v>
          </cell>
          <cell r="S22">
            <v>592.80400000000009</v>
          </cell>
          <cell r="AF22">
            <v>192.91486595961814</v>
          </cell>
          <cell r="AG22">
            <v>113.54801805762764</v>
          </cell>
          <cell r="AL22">
            <v>2.559664306320482</v>
          </cell>
          <cell r="AM22">
            <v>1.5337278425921548</v>
          </cell>
          <cell r="AR22">
            <v>0</v>
          </cell>
          <cell r="AS22">
            <v>0.11082921167873359</v>
          </cell>
          <cell r="AX22">
            <v>1771.9464988198249</v>
          </cell>
          <cell r="AY22">
            <v>969.09919636169786</v>
          </cell>
          <cell r="BD22">
            <v>13.375295043275399</v>
          </cell>
          <cell r="BE22">
            <v>284.17084061511059</v>
          </cell>
          <cell r="BJ22">
            <v>0</v>
          </cell>
          <cell r="BK22">
            <v>5.7703524267717388</v>
          </cell>
          <cell r="BN22">
            <v>0.38930879334084101</v>
          </cell>
          <cell r="BO22">
            <v>0.83835492681787305</v>
          </cell>
        </row>
        <row r="23">
          <cell r="J23">
            <v>0.91802192212694467</v>
          </cell>
          <cell r="K23">
            <v>0.82456496541418844</v>
          </cell>
          <cell r="R23">
            <v>46.45</v>
          </cell>
          <cell r="S23">
            <v>639.25400000000013</v>
          </cell>
          <cell r="AF23">
            <v>109.04770872427821</v>
          </cell>
          <cell r="AG23">
            <v>113.22101287888165</v>
          </cell>
          <cell r="AL23">
            <v>1.5651237890204521</v>
          </cell>
          <cell r="AM23">
            <v>1.5360091606779147</v>
          </cell>
          <cell r="AR23">
            <v>0</v>
          </cell>
          <cell r="AS23">
            <v>0.1027760483313362</v>
          </cell>
          <cell r="AX23">
            <v>1010.7311087190529</v>
          </cell>
          <cell r="AY23">
            <v>972.1242886239271</v>
          </cell>
          <cell r="BD23">
            <v>22.874058127017808</v>
          </cell>
          <cell r="BE23">
            <v>265.18427886254915</v>
          </cell>
          <cell r="BJ23">
            <v>0</v>
          </cell>
          <cell r="BK23">
            <v>5.3510623320307644</v>
          </cell>
          <cell r="BN23">
            <v>0.91802192212694467</v>
          </cell>
          <cell r="BO23">
            <v>0.84367494111699204</v>
          </cell>
        </row>
        <row r="24">
          <cell r="J24">
            <v>0.90131026404715542</v>
          </cell>
          <cell r="K24">
            <v>0.8295214866711218</v>
          </cell>
          <cell r="R24">
            <v>48.244</v>
          </cell>
          <cell r="S24">
            <v>687.49800000000016</v>
          </cell>
          <cell r="AF24">
            <v>112.32398838195371</v>
          </cell>
          <cell r="AG24">
            <v>113.15806571419202</v>
          </cell>
          <cell r="AL24">
            <v>1.3887737335212669</v>
          </cell>
          <cell r="AM24">
            <v>1.5256771656062993</v>
          </cell>
          <cell r="AR24">
            <v>0</v>
          </cell>
          <cell r="AS24">
            <v>9.5563914367750871E-2</v>
          </cell>
          <cell r="AX24">
            <v>866.36265649614461</v>
          </cell>
          <cell r="AY24">
            <v>964.70264640769858</v>
          </cell>
          <cell r="BD24">
            <v>20.531050493333137</v>
          </cell>
          <cell r="BE24">
            <v>248.01615568336248</v>
          </cell>
          <cell r="BJ24">
            <v>0</v>
          </cell>
          <cell r="BK24">
            <v>4.9755606561764463</v>
          </cell>
          <cell r="BN24">
            <v>0.90131026404715542</v>
          </cell>
          <cell r="BO24">
            <v>0.84747783874076466</v>
          </cell>
        </row>
        <row r="25">
          <cell r="J25">
            <v>0.99759636828879028</v>
          </cell>
          <cell r="K25">
            <v>0.8398774157529485</v>
          </cell>
          <cell r="R25">
            <v>54.287999999999997</v>
          </cell>
          <cell r="S25">
            <v>741.78600000000017</v>
          </cell>
          <cell r="AF25">
            <v>98.097716210022284</v>
          </cell>
          <cell r="AG25">
            <v>112.05586608534709</v>
          </cell>
          <cell r="AL25">
            <v>1.254420866489832</v>
          </cell>
          <cell r="AM25">
            <v>1.5058251301588321</v>
          </cell>
          <cell r="AR25">
            <v>0</v>
          </cell>
          <cell r="AS25">
            <v>8.8570018846405821E-2</v>
          </cell>
          <cell r="AX25">
            <v>733.30275567344665</v>
          </cell>
          <cell r="AY25">
            <v>947.76752324794472</v>
          </cell>
          <cell r="BD25">
            <v>379.67875036839217</v>
          </cell>
          <cell r="BE25">
            <v>257.65195218027793</v>
          </cell>
          <cell r="BJ25">
            <v>0</v>
          </cell>
          <cell r="BK25">
            <v>4.6114216229478506</v>
          </cell>
          <cell r="BN25">
            <v>0.99759636828879028</v>
          </cell>
          <cell r="BO25">
            <v>0.85691502243308071</v>
          </cell>
        </row>
        <row r="26">
          <cell r="J26">
            <v>0.8307806916900633</v>
          </cell>
          <cell r="K26">
            <v>0.83937559188459365</v>
          </cell>
          <cell r="R26">
            <v>42.841000000000001</v>
          </cell>
          <cell r="S26">
            <v>784.62700000000018</v>
          </cell>
          <cell r="AF26">
            <v>82.000270295999258</v>
          </cell>
          <cell r="AG26">
            <v>110.41481654306591</v>
          </cell>
          <cell r="AL26">
            <v>1.5732592609883056</v>
          </cell>
          <cell r="AM26">
            <v>1.5095070651405058</v>
          </cell>
          <cell r="AR26">
            <v>0.18907121682500408</v>
          </cell>
          <cell r="AS26">
            <v>9.4057431110578626E-2</v>
          </cell>
          <cell r="AX26">
            <v>845.41864102144905</v>
          </cell>
          <cell r="AY26">
            <v>942.17922656243002</v>
          </cell>
          <cell r="BD26">
            <v>485.02602646996712</v>
          </cell>
          <cell r="BE26">
            <v>270.06668264028571</v>
          </cell>
          <cell r="BJ26">
            <v>3.0344763194136455</v>
          </cell>
          <cell r="BK26">
            <v>4.5253196741891291</v>
          </cell>
          <cell r="BN26">
            <v>0.8307806916900633</v>
          </cell>
          <cell r="BO26">
            <v>0.85544571122040758</v>
          </cell>
        </row>
        <row r="27">
          <cell r="J27">
            <v>1.0248318423489604</v>
          </cell>
          <cell r="K27">
            <v>0.84945322763332942</v>
          </cell>
          <cell r="R27">
            <v>55.048000000000002</v>
          </cell>
          <cell r="S27">
            <v>839.67500000000018</v>
          </cell>
          <cell r="AF27">
            <v>86.303184086653047</v>
          </cell>
          <cell r="AG27">
            <v>108.8340893051934</v>
          </cell>
          <cell r="AL27">
            <v>1.3424647580293563</v>
          </cell>
          <cell r="AM27">
            <v>1.4985559889242859</v>
          </cell>
          <cell r="AR27">
            <v>0.16349367824444122</v>
          </cell>
          <cell r="AS27">
            <v>9.8609581087920894E-2</v>
          </cell>
          <cell r="AX27">
            <v>762.36121203313473</v>
          </cell>
          <cell r="AY27">
            <v>930.39059159793931</v>
          </cell>
          <cell r="BD27">
            <v>428.06278157244913</v>
          </cell>
          <cell r="BE27">
            <v>280.42470122368729</v>
          </cell>
          <cell r="BJ27">
            <v>2.9065542799011772</v>
          </cell>
          <cell r="BK27">
            <v>4.4191955220769863</v>
          </cell>
          <cell r="BN27">
            <v>1.0248318423489604</v>
          </cell>
          <cell r="BO27">
            <v>0.86481657368226295</v>
          </cell>
        </row>
        <row r="28">
          <cell r="J28">
            <v>0.96260345188745955</v>
          </cell>
          <cell r="K28">
            <v>0.85598635229572195</v>
          </cell>
          <cell r="R28">
            <v>58.305999999999997</v>
          </cell>
          <cell r="S28">
            <v>897.98100000000022</v>
          </cell>
          <cell r="AF28">
            <v>78.456033361561097</v>
          </cell>
          <cell r="AG28">
            <v>106.86163896398413</v>
          </cell>
          <cell r="AL28">
            <v>1.197132370596508</v>
          </cell>
          <cell r="AM28">
            <v>1.4789845219442277</v>
          </cell>
          <cell r="AR28">
            <v>0.21610125887558743</v>
          </cell>
          <cell r="AS28">
            <v>0.10623832798244057</v>
          </cell>
          <cell r="AX28">
            <v>619.26388364833838</v>
          </cell>
          <cell r="AY28">
            <v>910.1891019965899</v>
          </cell>
          <cell r="BD28">
            <v>598.27462010770682</v>
          </cell>
          <cell r="BE28">
            <v>301.06272961231872</v>
          </cell>
          <cell r="BJ28">
            <v>2.7441429698487294</v>
          </cell>
          <cell r="BK28">
            <v>4.3104341851330865</v>
          </cell>
          <cell r="BN28">
            <v>0.96260345188745955</v>
          </cell>
          <cell r="BO28">
            <v>0.87055876103189545</v>
          </cell>
        </row>
        <row r="29">
          <cell r="J29">
            <v>0.92878946915681715</v>
          </cell>
          <cell r="K29">
            <v>0.85996826064376497</v>
          </cell>
          <cell r="R29">
            <v>56.375</v>
          </cell>
          <cell r="S29">
            <v>954.35600000000022</v>
          </cell>
          <cell r="AF29">
            <v>81.54511060862184</v>
          </cell>
          <cell r="AG29">
            <v>105.36616003784594</v>
          </cell>
          <cell r="AL29">
            <v>1.2523281596452327</v>
          </cell>
          <cell r="AM29">
            <v>1.4655956477457044</v>
          </cell>
          <cell r="AR29">
            <v>0.22350332594235034</v>
          </cell>
          <cell r="AS29">
            <v>0.11316531776402093</v>
          </cell>
          <cell r="AX29">
            <v>638.79201773835996</v>
          </cell>
          <cell r="AY29">
            <v>894.15733751346443</v>
          </cell>
          <cell r="BD29">
            <v>535.23725055432374</v>
          </cell>
          <cell r="BE29">
            <v>314.8957108248909</v>
          </cell>
          <cell r="BJ29">
            <v>2.6607538802660753</v>
          </cell>
          <cell r="BK29">
            <v>4.2129855106480116</v>
          </cell>
          <cell r="BN29">
            <v>0.92878946915681715</v>
          </cell>
          <cell r="BO29">
            <v>0.87379484972525789</v>
          </cell>
        </row>
        <row r="30">
          <cell r="J30">
            <v>1.0214978530396439</v>
          </cell>
          <cell r="K30">
            <v>0.86836954184561743</v>
          </cell>
          <cell r="R30">
            <v>62.195</v>
          </cell>
          <cell r="S30">
            <v>1016.5510000000003</v>
          </cell>
          <cell r="AF30">
            <v>74.700708536970737</v>
          </cell>
          <cell r="AG30">
            <v>103.48997501997971</v>
          </cell>
          <cell r="AL30">
            <v>1.131923788085859</v>
          </cell>
          <cell r="AM30">
            <v>1.445180812374391</v>
          </cell>
          <cell r="AR30">
            <v>0.1736473993086261</v>
          </cell>
          <cell r="AS30">
            <v>0.11686575489080228</v>
          </cell>
          <cell r="AX30">
            <v>579.22855535010854</v>
          </cell>
          <cell r="AY30">
            <v>874.88924805543434</v>
          </cell>
          <cell r="BD30">
            <v>458.12364337969217</v>
          </cell>
          <cell r="BE30">
            <v>323.65873527250426</v>
          </cell>
          <cell r="BJ30">
            <v>2.7333386928209666</v>
          </cell>
          <cell r="BK30">
            <v>4.1224572107056057</v>
          </cell>
          <cell r="BN30">
            <v>1.0214978530396439</v>
          </cell>
          <cell r="BO30">
            <v>0.88159399104035274</v>
          </cell>
        </row>
        <row r="31">
          <cell r="J31">
            <v>1.019214901008572</v>
          </cell>
          <cell r="K31">
            <v>0.87582724657867506</v>
          </cell>
          <cell r="R31">
            <v>62.055999999999997</v>
          </cell>
          <cell r="S31">
            <v>1078.6070000000002</v>
          </cell>
          <cell r="AF31">
            <v>74.442073288691091</v>
          </cell>
          <cell r="AG31">
            <v>101.81874853077944</v>
          </cell>
          <cell r="AL31">
            <v>1.1344591981436123</v>
          </cell>
          <cell r="AM31">
            <v>1.4273039207051315</v>
          </cell>
          <cell r="AR31">
            <v>0.1885393837823901</v>
          </cell>
          <cell r="AS31">
            <v>0.12098938723742748</v>
          </cell>
          <cell r="AX31">
            <v>621.68911950496295</v>
          </cell>
          <cell r="AY31">
            <v>860.32176687152946</v>
          </cell>
          <cell r="BD31">
            <v>495.33485883716645</v>
          </cell>
          <cell r="BE31">
            <v>333.53585782402553</v>
          </cell>
          <cell r="BJ31">
            <v>2.2753641871859553</v>
          </cell>
          <cell r="BK31">
            <v>4.0161875456028051</v>
          </cell>
          <cell r="BN31">
            <v>1.019214901008572</v>
          </cell>
          <cell r="BO31">
            <v>0.88849630693645509</v>
          </cell>
        </row>
        <row r="32">
          <cell r="J32">
            <v>1.0002608562610158</v>
          </cell>
          <cell r="K32">
            <v>0.88147691764381619</v>
          </cell>
          <cell r="R32">
            <v>58.59</v>
          </cell>
          <cell r="S32">
            <v>1137.1970000000001</v>
          </cell>
          <cell r="AF32">
            <v>79.704949033154605</v>
          </cell>
          <cell r="AG32">
            <v>100.67941426190093</v>
          </cell>
          <cell r="AL32">
            <v>1.2169312169312168</v>
          </cell>
          <cell r="AM32">
            <v>1.4164652210654793</v>
          </cell>
          <cell r="AR32">
            <v>0.18433179723502305</v>
          </cell>
          <cell r="AS32">
            <v>0.1242528779094563</v>
          </cell>
          <cell r="AX32">
            <v>630.87762416794726</v>
          </cell>
          <cell r="AY32">
            <v>848.50047968821593</v>
          </cell>
          <cell r="BD32">
            <v>554.20208226660782</v>
          </cell>
          <cell r="BE32">
            <v>344.90489422676922</v>
          </cell>
          <cell r="BJ32">
            <v>2.7137736815151206</v>
          </cell>
          <cell r="BK32">
            <v>3.949085338775935</v>
          </cell>
          <cell r="BN32">
            <v>1.0002608562610158</v>
          </cell>
          <cell r="BO32">
            <v>0.89364078800163216</v>
          </cell>
        </row>
        <row r="33">
          <cell r="J33">
            <v>0.94426269562160758</v>
          </cell>
          <cell r="K33">
            <v>0.88389757354117604</v>
          </cell>
          <cell r="R33">
            <v>48.85</v>
          </cell>
          <cell r="S33">
            <v>1186.047</v>
          </cell>
          <cell r="AF33">
            <v>107.20732165465029</v>
          </cell>
          <cell r="AG33">
            <v>100.94828073695277</v>
          </cell>
          <cell r="AL33">
            <v>1.5312180143295802</v>
          </cell>
          <cell r="AM33">
            <v>1.4211915716662156</v>
          </cell>
          <cell r="AR33">
            <v>0.25793244626407369</v>
          </cell>
          <cell r="AS33">
            <v>0.12975877009932993</v>
          </cell>
          <cell r="AX33">
            <v>881.45711361310214</v>
          </cell>
          <cell r="AY33">
            <v>849.85787241146443</v>
          </cell>
          <cell r="BD33">
            <v>667.6171954964251</v>
          </cell>
          <cell r="BE33">
            <v>358.1965225661375</v>
          </cell>
          <cell r="BJ33">
            <v>2.8352098259979526</v>
          </cell>
          <cell r="BK33">
            <v>3.9032078829928132</v>
          </cell>
          <cell r="BN33">
            <v>0.94426269562160758</v>
          </cell>
          <cell r="BO33">
            <v>0.89561835555942493</v>
          </cell>
        </row>
        <row r="34">
          <cell r="J34">
            <v>0.98760019743498817</v>
          </cell>
          <cell r="K34">
            <v>0.88774732199668727</v>
          </cell>
          <cell r="R34">
            <v>51.091999999999999</v>
          </cell>
          <cell r="S34">
            <v>1237.1390000000001</v>
          </cell>
          <cell r="AF34">
            <v>104.72772121222947</v>
          </cell>
          <cell r="AG34">
            <v>101.10436600527171</v>
          </cell>
          <cell r="AL34">
            <v>1.4757692006576373</v>
          </cell>
          <cell r="AM34">
            <v>1.4234455465392326</v>
          </cell>
          <cell r="AR34">
            <v>0.21138338683159791</v>
          </cell>
          <cell r="AS34">
            <v>0.13312974532368632</v>
          </cell>
          <cell r="AX34">
            <v>862.81727080560461</v>
          </cell>
          <cell r="AY34">
            <v>850.39307628326321</v>
          </cell>
          <cell r="BD34">
            <v>480.82674391293085</v>
          </cell>
          <cell r="BE34">
            <v>363.26096825013116</v>
          </cell>
          <cell r="BJ34">
            <v>2.5503014170525047</v>
          </cell>
          <cell r="BK34">
            <v>3.8473348588962297</v>
          </cell>
          <cell r="BN34">
            <v>0.98760019743498817</v>
          </cell>
          <cell r="BO34">
            <v>0.89907657079416603</v>
          </cell>
        </row>
        <row r="35">
          <cell r="J35">
            <v>0.99436564151825457</v>
          </cell>
          <cell r="K35">
            <v>0.89156363680166639</v>
          </cell>
          <cell r="R35">
            <v>51.442</v>
          </cell>
          <cell r="S35">
            <v>1288.5810000000001</v>
          </cell>
          <cell r="AF35">
            <v>106.9938404614866</v>
          </cell>
          <cell r="AG35">
            <v>101.33948226492214</v>
          </cell>
          <cell r="AL35">
            <v>1.448232961393414</v>
          </cell>
          <cell r="AM35">
            <v>1.4244350956594889</v>
          </cell>
          <cell r="AR35">
            <v>0.26631934994751372</v>
          </cell>
          <cell r="AS35">
            <v>0.13844686519512545</v>
          </cell>
          <cell r="AX35">
            <v>790.61117374907747</v>
          </cell>
          <cell r="AY35">
            <v>848.00649706925685</v>
          </cell>
          <cell r="BD35">
            <v>570.15395979938569</v>
          </cell>
          <cell r="BE35">
            <v>371.52043294135103</v>
          </cell>
          <cell r="BJ35">
            <v>2.7992690797402902</v>
          </cell>
          <cell r="BK35">
            <v>3.8054945711600765</v>
          </cell>
          <cell r="BN35">
            <v>0.99436564151825457</v>
          </cell>
          <cell r="BO35">
            <v>0.9025293151245839</v>
          </cell>
        </row>
        <row r="36">
          <cell r="J36">
            <v>0.94698820309515197</v>
          </cell>
          <cell r="K36">
            <v>0.89347895615954043</v>
          </cell>
          <cell r="R36">
            <v>48.991</v>
          </cell>
          <cell r="S36">
            <v>1337.5720000000001</v>
          </cell>
          <cell r="AF36">
            <v>91.569108436843123</v>
          </cell>
          <cell r="AG36">
            <v>100.98162460626045</v>
          </cell>
          <cell r="AL36">
            <v>1.5247698556877796</v>
          </cell>
          <cell r="AM36">
            <v>1.4281100381885983</v>
          </cell>
          <cell r="AR36">
            <v>0.16941887285419774</v>
          </cell>
          <cell r="AS36">
            <v>0.13958127113904895</v>
          </cell>
          <cell r="AX36">
            <v>844.94294870486294</v>
          </cell>
          <cell r="AY36">
            <v>847.89428905509396</v>
          </cell>
          <cell r="BD36">
            <v>429.85283011166382</v>
          </cell>
          <cell r="BE36">
            <v>373.65696276536858</v>
          </cell>
          <cell r="BJ36">
            <v>5.2662733971539852</v>
          </cell>
          <cell r="BK36">
            <v>3.8589982445804747</v>
          </cell>
          <cell r="BN36">
            <v>0.94698820309515197</v>
          </cell>
          <cell r="BO36">
            <v>0.90408392674775817</v>
          </cell>
        </row>
        <row r="37">
          <cell r="J37">
            <v>0.90701558039395425</v>
          </cell>
          <cell r="K37">
            <v>0.89392587206256791</v>
          </cell>
          <cell r="R37">
            <v>46.36</v>
          </cell>
          <cell r="S37">
            <v>1383.932</v>
          </cell>
          <cell r="AF37">
            <v>104.11152340728995</v>
          </cell>
          <cell r="AG37">
            <v>101.08647232162201</v>
          </cell>
          <cell r="AL37">
            <v>1.5832614322691978</v>
          </cell>
          <cell r="AM37">
            <v>1.4333074168383997</v>
          </cell>
          <cell r="AR37">
            <v>0.22433132010353754</v>
          </cell>
          <cell r="AS37">
            <v>0.14242029232650158</v>
          </cell>
          <cell r="AX37">
            <v>861.10181190681556</v>
          </cell>
          <cell r="AY37">
            <v>848.33672463675964</v>
          </cell>
          <cell r="BD37">
            <v>554.58015530629257</v>
          </cell>
          <cell r="BE37">
            <v>379.71766459623689</v>
          </cell>
          <cell r="BJ37">
            <v>6.4495254529767045</v>
          </cell>
          <cell r="BK37">
            <v>3.9457776827185111</v>
          </cell>
          <cell r="BN37">
            <v>0.90701558039395425</v>
          </cell>
          <cell r="BO37">
            <v>0.90418182667355429</v>
          </cell>
        </row>
        <row r="38">
          <cell r="J38">
            <v>0.92415966177418751</v>
          </cell>
          <cell r="K38">
            <v>0.89490350487028536</v>
          </cell>
          <cell r="R38">
            <v>47.81</v>
          </cell>
          <cell r="S38">
            <v>1431.742</v>
          </cell>
          <cell r="AF38">
            <v>108.98706907470005</v>
          </cell>
          <cell r="AG38">
            <v>101.35029606274622</v>
          </cell>
          <cell r="AL38">
            <v>1.5687094750052291</v>
          </cell>
          <cell r="AM38">
            <v>1.4378288825780066</v>
          </cell>
          <cell r="AR38">
            <v>0.19661158753398869</v>
          </cell>
          <cell r="AS38">
            <v>0.14422989616844376</v>
          </cell>
          <cell r="AX38">
            <v>924.80527086383597</v>
          </cell>
          <cell r="AY38">
            <v>850.89023022304298</v>
          </cell>
          <cell r="BD38">
            <v>482.47228613260825</v>
          </cell>
          <cell r="BE38">
            <v>383.14893814667676</v>
          </cell>
          <cell r="BJ38">
            <v>6.0656766366868853</v>
          </cell>
          <cell r="BK38">
            <v>4.0165672306882065</v>
          </cell>
          <cell r="BN38">
            <v>0.92415966177418751</v>
          </cell>
          <cell r="BO38">
            <v>0.90483499449808957</v>
          </cell>
        </row>
        <row r="39">
          <cell r="J39">
            <v>0.91507740359851863</v>
          </cell>
          <cell r="K39">
            <v>0.89554898846394682</v>
          </cell>
          <cell r="R39">
            <v>48.390999999999998</v>
          </cell>
          <cell r="S39">
            <v>1480.133</v>
          </cell>
          <cell r="AF39">
            <v>104.29078993727192</v>
          </cell>
          <cell r="AG39">
            <v>101.4464316391317</v>
          </cell>
          <cell r="AL39">
            <v>1.5147444772788328</v>
          </cell>
          <cell r="AM39">
            <v>1.4403435366956892</v>
          </cell>
          <cell r="AR39">
            <v>0.19425099708623506</v>
          </cell>
          <cell r="AS39">
            <v>0.14586527021558199</v>
          </cell>
          <cell r="AX39">
            <v>804.14002603790027</v>
          </cell>
          <cell r="AY39">
            <v>849.3617938387971</v>
          </cell>
          <cell r="BD39">
            <v>524.61015478084767</v>
          </cell>
          <cell r="BE39">
            <v>387.77382640614013</v>
          </cell>
          <cell r="BJ39">
            <v>6.6127999008080023</v>
          </cell>
          <cell r="BK39">
            <v>4.1014476401782778</v>
          </cell>
          <cell r="BN39">
            <v>0.91507740359851863</v>
          </cell>
          <cell r="BO39">
            <v>0.90516622970016913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0.84364073764658554</v>
          </cell>
          <cell r="K9">
            <v>0.84364073764658554</v>
          </cell>
          <cell r="R9">
            <v>45.37</v>
          </cell>
          <cell r="S9">
            <v>45.37</v>
          </cell>
          <cell r="AD9">
            <v>2.8080229226361033</v>
          </cell>
          <cell r="AE9">
            <v>2.8080229226361033</v>
          </cell>
          <cell r="AJ9">
            <v>1046.0847476306119</v>
          </cell>
          <cell r="AK9">
            <v>1046.0847476306119</v>
          </cell>
          <cell r="AN9">
            <v>0.84364073764658554</v>
          </cell>
          <cell r="AO9">
            <v>0.84364073764658554</v>
          </cell>
        </row>
        <row r="10">
          <cell r="J10">
            <v>0.84293413971776543</v>
          </cell>
          <cell r="K10">
            <v>0.84328743868217548</v>
          </cell>
          <cell r="R10">
            <v>45.332000000000001</v>
          </cell>
          <cell r="S10">
            <v>90.701999999999998</v>
          </cell>
          <cell r="AD10">
            <v>2.8302303008912029</v>
          </cell>
          <cell r="AE10">
            <v>2.8191219598244803</v>
          </cell>
          <cell r="AJ10">
            <v>1034.3912688608705</v>
          </cell>
          <cell r="AK10">
            <v>1040.240457762804</v>
          </cell>
          <cell r="AN10">
            <v>0.84293413971776543</v>
          </cell>
          <cell r="AO10">
            <v>0.84328743868217548</v>
          </cell>
        </row>
        <row r="11">
          <cell r="J11">
            <v>0.99516880401383323</v>
          </cell>
          <cell r="K11">
            <v>0.89391456045939488</v>
          </cell>
          <cell r="R11">
            <v>53.518999999999998</v>
          </cell>
          <cell r="S11">
            <v>144.221</v>
          </cell>
          <cell r="AD11">
            <v>2.4122274332480051</v>
          </cell>
          <cell r="AE11">
            <v>2.6681273878284024</v>
          </cell>
          <cell r="AJ11">
            <v>888.73699060143235</v>
          </cell>
          <cell r="AK11">
            <v>984.01900555397549</v>
          </cell>
          <cell r="AN11">
            <v>0.99516880401383323</v>
          </cell>
          <cell r="AO11">
            <v>0.89391456045939488</v>
          </cell>
        </row>
        <row r="12">
          <cell r="J12">
            <v>0.87419463115995699</v>
          </cell>
          <cell r="K12">
            <v>0.88908076889404664</v>
          </cell>
          <cell r="R12">
            <v>45.798000000000002</v>
          </cell>
          <cell r="S12">
            <v>190.01900000000001</v>
          </cell>
          <cell r="AD12">
            <v>2.8625704179221798</v>
          </cell>
          <cell r="AE12">
            <v>2.7149916587288638</v>
          </cell>
          <cell r="AJ12">
            <v>1011.010415301939</v>
          </cell>
          <cell r="AK12">
            <v>990.5244212420763</v>
          </cell>
          <cell r="AN12">
            <v>0.87419463115995699</v>
          </cell>
          <cell r="AO12">
            <v>0.88908076889404664</v>
          </cell>
        </row>
        <row r="13">
          <cell r="J13">
            <v>0.85371022049135314</v>
          </cell>
          <cell r="K13">
            <v>0.88208327326384961</v>
          </cell>
          <cell r="R13">
            <v>44.999000000000002</v>
          </cell>
          <cell r="S13">
            <v>235.018</v>
          </cell>
          <cell r="AD13">
            <v>2.7778395075446118</v>
          </cell>
          <cell r="AE13">
            <v>2.727025164029989</v>
          </cell>
          <cell r="AJ13">
            <v>966.99593324302191</v>
          </cell>
          <cell r="AK13">
            <v>986.0194112791396</v>
          </cell>
          <cell r="AN13">
            <v>0.85371022049135314</v>
          </cell>
          <cell r="AO13">
            <v>0.88208327326384961</v>
          </cell>
        </row>
        <row r="14">
          <cell r="J14">
            <v>0.93469207338172033</v>
          </cell>
          <cell r="K14">
            <v>0.89073683203161413</v>
          </cell>
          <cell r="R14">
            <v>49.027999999999999</v>
          </cell>
          <cell r="S14">
            <v>284.04599999999999</v>
          </cell>
          <cell r="AD14">
            <v>2.5944358325854613</v>
          </cell>
          <cell r="AE14">
            <v>2.7041394703674757</v>
          </cell>
          <cell r="AJ14">
            <v>967.11001876478372</v>
          </cell>
          <cell r="AK14">
            <v>982.75553959570163</v>
          </cell>
          <cell r="AN14">
            <v>0.93469207338172033</v>
          </cell>
          <cell r="AO14">
            <v>0.89073683203161413</v>
          </cell>
        </row>
        <row r="15">
          <cell r="J15">
            <v>0.86945414130564502</v>
          </cell>
          <cell r="K15">
            <v>0.88777858211495908</v>
          </cell>
          <cell r="R15">
            <v>44.76</v>
          </cell>
          <cell r="S15">
            <v>328.80599999999998</v>
          </cell>
          <cell r="AD15">
            <v>2.8686327077747991</v>
          </cell>
          <cell r="AE15">
            <v>2.7265317542867225</v>
          </cell>
          <cell r="AJ15">
            <v>1024.3151251117104</v>
          </cell>
          <cell r="AK15">
            <v>988.41300037104202</v>
          </cell>
          <cell r="AN15">
            <v>0.86945414130564502</v>
          </cell>
          <cell r="AO15">
            <v>0.88777858211495908</v>
          </cell>
        </row>
        <row r="16">
          <cell r="J16">
            <v>0.97512506464574145</v>
          </cell>
          <cell r="K16">
            <v>0.89843793434374419</v>
          </cell>
          <cell r="R16">
            <v>50.2</v>
          </cell>
          <cell r="S16">
            <v>379.00599999999997</v>
          </cell>
          <cell r="AD16">
            <v>2.5796812749003983</v>
          </cell>
          <cell r="AE16">
            <v>2.7070811543880575</v>
          </cell>
          <cell r="AJ16">
            <v>889.82689243027244</v>
          </cell>
          <cell r="AK16">
            <v>975.35509991926381</v>
          </cell>
          <cell r="AN16">
            <v>0.97512506464574145</v>
          </cell>
          <cell r="AO16">
            <v>0.89843793434374419</v>
          </cell>
        </row>
        <row r="17">
          <cell r="J17">
            <v>0.94919295386283176</v>
          </cell>
          <cell r="K17">
            <v>0.90395817333522943</v>
          </cell>
          <cell r="R17">
            <v>48.865000000000002</v>
          </cell>
          <cell r="S17">
            <v>427.87099999999998</v>
          </cell>
          <cell r="AD17">
            <v>2.6419727821549164</v>
          </cell>
          <cell r="AE17">
            <v>2.6996454538868022</v>
          </cell>
          <cell r="AJ17">
            <v>989.64760053207351</v>
          </cell>
          <cell r="AK17">
            <v>976.9873746993843</v>
          </cell>
          <cell r="AN17">
            <v>0.94919295386283176</v>
          </cell>
          <cell r="AO17">
            <v>0.90395817333522943</v>
          </cell>
        </row>
        <row r="18">
          <cell r="J18">
            <v>0.99338437860524331</v>
          </cell>
          <cell r="K18">
            <v>0.9127303058541647</v>
          </cell>
          <cell r="R18">
            <v>51.14</v>
          </cell>
          <cell r="S18">
            <v>479.01099999999997</v>
          </cell>
          <cell r="AD18">
            <v>2.5048885412592883</v>
          </cell>
          <cell r="AE18">
            <v>2.6788528864681602</v>
          </cell>
          <cell r="AJ18">
            <v>899.25322643724212</v>
          </cell>
          <cell r="AK18">
            <v>968.68834953686019</v>
          </cell>
          <cell r="AN18">
            <v>0.99338437860524331</v>
          </cell>
          <cell r="AO18">
            <v>0.9127303058541647</v>
          </cell>
        </row>
        <row r="19">
          <cell r="J19">
            <v>0.86547205687830686</v>
          </cell>
          <cell r="K19">
            <v>0.90850869037712823</v>
          </cell>
          <cell r="R19">
            <v>44.555</v>
          </cell>
          <cell r="S19">
            <v>523.56599999999992</v>
          </cell>
          <cell r="AD19">
            <v>2.8885646953203903</v>
          </cell>
          <cell r="AE19">
            <v>2.6966991745071303</v>
          </cell>
          <cell r="AJ19">
            <v>1140.0402872853663</v>
          </cell>
          <cell r="AK19">
            <v>983.27024673107189</v>
          </cell>
          <cell r="AN19">
            <v>0.86547205687830686</v>
          </cell>
          <cell r="AO19">
            <v>0.90850869037712823</v>
          </cell>
        </row>
        <row r="20">
          <cell r="J20">
            <v>0.86990538245927584</v>
          </cell>
          <cell r="K20">
            <v>0.90528660324828902</v>
          </cell>
          <cell r="R20">
            <v>45.654000000000003</v>
          </cell>
          <cell r="S20">
            <v>569.21999999999991</v>
          </cell>
          <cell r="AD20">
            <v>2.9000744732115478</v>
          </cell>
          <cell r="AE20">
            <v>2.7130107866905595</v>
          </cell>
          <cell r="AJ20">
            <v>1073.8222280632576</v>
          </cell>
          <cell r="AK20">
            <v>990.5329222444758</v>
          </cell>
          <cell r="AN20">
            <v>0.86990538245927584</v>
          </cell>
          <cell r="AO20">
            <v>0.90528660324828902</v>
          </cell>
        </row>
        <row r="21">
          <cell r="J21">
            <v>0.90148879439815122</v>
          </cell>
          <cell r="K21">
            <v>0.9049873708916214</v>
          </cell>
          <cell r="R21">
            <v>48.481000000000002</v>
          </cell>
          <cell r="S21">
            <v>617.70099999999991</v>
          </cell>
          <cell r="AD21">
            <v>2.7515934077267383</v>
          </cell>
          <cell r="AE21">
            <v>2.7160389897377537</v>
          </cell>
          <cell r="AJ21">
            <v>929.15069821166503</v>
          </cell>
          <cell r="AK21">
            <v>985.71526515255812</v>
          </cell>
          <cell r="AN21">
            <v>0.90148879439815122</v>
          </cell>
          <cell r="AO21">
            <v>0.9049873708916214</v>
          </cell>
        </row>
        <row r="22">
          <cell r="J22">
            <v>0.78824567947533197</v>
          </cell>
          <cell r="K22">
            <v>0.89663540694114585</v>
          </cell>
          <cell r="R22">
            <v>41.457000000000001</v>
          </cell>
          <cell r="S22">
            <v>659.1579999999999</v>
          </cell>
          <cell r="AD22">
            <v>3.3842294425549366</v>
          </cell>
          <cell r="AE22">
            <v>2.7580640756844343</v>
          </cell>
          <cell r="AJ22">
            <v>1248.4054562558858</v>
          </cell>
          <cell r="AK22">
            <v>1002.2368688539023</v>
          </cell>
          <cell r="AN22">
            <v>0.82445451972101369</v>
          </cell>
          <cell r="AO22">
            <v>0.89946154348745866</v>
          </cell>
        </row>
        <row r="23">
          <cell r="J23">
            <v>0.97286732412458921</v>
          </cell>
          <cell r="K23">
            <v>0.90160624841326431</v>
          </cell>
          <cell r="R23">
            <v>49.889000000000003</v>
          </cell>
          <cell r="S23">
            <v>709.04699999999991</v>
          </cell>
          <cell r="AD23">
            <v>2.6659183387119403</v>
          </cell>
          <cell r="AE23">
            <v>2.7515806427500578</v>
          </cell>
          <cell r="AJ23">
            <v>966.95373729678101</v>
          </cell>
          <cell r="AK23">
            <v>999.75432517167349</v>
          </cell>
          <cell r="AN23">
            <v>0.97286732412458921</v>
          </cell>
          <cell r="AO23">
            <v>0.90426220181324213</v>
          </cell>
        </row>
        <row r="24">
          <cell r="J24">
            <v>1.0026500091995862</v>
          </cell>
          <cell r="K24">
            <v>0.90781432502987758</v>
          </cell>
          <cell r="R24">
            <v>51.616999999999997</v>
          </cell>
          <cell r="S24">
            <v>760.66399999999987</v>
          </cell>
          <cell r="AD24">
            <v>2.5592343607726136</v>
          </cell>
          <cell r="AE24">
            <v>2.7385284435703547</v>
          </cell>
          <cell r="AJ24">
            <v>924.03403917316189</v>
          </cell>
          <cell r="AK24">
            <v>994.61611171292554</v>
          </cell>
          <cell r="AN24">
            <v>1.0026500091995862</v>
          </cell>
          <cell r="AO24">
            <v>0.9103238080064141</v>
          </cell>
        </row>
        <row r="25">
          <cell r="J25">
            <v>0.95391321398836992</v>
          </cell>
          <cell r="K25">
            <v>0.91052082997197614</v>
          </cell>
          <cell r="R25">
            <v>49.853999999999999</v>
          </cell>
          <cell r="S25">
            <v>810.51799999999992</v>
          </cell>
          <cell r="AD25">
            <v>2.7079070886990011</v>
          </cell>
          <cell r="AE25">
            <v>2.73664496038336</v>
          </cell>
          <cell r="AJ25">
            <v>952.74822481646345</v>
          </cell>
          <cell r="AK25">
            <v>992.04086769202002</v>
          </cell>
          <cell r="AN25">
            <v>0.95391321398836992</v>
          </cell>
          <cell r="AO25">
            <v>0.9128896369988897</v>
          </cell>
        </row>
        <row r="26">
          <cell r="J26">
            <v>0.88961229385045393</v>
          </cell>
          <cell r="K26">
            <v>0.90934344766642072</v>
          </cell>
          <cell r="R26">
            <v>47.253999999999998</v>
          </cell>
          <cell r="S26">
            <v>857.77199999999993</v>
          </cell>
          <cell r="AD26">
            <v>2.9394336987344989</v>
          </cell>
          <cell r="AE26">
            <v>2.7478164360692587</v>
          </cell>
          <cell r="AJ26">
            <v>1040.2407203623015</v>
          </cell>
          <cell r="AK26">
            <v>994.6961605181807</v>
          </cell>
          <cell r="AN26">
            <v>0.88961229385045393</v>
          </cell>
          <cell r="AO26">
            <v>0.9115756470030989</v>
          </cell>
        </row>
        <row r="27">
          <cell r="J27">
            <v>0.95554064627730018</v>
          </cell>
          <cell r="K27">
            <v>0.9117197494769731</v>
          </cell>
          <cell r="R27">
            <v>48.878</v>
          </cell>
          <cell r="S27">
            <v>906.65</v>
          </cell>
          <cell r="AD27">
            <v>2.7271983305372562</v>
          </cell>
          <cell r="AE27">
            <v>2.7467049026636521</v>
          </cell>
          <cell r="AJ27">
            <v>991.86801833134507</v>
          </cell>
          <cell r="AK27">
            <v>994.54369381790116</v>
          </cell>
          <cell r="AN27">
            <v>0.95554064627730018</v>
          </cell>
          <cell r="AO27">
            <v>0.91384239357304042</v>
          </cell>
        </row>
        <row r="28">
          <cell r="J28">
            <v>0.95735277833270793</v>
          </cell>
          <cell r="K28">
            <v>0.91393529554879671</v>
          </cell>
          <cell r="R28">
            <v>48.581000000000003</v>
          </cell>
          <cell r="S28">
            <v>955.23099999999999</v>
          </cell>
          <cell r="AD28">
            <v>2.7829810008027827</v>
          </cell>
          <cell r="AE28">
            <v>2.748549827214569</v>
          </cell>
          <cell r="AJ28">
            <v>1034.4586360923029</v>
          </cell>
          <cell r="AK28">
            <v>996.57368217740043</v>
          </cell>
          <cell r="AN28">
            <v>0.95735277833270793</v>
          </cell>
          <cell r="AO28">
            <v>0.91595956129518563</v>
          </cell>
        </row>
        <row r="29">
          <cell r="J29">
            <v>0.95471213132468868</v>
          </cell>
          <cell r="K29">
            <v>0.91582339688643211</v>
          </cell>
          <cell r="R29">
            <v>48.447000000000003</v>
          </cell>
          <cell r="S29">
            <v>1003.678</v>
          </cell>
          <cell r="AD29">
            <v>2.8051272524614528</v>
          </cell>
          <cell r="AE29">
            <v>2.7512807892571125</v>
          </cell>
          <cell r="AJ29">
            <v>960.87167420067669</v>
          </cell>
          <cell r="AK29">
            <v>994.85036535622032</v>
          </cell>
          <cell r="AN29">
            <v>0.95471213132468868</v>
          </cell>
          <cell r="AO29">
            <v>0.91775772240517139</v>
          </cell>
        </row>
        <row r="30">
          <cell r="J30">
            <v>0.92235435231597518</v>
          </cell>
          <cell r="K30">
            <v>0.91611241889177908</v>
          </cell>
          <cell r="R30">
            <v>46.805</v>
          </cell>
          <cell r="S30">
            <v>1050.4829999999999</v>
          </cell>
          <cell r="AD30">
            <v>2.924901185770751</v>
          </cell>
          <cell r="AE30">
            <v>2.7590165666650486</v>
          </cell>
          <cell r="AJ30">
            <v>1021.2515756863585</v>
          </cell>
          <cell r="AK30">
            <v>996.02668962753387</v>
          </cell>
          <cell r="AN30">
            <v>0.92235435231597518</v>
          </cell>
          <cell r="AO30">
            <v>0.91796155303683546</v>
          </cell>
        </row>
        <row r="31">
          <cell r="J31">
            <v>0.85035707081340051</v>
          </cell>
          <cell r="K31">
            <v>0.91324404936063042</v>
          </cell>
          <cell r="R31">
            <v>44.475000000000001</v>
          </cell>
          <cell r="S31">
            <v>1094.9579999999999</v>
          </cell>
          <cell r="AD31">
            <v>3.2085441259134342</v>
          </cell>
          <cell r="AE31">
            <v>2.7772754754063631</v>
          </cell>
          <cell r="AJ31">
            <v>1086.1422147273568</v>
          </cell>
          <cell r="AK31">
            <v>999.68700169321562</v>
          </cell>
          <cell r="AN31">
            <v>0.85035707081340051</v>
          </cell>
          <cell r="AO31">
            <v>0.91500682852806803</v>
          </cell>
        </row>
        <row r="32">
          <cell r="J32">
            <v>0.90842429574588368</v>
          </cell>
          <cell r="K32">
            <v>0.9130332366489724</v>
          </cell>
          <cell r="R32">
            <v>49.819000000000003</v>
          </cell>
          <cell r="S32">
            <v>1144.7769999999998</v>
          </cell>
          <cell r="AD32">
            <v>2.9707541299504205</v>
          </cell>
          <cell r="AE32">
            <v>2.7856953799735673</v>
          </cell>
          <cell r="AJ32">
            <v>969.61761576913034</v>
          </cell>
          <cell r="AK32">
            <v>998.37842654071687</v>
          </cell>
          <cell r="AN32">
            <v>0.90842429574588368</v>
          </cell>
          <cell r="AO32">
            <v>0.91471838167393704</v>
          </cell>
        </row>
        <row r="33">
          <cell r="J33">
            <v>0.93106540372700297</v>
          </cell>
          <cell r="K33">
            <v>0.9137707497184977</v>
          </cell>
          <cell r="R33">
            <v>49.781999999999996</v>
          </cell>
          <cell r="S33">
            <v>1194.5589999999997</v>
          </cell>
          <cell r="AD33">
            <v>3.0051022457916519</v>
          </cell>
          <cell r="AE33">
            <v>2.7948389321917131</v>
          </cell>
          <cell r="AJ33">
            <v>1005.8649712747157</v>
          </cell>
          <cell r="AK33">
            <v>998.69042048153347</v>
          </cell>
          <cell r="AN33">
            <v>0.93106540372700297</v>
          </cell>
          <cell r="AO33">
            <v>0.91538815598084255</v>
          </cell>
        </row>
        <row r="34">
          <cell r="J34">
            <v>0.88660624154632628</v>
          </cell>
          <cell r="K34">
            <v>0.91274154768339111</v>
          </cell>
          <cell r="R34">
            <v>45.643000000000001</v>
          </cell>
          <cell r="S34">
            <v>1240.2019999999998</v>
          </cell>
          <cell r="AD34">
            <v>3.2337926954845209</v>
          </cell>
          <cell r="AE34">
            <v>2.8109936929629211</v>
          </cell>
          <cell r="AJ34">
            <v>1106.3578204762994</v>
          </cell>
          <cell r="AK34">
            <v>1002.6528904162386</v>
          </cell>
          <cell r="AN34">
            <v>0.88660624154632628</v>
          </cell>
          <cell r="AO34">
            <v>0.91429581712906416</v>
          </cell>
        </row>
        <row r="35">
          <cell r="J35">
            <v>0.8258454606257708</v>
          </cell>
          <cell r="K35">
            <v>0.90956943486159536</v>
          </cell>
          <cell r="R35">
            <v>42.515000000000001</v>
          </cell>
          <cell r="S35">
            <v>1282.7169999999999</v>
          </cell>
          <cell r="AD35">
            <v>3.481124309067388</v>
          </cell>
          <cell r="AE35">
            <v>2.8332048300599433</v>
          </cell>
          <cell r="AJ35">
            <v>1146.176643537623</v>
          </cell>
          <cell r="AK35">
            <v>1007.409911929133</v>
          </cell>
          <cell r="AN35">
            <v>0.8258454606257708</v>
          </cell>
          <cell r="AO35">
            <v>0.91106166898362662</v>
          </cell>
        </row>
        <row r="36">
          <cell r="J36">
            <v>0.84055241975677808</v>
          </cell>
          <cell r="K36">
            <v>0.9071440420446375</v>
          </cell>
          <cell r="R36">
            <v>43.173999999999999</v>
          </cell>
          <cell r="S36">
            <v>1325.8909999999998</v>
          </cell>
          <cell r="AD36">
            <v>2.9323203780052807</v>
          </cell>
          <cell r="AE36">
            <v>2.8364322557434964</v>
          </cell>
          <cell r="AJ36">
            <v>1045.4581461064502</v>
          </cell>
          <cell r="AK36">
            <v>1008.648848208489</v>
          </cell>
          <cell r="AN36">
            <v>0.84055241975677808</v>
          </cell>
          <cell r="AO36">
            <v>0.90857991410748329</v>
          </cell>
        </row>
        <row r="37">
          <cell r="J37">
            <v>0.89181548367097319</v>
          </cell>
          <cell r="K37">
            <v>0.90662395106287064</v>
          </cell>
          <cell r="R37">
            <v>45.78</v>
          </cell>
          <cell r="S37">
            <v>1371.6709999999998</v>
          </cell>
          <cell r="AD37">
            <v>3.1301878549584972</v>
          </cell>
          <cell r="AE37">
            <v>2.8462364517438949</v>
          </cell>
          <cell r="AJ37">
            <v>1061.8381389252638</v>
          </cell>
          <cell r="AK37">
            <v>1010.4240594136644</v>
          </cell>
          <cell r="AN37">
            <v>0.89181548367097319</v>
          </cell>
          <cell r="AO37">
            <v>0.90801023489800703</v>
          </cell>
        </row>
        <row r="38">
          <cell r="J38">
            <v>0.88705682545234943</v>
          </cell>
          <cell r="K38">
            <v>0.90598132574979295</v>
          </cell>
          <cell r="R38">
            <v>45.573</v>
          </cell>
          <cell r="S38">
            <v>1417.2439999999999</v>
          </cell>
          <cell r="AD38">
            <v>3.1378228336953899</v>
          </cell>
          <cell r="AE38">
            <v>2.8556127244144269</v>
          </cell>
          <cell r="AJ38">
            <v>1077.9169683804087</v>
          </cell>
          <cell r="AK38">
            <v>1012.5943662488608</v>
          </cell>
          <cell r="AN38">
            <v>0.88705682545234943</v>
          </cell>
          <cell r="AO38">
            <v>0.90732106350458397</v>
          </cell>
        </row>
        <row r="39">
          <cell r="J39">
            <v>0.93663134655583125</v>
          </cell>
          <cell r="K39">
            <v>0.90695192925845458</v>
          </cell>
          <cell r="R39">
            <v>47.915999999999997</v>
          </cell>
          <cell r="S39">
            <v>1465.1599999999999</v>
          </cell>
          <cell r="AD39">
            <v>2.9656064780031723</v>
          </cell>
          <cell r="AE39">
            <v>2.859209915640613</v>
          </cell>
          <cell r="AJ39">
            <v>1029.858711077711</v>
          </cell>
          <cell r="AK39">
            <v>1013.158972398919</v>
          </cell>
          <cell r="AN39">
            <v>0.93663134655583125</v>
          </cell>
          <cell r="AO39">
            <v>0.90825057016469368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1.0117806564072955</v>
          </cell>
          <cell r="K9">
            <v>1.0117806564072955</v>
          </cell>
          <cell r="R9">
            <v>52.125999999999998</v>
          </cell>
          <cell r="S9">
            <v>52.125999999999998</v>
          </cell>
          <cell r="X9">
            <v>70.730409384765494</v>
          </cell>
          <cell r="Y9">
            <v>70.730409384765494</v>
          </cell>
          <cell r="AD9">
            <v>1.8800598549668113</v>
          </cell>
          <cell r="AE9">
            <v>1.8800598549668113</v>
          </cell>
          <cell r="AJ9">
            <v>0.17649541495606799</v>
          </cell>
          <cell r="AK9">
            <v>0.17649541495606799</v>
          </cell>
          <cell r="AP9">
            <v>741.15997774624157</v>
          </cell>
          <cell r="AQ9">
            <v>741.15997774624157</v>
          </cell>
          <cell r="AV9">
            <v>496.87674097378846</v>
          </cell>
          <cell r="AW9">
            <v>496.87674097378846</v>
          </cell>
          <cell r="BB9">
            <v>13.930437785366113</v>
          </cell>
          <cell r="BC9">
            <v>13.930437785366113</v>
          </cell>
          <cell r="BG9">
            <v>1.0117806564072955</v>
          </cell>
          <cell r="BH9">
            <v>1.0117806564072955</v>
          </cell>
        </row>
        <row r="10">
          <cell r="J10">
            <v>0.81839596009862248</v>
          </cell>
          <cell r="K10">
            <v>0.91508830825295895</v>
          </cell>
          <cell r="R10">
            <v>42.162999999999997</v>
          </cell>
          <cell r="S10">
            <v>94.288999999999987</v>
          </cell>
          <cell r="X10">
            <v>87.911427554199847</v>
          </cell>
          <cell r="Y10">
            <v>78.413206625990469</v>
          </cell>
          <cell r="AD10">
            <v>2.3077105519056995</v>
          </cell>
          <cell r="AE10">
            <v>2.0712914549947508</v>
          </cell>
          <cell r="AJ10">
            <v>0.25140526053648937</v>
          </cell>
          <cell r="AK10">
            <v>0.20999268207320049</v>
          </cell>
          <cell r="AP10">
            <v>913.04852595881096</v>
          </cell>
          <cell r="AQ10">
            <v>818.02299313813853</v>
          </cell>
          <cell r="AV10">
            <v>539.14410739274786</v>
          </cell>
          <cell r="AW10">
            <v>515.77734412285781</v>
          </cell>
          <cell r="BB10">
            <v>16.126082109906857</v>
          </cell>
          <cell r="BC10">
            <v>14.912259118242817</v>
          </cell>
          <cell r="BG10">
            <v>0.81839596009862248</v>
          </cell>
          <cell r="BH10">
            <v>0.91508830825295895</v>
          </cell>
        </row>
        <row r="11">
          <cell r="J11">
            <v>0.97878316732521742</v>
          </cell>
          <cell r="K11">
            <v>0.93631992794371177</v>
          </cell>
          <cell r="R11">
            <v>50.426000000000002</v>
          </cell>
          <cell r="S11">
            <v>144.71499999999997</v>
          </cell>
          <cell r="X11">
            <v>76.00444264922308</v>
          </cell>
          <cell r="Y11">
            <v>77.573871848721552</v>
          </cell>
          <cell r="AD11">
            <v>1.9672391226748105</v>
          </cell>
          <cell r="AE11">
            <v>2.0350343779152129</v>
          </cell>
          <cell r="AJ11">
            <v>0.22805695474556775</v>
          </cell>
          <cell r="AK11">
            <v>0.2162871851570328</v>
          </cell>
          <cell r="AP11">
            <v>764.31949787804206</v>
          </cell>
          <cell r="AQ11">
            <v>799.30998859828003</v>
          </cell>
          <cell r="AV11">
            <v>523.35402371790929</v>
          </cell>
          <cell r="AW11">
            <v>518.41744117748294</v>
          </cell>
          <cell r="BB11">
            <v>13.924364415182529</v>
          </cell>
          <cell r="BC11">
            <v>14.56802681131874</v>
          </cell>
          <cell r="BG11">
            <v>0.97878316732521742</v>
          </cell>
          <cell r="BH11">
            <v>0.93631992794371177</v>
          </cell>
        </row>
        <row r="12">
          <cell r="J12">
            <v>0.9445434198306375</v>
          </cell>
          <cell r="K12">
            <v>0.93837580091544315</v>
          </cell>
          <cell r="R12">
            <v>48.661999999999999</v>
          </cell>
          <cell r="S12">
            <v>193.37699999999998</v>
          </cell>
          <cell r="X12">
            <v>79.349173322235558</v>
          </cell>
          <cell r="Y12">
            <v>78.020614327424497</v>
          </cell>
          <cell r="AD12">
            <v>2.022111709341992</v>
          </cell>
          <cell r="AE12">
            <v>2.0317824767164661</v>
          </cell>
          <cell r="AJ12">
            <v>0.17467428383543629</v>
          </cell>
          <cell r="AK12">
            <v>0.20581558303210826</v>
          </cell>
          <cell r="AP12">
            <v>770.88929760387293</v>
          </cell>
          <cell r="AQ12">
            <v>792.15811601172709</v>
          </cell>
          <cell r="AV12">
            <v>453.33114134233864</v>
          </cell>
          <cell r="AW12">
            <v>502.03891879592879</v>
          </cell>
          <cell r="BB12">
            <v>14.138342032797963</v>
          </cell>
          <cell r="BC12">
            <v>14.459899574406499</v>
          </cell>
          <cell r="BG12">
            <v>0.9445434198306375</v>
          </cell>
          <cell r="BH12">
            <v>0.93837580091544315</v>
          </cell>
        </row>
        <row r="13">
          <cell r="J13">
            <v>0.82618231045110013</v>
          </cell>
          <cell r="K13">
            <v>0.91567728382382885</v>
          </cell>
          <cell r="R13">
            <v>43.182000000000002</v>
          </cell>
          <cell r="S13">
            <v>236.55899999999997</v>
          </cell>
          <cell r="X13">
            <v>89.709996300741849</v>
          </cell>
          <cell r="Y13">
            <v>80.154419815153943</v>
          </cell>
          <cell r="AD13">
            <v>2.2578852299569263</v>
          </cell>
          <cell r="AE13">
            <v>2.0730557704420463</v>
          </cell>
          <cell r="AJ13">
            <v>0.22926219258024177</v>
          </cell>
          <cell r="AK13">
            <v>0.21009557869284196</v>
          </cell>
          <cell r="AP13">
            <v>904.58640174148127</v>
          </cell>
          <cell r="AQ13">
            <v>812.68102249333322</v>
          </cell>
          <cell r="AV13">
            <v>592.14371728960214</v>
          </cell>
          <cell r="AW13">
            <v>518.48684683313638</v>
          </cell>
          <cell r="BB13">
            <v>4.3606132184703892</v>
          </cell>
          <cell r="BC13">
            <v>12.616353636936216</v>
          </cell>
          <cell r="BG13">
            <v>0.82618231045110013</v>
          </cell>
          <cell r="BH13">
            <v>0.91567728382382885</v>
          </cell>
        </row>
        <row r="14">
          <cell r="J14">
            <v>0.95001356444494822</v>
          </cell>
          <cell r="K14">
            <v>0.92166585413409163</v>
          </cell>
          <cell r="R14">
            <v>51.847999999999999</v>
          </cell>
          <cell r="S14">
            <v>288.40699999999998</v>
          </cell>
          <cell r="X14">
            <v>71.751541234768155</v>
          </cell>
          <cell r="Y14">
            <v>78.643803052607112</v>
          </cell>
          <cell r="AD14">
            <v>1.8187779663632155</v>
          </cell>
          <cell r="AE14">
            <v>2.0273433030404946</v>
          </cell>
          <cell r="AJ14">
            <v>0.17744175281592345</v>
          </cell>
          <cell r="AK14">
            <v>0.20422527885938965</v>
          </cell>
          <cell r="AP14">
            <v>739.63257984878885</v>
          </cell>
          <cell r="AQ14">
            <v>799.54883203251097</v>
          </cell>
          <cell r="AV14">
            <v>427.42784678290383</v>
          </cell>
          <cell r="AW14">
            <v>502.11683142226059</v>
          </cell>
          <cell r="BB14">
            <v>3.8747878413825028</v>
          </cell>
          <cell r="BC14">
            <v>11.044849812937946</v>
          </cell>
          <cell r="BG14">
            <v>0.95001356444494822</v>
          </cell>
          <cell r="BH14">
            <v>0.92166585413409163</v>
          </cell>
        </row>
        <row r="15">
          <cell r="J15">
            <v>0.67586398934832559</v>
          </cell>
          <cell r="K15">
            <v>0.88630096453000706</v>
          </cell>
          <cell r="R15">
            <v>35.542000000000002</v>
          </cell>
          <cell r="S15">
            <v>323.94899999999996</v>
          </cell>
          <cell r="X15">
            <v>99.014332808030673</v>
          </cell>
          <cell r="Y15">
            <v>80.878751666639758</v>
          </cell>
          <cell r="AD15">
            <v>2.4421810815373357</v>
          </cell>
          <cell r="AE15">
            <v>2.0728571472670079</v>
          </cell>
          <cell r="AJ15">
            <v>0.14630577907827358</v>
          </cell>
          <cell r="AK15">
            <v>0.19787065247924829</v>
          </cell>
          <cell r="AP15">
            <v>955.22719599347329</v>
          </cell>
          <cell r="AQ15">
            <v>816.62905272126306</v>
          </cell>
          <cell r="AV15">
            <v>386.0244218108154</v>
          </cell>
          <cell r="AW15">
            <v>489.37977582891119</v>
          </cell>
          <cell r="BB15">
            <v>4.7042935119014118</v>
          </cell>
          <cell r="BC15">
            <v>10.34919694149386</v>
          </cell>
          <cell r="BG15">
            <v>0.75153988004755889</v>
          </cell>
          <cell r="BH15">
            <v>0.89932998350148097</v>
          </cell>
        </row>
        <row r="16">
          <cell r="J16">
            <v>0.19411750269506906</v>
          </cell>
          <cell r="K16">
            <v>0.79796021752469548</v>
          </cell>
          <cell r="R16">
            <v>10.38</v>
          </cell>
          <cell r="S16">
            <v>334.32899999999995</v>
          </cell>
          <cell r="X16">
            <v>88.466587968572412</v>
          </cell>
          <cell r="Y16">
            <v>81.114333207020834</v>
          </cell>
          <cell r="AD16">
            <v>2.3709055876685934</v>
          </cell>
          <cell r="AE16">
            <v>2.0821107352338566</v>
          </cell>
          <cell r="AJ16">
            <v>0</v>
          </cell>
          <cell r="AK16">
            <v>0.19172731052346642</v>
          </cell>
          <cell r="AP16">
            <v>1500.3188824662782</v>
          </cell>
          <cell r="AQ16">
            <v>837.85574987512416</v>
          </cell>
          <cell r="AV16">
            <v>80.202312138728317</v>
          </cell>
          <cell r="AW16">
            <v>476.67593597922985</v>
          </cell>
          <cell r="BB16">
            <v>0.48169556840077071</v>
          </cell>
          <cell r="BC16">
            <v>10.04283804276624</v>
          </cell>
          <cell r="BG16">
            <v>0.2529676053220809</v>
          </cell>
          <cell r="BH16">
            <v>0.83323028036386604</v>
          </cell>
        </row>
        <row r="17">
          <cell r="J17">
            <v>0.85309948576023609</v>
          </cell>
          <cell r="K17">
            <v>0.80414306262289459</v>
          </cell>
          <cell r="R17">
            <v>45.140999999999998</v>
          </cell>
          <cell r="S17">
            <v>379.46999999999997</v>
          </cell>
          <cell r="X17">
            <v>89.806050737705803</v>
          </cell>
          <cell r="Y17">
            <v>82.148282718319862</v>
          </cell>
          <cell r="AD17">
            <v>2.0557807757914093</v>
          </cell>
          <cell r="AE17">
            <v>2.0789785753814529</v>
          </cell>
          <cell r="AJ17">
            <v>0</v>
          </cell>
          <cell r="AK17">
            <v>0.16891980920757899</v>
          </cell>
          <cell r="AP17">
            <v>912.80941937484965</v>
          </cell>
          <cell r="AQ17">
            <v>846.77209002029258</v>
          </cell>
          <cell r="AV17">
            <v>20.059369531024505</v>
          </cell>
          <cell r="AW17">
            <v>422.35773315413581</v>
          </cell>
          <cell r="BB17">
            <v>0</v>
          </cell>
          <cell r="BC17">
            <v>8.8481619100323989</v>
          </cell>
          <cell r="BG17">
            <v>0.85309948576023609</v>
          </cell>
          <cell r="BH17">
            <v>0.83554524584720913</v>
          </cell>
        </row>
        <row r="18">
          <cell r="J18">
            <v>0.83168638527585681</v>
          </cell>
          <cell r="K18">
            <v>0.80695379918509147</v>
          </cell>
          <cell r="R18">
            <v>44.601999999999997</v>
          </cell>
          <cell r="S18">
            <v>424.07199999999995</v>
          </cell>
          <cell r="X18">
            <v>91.929353208461563</v>
          </cell>
          <cell r="Y18">
            <v>83.177012052020984</v>
          </cell>
          <cell r="AD18">
            <v>2.1770324200708489</v>
          </cell>
          <cell r="AE18">
            <v>2.0892914410760435</v>
          </cell>
          <cell r="AJ18">
            <v>0</v>
          </cell>
          <cell r="AK18">
            <v>0.15115357769435381</v>
          </cell>
          <cell r="AP18">
            <v>915.62732612887282</v>
          </cell>
          <cell r="AQ18">
            <v>854.01397640023492</v>
          </cell>
          <cell r="AV18">
            <v>14.65180933590422</v>
          </cell>
          <cell r="AW18">
            <v>379.47704399252933</v>
          </cell>
          <cell r="BB18">
            <v>0.11210259629613022</v>
          </cell>
          <cell r="BC18">
            <v>7.9293421871757497</v>
          </cell>
          <cell r="BG18">
            <v>0.83168638527585681</v>
          </cell>
          <cell r="BH18">
            <v>0.83513770389558262</v>
          </cell>
        </row>
        <row r="19">
          <cell r="J19">
            <v>0.58917595962172464</v>
          </cell>
          <cell r="K19">
            <v>0.78893499854667348</v>
          </cell>
          <cell r="R19">
            <v>27.928999999999998</v>
          </cell>
          <cell r="S19">
            <v>452.00099999999992</v>
          </cell>
          <cell r="X19">
            <v>124.54520091475045</v>
          </cell>
          <cell r="Y19">
            <v>85.733139464896553</v>
          </cell>
          <cell r="AD19">
            <v>3.0720756203229618</v>
          </cell>
          <cell r="AE19">
            <v>2.1500173672182141</v>
          </cell>
          <cell r="AJ19">
            <v>0</v>
          </cell>
          <cell r="AK19">
            <v>0.14181384554458951</v>
          </cell>
          <cell r="AP19">
            <v>1428.5565183142928</v>
          </cell>
          <cell r="AQ19">
            <v>889.51477983455857</v>
          </cell>
          <cell r="AV19">
            <v>42.840774821871371</v>
          </cell>
          <cell r="AW19">
            <v>358.67639452125098</v>
          </cell>
          <cell r="BB19">
            <v>0</v>
          </cell>
          <cell r="BC19">
            <v>7.439390620817198</v>
          </cell>
          <cell r="BG19">
            <v>0.58917595962172464</v>
          </cell>
          <cell r="BH19">
            <v>0.81413689733899242</v>
          </cell>
        </row>
        <row r="20">
          <cell r="J20">
            <v>0.79201523894857395</v>
          </cell>
          <cell r="K20">
            <v>0.78917268714172073</v>
          </cell>
          <cell r="R20">
            <v>37.942999999999998</v>
          </cell>
          <cell r="S20">
            <v>489.9439999999999</v>
          </cell>
          <cell r="X20">
            <v>98.912553307754578</v>
          </cell>
          <cell r="Y20">
            <v>86.753799988220791</v>
          </cell>
          <cell r="AD20">
            <v>2.3877922146377459</v>
          </cell>
          <cell r="AE20">
            <v>2.1684314942115837</v>
          </cell>
          <cell r="AJ20">
            <v>0</v>
          </cell>
          <cell r="AK20">
            <v>0.13083127867674674</v>
          </cell>
          <cell r="AP20">
            <v>1116.5506153967801</v>
          </cell>
          <cell r="AQ20">
            <v>907.09723968453625</v>
          </cell>
          <cell r="AV20">
            <v>18.040218222069946</v>
          </cell>
          <cell r="AW20">
            <v>332.29632162043004</v>
          </cell>
          <cell r="BB20">
            <v>0</v>
          </cell>
          <cell r="BC20">
            <v>6.8632578417125103</v>
          </cell>
          <cell r="BG20">
            <v>0.79201523894857395</v>
          </cell>
          <cell r="BH20">
            <v>0.81237966813819029</v>
          </cell>
        </row>
        <row r="21">
          <cell r="J21">
            <v>0.77611565719043962</v>
          </cell>
          <cell r="K21">
            <v>0.78822604941632701</v>
          </cell>
          <cell r="R21">
            <v>37.664000000000001</v>
          </cell>
          <cell r="S21">
            <v>527.60799999999995</v>
          </cell>
          <cell r="X21">
            <v>99.313287009501266</v>
          </cell>
          <cell r="Y21">
            <v>87.650375701950495</v>
          </cell>
          <cell r="AD21">
            <v>2.3736193712829228</v>
          </cell>
          <cell r="AE21">
            <v>2.1830791041834092</v>
          </cell>
          <cell r="AJ21">
            <v>0</v>
          </cell>
          <cell r="AK21">
            <v>0.12149171354490455</v>
          </cell>
          <cell r="AP21">
            <v>1052.2263965590807</v>
          </cell>
          <cell r="AQ21">
            <v>917.45747790026223</v>
          </cell>
          <cell r="AV21">
            <v>22.236087510620223</v>
          </cell>
          <cell r="AW21">
            <v>310.16225872238471</v>
          </cell>
          <cell r="BB21">
            <v>0.13275276125743415</v>
          </cell>
          <cell r="BC21">
            <v>6.3827917696471506</v>
          </cell>
          <cell r="BG21">
            <v>0.77611565719043962</v>
          </cell>
          <cell r="BH21">
            <v>0.8096789620930267</v>
          </cell>
        </row>
        <row r="22">
          <cell r="J22">
            <v>0.86968843434806609</v>
          </cell>
          <cell r="K22">
            <v>0.79412438228506277</v>
          </cell>
          <cell r="R22">
            <v>45.44</v>
          </cell>
          <cell r="S22">
            <v>573.048</v>
          </cell>
          <cell r="X22">
            <v>92.529310454076622</v>
          </cell>
          <cell r="Y22">
            <v>88.037252185485215</v>
          </cell>
          <cell r="AD22">
            <v>2.0356514084507045</v>
          </cell>
          <cell r="AE22">
            <v>2.1713887841856176</v>
          </cell>
          <cell r="AJ22">
            <v>0</v>
          </cell>
          <cell r="AK22">
            <v>0.11185799444374642</v>
          </cell>
          <cell r="AP22">
            <v>972.48162411968951</v>
          </cell>
          <cell r="AQ22">
            <v>921.82063282656986</v>
          </cell>
          <cell r="AV22">
            <v>5.611795774648888</v>
          </cell>
          <cell r="AW22">
            <v>286.0128453462886</v>
          </cell>
          <cell r="BB22">
            <v>0</v>
          </cell>
          <cell r="BC22">
            <v>5.8766665270622944</v>
          </cell>
          <cell r="BG22">
            <v>0.86968843434806609</v>
          </cell>
          <cell r="BH22">
            <v>0.81413346288094202</v>
          </cell>
        </row>
        <row r="23">
          <cell r="J23">
            <v>1.0604650317840718</v>
          </cell>
          <cell r="K23">
            <v>0.81144849861632684</v>
          </cell>
          <cell r="R23">
            <v>53.238</v>
          </cell>
          <cell r="S23">
            <v>626.28600000000006</v>
          </cell>
          <cell r="X23">
            <v>74.231888693703809</v>
          </cell>
          <cell r="Y23">
            <v>86.863714949181883</v>
          </cell>
          <cell r="AD23">
            <v>1.6924001652954654</v>
          </cell>
          <cell r="AE23">
            <v>2.1306719294379879</v>
          </cell>
          <cell r="AJ23">
            <v>0</v>
          </cell>
          <cell r="AK23">
            <v>0.1023494058624973</v>
          </cell>
          <cell r="AP23">
            <v>790.24409256544743</v>
          </cell>
          <cell r="AQ23">
            <v>910.63585167159977</v>
          </cell>
          <cell r="AV23">
            <v>19.957549119049876</v>
          </cell>
          <cell r="AW23">
            <v>263.39657760192625</v>
          </cell>
          <cell r="BB23">
            <v>0</v>
          </cell>
          <cell r="BC23">
            <v>5.3771152476663922</v>
          </cell>
          <cell r="BG23">
            <v>1.0604650317840718</v>
          </cell>
          <cell r="BH23">
            <v>0.83053292495045239</v>
          </cell>
        </row>
        <row r="24">
          <cell r="J24">
            <v>0.95277542367489454</v>
          </cell>
          <cell r="K24">
            <v>0.81958537246511187</v>
          </cell>
          <cell r="R24">
            <v>44.924999999999997</v>
          </cell>
          <cell r="S24">
            <v>671.21100000000001</v>
          </cell>
          <cell r="X24">
            <v>86.403599768492228</v>
          </cell>
          <cell r="Y24">
            <v>86.832918858991945</v>
          </cell>
          <cell r="AD24">
            <v>1.8742348358375072</v>
          </cell>
          <cell r="AE24">
            <v>2.1135082708716033</v>
          </cell>
          <cell r="AJ24">
            <v>0</v>
          </cell>
          <cell r="AK24">
            <v>9.5499030856168912E-2</v>
          </cell>
          <cell r="AP24">
            <v>903.80690038955413</v>
          </cell>
          <cell r="AQ24">
            <v>910.17878133701652</v>
          </cell>
          <cell r="AV24">
            <v>22.047857540353117</v>
          </cell>
          <cell r="AW24">
            <v>247.24280293380224</v>
          </cell>
          <cell r="BB24">
            <v>0</v>
          </cell>
          <cell r="BC24">
            <v>5.0172181325991279</v>
          </cell>
          <cell r="BG24">
            <v>0.95277542367489454</v>
          </cell>
          <cell r="BH24">
            <v>0.83772680354182361</v>
          </cell>
        </row>
        <row r="25">
          <cell r="J25">
            <v>0.92257504074082552</v>
          </cell>
          <cell r="K25">
            <v>0.82519217454437088</v>
          </cell>
          <cell r="R25">
            <v>43.500999999999998</v>
          </cell>
          <cell r="S25">
            <v>714.71199999999999</v>
          </cell>
          <cell r="X25">
            <v>89.998648475356546</v>
          </cell>
          <cell r="Y25">
            <v>87.025601231809915</v>
          </cell>
          <cell r="AD25">
            <v>1.9378864853681526</v>
          </cell>
          <cell r="AE25">
            <v>2.1028190375983611</v>
          </cell>
          <cell r="AJ25">
            <v>0</v>
          </cell>
          <cell r="AK25">
            <v>8.9686475111653355E-2</v>
          </cell>
          <cell r="AP25">
            <v>912.26201696512817</v>
          </cell>
          <cell r="AQ25">
            <v>910.30557763127013</v>
          </cell>
          <cell r="AV25">
            <v>0</v>
          </cell>
          <cell r="AW25">
            <v>232.19435101131691</v>
          </cell>
          <cell r="BB25">
            <v>0</v>
          </cell>
          <cell r="BC25">
            <v>4.7118447710406341</v>
          </cell>
          <cell r="BG25">
            <v>0.92257504074082552</v>
          </cell>
          <cell r="BH25">
            <v>0.84244254056845724</v>
          </cell>
        </row>
        <row r="26">
          <cell r="J26">
            <v>0.92773675959292579</v>
          </cell>
          <cell r="K26">
            <v>0.83051975056486449</v>
          </cell>
          <cell r="R26">
            <v>44.033999999999999</v>
          </cell>
          <cell r="S26">
            <v>758.74599999999998</v>
          </cell>
          <cell r="X26">
            <v>72.854087895446852</v>
          </cell>
          <cell r="Y26">
            <v>86.203154170140522</v>
          </cell>
          <cell r="AD26">
            <v>1.8962619793795703</v>
          </cell>
          <cell r="AE26">
            <v>2.0908314508412564</v>
          </cell>
          <cell r="AJ26">
            <v>0</v>
          </cell>
          <cell r="AK26">
            <v>8.4481499737725133E-2</v>
          </cell>
          <cell r="AP26">
            <v>902.17093609483879</v>
          </cell>
          <cell r="AQ26">
            <v>909.83348182395753</v>
          </cell>
          <cell r="AV26">
            <v>0</v>
          </cell>
          <cell r="AW26">
            <v>218.71889802384504</v>
          </cell>
          <cell r="BB26">
            <v>0</v>
          </cell>
          <cell r="BC26">
            <v>4.4383917674689464</v>
          </cell>
          <cell r="BG26">
            <v>0.92773675959292579</v>
          </cell>
          <cell r="BH26">
            <v>0.84696162325805735</v>
          </cell>
        </row>
        <row r="27">
          <cell r="J27">
            <v>0.9257927499339913</v>
          </cell>
          <cell r="K27">
            <v>0.83555321433534346</v>
          </cell>
          <cell r="R27">
            <v>47.177</v>
          </cell>
          <cell r="S27">
            <v>805.923</v>
          </cell>
          <cell r="X27">
            <v>83.172494943679936</v>
          </cell>
          <cell r="Y27">
            <v>86.025745893758369</v>
          </cell>
          <cell r="AD27">
            <v>1.8695550798058376</v>
          </cell>
          <cell r="AE27">
            <v>2.0778784077387042</v>
          </cell>
          <cell r="AJ27">
            <v>0</v>
          </cell>
          <cell r="AK27">
            <v>7.9536134345340681E-2</v>
          </cell>
          <cell r="AP27">
            <v>918.22000127180149</v>
          </cell>
          <cell r="AQ27">
            <v>910.32441064468969</v>
          </cell>
          <cell r="AV27">
            <v>0</v>
          </cell>
          <cell r="AW27">
            <v>205.91556389382154</v>
          </cell>
          <cell r="BB27">
            <v>0</v>
          </cell>
          <cell r="BC27">
            <v>4.1785778542118708</v>
          </cell>
          <cell r="BG27">
            <v>0.9257927499339913</v>
          </cell>
          <cell r="BH27">
            <v>0.85120444328929112</v>
          </cell>
        </row>
        <row r="28">
          <cell r="J28">
            <v>0.82421116730348243</v>
          </cell>
          <cell r="K28">
            <v>0.83497606802540991</v>
          </cell>
          <cell r="R28">
            <v>42.622</v>
          </cell>
          <cell r="S28">
            <v>848.54499999999996</v>
          </cell>
          <cell r="X28">
            <v>91.37320822470754</v>
          </cell>
          <cell r="Y28">
            <v>86.294346309139655</v>
          </cell>
          <cell r="AD28">
            <v>2.0740462671859605</v>
          </cell>
          <cell r="AE28">
            <v>2.0776859211945156</v>
          </cell>
          <cell r="AJ28">
            <v>0</v>
          </cell>
          <cell r="AK28">
            <v>7.554107324891432E-2</v>
          </cell>
          <cell r="AP28">
            <v>993.48634508000725</v>
          </cell>
          <cell r="AQ28">
            <v>914.50159390486112</v>
          </cell>
          <cell r="AV28">
            <v>0</v>
          </cell>
          <cell r="AW28">
            <v>195.5725259120027</v>
          </cell>
          <cell r="BB28">
            <v>0</v>
          </cell>
          <cell r="BC28">
            <v>3.9686899339457473</v>
          </cell>
          <cell r="BG28">
            <v>0.82421116730348243</v>
          </cell>
          <cell r="BH28">
            <v>0.84980647897813888</v>
          </cell>
        </row>
        <row r="29">
          <cell r="J29">
            <v>0.91264785984446017</v>
          </cell>
          <cell r="K29">
            <v>0.83870851495448495</v>
          </cell>
          <cell r="R29">
            <v>46.819000000000003</v>
          </cell>
          <cell r="S29">
            <v>895.36399999999992</v>
          </cell>
          <cell r="X29">
            <v>83.64268653017642</v>
          </cell>
          <cell r="Y29">
            <v>86.155689785992323</v>
          </cell>
          <cell r="AD29">
            <v>1.9244323885601997</v>
          </cell>
          <cell r="AE29">
            <v>2.0696722226937871</v>
          </cell>
          <cell r="AJ29">
            <v>0</v>
          </cell>
          <cell r="AK29">
            <v>7.1590995394052032E-2</v>
          </cell>
          <cell r="AP29">
            <v>855.1090369294518</v>
          </cell>
          <cell r="AQ29">
            <v>911.39592947672736</v>
          </cell>
          <cell r="AV29">
            <v>0</v>
          </cell>
          <cell r="AW29">
            <v>185.34594756992726</v>
          </cell>
          <cell r="BB29">
            <v>0</v>
          </cell>
          <cell r="BC29">
            <v>3.7611652914345388</v>
          </cell>
          <cell r="BG29">
            <v>0.91264785984446017</v>
          </cell>
          <cell r="BH29">
            <v>0.85287727896014476</v>
          </cell>
        </row>
        <row r="30">
          <cell r="J30">
            <v>0.93941007920619324</v>
          </cell>
          <cell r="K30">
            <v>0.8433747419343457</v>
          </cell>
          <cell r="R30">
            <v>48.728000000000002</v>
          </cell>
          <cell r="S30">
            <v>944.09199999999987</v>
          </cell>
          <cell r="X30">
            <v>77.053022349171968</v>
          </cell>
          <cell r="Y30">
            <v>85.685868223198256</v>
          </cell>
          <cell r="AD30">
            <v>1.8716138565096043</v>
          </cell>
          <cell r="AE30">
            <v>2.0594497146464543</v>
          </cell>
          <cell r="AJ30">
            <v>0</v>
          </cell>
          <cell r="AK30">
            <v>6.7895925397101139E-2</v>
          </cell>
          <cell r="AP30">
            <v>845.46215728123525</v>
          </cell>
          <cell r="AQ30">
            <v>907.99284921384833</v>
          </cell>
          <cell r="AV30">
            <v>0</v>
          </cell>
          <cell r="AW30">
            <v>175.77957338903448</v>
          </cell>
          <cell r="BB30">
            <v>0</v>
          </cell>
          <cell r="BC30">
            <v>3.5670379581650882</v>
          </cell>
          <cell r="BG30">
            <v>0.93941007920619324</v>
          </cell>
          <cell r="BH30">
            <v>0.85695151383216761</v>
          </cell>
        </row>
        <row r="31">
          <cell r="J31">
            <v>0.90743098367241348</v>
          </cell>
          <cell r="K31">
            <v>0.84637610211303338</v>
          </cell>
          <cell r="R31">
            <v>49.935000000000002</v>
          </cell>
          <cell r="S31">
            <v>994.02699999999982</v>
          </cell>
          <cell r="X31">
            <v>77.118288935281754</v>
          </cell>
          <cell r="Y31">
            <v>85.255475415214079</v>
          </cell>
          <cell r="AD31">
            <v>1.8043456493441472</v>
          </cell>
          <cell r="AE31">
            <v>2.046634548156137</v>
          </cell>
          <cell r="AJ31">
            <v>0</v>
          </cell>
          <cell r="AK31">
            <v>6.4485169919931765E-2</v>
          </cell>
          <cell r="AP31">
            <v>760.89185941723531</v>
          </cell>
          <cell r="AQ31">
            <v>900.60322305128557</v>
          </cell>
          <cell r="AV31">
            <v>0</v>
          </cell>
          <cell r="AW31">
            <v>166.94927703171078</v>
          </cell>
          <cell r="BB31">
            <v>0</v>
          </cell>
          <cell r="BC31">
            <v>3.3878476137972053</v>
          </cell>
          <cell r="BG31">
            <v>0.90743098367241348</v>
          </cell>
          <cell r="BH31">
            <v>0.85935299757315087</v>
          </cell>
        </row>
        <row r="32">
          <cell r="J32">
            <v>0.98306929775801366</v>
          </cell>
          <cell r="K32">
            <v>0.85215157188531077</v>
          </cell>
          <cell r="R32">
            <v>50.933999999999997</v>
          </cell>
          <cell r="S32">
            <v>1044.9609999999998</v>
          </cell>
          <cell r="X32">
            <v>76.781413716573255</v>
          </cell>
          <cell r="Y32">
            <v>84.842428556471432</v>
          </cell>
          <cell r="AD32">
            <v>1.7473593277574901</v>
          </cell>
          <cell r="AE32">
            <v>2.0320471290316102</v>
          </cell>
          <cell r="AJ32">
            <v>0</v>
          </cell>
          <cell r="AK32">
            <v>6.1342002237404082E-2</v>
          </cell>
          <cell r="AP32">
            <v>751.7901598147065</v>
          </cell>
          <cell r="AQ32">
            <v>893.34970396024596</v>
          </cell>
          <cell r="AV32">
            <v>0</v>
          </cell>
          <cell r="AW32">
            <v>158.81175374009206</v>
          </cell>
          <cell r="BB32">
            <v>0</v>
          </cell>
          <cell r="BC32">
            <v>3.2227154889034084</v>
          </cell>
          <cell r="BG32">
            <v>0.98306929775801366</v>
          </cell>
          <cell r="BH32">
            <v>0.86465688498753435</v>
          </cell>
        </row>
        <row r="33">
          <cell r="J33">
            <v>0.93907394183584814</v>
          </cell>
          <cell r="K33">
            <v>0.8555130885751312</v>
          </cell>
          <cell r="R33">
            <v>46.325000000000003</v>
          </cell>
          <cell r="S33">
            <v>1091.2859999999998</v>
          </cell>
          <cell r="X33">
            <v>85.653755927335538</v>
          </cell>
          <cell r="Y33">
            <v>84.876869335932781</v>
          </cell>
          <cell r="AD33">
            <v>1.8866702644360496</v>
          </cell>
          <cell r="AE33">
            <v>2.0258758932122287</v>
          </cell>
          <cell r="AJ33">
            <v>0</v>
          </cell>
          <cell r="AK33">
            <v>5.8738039340741108E-2</v>
          </cell>
          <cell r="AP33">
            <v>870.75596330268297</v>
          </cell>
          <cell r="AQ33">
            <v>892.39060154716481</v>
          </cell>
          <cell r="AV33">
            <v>0</v>
          </cell>
          <cell r="AW33">
            <v>152.07020799313869</v>
          </cell>
          <cell r="BB33">
            <v>0</v>
          </cell>
          <cell r="BC33">
            <v>3.0859114842488533</v>
          </cell>
          <cell r="BG33">
            <v>0.93907394183584814</v>
          </cell>
          <cell r="BH33">
            <v>0.86757536522195333</v>
          </cell>
        </row>
        <row r="34">
          <cell r="J34">
            <v>0.83394079987738123</v>
          </cell>
          <cell r="K34">
            <v>0.85473216767052862</v>
          </cell>
          <cell r="R34">
            <v>39.954999999999998</v>
          </cell>
          <cell r="S34">
            <v>1131.2409999999998</v>
          </cell>
          <cell r="X34">
            <v>100.58673813510744</v>
          </cell>
          <cell r="Y34">
            <v>85.431735900945043</v>
          </cell>
          <cell r="AD34">
            <v>2.1999749718433241</v>
          </cell>
          <cell r="AE34">
            <v>2.0320250061657954</v>
          </cell>
          <cell r="AJ34">
            <v>0</v>
          </cell>
          <cell r="AK34">
            <v>5.6663434228427019E-2</v>
          </cell>
          <cell r="AP34">
            <v>994.78388186717689</v>
          </cell>
          <cell r="AQ34">
            <v>896.00709309510728</v>
          </cell>
          <cell r="AV34">
            <v>9.1051903568807732E-14</v>
          </cell>
          <cell r="AW34">
            <v>146.69914633575019</v>
          </cell>
          <cell r="BB34">
            <v>0</v>
          </cell>
          <cell r="BC34">
            <v>2.9769182694050111</v>
          </cell>
          <cell r="BG34">
            <v>0.83394079987738123</v>
          </cell>
          <cell r="BH34">
            <v>0.86634125034006748</v>
          </cell>
        </row>
        <row r="35">
          <cell r="J35">
            <v>0.8139132123862467</v>
          </cell>
          <cell r="K35">
            <v>0.85334557741458383</v>
          </cell>
          <cell r="R35">
            <v>37.878999999999998</v>
          </cell>
          <cell r="S35">
            <v>1169.1199999999997</v>
          </cell>
          <cell r="X35">
            <v>106.28241275220728</v>
          </cell>
          <cell r="Y35">
            <v>86.107289127687352</v>
          </cell>
          <cell r="AD35">
            <v>2.3707067240423454</v>
          </cell>
          <cell r="AE35">
            <v>2.0429981524565495</v>
          </cell>
          <cell r="AJ35">
            <v>0</v>
          </cell>
          <cell r="AK35">
            <v>5.4827562611194758E-2</v>
          </cell>
          <cell r="AP35">
            <v>1066.3370205126505</v>
          </cell>
          <cell r="AQ35">
            <v>901.52571164636731</v>
          </cell>
          <cell r="AV35">
            <v>0</v>
          </cell>
          <cell r="AW35">
            <v>141.94615522786398</v>
          </cell>
          <cell r="BB35">
            <v>0</v>
          </cell>
          <cell r="BC35">
            <v>2.8804673600656856</v>
          </cell>
          <cell r="BG35">
            <v>0.8139132123862467</v>
          </cell>
          <cell r="BH35">
            <v>0.86453695144926768</v>
          </cell>
        </row>
        <row r="36">
          <cell r="J36">
            <v>0.88501040624028648</v>
          </cell>
          <cell r="K36">
            <v>0.8544746552470307</v>
          </cell>
          <cell r="R36">
            <v>44.832999999999998</v>
          </cell>
          <cell r="S36">
            <v>1213.9529999999997</v>
          </cell>
          <cell r="X36">
            <v>72.285347491464805</v>
          </cell>
          <cell r="Y36">
            <v>85.596825288167395</v>
          </cell>
          <cell r="AD36">
            <v>2.1011308634264938</v>
          </cell>
          <cell r="AE36">
            <v>2.0451450756330769</v>
          </cell>
          <cell r="AJ36">
            <v>0.17620948854638327</v>
          </cell>
          <cell r="AK36">
            <v>5.9310368688079367E-2</v>
          </cell>
          <cell r="AP36">
            <v>819.31724399436382</v>
          </cell>
          <cell r="AQ36">
            <v>898.48963674870447</v>
          </cell>
          <cell r="AV36">
            <v>451.29882006558773</v>
          </cell>
          <cell r="AW36">
            <v>153.37098635614464</v>
          </cell>
          <cell r="BB36">
            <v>0</v>
          </cell>
          <cell r="BC36">
            <v>2.7740876294222216</v>
          </cell>
          <cell r="BG36">
            <v>0.88501040624028648</v>
          </cell>
          <cell r="BH36">
            <v>0.86527620504449521</v>
          </cell>
        </row>
        <row r="37">
          <cell r="J37">
            <v>0.98735549558788216</v>
          </cell>
          <cell r="K37">
            <v>0.85917738066983917</v>
          </cell>
          <cell r="R37">
            <v>51.465000000000003</v>
          </cell>
          <cell r="S37">
            <v>1265.4179999999997</v>
          </cell>
          <cell r="X37">
            <v>72.637184223978892</v>
          </cell>
          <cell r="Y37">
            <v>85.069752078075197</v>
          </cell>
          <cell r="AD37">
            <v>1.8420285631011366</v>
          </cell>
          <cell r="AE37">
            <v>2.0368842548470156</v>
          </cell>
          <cell r="AJ37">
            <v>0.21762362770815113</v>
          </cell>
          <cell r="AK37">
            <v>6.574902522328592E-2</v>
          </cell>
          <cell r="AP37">
            <v>721.79481200816485</v>
          </cell>
          <cell r="AQ37">
            <v>891.30339539978115</v>
          </cell>
          <cell r="AV37">
            <v>541.20011658408043</v>
          </cell>
          <cell r="AW37">
            <v>169.14413498148483</v>
          </cell>
          <cell r="BB37">
            <v>0</v>
          </cell>
          <cell r="BC37">
            <v>2.6612644991615375</v>
          </cell>
          <cell r="BG37">
            <v>0.98735549558788216</v>
          </cell>
          <cell r="BH37">
            <v>0.86964931682457058</v>
          </cell>
        </row>
        <row r="38">
          <cell r="J38">
            <v>0.9179792502449704</v>
          </cell>
          <cell r="K38">
            <v>0.86117649300759047</v>
          </cell>
          <cell r="R38">
            <v>47.582999999999998</v>
          </cell>
          <cell r="S38">
            <v>1313.0009999999997</v>
          </cell>
          <cell r="X38">
            <v>78.969863886322045</v>
          </cell>
          <cell r="Y38">
            <v>84.848692855859682</v>
          </cell>
          <cell r="AD38">
            <v>1.9839018136729507</v>
          </cell>
          <cell r="AE38">
            <v>2.0349641774834906</v>
          </cell>
          <cell r="AJ38">
            <v>0.20175272681419834</v>
          </cell>
          <cell r="AK38">
            <v>7.06777831852375E-2</v>
          </cell>
          <cell r="AP38">
            <v>819.61856125086661</v>
          </cell>
          <cell r="AQ38">
            <v>888.70554554033106</v>
          </cell>
          <cell r="AV38">
            <v>484.77397389824097</v>
          </cell>
          <cell r="AW38">
            <v>180.58252278558857</v>
          </cell>
          <cell r="BB38">
            <v>0</v>
          </cell>
          <cell r="BC38">
            <v>2.5648205903879697</v>
          </cell>
          <cell r="BG38">
            <v>0.9179792502449704</v>
          </cell>
          <cell r="BH38">
            <v>0.87131174796297783</v>
          </cell>
        </row>
        <row r="39">
          <cell r="J39">
            <v>0.96318270159508312</v>
          </cell>
          <cell r="K39">
            <v>0.86462303428543996</v>
          </cell>
          <cell r="R39">
            <v>51.353000000000002</v>
          </cell>
          <cell r="S39">
            <v>1364.3539999999998</v>
          </cell>
          <cell r="X39">
            <v>71.78600598145205</v>
          </cell>
          <cell r="Y39">
            <v>84.357025620624938</v>
          </cell>
          <cell r="AD39">
            <v>1.8440986894631277</v>
          </cell>
          <cell r="AE39">
            <v>2.027780180217158</v>
          </cell>
          <cell r="AJ39">
            <v>0.17720483710786125</v>
          </cell>
          <cell r="AK39">
            <v>7.468736119804685E-2</v>
          </cell>
          <cell r="AP39">
            <v>755.06221642357889</v>
          </cell>
          <cell r="AQ39">
            <v>883.67533645959929</v>
          </cell>
          <cell r="AV39">
            <v>514.52865460635212</v>
          </cell>
          <cell r="AW39">
            <v>193.15194077197017</v>
          </cell>
          <cell r="BB39">
            <v>0</v>
          </cell>
          <cell r="BC39">
            <v>2.4682831581832825</v>
          </cell>
          <cell r="BG39">
            <v>0.96318270159508312</v>
          </cell>
          <cell r="BH39">
            <v>0.87445112764829958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1">
          <cell r="B41">
            <v>0.83939758980569712</v>
          </cell>
          <cell r="C41">
            <v>0</v>
          </cell>
          <cell r="D41">
            <v>0.84053150634019802</v>
          </cell>
          <cell r="E41">
            <v>0</v>
          </cell>
          <cell r="F41">
            <v>1669.0300000000004</v>
          </cell>
          <cell r="G41">
            <v>0</v>
          </cell>
          <cell r="H41">
            <v>2.4391880313715144</v>
          </cell>
          <cell r="I41">
            <v>0</v>
          </cell>
          <cell r="J41">
            <v>1033.4658693971942</v>
          </cell>
          <cell r="K41">
            <v>0</v>
          </cell>
          <cell r="L41">
            <v>0.88164645374478923</v>
          </cell>
          <cell r="M41">
            <v>0</v>
          </cell>
          <cell r="N41">
            <v>0.90721678437063535</v>
          </cell>
          <cell r="O41">
            <v>0</v>
          </cell>
          <cell r="P41">
            <v>1849.2530000000002</v>
          </cell>
          <cell r="Q41">
            <v>0</v>
          </cell>
          <cell r="R41">
            <v>2.6039627892992474</v>
          </cell>
          <cell r="S41">
            <v>0</v>
          </cell>
          <cell r="T41">
            <v>0.22857878289233541</v>
          </cell>
          <cell r="U41">
            <v>0</v>
          </cell>
          <cell r="V41">
            <v>604.72261502347192</v>
          </cell>
          <cell r="W41">
            <v>0</v>
          </cell>
          <cell r="X41">
            <v>521.7858237893895</v>
          </cell>
          <cell r="Y41">
            <v>0</v>
          </cell>
          <cell r="Z41">
            <v>0.88193173114859524</v>
          </cell>
          <cell r="AA41">
            <v>0</v>
          </cell>
          <cell r="AB41">
            <v>0.88340653340367237</v>
          </cell>
          <cell r="AC41">
            <v>0</v>
          </cell>
          <cell r="AD41">
            <v>1253.7050000000004</v>
          </cell>
          <cell r="AE41">
            <v>0</v>
          </cell>
          <cell r="AF41">
            <v>98.517030917360543</v>
          </cell>
          <cell r="AG41">
            <v>0</v>
          </cell>
          <cell r="AH41">
            <v>1.4871121994408565</v>
          </cell>
          <cell r="AI41">
            <v>0</v>
          </cell>
          <cell r="AJ41">
            <v>885.26051981925434</v>
          </cell>
          <cell r="AK41">
            <v>0</v>
          </cell>
          <cell r="AL41">
            <v>0</v>
          </cell>
          <cell r="AM41">
            <v>0</v>
          </cell>
          <cell r="AN41">
            <v>0.88320076687716276</v>
          </cell>
          <cell r="AO41">
            <v>0</v>
          </cell>
          <cell r="AP41">
            <v>0.89534439715396263</v>
          </cell>
          <cell r="AQ41">
            <v>0</v>
          </cell>
          <cell r="AR41">
            <v>1406.635</v>
          </cell>
          <cell r="AS41">
            <v>0</v>
          </cell>
          <cell r="AT41">
            <v>105.33379299664101</v>
          </cell>
          <cell r="AU41">
            <v>0</v>
          </cell>
          <cell r="AV41">
            <v>1.5242049287839419</v>
          </cell>
          <cell r="AW41">
            <v>0</v>
          </cell>
          <cell r="AX41">
            <v>8.076011189825362E-2</v>
          </cell>
          <cell r="AY41">
            <v>0</v>
          </cell>
          <cell r="AZ41">
            <v>927.60064977766092</v>
          </cell>
          <cell r="BA41">
            <v>0</v>
          </cell>
          <cell r="BB41">
            <v>240.2739175407979</v>
          </cell>
          <cell r="BC41">
            <v>0</v>
          </cell>
          <cell r="BD41">
            <v>16.955357999765397</v>
          </cell>
          <cell r="BE41">
            <v>0</v>
          </cell>
          <cell r="BF41">
            <v>0.88101947107260103</v>
          </cell>
          <cell r="BG41">
            <v>0</v>
          </cell>
          <cell r="BH41">
            <v>0.88362769927484108</v>
          </cell>
          <cell r="BI41">
            <v>0</v>
          </cell>
          <cell r="BJ41">
            <v>1457.0090000000002</v>
          </cell>
          <cell r="BK41">
            <v>0</v>
          </cell>
          <cell r="BL41">
            <v>2.7597633233562728</v>
          </cell>
          <cell r="BM41">
            <v>0</v>
          </cell>
          <cell r="BN41">
            <v>0</v>
          </cell>
          <cell r="BO41">
            <v>0</v>
          </cell>
          <cell r="BP41">
            <v>932.94369492569979</v>
          </cell>
          <cell r="BQ41">
            <v>0</v>
          </cell>
          <cell r="BR41">
            <v>0</v>
          </cell>
          <cell r="BS41">
            <v>0</v>
          </cell>
          <cell r="BT41">
            <v>0.89958178262093658</v>
          </cell>
          <cell r="BU41">
            <v>0</v>
          </cell>
          <cell r="BV41">
            <v>0.90458737037626458</v>
          </cell>
          <cell r="BW41">
            <v>0</v>
          </cell>
          <cell r="BX41">
            <v>1385.694</v>
          </cell>
          <cell r="BY41">
            <v>0</v>
          </cell>
          <cell r="BZ41">
            <v>82.805082393313654</v>
          </cell>
          <cell r="CA41">
            <v>0</v>
          </cell>
          <cell r="CB41">
            <v>1.9750969550275892</v>
          </cell>
          <cell r="CC41">
            <v>0</v>
          </cell>
          <cell r="CD41">
            <v>5.6505981840146526E-2</v>
          </cell>
          <cell r="CE41">
            <v>0</v>
          </cell>
          <cell r="CF41">
            <v>886.8080976030775</v>
          </cell>
          <cell r="CG41">
            <v>0</v>
          </cell>
          <cell r="CH41">
            <v>150.23872370090368</v>
          </cell>
          <cell r="CI41">
            <v>0</v>
          </cell>
          <cell r="CJ41">
            <v>14.750731402459706</v>
          </cell>
          <cell r="CK4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42">
          <cell r="B42">
            <v>0.89683016748794442</v>
          </cell>
          <cell r="C42">
            <v>0</v>
          </cell>
          <cell r="D42">
            <v>0.91651254782215474</v>
          </cell>
          <cell r="E42">
            <v>0</v>
          </cell>
          <cell r="F42">
            <v>1608.12</v>
          </cell>
          <cell r="G42">
            <v>0</v>
          </cell>
          <cell r="H42">
            <v>2.3160037808123777</v>
          </cell>
          <cell r="I42">
            <v>0</v>
          </cell>
          <cell r="J42">
            <v>1025.4408439668696</v>
          </cell>
          <cell r="K42">
            <v>0</v>
          </cell>
          <cell r="L42">
            <v>0.92866754762333059</v>
          </cell>
          <cell r="M42">
            <v>0</v>
          </cell>
          <cell r="N42">
            <v>0.93793898235070616</v>
          </cell>
          <cell r="O42">
            <v>0</v>
          </cell>
          <cell r="P42">
            <v>1827.3590000000004</v>
          </cell>
          <cell r="Q42">
            <v>0</v>
          </cell>
          <cell r="R42">
            <v>2.0916446631450083</v>
          </cell>
          <cell r="S42">
            <v>0</v>
          </cell>
          <cell r="T42">
            <v>0.23153633194134263</v>
          </cell>
          <cell r="U42">
            <v>0</v>
          </cell>
          <cell r="V42">
            <v>614.27862833739778</v>
          </cell>
          <cell r="W42">
            <v>0</v>
          </cell>
          <cell r="X42">
            <v>437.11553121198392</v>
          </cell>
          <cell r="Y42">
            <v>0</v>
          </cell>
          <cell r="Z42">
            <v>0.83629623576679857</v>
          </cell>
          <cell r="AA42">
            <v>0</v>
          </cell>
          <cell r="AB42">
            <v>0.84011645284697367</v>
          </cell>
          <cell r="AC42">
            <v>0</v>
          </cell>
          <cell r="AD42">
            <v>1132.2849999999999</v>
          </cell>
          <cell r="AE42">
            <v>0</v>
          </cell>
          <cell r="AF42">
            <v>111.28199961501578</v>
          </cell>
          <cell r="AG42">
            <v>0</v>
          </cell>
          <cell r="AH42">
            <v>1.6594761919481404</v>
          </cell>
          <cell r="AI42">
            <v>0</v>
          </cell>
          <cell r="AJ42">
            <v>964.83334142905812</v>
          </cell>
          <cell r="AK42">
            <v>0</v>
          </cell>
          <cell r="AL42">
            <v>0</v>
          </cell>
          <cell r="AM42">
            <v>0</v>
          </cell>
          <cell r="AN42">
            <v>0.841493556505851</v>
          </cell>
          <cell r="AO42">
            <v>0</v>
          </cell>
          <cell r="AP42">
            <v>0.85108230952572761</v>
          </cell>
          <cell r="AQ42">
            <v>0</v>
          </cell>
          <cell r="AR42">
            <v>1316.3440000000001</v>
          </cell>
          <cell r="AS42">
            <v>0</v>
          </cell>
          <cell r="AT42">
            <v>121.83943867945894</v>
          </cell>
          <cell r="AU42">
            <v>0</v>
          </cell>
          <cell r="AV42">
            <v>1.4904158791318984</v>
          </cell>
          <cell r="AW42">
            <v>0</v>
          </cell>
          <cell r="AX42">
            <v>0.19523771901569797</v>
          </cell>
          <cell r="AY42">
            <v>0</v>
          </cell>
          <cell r="AZ42">
            <v>883.63400448514949</v>
          </cell>
          <cell r="BA42">
            <v>0</v>
          </cell>
          <cell r="BB42">
            <v>521.88219796648889</v>
          </cell>
          <cell r="BC42">
            <v>0</v>
          </cell>
          <cell r="BD42">
            <v>0</v>
          </cell>
          <cell r="BE42">
            <v>0</v>
          </cell>
          <cell r="BF42">
            <v>0.81559727954315242</v>
          </cell>
          <cell r="BG42">
            <v>0</v>
          </cell>
          <cell r="BH42">
            <v>0.82877820530328572</v>
          </cell>
          <cell r="BI42">
            <v>0</v>
          </cell>
          <cell r="BJ42">
            <v>1259.7350000000001</v>
          </cell>
          <cell r="BK42">
            <v>0</v>
          </cell>
          <cell r="BL42">
            <v>2.8948151793829653</v>
          </cell>
          <cell r="BM42">
            <v>0</v>
          </cell>
          <cell r="BN42">
            <v>0</v>
          </cell>
          <cell r="BO42">
            <v>0</v>
          </cell>
          <cell r="BP42">
            <v>971.01940308418136</v>
          </cell>
          <cell r="BQ42">
            <v>0</v>
          </cell>
          <cell r="BR42">
            <v>0</v>
          </cell>
          <cell r="BS42">
            <v>0</v>
          </cell>
          <cell r="BT42">
            <v>0.90927146053562879</v>
          </cell>
          <cell r="BU42">
            <v>0</v>
          </cell>
          <cell r="BV42">
            <v>0.93351910522430248</v>
          </cell>
          <cell r="BW42">
            <v>0</v>
          </cell>
          <cell r="BX42">
            <v>1433.0600000000002</v>
          </cell>
          <cell r="BY42">
            <v>0</v>
          </cell>
          <cell r="BZ42">
            <v>77.094083288095504</v>
          </cell>
          <cell r="CA42">
            <v>0</v>
          </cell>
          <cell r="CB42">
            <v>1.8864527654110776</v>
          </cell>
          <cell r="CC42">
            <v>0</v>
          </cell>
          <cell r="CD42">
            <v>0.14263185072502196</v>
          </cell>
          <cell r="CE42">
            <v>0</v>
          </cell>
          <cell r="CF42">
            <v>754.59782022786919</v>
          </cell>
          <cell r="CG42">
            <v>0</v>
          </cell>
          <cell r="CH42">
            <v>384.70371094022579</v>
          </cell>
          <cell r="CI4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3">
          <cell r="B43">
            <v>0.81728992699563985</v>
          </cell>
          <cell r="C43">
            <v>0</v>
          </cell>
          <cell r="D43">
            <v>0.81728992699563985</v>
          </cell>
          <cell r="E43">
            <v>0</v>
          </cell>
          <cell r="F43">
            <v>1753.6980000000001</v>
          </cell>
          <cell r="G43">
            <v>0</v>
          </cell>
          <cell r="H43">
            <v>2.3283626941468825</v>
          </cell>
          <cell r="I43">
            <v>0</v>
          </cell>
          <cell r="J43">
            <v>919.17354641449094</v>
          </cell>
          <cell r="K43">
            <v>0</v>
          </cell>
          <cell r="L43">
            <v>0.88541366395827092</v>
          </cell>
          <cell r="M43">
            <v>0</v>
          </cell>
          <cell r="N43">
            <v>0.92564375346980865</v>
          </cell>
          <cell r="O43">
            <v>0</v>
          </cell>
          <cell r="P43">
            <v>1848.3660000000002</v>
          </cell>
          <cell r="Q43">
            <v>0</v>
          </cell>
          <cell r="R43">
            <v>2.3081272864789759</v>
          </cell>
          <cell r="S43">
            <v>0</v>
          </cell>
          <cell r="T43">
            <v>0.22165523494805681</v>
          </cell>
          <cell r="U43">
            <v>0</v>
          </cell>
          <cell r="V43">
            <v>640.41014604250449</v>
          </cell>
          <cell r="W43">
            <v>0</v>
          </cell>
          <cell r="X43">
            <v>434.93518058652887</v>
          </cell>
          <cell r="Y43">
            <v>0</v>
          </cell>
          <cell r="Z43">
            <v>0.80335180840639453</v>
          </cell>
          <cell r="AA43">
            <v>0</v>
          </cell>
          <cell r="AB43">
            <v>0.86162048557993176</v>
          </cell>
          <cell r="AC43">
            <v>0</v>
          </cell>
          <cell r="AD43">
            <v>1130.835</v>
          </cell>
          <cell r="AE43">
            <v>0</v>
          </cell>
          <cell r="AF43">
            <v>107.89351601751943</v>
          </cell>
          <cell r="AG43">
            <v>0</v>
          </cell>
          <cell r="AH43">
            <v>1.5947507815021644</v>
          </cell>
          <cell r="AI43">
            <v>0</v>
          </cell>
          <cell r="AJ43">
            <v>914.38361918405428</v>
          </cell>
          <cell r="AK43">
            <v>0</v>
          </cell>
          <cell r="AL43">
            <v>20.165629822211024</v>
          </cell>
          <cell r="AM43">
            <v>0</v>
          </cell>
          <cell r="AN43">
            <v>0.85071018918198382</v>
          </cell>
          <cell r="AO43">
            <v>0</v>
          </cell>
          <cell r="AP43">
            <v>0.85071018918198382</v>
          </cell>
          <cell r="AQ43">
            <v>0</v>
          </cell>
          <cell r="AR43">
            <v>1375.3570000000002</v>
          </cell>
          <cell r="AS43">
            <v>0</v>
          </cell>
          <cell r="AT43">
            <v>113.79764973808959</v>
          </cell>
          <cell r="AU43">
            <v>0</v>
          </cell>
          <cell r="AV43">
            <v>1.4656558260873356</v>
          </cell>
          <cell r="AW43">
            <v>0</v>
          </cell>
          <cell r="AX43">
            <v>0.1861334911590227</v>
          </cell>
          <cell r="AY43">
            <v>0</v>
          </cell>
          <cell r="AZ43">
            <v>878.4606469447566</v>
          </cell>
          <cell r="BA43">
            <v>0</v>
          </cell>
          <cell r="BB43">
            <v>550.25945990750074</v>
          </cell>
          <cell r="BC43">
            <v>0</v>
          </cell>
          <cell r="BD43">
            <v>0</v>
          </cell>
          <cell r="BE43">
            <v>0</v>
          </cell>
          <cell r="BF43">
            <v>0.89363459307778192</v>
          </cell>
          <cell r="BG43">
            <v>0</v>
          </cell>
          <cell r="BH43">
            <v>0.89363459307778192</v>
          </cell>
          <cell r="BI43">
            <v>0</v>
          </cell>
          <cell r="BJ43">
            <v>1430.6919999999998</v>
          </cell>
          <cell r="BK43">
            <v>0</v>
          </cell>
          <cell r="BL43">
            <v>2.6821286482345617</v>
          </cell>
          <cell r="BM43">
            <v>0</v>
          </cell>
          <cell r="BN43">
            <v>0</v>
          </cell>
          <cell r="BO43">
            <v>0</v>
          </cell>
          <cell r="BP43">
            <v>974.33568621579991</v>
          </cell>
          <cell r="BQ43">
            <v>0</v>
          </cell>
          <cell r="BR43">
            <v>0</v>
          </cell>
          <cell r="BS43">
            <v>0</v>
          </cell>
          <cell r="BT43">
            <v>0.90863447914298279</v>
          </cell>
          <cell r="BU43">
            <v>0</v>
          </cell>
          <cell r="BV43">
            <v>0.91878389692957507</v>
          </cell>
          <cell r="BW43">
            <v>0</v>
          </cell>
          <cell r="BX43">
            <v>1460.105</v>
          </cell>
          <cell r="BY43">
            <v>0</v>
          </cell>
          <cell r="BZ43">
            <v>77.669648185232361</v>
          </cell>
          <cell r="CA43">
            <v>0</v>
          </cell>
          <cell r="CB43">
            <v>2.0032805859852543</v>
          </cell>
          <cell r="CC43">
            <v>0</v>
          </cell>
          <cell r="CD43">
            <v>8.3692611147828416E-2</v>
          </cell>
          <cell r="CE43">
            <v>0</v>
          </cell>
          <cell r="CF43">
            <v>840.7660191674878</v>
          </cell>
          <cell r="CG43">
            <v>0</v>
          </cell>
          <cell r="CH43">
            <v>246.27502816578257</v>
          </cell>
          <cell r="CI43">
            <v>0</v>
          </cell>
          <cell r="CJ43">
            <v>19.550648754712846</v>
          </cell>
          <cell r="CK4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G3">
            <v>6.4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4">
          <cell r="F4">
            <v>44.353000000000002</v>
          </cell>
        </row>
        <row r="44">
          <cell r="B44">
            <v>0.85128629745489748</v>
          </cell>
          <cell r="C44">
            <v>0</v>
          </cell>
          <cell r="D44">
            <v>0.88261388777069127</v>
          </cell>
          <cell r="E44">
            <v>0</v>
          </cell>
          <cell r="F44">
            <v>1626.8629999999996</v>
          </cell>
          <cell r="G44">
            <v>0</v>
          </cell>
          <cell r="H44">
            <v>2.4992417923328527</v>
          </cell>
          <cell r="I44">
            <v>0</v>
          </cell>
          <cell r="J44">
            <v>943.70529048850415</v>
          </cell>
          <cell r="K44">
            <v>0</v>
          </cell>
          <cell r="L44">
            <v>0.91684997474795549</v>
          </cell>
          <cell r="M44">
            <v>0</v>
          </cell>
          <cell r="N44">
            <v>0.9454769668630435</v>
          </cell>
          <cell r="O44">
            <v>0</v>
          </cell>
          <cell r="P44">
            <v>1788.1659999999997</v>
          </cell>
          <cell r="Q44">
            <v>0</v>
          </cell>
          <cell r="R44">
            <v>2.1331811476115754</v>
          </cell>
          <cell r="S44">
            <v>0</v>
          </cell>
          <cell r="T44">
            <v>0.21231250342529728</v>
          </cell>
          <cell r="U44">
            <v>0</v>
          </cell>
          <cell r="V44">
            <v>722.2509375527776</v>
          </cell>
          <cell r="W44">
            <v>0</v>
          </cell>
          <cell r="X44">
            <v>464.24761459506601</v>
          </cell>
          <cell r="Y44">
            <v>0</v>
          </cell>
          <cell r="Z44">
            <v>0.86206949583301151</v>
          </cell>
          <cell r="AA44">
            <v>0</v>
          </cell>
          <cell r="AB44">
            <v>0.90942581099977049</v>
          </cell>
          <cell r="AC44">
            <v>0</v>
          </cell>
          <cell r="AD44">
            <v>1188.7909999999999</v>
          </cell>
          <cell r="AE44">
            <v>0</v>
          </cell>
          <cell r="AF44">
            <v>106.25948485661435</v>
          </cell>
          <cell r="AG44">
            <v>0</v>
          </cell>
          <cell r="AH44">
            <v>1.5097691688446497</v>
          </cell>
          <cell r="AI44">
            <v>0</v>
          </cell>
          <cell r="AJ44">
            <v>921.84495003747463</v>
          </cell>
          <cell r="AK44">
            <v>0</v>
          </cell>
          <cell r="AL44">
            <v>7.5538929887591681</v>
          </cell>
          <cell r="AM44">
            <v>0</v>
          </cell>
          <cell r="AN44">
            <v>0.9113017975148916</v>
          </cell>
          <cell r="AO44">
            <v>0</v>
          </cell>
          <cell r="AP44">
            <v>0.94321744444989342</v>
          </cell>
          <cell r="AQ44">
            <v>0</v>
          </cell>
          <cell r="AR44">
            <v>1441.538</v>
          </cell>
          <cell r="AS44">
            <v>0</v>
          </cell>
          <cell r="AT44">
            <v>98.381360721465839</v>
          </cell>
          <cell r="AU44">
            <v>0</v>
          </cell>
          <cell r="AV44">
            <v>1.4245895703061591</v>
          </cell>
          <cell r="AW44">
            <v>0</v>
          </cell>
          <cell r="AX44">
            <v>6.3755312952158888E-2</v>
          </cell>
          <cell r="AY44">
            <v>0</v>
          </cell>
          <cell r="AZ44">
            <v>884.49349236718024</v>
          </cell>
          <cell r="BA44">
            <v>0</v>
          </cell>
          <cell r="BB44">
            <v>178.9753721372584</v>
          </cell>
          <cell r="BC44">
            <v>0</v>
          </cell>
          <cell r="BD44">
            <v>0</v>
          </cell>
          <cell r="BE44">
            <v>0</v>
          </cell>
          <cell r="BF44">
            <v>0.83968007638049036</v>
          </cell>
          <cell r="BG44">
            <v>0</v>
          </cell>
          <cell r="BH44">
            <v>0.88025535162218882</v>
          </cell>
          <cell r="BI44">
            <v>0</v>
          </cell>
          <cell r="BJ44">
            <v>1283.7219999999998</v>
          </cell>
          <cell r="BK44">
            <v>0</v>
          </cell>
          <cell r="BL44">
            <v>2.9010175100216404</v>
          </cell>
          <cell r="BM44">
            <v>0</v>
          </cell>
          <cell r="BN44">
            <v>0</v>
          </cell>
          <cell r="BO44">
            <v>0</v>
          </cell>
          <cell r="BP44">
            <v>1018.1901188326394</v>
          </cell>
          <cell r="BQ44">
            <v>0</v>
          </cell>
          <cell r="BR44">
            <v>0</v>
          </cell>
          <cell r="BS44">
            <v>0</v>
          </cell>
          <cell r="BT44">
            <v>0.86479672437549404</v>
          </cell>
          <cell r="BU44">
            <v>0</v>
          </cell>
          <cell r="BV44">
            <v>0.91368891665471463</v>
          </cell>
          <cell r="BW44">
            <v>0</v>
          </cell>
          <cell r="BX44">
            <v>1364.9880000000001</v>
          </cell>
          <cell r="BY44">
            <v>0</v>
          </cell>
          <cell r="BZ44">
            <v>71.774411764880114</v>
          </cell>
          <cell r="CA44">
            <v>0</v>
          </cell>
          <cell r="CB44">
            <v>1.9880760856505704</v>
          </cell>
          <cell r="CC44">
            <v>0</v>
          </cell>
          <cell r="CD44">
            <v>0.17403816004243261</v>
          </cell>
          <cell r="CE44">
            <v>0</v>
          </cell>
          <cell r="CF44">
            <v>844.20451628287208</v>
          </cell>
          <cell r="CG44">
            <v>0</v>
          </cell>
          <cell r="CH44">
            <v>469.40954792276608</v>
          </cell>
          <cell r="CI44">
            <v>0</v>
          </cell>
          <cell r="CJ44">
            <v>0</v>
          </cell>
          <cell r="CK44">
            <v>0</v>
          </cell>
        </row>
      </sheetData>
      <sheetData sheetId="1">
        <row r="41">
          <cell r="P41">
            <v>1715.0680000000002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619</v>
          </cell>
        </row>
      </sheetData>
      <sheetData sheetId="13">
        <row r="6">
          <cell r="N6">
            <v>640</v>
          </cell>
        </row>
      </sheetData>
      <sheetData sheetId="14">
        <row r="6">
          <cell r="N6">
            <v>676</v>
          </cell>
        </row>
      </sheetData>
      <sheetData sheetId="15">
        <row r="6">
          <cell r="N6">
            <v>610</v>
          </cell>
        </row>
      </sheetData>
      <sheetData sheetId="16">
        <row r="6">
          <cell r="N6">
            <v>623</v>
          </cell>
        </row>
      </sheetData>
      <sheetData sheetId="17"/>
      <sheetData sheetId="18"/>
      <sheetData sheetId="19">
        <row r="6">
          <cell r="N6">
            <v>679</v>
          </cell>
        </row>
      </sheetData>
      <sheetData sheetId="20">
        <row r="6">
          <cell r="N6">
            <v>710</v>
          </cell>
        </row>
      </sheetData>
      <sheetData sheetId="21">
        <row r="6">
          <cell r="N6">
            <v>704</v>
          </cell>
        </row>
      </sheetData>
      <sheetData sheetId="22">
        <row r="6">
          <cell r="N6">
            <v>720</v>
          </cell>
        </row>
      </sheetData>
      <sheetData sheetId="23">
        <row r="6">
          <cell r="N6">
            <v>689</v>
          </cell>
        </row>
      </sheetData>
      <sheetData sheetId="24">
        <row r="6">
          <cell r="N6">
            <v>745</v>
          </cell>
        </row>
      </sheetData>
      <sheetData sheetId="25">
        <row r="6">
          <cell r="N6">
            <v>588</v>
          </cell>
        </row>
      </sheetData>
      <sheetData sheetId="26">
        <row r="6">
          <cell r="N6">
            <v>143</v>
          </cell>
        </row>
      </sheetData>
      <sheetData sheetId="27">
        <row r="6">
          <cell r="N6">
            <v>530</v>
          </cell>
        </row>
      </sheetData>
      <sheetData sheetId="28">
        <row r="6">
          <cell r="N6">
            <v>705</v>
          </cell>
        </row>
      </sheetData>
      <sheetData sheetId="29">
        <row r="6">
          <cell r="N6">
            <v>743</v>
          </cell>
        </row>
      </sheetData>
      <sheetData sheetId="30">
        <row r="6">
          <cell r="N6">
            <v>727</v>
          </cell>
        </row>
      </sheetData>
      <sheetData sheetId="31">
        <row r="6">
          <cell r="N6">
            <v>699</v>
          </cell>
        </row>
      </sheetData>
      <sheetData sheetId="32">
        <row r="6">
          <cell r="N6">
            <v>639</v>
          </cell>
        </row>
      </sheetData>
      <sheetData sheetId="33">
        <row r="6">
          <cell r="N6">
            <v>600</v>
          </cell>
        </row>
      </sheetData>
      <sheetData sheetId="34">
        <row r="6">
          <cell r="N6">
            <v>751</v>
          </cell>
        </row>
      </sheetData>
      <sheetData sheetId="35">
        <row r="6">
          <cell r="N6">
            <v>635</v>
          </cell>
        </row>
      </sheetData>
      <sheetData sheetId="36">
        <row r="6">
          <cell r="N6">
            <v>639</v>
          </cell>
        </row>
      </sheetData>
      <sheetData sheetId="37">
        <row r="6">
          <cell r="N6">
            <v>624</v>
          </cell>
        </row>
      </sheetData>
      <sheetData sheetId="38">
        <row r="6">
          <cell r="N6">
            <v>685</v>
          </cell>
        </row>
      </sheetData>
      <sheetData sheetId="39">
        <row r="6">
          <cell r="N6">
            <v>718</v>
          </cell>
        </row>
      </sheetData>
      <sheetData sheetId="40">
        <row r="6">
          <cell r="N6">
            <v>625</v>
          </cell>
        </row>
      </sheetData>
      <sheetData sheetId="41">
        <row r="6">
          <cell r="N6">
            <v>734</v>
          </cell>
        </row>
      </sheetData>
      <sheetData sheetId="4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RBP"/>
      <sheetName val="Chem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">
          <cell r="F4">
            <v>56.475000000000001</v>
          </cell>
        </row>
        <row r="45">
          <cell r="B45">
            <v>0.84979165368605014</v>
          </cell>
          <cell r="C45">
            <v>0</v>
          </cell>
          <cell r="D45">
            <v>0.85889246846907286</v>
          </cell>
          <cell r="E45">
            <v>0</v>
          </cell>
          <cell r="F45">
            <v>1534.4690000000003</v>
          </cell>
          <cell r="G45">
            <v>0</v>
          </cell>
          <cell r="H45">
            <v>2.4307190304919817</v>
          </cell>
          <cell r="I45">
            <v>0</v>
          </cell>
          <cell r="J45">
            <v>1009.2876688939294</v>
          </cell>
          <cell r="K45">
            <v>0</v>
          </cell>
          <cell r="L45">
            <v>0.85741705611332952</v>
          </cell>
          <cell r="M45">
            <v>0</v>
          </cell>
          <cell r="N45">
            <v>0.89481520731611941</v>
          </cell>
          <cell r="O45">
            <v>0</v>
          </cell>
          <cell r="P45">
            <v>1704.768</v>
          </cell>
          <cell r="Q45">
            <v>0</v>
          </cell>
          <cell r="R45">
            <v>2.4058077110785745</v>
          </cell>
          <cell r="S45">
            <v>0</v>
          </cell>
          <cell r="T45">
            <v>0.14817265457821827</v>
          </cell>
          <cell r="U45">
            <v>0</v>
          </cell>
          <cell r="V45">
            <v>708.74890307654778</v>
          </cell>
          <cell r="W45">
            <v>0</v>
          </cell>
          <cell r="X45">
            <v>419.01830630326219</v>
          </cell>
          <cell r="Y45">
            <v>0</v>
          </cell>
          <cell r="Z45">
            <v>0.87132155033301406</v>
          </cell>
          <cell r="AA45">
            <v>0</v>
          </cell>
          <cell r="AB45">
            <v>0.87132155033301406</v>
          </cell>
          <cell r="AC45">
            <v>0</v>
          </cell>
          <cell r="AD45">
            <v>1204.6450000000002</v>
          </cell>
          <cell r="AE45">
            <v>0</v>
          </cell>
          <cell r="AF45">
            <v>105.43835507766659</v>
          </cell>
          <cell r="AG45">
            <v>0</v>
          </cell>
          <cell r="AH45">
            <v>1.5603767084908828</v>
          </cell>
          <cell r="AI45">
            <v>0</v>
          </cell>
          <cell r="AJ45">
            <v>928.04959137339199</v>
          </cell>
          <cell r="AK45">
            <v>0</v>
          </cell>
          <cell r="AL45">
            <v>0</v>
          </cell>
          <cell r="AM45">
            <v>0</v>
          </cell>
          <cell r="AN45">
            <v>0.47758007033586591</v>
          </cell>
          <cell r="AO45">
            <v>0</v>
          </cell>
          <cell r="AP45">
            <v>0.8638562625636298</v>
          </cell>
          <cell r="AQ45">
            <v>0</v>
          </cell>
          <cell r="AR45">
            <v>764.20999999999992</v>
          </cell>
          <cell r="AS45">
            <v>0</v>
          </cell>
          <cell r="AT45">
            <v>117.91593614950136</v>
          </cell>
          <cell r="AU45">
            <v>0</v>
          </cell>
          <cell r="AV45">
            <v>1.737087973201084</v>
          </cell>
          <cell r="AW45">
            <v>0</v>
          </cell>
          <cell r="AX45">
            <v>0</v>
          </cell>
          <cell r="AY45">
            <v>0</v>
          </cell>
          <cell r="AZ45">
            <v>1171.1575352324626</v>
          </cell>
          <cell r="BA45">
            <v>0</v>
          </cell>
          <cell r="BB45">
            <v>0</v>
          </cell>
          <cell r="BC45">
            <v>0</v>
          </cell>
          <cell r="BD45">
            <v>23.422881145234534</v>
          </cell>
          <cell r="BE45">
            <v>0</v>
          </cell>
          <cell r="BF45">
            <v>0.79411423930112257</v>
          </cell>
          <cell r="BG45">
            <v>0</v>
          </cell>
          <cell r="BH45">
            <v>0.80751482141228126</v>
          </cell>
          <cell r="BI45">
            <v>0</v>
          </cell>
          <cell r="BJ45">
            <v>1316.4520000000002</v>
          </cell>
          <cell r="BK45">
            <v>0</v>
          </cell>
          <cell r="BL45">
            <v>2.6146034948482737</v>
          </cell>
          <cell r="BM45">
            <v>0</v>
          </cell>
          <cell r="BN45">
            <v>0</v>
          </cell>
          <cell r="BO45">
            <v>0</v>
          </cell>
          <cell r="BP45">
            <v>1083.3644303830235</v>
          </cell>
          <cell r="BQ45">
            <v>0</v>
          </cell>
          <cell r="BR45">
            <v>0</v>
          </cell>
          <cell r="BS45">
            <v>0</v>
          </cell>
          <cell r="BT45">
            <v>0.79215109753247104</v>
          </cell>
          <cell r="BU45">
            <v>0</v>
          </cell>
          <cell r="BV45">
            <v>0.80246910810737848</v>
          </cell>
          <cell r="BW45">
            <v>0</v>
          </cell>
          <cell r="BX45">
            <v>1219.0239999999997</v>
          </cell>
          <cell r="BY45">
            <v>0</v>
          </cell>
          <cell r="BZ45">
            <v>89.967609483204555</v>
          </cell>
          <cell r="CA45">
            <v>0</v>
          </cell>
          <cell r="CB45">
            <v>2.2528678680649445</v>
          </cell>
          <cell r="CC45">
            <v>0</v>
          </cell>
          <cell r="CD45">
            <v>0</v>
          </cell>
          <cell r="CE45">
            <v>0</v>
          </cell>
          <cell r="CF45">
            <v>1093.3749039341374</v>
          </cell>
          <cell r="CG45">
            <v>0</v>
          </cell>
          <cell r="CH45">
            <v>0</v>
          </cell>
          <cell r="CI45">
            <v>0</v>
          </cell>
          <cell r="CJ45">
            <v>3.7653073278297011</v>
          </cell>
          <cell r="CK45">
            <v>0</v>
          </cell>
        </row>
      </sheetData>
      <sheetData sheetId="1">
        <row r="41">
          <cell r="P41">
            <v>1589.6969999999997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683</v>
          </cell>
        </row>
      </sheetData>
      <sheetData sheetId="13">
        <row r="6">
          <cell r="N6">
            <v>384</v>
          </cell>
        </row>
      </sheetData>
      <sheetData sheetId="14">
        <row r="6">
          <cell r="N6">
            <v>693</v>
          </cell>
        </row>
      </sheetData>
      <sheetData sheetId="15">
        <row r="6">
          <cell r="N6">
            <v>664</v>
          </cell>
        </row>
      </sheetData>
      <sheetData sheetId="16">
        <row r="6">
          <cell r="N6">
            <v>655</v>
          </cell>
        </row>
      </sheetData>
      <sheetData sheetId="17">
        <row r="6">
          <cell r="N6">
            <v>550</v>
          </cell>
        </row>
      </sheetData>
      <sheetData sheetId="18">
        <row r="6">
          <cell r="N6">
            <v>687</v>
          </cell>
        </row>
      </sheetData>
      <sheetData sheetId="19">
        <row r="6">
          <cell r="N6">
            <v>603.20000000000005</v>
          </cell>
        </row>
      </sheetData>
      <sheetData sheetId="20">
        <row r="6">
          <cell r="N6">
            <v>678</v>
          </cell>
        </row>
      </sheetData>
      <sheetData sheetId="21">
        <row r="6">
          <cell r="N6">
            <v>655</v>
          </cell>
        </row>
      </sheetData>
      <sheetData sheetId="22">
        <row r="6">
          <cell r="N6">
            <v>673</v>
          </cell>
        </row>
      </sheetData>
      <sheetData sheetId="23">
        <row r="6">
          <cell r="N6">
            <v>859</v>
          </cell>
        </row>
      </sheetData>
      <sheetData sheetId="24">
        <row r="6">
          <cell r="N6">
            <v>708</v>
          </cell>
        </row>
      </sheetData>
      <sheetData sheetId="25">
        <row r="6">
          <cell r="N6">
            <v>735</v>
          </cell>
        </row>
      </sheetData>
      <sheetData sheetId="26">
        <row r="6">
          <cell r="N6">
            <v>607</v>
          </cell>
        </row>
      </sheetData>
      <sheetData sheetId="27">
        <row r="6">
          <cell r="N6">
            <v>746</v>
          </cell>
        </row>
      </sheetData>
      <sheetData sheetId="28">
        <row r="6">
          <cell r="N6">
            <v>457.8</v>
          </cell>
        </row>
      </sheetData>
      <sheetData sheetId="29">
        <row r="6">
          <cell r="N6">
            <v>725</v>
          </cell>
        </row>
      </sheetData>
      <sheetData sheetId="30">
        <row r="6">
          <cell r="N6">
            <v>638</v>
          </cell>
        </row>
      </sheetData>
      <sheetData sheetId="31">
        <row r="6">
          <cell r="N6">
            <v>612</v>
          </cell>
        </row>
      </sheetData>
      <sheetData sheetId="32">
        <row r="6">
          <cell r="N6">
            <v>445.7</v>
          </cell>
        </row>
      </sheetData>
      <sheetData sheetId="33">
        <row r="6">
          <cell r="N6">
            <v>801</v>
          </cell>
        </row>
      </sheetData>
      <sheetData sheetId="34">
        <row r="6">
          <cell r="N6">
            <v>567</v>
          </cell>
        </row>
      </sheetData>
      <sheetData sheetId="35">
        <row r="6">
          <cell r="N6">
            <v>531</v>
          </cell>
        </row>
      </sheetData>
      <sheetData sheetId="36">
        <row r="6">
          <cell r="N6">
            <v>650</v>
          </cell>
        </row>
      </sheetData>
      <sheetData sheetId="37">
        <row r="6">
          <cell r="N6">
            <v>601</v>
          </cell>
        </row>
      </sheetData>
      <sheetData sheetId="38">
        <row r="6">
          <cell r="N6">
            <v>576</v>
          </cell>
        </row>
      </sheetData>
      <sheetData sheetId="39">
        <row r="6">
          <cell r="N6">
            <v>524</v>
          </cell>
        </row>
      </sheetData>
      <sheetData sheetId="40">
        <row r="6">
          <cell r="N6">
            <v>11</v>
          </cell>
        </row>
      </sheetData>
      <sheetData sheetId="41">
        <row r="6">
          <cell r="N6">
            <v>635</v>
          </cell>
        </row>
      </sheetData>
      <sheetData sheetId="42">
        <row r="6">
          <cell r="N6">
            <v>720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29"/>
      <sheetName val="30"/>
      <sheetName val="31"/>
    </sheetNames>
    <sheetDataSet>
      <sheetData sheetId="0">
        <row r="4">
          <cell r="F4">
            <v>56.024000000000001</v>
          </cell>
        </row>
        <row r="46">
          <cell r="B46">
            <v>0.83769523903512089</v>
          </cell>
          <cell r="C46">
            <v>0</v>
          </cell>
          <cell r="D46">
            <v>0.8766254011798259</v>
          </cell>
          <cell r="E46">
            <v>0</v>
          </cell>
          <cell r="F46">
            <v>1634.1919999999996</v>
          </cell>
          <cell r="G46">
            <v>0</v>
          </cell>
          <cell r="H46">
            <v>2.3108465835103833</v>
          </cell>
          <cell r="I46">
            <v>0</v>
          </cell>
          <cell r="J46">
            <v>925.52625884841029</v>
          </cell>
          <cell r="K46">
            <v>0</v>
          </cell>
          <cell r="L46">
            <v>0.84617170172403267</v>
          </cell>
          <cell r="M46">
            <v>0</v>
          </cell>
          <cell r="N46">
            <v>0.9204051477742291</v>
          </cell>
          <cell r="O46">
            <v>0</v>
          </cell>
          <cell r="P46">
            <v>1544.1629999999998</v>
          </cell>
          <cell r="Q46">
            <v>0</v>
          </cell>
          <cell r="R46">
            <v>2.2768451258060192</v>
          </cell>
          <cell r="S46">
            <v>0</v>
          </cell>
          <cell r="T46">
            <v>0.21063190867803475</v>
          </cell>
          <cell r="U46">
            <v>0</v>
          </cell>
          <cell r="V46">
            <v>556.96866198710893</v>
          </cell>
          <cell r="W46">
            <v>0</v>
          </cell>
          <cell r="X46">
            <v>505.65160543284605</v>
          </cell>
          <cell r="Y46">
            <v>0</v>
          </cell>
          <cell r="Z46">
            <v>0.81429519491858005</v>
          </cell>
          <cell r="AA46">
            <v>0</v>
          </cell>
          <cell r="AB46">
            <v>0.84116945725970971</v>
          </cell>
          <cell r="AC46">
            <v>0</v>
          </cell>
          <cell r="AD46">
            <v>1037.251</v>
          </cell>
          <cell r="AE46">
            <v>0</v>
          </cell>
          <cell r="AF46">
            <v>107.29574153254443</v>
          </cell>
          <cell r="AG46">
            <v>0</v>
          </cell>
          <cell r="AH46">
            <v>1.536754363215846</v>
          </cell>
          <cell r="AI46">
            <v>0</v>
          </cell>
          <cell r="AJ46">
            <v>927.08314573810958</v>
          </cell>
          <cell r="AK46">
            <v>0</v>
          </cell>
          <cell r="AL46">
            <v>0</v>
          </cell>
          <cell r="AM46">
            <v>0</v>
          </cell>
          <cell r="AN46">
            <v>0.88342597272628431</v>
          </cell>
          <cell r="AO46">
            <v>0</v>
          </cell>
          <cell r="AP46">
            <v>0.90448559347378232</v>
          </cell>
          <cell r="AQ46">
            <v>0</v>
          </cell>
          <cell r="AR46">
            <v>1294.864</v>
          </cell>
          <cell r="AS46">
            <v>0</v>
          </cell>
          <cell r="AT46">
            <v>106.60047579603155</v>
          </cell>
          <cell r="AU46">
            <v>0</v>
          </cell>
          <cell r="AV46">
            <v>1.7585630614489243</v>
          </cell>
          <cell r="AW46">
            <v>0</v>
          </cell>
          <cell r="AX46">
            <v>7.321232191179923E-2</v>
          </cell>
          <cell r="AY46">
            <v>0</v>
          </cell>
          <cell r="AZ46">
            <v>932.75272152133323</v>
          </cell>
          <cell r="BA46">
            <v>0</v>
          </cell>
          <cell r="BB46">
            <v>205.07134339976946</v>
          </cell>
          <cell r="BC46">
            <v>0</v>
          </cell>
          <cell r="BD46">
            <v>0</v>
          </cell>
          <cell r="BE46">
            <v>0</v>
          </cell>
          <cell r="BF46">
            <v>0.85694754288718977</v>
          </cell>
          <cell r="BG46">
            <v>0</v>
          </cell>
          <cell r="BH46">
            <v>0.88509205317544382</v>
          </cell>
          <cell r="BI46">
            <v>0</v>
          </cell>
          <cell r="BJ46">
            <v>1241.78</v>
          </cell>
          <cell r="BK46">
            <v>0</v>
          </cell>
          <cell r="BL46">
            <v>2.5784760585610975</v>
          </cell>
          <cell r="BM46">
            <v>0</v>
          </cell>
          <cell r="BN46">
            <v>0</v>
          </cell>
          <cell r="BO46">
            <v>0</v>
          </cell>
          <cell r="BP46">
            <v>1074.7242034080921</v>
          </cell>
          <cell r="BQ46">
            <v>0</v>
          </cell>
          <cell r="BR46">
            <v>0</v>
          </cell>
          <cell r="BS46">
            <v>0</v>
          </cell>
          <cell r="BT46">
            <v>0.52741321849552625</v>
          </cell>
          <cell r="BU46">
            <v>0</v>
          </cell>
          <cell r="BV46">
            <v>0.87317352495084033</v>
          </cell>
          <cell r="BW46">
            <v>0</v>
          </cell>
          <cell r="BX46">
            <v>769.93799999999987</v>
          </cell>
          <cell r="BY46">
            <v>0</v>
          </cell>
          <cell r="BZ46">
            <v>79.808070660850817</v>
          </cell>
          <cell r="CA46">
            <v>0</v>
          </cell>
          <cell r="CB46">
            <v>2.0515937646927416</v>
          </cell>
          <cell r="CC46">
            <v>0</v>
          </cell>
          <cell r="CD46">
            <v>7.8512815317597004E-2</v>
          </cell>
          <cell r="CE46">
            <v>0</v>
          </cell>
          <cell r="CF46">
            <v>1021.1664039077168</v>
          </cell>
          <cell r="CG46">
            <v>0</v>
          </cell>
          <cell r="CH46">
            <v>210.64553249742193</v>
          </cell>
          <cell r="CI46">
            <v>0</v>
          </cell>
          <cell r="CJ46">
            <v>0</v>
          </cell>
          <cell r="CK46">
            <v>0</v>
          </cell>
        </row>
      </sheetData>
      <sheetData sheetId="1">
        <row r="41">
          <cell r="P41">
            <v>1722.4600000000005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697</v>
          </cell>
        </row>
      </sheetData>
      <sheetData sheetId="13">
        <row r="6">
          <cell r="N6">
            <v>542</v>
          </cell>
        </row>
      </sheetData>
      <sheetData sheetId="14">
        <row r="6">
          <cell r="N6">
            <v>552</v>
          </cell>
        </row>
      </sheetData>
      <sheetData sheetId="15">
        <row r="6">
          <cell r="N6">
            <v>547</v>
          </cell>
        </row>
      </sheetData>
      <sheetData sheetId="16">
        <row r="6">
          <cell r="N6">
            <v>624</v>
          </cell>
        </row>
      </sheetData>
      <sheetData sheetId="17">
        <row r="6">
          <cell r="N6">
            <v>636</v>
          </cell>
        </row>
      </sheetData>
      <sheetData sheetId="18">
        <row r="6">
          <cell r="N6">
            <v>607</v>
          </cell>
        </row>
      </sheetData>
      <sheetData sheetId="19">
        <row r="6">
          <cell r="N6">
            <v>766</v>
          </cell>
        </row>
      </sheetData>
      <sheetData sheetId="20">
        <row r="6">
          <cell r="N6">
            <v>661</v>
          </cell>
        </row>
      </sheetData>
      <sheetData sheetId="21">
        <row r="6">
          <cell r="N6">
            <v>671</v>
          </cell>
        </row>
      </sheetData>
      <sheetData sheetId="22">
        <row r="6">
          <cell r="N6">
            <v>675</v>
          </cell>
        </row>
      </sheetData>
      <sheetData sheetId="23">
        <row r="6">
          <cell r="N6">
            <v>624</v>
          </cell>
        </row>
      </sheetData>
      <sheetData sheetId="24">
        <row r="6">
          <cell r="N6">
            <v>607</v>
          </cell>
        </row>
      </sheetData>
      <sheetData sheetId="25">
        <row r="6">
          <cell r="N6">
            <v>593</v>
          </cell>
        </row>
      </sheetData>
      <sheetData sheetId="26">
        <row r="6">
          <cell r="N6">
            <v>642</v>
          </cell>
        </row>
      </sheetData>
      <sheetData sheetId="27">
        <row r="6">
          <cell r="N6">
            <v>577</v>
          </cell>
        </row>
      </sheetData>
      <sheetData sheetId="28">
        <row r="6">
          <cell r="N6">
            <v>624</v>
          </cell>
        </row>
      </sheetData>
      <sheetData sheetId="29">
        <row r="6">
          <cell r="N6">
            <v>569</v>
          </cell>
        </row>
      </sheetData>
      <sheetData sheetId="30">
        <row r="6">
          <cell r="N6">
            <v>606</v>
          </cell>
        </row>
      </sheetData>
      <sheetData sheetId="31">
        <row r="6">
          <cell r="N6">
            <v>339</v>
          </cell>
        </row>
      </sheetData>
      <sheetData sheetId="32">
        <row r="6">
          <cell r="N6">
            <v>593</v>
          </cell>
        </row>
      </sheetData>
      <sheetData sheetId="33">
        <row r="6">
          <cell r="N6">
            <v>666</v>
          </cell>
        </row>
      </sheetData>
      <sheetData sheetId="34">
        <row r="6">
          <cell r="N6">
            <v>718</v>
          </cell>
        </row>
      </sheetData>
      <sheetData sheetId="35">
        <row r="6">
          <cell r="N6">
            <v>612</v>
          </cell>
        </row>
      </sheetData>
      <sheetData sheetId="36">
        <row r="6">
          <cell r="N6">
            <v>644</v>
          </cell>
        </row>
      </sheetData>
      <sheetData sheetId="37">
        <row r="6">
          <cell r="N6">
            <v>614</v>
          </cell>
        </row>
      </sheetData>
      <sheetData sheetId="38">
        <row r="6">
          <cell r="N6">
            <v>530</v>
          </cell>
        </row>
      </sheetData>
      <sheetData sheetId="39">
        <row r="6">
          <cell r="N6">
            <v>531</v>
          </cell>
        </row>
      </sheetData>
      <sheetData sheetId="40"/>
      <sheetData sheetId="41"/>
      <sheetData sheetId="4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7">
          <cell r="B47">
            <v>0.83356468968646791</v>
          </cell>
          <cell r="C47">
            <v>0</v>
          </cell>
          <cell r="D47">
            <v>0.83361178337123676</v>
          </cell>
          <cell r="E47">
            <v>0</v>
          </cell>
          <cell r="F47">
            <v>1793.9010000000003</v>
          </cell>
          <cell r="G47">
            <v>0</v>
          </cell>
          <cell r="H47">
            <v>2.2654867799282119</v>
          </cell>
          <cell r="I47">
            <v>0</v>
          </cell>
          <cell r="J47">
            <v>869.87488161275269</v>
          </cell>
          <cell r="K47">
            <v>0</v>
          </cell>
          <cell r="L47">
            <v>0.92571232966703221</v>
          </cell>
          <cell r="M47">
            <v>0</v>
          </cell>
          <cell r="N47">
            <v>0.92998023945781472</v>
          </cell>
          <cell r="O47">
            <v>0</v>
          </cell>
          <cell r="P47">
            <v>1900.5750000000003</v>
          </cell>
          <cell r="Q47">
            <v>0</v>
          </cell>
          <cell r="R47">
            <v>2.404628073083146</v>
          </cell>
          <cell r="S47">
            <v>0</v>
          </cell>
          <cell r="T47">
            <v>0.23240335161727366</v>
          </cell>
          <cell r="U47">
            <v>0</v>
          </cell>
          <cell r="V47">
            <v>527.49748365626192</v>
          </cell>
          <cell r="W47">
            <v>0</v>
          </cell>
          <cell r="X47">
            <v>446.15971482314541</v>
          </cell>
          <cell r="Y47">
            <v>0</v>
          </cell>
          <cell r="Z47">
            <v>0.89180765054163103</v>
          </cell>
          <cell r="AA47">
            <v>0</v>
          </cell>
          <cell r="AB47">
            <v>0.89180765054163103</v>
          </cell>
          <cell r="AC47">
            <v>0</v>
          </cell>
          <cell r="AD47">
            <v>1235.4100000000003</v>
          </cell>
          <cell r="AE47">
            <v>0</v>
          </cell>
          <cell r="AF47">
            <v>96.393123699060041</v>
          </cell>
          <cell r="AG47">
            <v>0</v>
          </cell>
          <cell r="AH47">
            <v>1.4614581394031132</v>
          </cell>
          <cell r="AI47">
            <v>0</v>
          </cell>
          <cell r="AJ47">
            <v>901.21823524174181</v>
          </cell>
          <cell r="AK47">
            <v>0</v>
          </cell>
          <cell r="AL47">
            <v>0</v>
          </cell>
          <cell r="AM47">
            <v>0</v>
          </cell>
          <cell r="AN47">
            <v>0.65645764284355046</v>
          </cell>
          <cell r="AO47">
            <v>0</v>
          </cell>
          <cell r="AP47">
            <v>0.84659221514529037</v>
          </cell>
          <cell r="AQ47">
            <v>0</v>
          </cell>
          <cell r="AR47">
            <v>1045.3910000000001</v>
          </cell>
          <cell r="AS47">
            <v>0</v>
          </cell>
          <cell r="AT47">
            <v>0</v>
          </cell>
          <cell r="AU47">
            <v>0</v>
          </cell>
          <cell r="AV47">
            <v>1.7690031768017898</v>
          </cell>
          <cell r="AW47">
            <v>0</v>
          </cell>
          <cell r="AX47">
            <v>9.0148088131617746E-2</v>
          </cell>
          <cell r="AY47">
            <v>0</v>
          </cell>
          <cell r="AZ47">
            <v>1055.9628120004859</v>
          </cell>
          <cell r="BA47">
            <v>0</v>
          </cell>
          <cell r="BB47">
            <v>340.1813292825363</v>
          </cell>
          <cell r="BC47">
            <v>0</v>
          </cell>
          <cell r="BD47">
            <v>7.6095929656941745</v>
          </cell>
          <cell r="BE47">
            <v>0</v>
          </cell>
          <cell r="BF47">
            <v>0.90491767701928916</v>
          </cell>
          <cell r="BG47">
            <v>0</v>
          </cell>
          <cell r="BH47">
            <v>0.90491767701928916</v>
          </cell>
          <cell r="BI47">
            <v>0</v>
          </cell>
          <cell r="BJ47">
            <v>1444.9050000000002</v>
          </cell>
          <cell r="BK47">
            <v>0</v>
          </cell>
          <cell r="BL47">
            <v>2.4918593263916997</v>
          </cell>
          <cell r="BM47">
            <v>0</v>
          </cell>
          <cell r="BN47">
            <v>0</v>
          </cell>
          <cell r="BO47">
            <v>0</v>
          </cell>
          <cell r="BP47">
            <v>1021.2881687593227</v>
          </cell>
          <cell r="BQ47">
            <v>0</v>
          </cell>
          <cell r="BR47">
            <v>0</v>
          </cell>
          <cell r="BS47">
            <v>0</v>
          </cell>
          <cell r="BT47">
            <v>0.83316575545335458</v>
          </cell>
          <cell r="BU47">
            <v>0</v>
          </cell>
          <cell r="BV47">
            <v>0.84218323358645453</v>
          </cell>
          <cell r="BW47">
            <v>0</v>
          </cell>
          <cell r="BX47">
            <v>1301.6999999999998</v>
          </cell>
          <cell r="BY47">
            <v>0</v>
          </cell>
          <cell r="BZ47">
            <v>87.852276445978333</v>
          </cell>
          <cell r="CA47">
            <v>0</v>
          </cell>
          <cell r="CB47">
            <v>1.9540600752861652</v>
          </cell>
          <cell r="CC47">
            <v>0</v>
          </cell>
          <cell r="CD47">
            <v>9.0078359068909902E-2</v>
          </cell>
          <cell r="CE47">
            <v>0</v>
          </cell>
          <cell r="CF47">
            <v>925.71845933687518</v>
          </cell>
          <cell r="CG47">
            <v>0</v>
          </cell>
          <cell r="CH47">
            <v>294.56672044249837</v>
          </cell>
          <cell r="CI47">
            <v>0</v>
          </cell>
          <cell r="CJ47">
            <v>8.7308903741261457</v>
          </cell>
          <cell r="CK4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">
          <cell r="D7">
            <v>105.82000000029802</v>
          </cell>
          <cell r="E7">
            <v>0</v>
          </cell>
          <cell r="F7">
            <v>0</v>
          </cell>
          <cell r="G7">
            <v>6494.1800000000658</v>
          </cell>
          <cell r="H7">
            <v>1399.9999999996362</v>
          </cell>
          <cell r="I7">
            <v>2453.009999998545</v>
          </cell>
          <cell r="J7">
            <v>2033.0100000000139</v>
          </cell>
          <cell r="K7">
            <v>2299.9999999992724</v>
          </cell>
          <cell r="L7">
            <v>100</v>
          </cell>
          <cell r="M7">
            <v>230</v>
          </cell>
        </row>
        <row r="8">
          <cell r="D8">
            <v>325.44999999925494</v>
          </cell>
          <cell r="E8">
            <v>0</v>
          </cell>
          <cell r="F8">
            <v>100</v>
          </cell>
          <cell r="G8">
            <v>17174.550000001109</v>
          </cell>
          <cell r="H8">
            <v>4600.0000000003638</v>
          </cell>
          <cell r="I8">
            <v>9290.7300000003634</v>
          </cell>
          <cell r="J8">
            <v>5510.7299999986035</v>
          </cell>
          <cell r="K8">
            <v>7700.0000000007276</v>
          </cell>
          <cell r="L8">
            <v>350</v>
          </cell>
          <cell r="M8">
            <v>420</v>
          </cell>
        </row>
        <row r="9">
          <cell r="D9">
            <v>224.27000000141561</v>
          </cell>
          <cell r="E9">
            <v>0</v>
          </cell>
          <cell r="F9">
            <v>100</v>
          </cell>
          <cell r="G9">
            <v>17275.729999997129</v>
          </cell>
          <cell r="H9">
            <v>5799.9999999992724</v>
          </cell>
          <cell r="I9">
            <v>11656.749999999636</v>
          </cell>
          <cell r="J9">
            <v>5376.7500000002547</v>
          </cell>
          <cell r="K9">
            <v>7600.0000000003638</v>
          </cell>
          <cell r="L9">
            <v>370</v>
          </cell>
          <cell r="M9">
            <v>450</v>
          </cell>
        </row>
        <row r="10">
          <cell r="D10">
            <v>347.5</v>
          </cell>
          <cell r="E10">
            <v>0</v>
          </cell>
          <cell r="F10">
            <v>100</v>
          </cell>
          <cell r="G10">
            <v>17752.500000000728</v>
          </cell>
          <cell r="H10">
            <v>6300.0000000001819</v>
          </cell>
          <cell r="I10">
            <v>14232.230000000727</v>
          </cell>
          <cell r="J10">
            <v>5392.2299999997722</v>
          </cell>
          <cell r="K10">
            <v>7500</v>
          </cell>
          <cell r="L10">
            <v>370</v>
          </cell>
          <cell r="M10">
            <v>570</v>
          </cell>
        </row>
        <row r="11">
          <cell r="D11">
            <v>350.51999999955297</v>
          </cell>
          <cell r="E11">
            <v>0</v>
          </cell>
          <cell r="F11">
            <v>0</v>
          </cell>
          <cell r="G11">
            <v>18249.480000000811</v>
          </cell>
          <cell r="H11">
            <v>5400.0000000005457</v>
          </cell>
          <cell r="I11">
            <v>12868.95</v>
          </cell>
          <cell r="J11">
            <v>6378.9500000013422</v>
          </cell>
          <cell r="K11">
            <v>12000</v>
          </cell>
          <cell r="L11">
            <v>390</v>
          </cell>
          <cell r="M11">
            <v>670</v>
          </cell>
        </row>
        <row r="12">
          <cell r="D12">
            <v>346.29999999888241</v>
          </cell>
          <cell r="E12">
            <v>0</v>
          </cell>
          <cell r="F12">
            <v>100</v>
          </cell>
          <cell r="G12">
            <v>18253.700000000026</v>
          </cell>
          <cell r="H12">
            <v>4599.9999999994543</v>
          </cell>
          <cell r="I12">
            <v>11719.490000000364</v>
          </cell>
          <cell r="J12">
            <v>7209.4899999990357</v>
          </cell>
          <cell r="K12">
            <v>13699.999999998909</v>
          </cell>
          <cell r="L12">
            <v>480</v>
          </cell>
          <cell r="M12">
            <v>700</v>
          </cell>
        </row>
        <row r="13">
          <cell r="D13">
            <v>320.98000000044703</v>
          </cell>
          <cell r="E13">
            <v>0</v>
          </cell>
          <cell r="F13">
            <v>100</v>
          </cell>
          <cell r="G13">
            <v>17379.020000000644</v>
          </cell>
          <cell r="H13">
            <v>4800.0000000001819</v>
          </cell>
          <cell r="I13">
            <v>10699.670000000364</v>
          </cell>
          <cell r="J13">
            <v>6909.6700000009732</v>
          </cell>
          <cell r="K13">
            <v>13200.000000000728</v>
          </cell>
          <cell r="L13">
            <v>500</v>
          </cell>
          <cell r="M13">
            <v>710</v>
          </cell>
        </row>
        <row r="14">
          <cell r="D14">
            <v>367.84999999962747</v>
          </cell>
          <cell r="E14">
            <v>0</v>
          </cell>
          <cell r="F14">
            <v>100</v>
          </cell>
          <cell r="G14">
            <v>17832.149999999645</v>
          </cell>
          <cell r="H14">
            <v>5199.9999999998181</v>
          </cell>
          <cell r="I14">
            <v>12570.269999998545</v>
          </cell>
          <cell r="J14">
            <v>6850.2699999986407</v>
          </cell>
          <cell r="K14">
            <v>13799.999999999272</v>
          </cell>
          <cell r="L14">
            <v>530</v>
          </cell>
          <cell r="M14">
            <v>750</v>
          </cell>
        </row>
        <row r="15">
          <cell r="D15">
            <v>329.33000000007451</v>
          </cell>
          <cell r="E15">
            <v>0</v>
          </cell>
          <cell r="F15">
            <v>0</v>
          </cell>
          <cell r="G15">
            <v>17470.670000001017</v>
          </cell>
          <cell r="H15">
            <v>5000</v>
          </cell>
          <cell r="I15">
            <v>12326.710000000363</v>
          </cell>
          <cell r="J15">
            <v>7566.710000000222</v>
          </cell>
          <cell r="K15">
            <v>13900.000000001455</v>
          </cell>
          <cell r="L15">
            <v>520</v>
          </cell>
          <cell r="M15">
            <v>740</v>
          </cell>
        </row>
        <row r="16">
          <cell r="D16">
            <v>240.3600000012666</v>
          </cell>
          <cell r="E16">
            <v>0</v>
          </cell>
          <cell r="F16">
            <v>100</v>
          </cell>
          <cell r="G16">
            <v>17159.639999998733</v>
          </cell>
          <cell r="H16">
            <v>4900.0000000005457</v>
          </cell>
          <cell r="I16">
            <v>11571.269999999637</v>
          </cell>
          <cell r="J16">
            <v>6801.270000001201</v>
          </cell>
          <cell r="K16">
            <v>13199.999999998909</v>
          </cell>
          <cell r="L16">
            <v>480</v>
          </cell>
          <cell r="M16">
            <v>730</v>
          </cell>
        </row>
        <row r="17">
          <cell r="D17">
            <v>370.69999999925494</v>
          </cell>
          <cell r="E17">
            <v>0</v>
          </cell>
          <cell r="F17">
            <v>100</v>
          </cell>
          <cell r="G17">
            <v>16829.300000000017</v>
          </cell>
          <cell r="H17">
            <v>4399.9999999996362</v>
          </cell>
          <cell r="I17">
            <v>12534.110000000364</v>
          </cell>
          <cell r="J17">
            <v>7164.1099999996231</v>
          </cell>
          <cell r="K17">
            <v>13399.999999999636</v>
          </cell>
          <cell r="L17">
            <v>410</v>
          </cell>
          <cell r="M17">
            <v>600</v>
          </cell>
        </row>
        <row r="18">
          <cell r="D18">
            <v>365.69999999925494</v>
          </cell>
          <cell r="E18">
            <v>0</v>
          </cell>
          <cell r="F18">
            <v>100</v>
          </cell>
          <cell r="G18">
            <v>17534.300000000745</v>
          </cell>
          <cell r="H18">
            <v>3899.9999999996362</v>
          </cell>
          <cell r="I18">
            <v>10701.760000001092</v>
          </cell>
          <cell r="J18">
            <v>7411.7599999987906</v>
          </cell>
          <cell r="K18">
            <v>12100.000000000364</v>
          </cell>
          <cell r="L18">
            <v>430</v>
          </cell>
          <cell r="M18">
            <v>660</v>
          </cell>
        </row>
        <row r="19">
          <cell r="D19">
            <v>372.93000000156462</v>
          </cell>
          <cell r="E19">
            <v>0</v>
          </cell>
          <cell r="F19">
            <v>30</v>
          </cell>
          <cell r="G19">
            <v>17597.069999998435</v>
          </cell>
          <cell r="H19">
            <v>4600.0000000003638</v>
          </cell>
          <cell r="I19">
            <v>12451.909999999272</v>
          </cell>
          <cell r="J19">
            <v>7231.9100000007957</v>
          </cell>
          <cell r="K19">
            <v>12399.999999999636</v>
          </cell>
          <cell r="L19">
            <v>476.76000000000931</v>
          </cell>
          <cell r="M19">
            <v>673.72000000000116</v>
          </cell>
        </row>
        <row r="20">
          <cell r="D20">
            <v>378.08000000007451</v>
          </cell>
          <cell r="E20">
            <v>0</v>
          </cell>
          <cell r="F20">
            <v>70</v>
          </cell>
          <cell r="G20">
            <v>17551.919999999925</v>
          </cell>
          <cell r="H20">
            <v>4899.9999999996362</v>
          </cell>
          <cell r="I20">
            <v>13236.080000000728</v>
          </cell>
          <cell r="J20">
            <v>6286.0799999996816</v>
          </cell>
          <cell r="K20">
            <v>12300.000000001091</v>
          </cell>
          <cell r="L20">
            <v>513.23999999999069</v>
          </cell>
          <cell r="M20">
            <v>696.27999999999884</v>
          </cell>
        </row>
        <row r="21">
          <cell r="D21">
            <v>370.8099999986589</v>
          </cell>
          <cell r="E21">
            <v>0</v>
          </cell>
          <cell r="F21">
            <v>100</v>
          </cell>
          <cell r="G21">
            <v>16529.190000001341</v>
          </cell>
          <cell r="H21">
            <v>5200.0000000007276</v>
          </cell>
          <cell r="I21">
            <v>14229.229999998908</v>
          </cell>
          <cell r="J21">
            <v>7249.2299999995403</v>
          </cell>
          <cell r="K21">
            <v>12699.999999998909</v>
          </cell>
          <cell r="L21">
            <v>510</v>
          </cell>
          <cell r="M21">
            <v>700</v>
          </cell>
        </row>
        <row r="22">
          <cell r="D22">
            <v>394.57000000029802</v>
          </cell>
          <cell r="E22">
            <v>0</v>
          </cell>
          <cell r="F22">
            <v>100</v>
          </cell>
          <cell r="G22">
            <v>17505.429999999702</v>
          </cell>
          <cell r="H22">
            <v>5199.9999999998181</v>
          </cell>
          <cell r="I22">
            <v>14043.400000000363</v>
          </cell>
          <cell r="J22">
            <v>7383.4000000000133</v>
          </cell>
          <cell r="K22">
            <v>12500</v>
          </cell>
          <cell r="L22">
            <v>490</v>
          </cell>
          <cell r="M22">
            <v>690</v>
          </cell>
        </row>
        <row r="23">
          <cell r="D23">
            <v>250.93999999947846</v>
          </cell>
          <cell r="E23">
            <v>0</v>
          </cell>
          <cell r="F23">
            <v>0</v>
          </cell>
          <cell r="G23">
            <v>17349.060000000885</v>
          </cell>
          <cell r="H23">
            <v>6199.9999999998181</v>
          </cell>
          <cell r="I23">
            <v>14524.770000000364</v>
          </cell>
          <cell r="J23">
            <v>7184.7700000008372</v>
          </cell>
          <cell r="K23">
            <v>11000</v>
          </cell>
          <cell r="L23">
            <v>450</v>
          </cell>
          <cell r="M23">
            <v>640</v>
          </cell>
        </row>
        <row r="24">
          <cell r="D24">
            <v>271.37000000104308</v>
          </cell>
          <cell r="E24">
            <v>0</v>
          </cell>
          <cell r="F24">
            <v>100</v>
          </cell>
          <cell r="G24">
            <v>17628.629999998957</v>
          </cell>
          <cell r="H24">
            <v>8000</v>
          </cell>
          <cell r="I24">
            <v>18159.29</v>
          </cell>
          <cell r="J24">
            <v>6129.2899999995416</v>
          </cell>
          <cell r="K24">
            <v>9300.0000000010914</v>
          </cell>
          <cell r="L24">
            <v>390</v>
          </cell>
          <cell r="M24">
            <v>650</v>
          </cell>
        </row>
        <row r="25">
          <cell r="D25">
            <v>340.25</v>
          </cell>
          <cell r="E25">
            <v>0</v>
          </cell>
          <cell r="F25">
            <v>100</v>
          </cell>
          <cell r="G25">
            <v>17259.749999998909</v>
          </cell>
          <cell r="H25">
            <v>7500</v>
          </cell>
          <cell r="I25">
            <v>17793.229999998908</v>
          </cell>
          <cell r="J25">
            <v>5493.2300000004179</v>
          </cell>
          <cell r="K25">
            <v>9299.9999999992724</v>
          </cell>
          <cell r="L25">
            <v>400</v>
          </cell>
          <cell r="M25">
            <v>620</v>
          </cell>
        </row>
        <row r="26">
          <cell r="D26">
            <v>386.33000000007451</v>
          </cell>
          <cell r="E26">
            <v>0</v>
          </cell>
          <cell r="F26">
            <v>0</v>
          </cell>
          <cell r="G26">
            <v>17813.670000000653</v>
          </cell>
          <cell r="H26">
            <v>7800.0000000001819</v>
          </cell>
          <cell r="I26">
            <v>17908.400000001093</v>
          </cell>
          <cell r="J26">
            <v>5548.4000000006954</v>
          </cell>
          <cell r="K26">
            <v>8700.0000000007276</v>
          </cell>
          <cell r="L26">
            <v>90</v>
          </cell>
          <cell r="M26">
            <v>30</v>
          </cell>
        </row>
        <row r="27">
          <cell r="D27">
            <v>393.77999999932945</v>
          </cell>
          <cell r="E27">
            <v>0</v>
          </cell>
          <cell r="F27">
            <v>100</v>
          </cell>
          <cell r="G27">
            <v>16906.220000000307</v>
          </cell>
          <cell r="H27">
            <v>7500</v>
          </cell>
          <cell r="I27">
            <v>17070.95</v>
          </cell>
          <cell r="J27">
            <v>4640.9499999995687</v>
          </cell>
          <cell r="K27">
            <v>8600.0000000003638</v>
          </cell>
          <cell r="L27">
            <v>20</v>
          </cell>
          <cell r="M27">
            <v>10</v>
          </cell>
        </row>
        <row r="28">
          <cell r="D28">
            <v>348.80000000074506</v>
          </cell>
          <cell r="E28">
            <v>0</v>
          </cell>
          <cell r="F28">
            <v>100</v>
          </cell>
          <cell r="G28">
            <v>17251.199999999983</v>
          </cell>
          <cell r="H28">
            <v>7500</v>
          </cell>
          <cell r="I28">
            <v>16557.560000000001</v>
          </cell>
          <cell r="J28">
            <v>4857.5599999993356</v>
          </cell>
          <cell r="K28">
            <v>8500</v>
          </cell>
          <cell r="L28">
            <v>160</v>
          </cell>
          <cell r="M28">
            <v>80</v>
          </cell>
        </row>
        <row r="29">
          <cell r="D29">
            <v>370.50999999977648</v>
          </cell>
          <cell r="E29">
            <v>0</v>
          </cell>
          <cell r="F29">
            <v>0</v>
          </cell>
          <cell r="G29">
            <v>16629.490000000224</v>
          </cell>
          <cell r="H29">
            <v>5300.0000000001819</v>
          </cell>
          <cell r="I29">
            <v>11324.77</v>
          </cell>
          <cell r="J29">
            <v>6264.7700000004552</v>
          </cell>
          <cell r="K29">
            <v>12299.999999999272</v>
          </cell>
          <cell r="L29">
            <v>360</v>
          </cell>
          <cell r="M29">
            <v>560</v>
          </cell>
        </row>
        <row r="30">
          <cell r="D30">
            <v>359.00999999977648</v>
          </cell>
          <cell r="E30">
            <v>0</v>
          </cell>
          <cell r="F30">
            <v>100</v>
          </cell>
          <cell r="G30">
            <v>17240.989999999132</v>
          </cell>
          <cell r="H30">
            <v>5599.9999999994543</v>
          </cell>
          <cell r="I30">
            <v>12441.559999999636</v>
          </cell>
          <cell r="J30">
            <v>6731.5599999992219</v>
          </cell>
          <cell r="K30">
            <v>12600.000000000364</v>
          </cell>
          <cell r="L30">
            <v>430</v>
          </cell>
          <cell r="M30">
            <v>650</v>
          </cell>
        </row>
        <row r="31">
          <cell r="D31">
            <v>387.00999999977648</v>
          </cell>
          <cell r="E31">
            <v>0</v>
          </cell>
          <cell r="F31">
            <v>100</v>
          </cell>
          <cell r="G31">
            <v>16912.990000001679</v>
          </cell>
          <cell r="H31">
            <v>5600.0000000003638</v>
          </cell>
          <cell r="I31">
            <v>13174.59</v>
          </cell>
          <cell r="J31">
            <v>6724.5900000011325</v>
          </cell>
          <cell r="K31">
            <v>12299.999999999272</v>
          </cell>
          <cell r="L31">
            <v>390</v>
          </cell>
          <cell r="M31">
            <v>600</v>
          </cell>
        </row>
        <row r="32">
          <cell r="D32">
            <v>365.92999999970198</v>
          </cell>
          <cell r="E32">
            <v>0</v>
          </cell>
          <cell r="F32">
            <v>100</v>
          </cell>
          <cell r="G32">
            <v>17534.070000000298</v>
          </cell>
          <cell r="H32">
            <v>5599.9999999994543</v>
          </cell>
          <cell r="I32">
            <v>14006.529999999273</v>
          </cell>
          <cell r="J32">
            <v>7556.5299999988692</v>
          </cell>
          <cell r="K32">
            <v>12700.000000000728</v>
          </cell>
          <cell r="L32">
            <v>420</v>
          </cell>
          <cell r="M32">
            <v>690</v>
          </cell>
        </row>
        <row r="33">
          <cell r="D33">
            <v>348.67999999970198</v>
          </cell>
          <cell r="E33">
            <v>0</v>
          </cell>
          <cell r="F33">
            <v>100</v>
          </cell>
          <cell r="G33">
            <v>17051.320000000298</v>
          </cell>
          <cell r="H33">
            <v>5400.0000000005457</v>
          </cell>
          <cell r="I33">
            <v>12380.310000001455</v>
          </cell>
          <cell r="J33">
            <v>5930.3100000004042</v>
          </cell>
          <cell r="K33">
            <v>12699.999999998909</v>
          </cell>
          <cell r="L33">
            <v>410</v>
          </cell>
          <cell r="M33">
            <v>660</v>
          </cell>
        </row>
        <row r="34">
          <cell r="D34">
            <v>336.33000000007451</v>
          </cell>
          <cell r="E34">
            <v>0</v>
          </cell>
          <cell r="F34">
            <v>200</v>
          </cell>
          <cell r="G34">
            <v>17063.66999999847</v>
          </cell>
          <cell r="H34">
            <v>6300.0000000001819</v>
          </cell>
          <cell r="I34">
            <v>14352.3</v>
          </cell>
          <cell r="J34">
            <v>6092.2999999999265</v>
          </cell>
          <cell r="K34">
            <v>11400.000000001455</v>
          </cell>
          <cell r="L34">
            <v>420</v>
          </cell>
          <cell r="M34">
            <v>650</v>
          </cell>
        </row>
        <row r="35">
          <cell r="D35">
            <v>361.89000000059605</v>
          </cell>
          <cell r="E35">
            <v>0</v>
          </cell>
          <cell r="F35">
            <v>0</v>
          </cell>
          <cell r="G35">
            <v>18038.110000000859</v>
          </cell>
          <cell r="H35">
            <v>7699.9999999998181</v>
          </cell>
          <cell r="I35">
            <v>17230.339999998545</v>
          </cell>
          <cell r="J35">
            <v>7200.3400000003639</v>
          </cell>
          <cell r="K35">
            <v>8899.9999999996362</v>
          </cell>
          <cell r="L35">
            <v>440</v>
          </cell>
          <cell r="M35">
            <v>660</v>
          </cell>
        </row>
        <row r="36">
          <cell r="D36">
            <v>354.16999999992549</v>
          </cell>
          <cell r="E36">
            <v>0</v>
          </cell>
          <cell r="F36">
            <v>100</v>
          </cell>
          <cell r="G36">
            <v>17745.829999998983</v>
          </cell>
          <cell r="H36">
            <v>7699.9999999998181</v>
          </cell>
          <cell r="I36">
            <v>16632.470000001456</v>
          </cell>
          <cell r="J36">
            <v>5642.4700000007952</v>
          </cell>
          <cell r="K36">
            <v>9399.9999999996362</v>
          </cell>
          <cell r="L36">
            <v>440</v>
          </cell>
          <cell r="M36">
            <v>700</v>
          </cell>
        </row>
        <row r="37">
          <cell r="D37">
            <v>293.41999999992549</v>
          </cell>
          <cell r="E37">
            <v>0</v>
          </cell>
          <cell r="F37">
            <v>100</v>
          </cell>
          <cell r="G37">
            <v>17706.580000000438</v>
          </cell>
          <cell r="H37">
            <v>7699.9999999998181</v>
          </cell>
          <cell r="I37">
            <v>16796.569999998908</v>
          </cell>
          <cell r="J37">
            <v>5646.5699999988356</v>
          </cell>
          <cell r="K37">
            <v>9299.9999999992724</v>
          </cell>
          <cell r="L37">
            <v>460</v>
          </cell>
          <cell r="M37">
            <v>710</v>
          </cell>
        </row>
        <row r="38">
          <cell r="N38">
            <v>1697838.4199999967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50"/>
  <sheetViews>
    <sheetView topLeftCell="A10" zoomScale="115" zoomScaleNormal="115" workbookViewId="0">
      <selection activeCell="L40" sqref="L40:M40"/>
    </sheetView>
  </sheetViews>
  <sheetFormatPr defaultRowHeight="12.75"/>
  <cols>
    <col min="1" max="1" width="11.5703125" style="594" customWidth="1"/>
    <col min="2" max="9" width="9.140625" style="590" customWidth="1"/>
    <col min="10" max="10" width="10.28515625" style="590" customWidth="1"/>
    <col min="11" max="11" width="9.140625" style="590" customWidth="1"/>
    <col min="12" max="25" width="9.42578125" style="590" customWidth="1"/>
    <col min="26" max="34" width="9.140625" style="590" customWidth="1"/>
    <col min="35" max="35" width="9.28515625" style="590" customWidth="1"/>
    <col min="36" max="36" width="10.28515625" style="590" customWidth="1"/>
    <col min="37" max="37" width="9.140625" style="590" customWidth="1"/>
    <col min="38" max="38" width="10.28515625" style="590" customWidth="1"/>
    <col min="39" max="39" width="8.28515625" style="590" customWidth="1"/>
    <col min="40" max="53" width="9.140625" style="590" customWidth="1"/>
    <col min="54" max="54" width="12.85546875" style="590" customWidth="1"/>
    <col min="55" max="55" width="9.140625" style="590" customWidth="1"/>
    <col min="56" max="56" width="7.7109375" style="590" customWidth="1"/>
    <col min="57" max="57" width="10.7109375" style="590" customWidth="1"/>
    <col min="58" max="71" width="9.140625" style="590" customWidth="1"/>
    <col min="72" max="87" width="9.140625" style="590"/>
    <col min="88" max="89" width="9.140625" style="590" customWidth="1"/>
    <col min="90" max="16384" width="9.140625" style="590"/>
  </cols>
  <sheetData>
    <row r="1" spans="1:89" ht="13.5" thickBot="1">
      <c r="A1" s="628" t="s">
        <v>30</v>
      </c>
      <c r="B1" s="631" t="s">
        <v>148</v>
      </c>
      <c r="C1" s="632"/>
      <c r="D1" s="632"/>
      <c r="E1" s="632"/>
      <c r="F1" s="632"/>
      <c r="G1" s="632"/>
      <c r="H1" s="632"/>
      <c r="I1" s="632"/>
      <c r="J1" s="632"/>
      <c r="K1" s="633"/>
      <c r="L1" s="634" t="s">
        <v>212</v>
      </c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6"/>
      <c r="Z1" s="807" t="s">
        <v>314</v>
      </c>
      <c r="AA1" s="808"/>
      <c r="AB1" s="808"/>
      <c r="AC1" s="808"/>
      <c r="AD1" s="808"/>
      <c r="AE1" s="808"/>
      <c r="AF1" s="808"/>
      <c r="AG1" s="808"/>
      <c r="AH1" s="808"/>
      <c r="AI1" s="808"/>
      <c r="AJ1" s="808"/>
      <c r="AK1" s="808"/>
      <c r="AL1" s="808"/>
      <c r="AM1" s="809"/>
      <c r="AN1" s="813" t="s">
        <v>315</v>
      </c>
      <c r="AO1" s="814"/>
      <c r="AP1" s="814"/>
      <c r="AQ1" s="814"/>
      <c r="AR1" s="814"/>
      <c r="AS1" s="814"/>
      <c r="AT1" s="814"/>
      <c r="AU1" s="814"/>
      <c r="AV1" s="814"/>
      <c r="AW1" s="814"/>
      <c r="AX1" s="814"/>
      <c r="AY1" s="814"/>
      <c r="AZ1" s="814"/>
      <c r="BA1" s="814"/>
      <c r="BB1" s="814"/>
      <c r="BC1" s="814"/>
      <c r="BD1" s="814"/>
      <c r="BE1" s="815"/>
      <c r="BF1" s="637" t="s">
        <v>213</v>
      </c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9"/>
      <c r="BT1" s="817" t="s">
        <v>316</v>
      </c>
      <c r="BU1" s="818"/>
      <c r="BV1" s="818"/>
      <c r="BW1" s="818"/>
      <c r="BX1" s="818"/>
      <c r="BY1" s="818"/>
      <c r="BZ1" s="818"/>
      <c r="CA1" s="818"/>
      <c r="CB1" s="818"/>
      <c r="CC1" s="818"/>
      <c r="CD1" s="818"/>
      <c r="CE1" s="818"/>
      <c r="CF1" s="818"/>
      <c r="CG1" s="818"/>
      <c r="CH1" s="818"/>
      <c r="CI1" s="818"/>
      <c r="CJ1" s="818"/>
      <c r="CK1" s="819"/>
    </row>
    <row r="2" spans="1:89">
      <c r="A2" s="629"/>
      <c r="B2" s="643" t="s">
        <v>403</v>
      </c>
      <c r="C2" s="641"/>
      <c r="D2" s="640" t="s">
        <v>404</v>
      </c>
      <c r="E2" s="641"/>
      <c r="F2" s="640" t="s">
        <v>214</v>
      </c>
      <c r="G2" s="641"/>
      <c r="H2" s="640" t="s">
        <v>215</v>
      </c>
      <c r="I2" s="641"/>
      <c r="J2" s="640" t="s">
        <v>216</v>
      </c>
      <c r="K2" s="642"/>
      <c r="L2" s="643" t="s">
        <v>403</v>
      </c>
      <c r="M2" s="641"/>
      <c r="N2" s="640" t="s">
        <v>404</v>
      </c>
      <c r="O2" s="641"/>
      <c r="P2" s="640" t="s">
        <v>214</v>
      </c>
      <c r="Q2" s="641"/>
      <c r="R2" s="640" t="s">
        <v>317</v>
      </c>
      <c r="S2" s="641"/>
      <c r="T2" s="640" t="s">
        <v>318</v>
      </c>
      <c r="U2" s="641"/>
      <c r="V2" s="640" t="s">
        <v>216</v>
      </c>
      <c r="W2" s="641"/>
      <c r="X2" s="640" t="s">
        <v>319</v>
      </c>
      <c r="Y2" s="642"/>
      <c r="Z2" s="643" t="s">
        <v>403</v>
      </c>
      <c r="AA2" s="641"/>
      <c r="AB2" s="640" t="s">
        <v>404</v>
      </c>
      <c r="AC2" s="641"/>
      <c r="AD2" s="640" t="s">
        <v>214</v>
      </c>
      <c r="AE2" s="641"/>
      <c r="AF2" s="640" t="s">
        <v>320</v>
      </c>
      <c r="AG2" s="641"/>
      <c r="AH2" s="640" t="s">
        <v>217</v>
      </c>
      <c r="AI2" s="641"/>
      <c r="AJ2" s="640" t="s">
        <v>218</v>
      </c>
      <c r="AK2" s="642"/>
      <c r="AL2" s="666" t="s">
        <v>428</v>
      </c>
      <c r="AM2" s="667"/>
      <c r="AN2" s="643" t="s">
        <v>403</v>
      </c>
      <c r="AO2" s="641"/>
      <c r="AP2" s="640" t="s">
        <v>404</v>
      </c>
      <c r="AQ2" s="641"/>
      <c r="AR2" s="640" t="s">
        <v>214</v>
      </c>
      <c r="AS2" s="641"/>
      <c r="AT2" s="640" t="s">
        <v>320</v>
      </c>
      <c r="AU2" s="641"/>
      <c r="AV2" s="640" t="s">
        <v>217</v>
      </c>
      <c r="AW2" s="641"/>
      <c r="AX2" s="640" t="s">
        <v>321</v>
      </c>
      <c r="AY2" s="641"/>
      <c r="AZ2" s="640" t="s">
        <v>218</v>
      </c>
      <c r="BA2" s="641"/>
      <c r="BB2" s="640" t="s">
        <v>322</v>
      </c>
      <c r="BC2" s="642"/>
      <c r="BD2" s="650" t="s">
        <v>428</v>
      </c>
      <c r="BE2" s="810"/>
      <c r="BF2" s="643" t="s">
        <v>403</v>
      </c>
      <c r="BG2" s="641"/>
      <c r="BH2" s="640" t="s">
        <v>404</v>
      </c>
      <c r="BI2" s="641"/>
      <c r="BJ2" s="640" t="s">
        <v>214</v>
      </c>
      <c r="BK2" s="641"/>
      <c r="BL2" s="640" t="s">
        <v>217</v>
      </c>
      <c r="BM2" s="641"/>
      <c r="BN2" s="640" t="s">
        <v>318</v>
      </c>
      <c r="BO2" s="641"/>
      <c r="BP2" s="640" t="s">
        <v>218</v>
      </c>
      <c r="BQ2" s="641"/>
      <c r="BR2" s="640" t="s">
        <v>319</v>
      </c>
      <c r="BS2" s="642"/>
      <c r="BT2" s="643" t="s">
        <v>403</v>
      </c>
      <c r="BU2" s="641"/>
      <c r="BV2" s="640" t="s">
        <v>404</v>
      </c>
      <c r="BW2" s="641"/>
      <c r="BX2" s="640" t="s">
        <v>214</v>
      </c>
      <c r="BY2" s="641"/>
      <c r="BZ2" s="640" t="s">
        <v>320</v>
      </c>
      <c r="CA2" s="641"/>
      <c r="CB2" s="640" t="s">
        <v>217</v>
      </c>
      <c r="CC2" s="641"/>
      <c r="CD2" s="640" t="s">
        <v>321</v>
      </c>
      <c r="CE2" s="641"/>
      <c r="CF2" s="640" t="s">
        <v>218</v>
      </c>
      <c r="CG2" s="641"/>
      <c r="CH2" s="650" t="s">
        <v>322</v>
      </c>
      <c r="CI2" s="650"/>
      <c r="CJ2" s="650" t="s">
        <v>429</v>
      </c>
      <c r="CK2" s="810"/>
    </row>
    <row r="3" spans="1:89" ht="13.5" thickBot="1">
      <c r="A3" s="630"/>
      <c r="B3" s="507" t="s">
        <v>219</v>
      </c>
      <c r="C3" s="508" t="s">
        <v>220</v>
      </c>
      <c r="D3" s="508" t="s">
        <v>219</v>
      </c>
      <c r="E3" s="508" t="s">
        <v>220</v>
      </c>
      <c r="F3" s="508" t="s">
        <v>219</v>
      </c>
      <c r="G3" s="508" t="s">
        <v>220</v>
      </c>
      <c r="H3" s="508" t="s">
        <v>219</v>
      </c>
      <c r="I3" s="508" t="s">
        <v>220</v>
      </c>
      <c r="J3" s="508" t="s">
        <v>219</v>
      </c>
      <c r="K3" s="509" t="s">
        <v>220</v>
      </c>
      <c r="L3" s="507" t="s">
        <v>219</v>
      </c>
      <c r="M3" s="508" t="s">
        <v>220</v>
      </c>
      <c r="N3" s="508" t="s">
        <v>219</v>
      </c>
      <c r="O3" s="508" t="s">
        <v>220</v>
      </c>
      <c r="P3" s="551" t="s">
        <v>219</v>
      </c>
      <c r="Q3" s="551" t="s">
        <v>220</v>
      </c>
      <c r="R3" s="551" t="s">
        <v>219</v>
      </c>
      <c r="S3" s="551" t="s">
        <v>220</v>
      </c>
      <c r="T3" s="551" t="s">
        <v>219</v>
      </c>
      <c r="U3" s="551" t="s">
        <v>220</v>
      </c>
      <c r="V3" s="551" t="s">
        <v>219</v>
      </c>
      <c r="W3" s="551" t="s">
        <v>220</v>
      </c>
      <c r="X3" s="551" t="s">
        <v>219</v>
      </c>
      <c r="Y3" s="552" t="s">
        <v>220</v>
      </c>
      <c r="Z3" s="565" t="s">
        <v>219</v>
      </c>
      <c r="AA3" s="551" t="s">
        <v>220</v>
      </c>
      <c r="AB3" s="551" t="s">
        <v>219</v>
      </c>
      <c r="AC3" s="551" t="s">
        <v>220</v>
      </c>
      <c r="AD3" s="551" t="s">
        <v>219</v>
      </c>
      <c r="AE3" s="551" t="s">
        <v>220</v>
      </c>
      <c r="AF3" s="551" t="s">
        <v>219</v>
      </c>
      <c r="AG3" s="551" t="s">
        <v>220</v>
      </c>
      <c r="AH3" s="551" t="s">
        <v>219</v>
      </c>
      <c r="AI3" s="551" t="s">
        <v>220</v>
      </c>
      <c r="AJ3" s="551" t="s">
        <v>219</v>
      </c>
      <c r="AK3" s="586" t="s">
        <v>220</v>
      </c>
      <c r="AL3" s="508" t="s">
        <v>219</v>
      </c>
      <c r="AM3" s="597" t="s">
        <v>220</v>
      </c>
      <c r="AN3" s="565" t="s">
        <v>219</v>
      </c>
      <c r="AO3" s="551" t="s">
        <v>220</v>
      </c>
      <c r="AP3" s="551" t="s">
        <v>219</v>
      </c>
      <c r="AQ3" s="551" t="s">
        <v>220</v>
      </c>
      <c r="AR3" s="551" t="s">
        <v>219</v>
      </c>
      <c r="AS3" s="551" t="s">
        <v>220</v>
      </c>
      <c r="AT3" s="551" t="s">
        <v>219</v>
      </c>
      <c r="AU3" s="551" t="s">
        <v>220</v>
      </c>
      <c r="AV3" s="551" t="s">
        <v>219</v>
      </c>
      <c r="AW3" s="551" t="s">
        <v>220</v>
      </c>
      <c r="AX3" s="551" t="s">
        <v>219</v>
      </c>
      <c r="AY3" s="551" t="s">
        <v>220</v>
      </c>
      <c r="AZ3" s="551" t="s">
        <v>219</v>
      </c>
      <c r="BA3" s="551" t="s">
        <v>220</v>
      </c>
      <c r="BB3" s="551" t="s">
        <v>219</v>
      </c>
      <c r="BC3" s="552" t="s">
        <v>220</v>
      </c>
      <c r="BD3" s="599" t="s">
        <v>219</v>
      </c>
      <c r="BE3" s="600" t="s">
        <v>220</v>
      </c>
      <c r="BF3" s="565" t="s">
        <v>219</v>
      </c>
      <c r="BG3" s="551" t="s">
        <v>220</v>
      </c>
      <c r="BH3" s="551" t="s">
        <v>219</v>
      </c>
      <c r="BI3" s="551" t="s">
        <v>220</v>
      </c>
      <c r="BJ3" s="551" t="s">
        <v>219</v>
      </c>
      <c r="BK3" s="551" t="s">
        <v>220</v>
      </c>
      <c r="BL3" s="551" t="s">
        <v>219</v>
      </c>
      <c r="BM3" s="551" t="s">
        <v>220</v>
      </c>
      <c r="BN3" s="551" t="s">
        <v>219</v>
      </c>
      <c r="BO3" s="551" t="s">
        <v>220</v>
      </c>
      <c r="BP3" s="551" t="s">
        <v>219</v>
      </c>
      <c r="BQ3" s="551" t="s">
        <v>220</v>
      </c>
      <c r="BR3" s="551" t="s">
        <v>219</v>
      </c>
      <c r="BS3" s="552" t="s">
        <v>220</v>
      </c>
      <c r="BT3" s="507" t="s">
        <v>219</v>
      </c>
      <c r="BU3" s="508" t="s">
        <v>220</v>
      </c>
      <c r="BV3" s="508" t="s">
        <v>219</v>
      </c>
      <c r="BW3" s="508" t="s">
        <v>220</v>
      </c>
      <c r="BX3" s="508" t="s">
        <v>219</v>
      </c>
      <c r="BY3" s="508" t="s">
        <v>220</v>
      </c>
      <c r="BZ3" s="508" t="s">
        <v>219</v>
      </c>
      <c r="CA3" s="508" t="s">
        <v>220</v>
      </c>
      <c r="CB3" s="508" t="s">
        <v>219</v>
      </c>
      <c r="CC3" s="508" t="s">
        <v>220</v>
      </c>
      <c r="CD3" s="508" t="s">
        <v>219</v>
      </c>
      <c r="CE3" s="508" t="s">
        <v>220</v>
      </c>
      <c r="CF3" s="508" t="s">
        <v>219</v>
      </c>
      <c r="CG3" s="508" t="s">
        <v>220</v>
      </c>
      <c r="CH3" s="508" t="s">
        <v>219</v>
      </c>
      <c r="CI3" s="508" t="s">
        <v>220</v>
      </c>
      <c r="CJ3" s="508" t="s">
        <v>219</v>
      </c>
      <c r="CK3" s="509" t="s">
        <v>220</v>
      </c>
    </row>
    <row r="4" spans="1:89" ht="14.25" customHeight="1" thickTop="1">
      <c r="A4" s="567">
        <f>+Report1!A9</f>
        <v>45870</v>
      </c>
      <c r="B4" s="518">
        <f>+Report1!J9</f>
        <v>0.11550916662961484</v>
      </c>
      <c r="C4" s="519">
        <f>+Report1!K9</f>
        <v>0.11550916662961484</v>
      </c>
      <c r="D4" s="519">
        <f>+Report1!AJ9</f>
        <v>0.11550916662961484</v>
      </c>
      <c r="E4" s="519">
        <f>+Report1!AK9</f>
        <v>0.11550916662961484</v>
      </c>
      <c r="F4" s="520">
        <f>+Report1!R9</f>
        <v>7.7140000000000004</v>
      </c>
      <c r="G4" s="520">
        <f>+Report1!S9</f>
        <v>7.7140000000000004</v>
      </c>
      <c r="H4" s="520">
        <f>+Report1!X9</f>
        <v>4.6392273787918077</v>
      </c>
      <c r="I4" s="520">
        <f>+Report1!Y9</f>
        <v>4.6392273787918077</v>
      </c>
      <c r="J4" s="520">
        <f>+Report1!AD9</f>
        <v>1959.5566502460244</v>
      </c>
      <c r="K4" s="553">
        <f>+Report1!AE9</f>
        <v>1959.5566502460244</v>
      </c>
      <c r="L4" s="518">
        <f>+[1]Report1!J9</f>
        <v>1.0736612946546025</v>
      </c>
      <c r="M4" s="519">
        <f>+[1]Report1!K9</f>
        <v>1.0736612946546025</v>
      </c>
      <c r="N4" s="519">
        <f>+[1]Report1!BJ9</f>
        <v>1.0736612946546025</v>
      </c>
      <c r="O4" s="519">
        <f>+[1]Report1!BK9</f>
        <v>1.0736612946546025</v>
      </c>
      <c r="P4" s="520">
        <f>+[1]Report1!R9</f>
        <v>80.168999999999997</v>
      </c>
      <c r="Q4" s="520">
        <f>+[1]Report1!S9</f>
        <v>80.168999999999997</v>
      </c>
      <c r="R4" s="520">
        <f>+[1]Report1!AL9</f>
        <v>2.3001160049395653</v>
      </c>
      <c r="S4" s="520">
        <f>+[1]Report1!AM9</f>
        <v>2.3001160049395653</v>
      </c>
      <c r="T4" s="520">
        <f>+[1]Report1!AR9</f>
        <v>0.23949406877970289</v>
      </c>
      <c r="U4" s="520">
        <f>+[1]Report1!AS9</f>
        <v>0.23949406877970289</v>
      </c>
      <c r="V4" s="520">
        <f>+[1]Report1!AX9</f>
        <v>428.99287754617444</v>
      </c>
      <c r="W4" s="520">
        <f>+[1]Report1!AY9</f>
        <v>428.99287754617444</v>
      </c>
      <c r="X4" s="520">
        <f>+[1]Report1!BD9</f>
        <v>393.75569110254588</v>
      </c>
      <c r="Y4" s="520">
        <f>+[1]Report1!BE9</f>
        <v>393.75569110254588</v>
      </c>
      <c r="Z4" s="518">
        <f>+[2]Report1!J9</f>
        <v>0.93571530238499145</v>
      </c>
      <c r="AA4" s="519">
        <f>+[2]Report1!K9</f>
        <v>0.93571530238499145</v>
      </c>
      <c r="AB4" s="519">
        <f>+[2]Report1!BC9</f>
        <v>0.93571530238499145</v>
      </c>
      <c r="AC4" s="519">
        <f>+[2]Report1!BD9</f>
        <v>0.93571530238499145</v>
      </c>
      <c r="AD4" s="520">
        <f>+[2]Report1!R9</f>
        <v>44.627000000000002</v>
      </c>
      <c r="AE4" s="520">
        <f>+[2]Report1!S9</f>
        <v>44.627000000000002</v>
      </c>
      <c r="AF4" s="520">
        <f>+[2]Report1!X9</f>
        <v>92.489962357539497</v>
      </c>
      <c r="AG4" s="520">
        <f>+[2]Report1!Y9</f>
        <v>92.489962357539483</v>
      </c>
      <c r="AH4" s="520">
        <f>+[2]Report1!AD9</f>
        <v>1.3332735787751808</v>
      </c>
      <c r="AI4" s="520">
        <f>+[2]Report1!AE9</f>
        <v>1.3332735787751808</v>
      </c>
      <c r="AJ4" s="520">
        <f>+[2]Report1!AJ9</f>
        <v>841.77784749144519</v>
      </c>
      <c r="AK4" s="520">
        <f>+[2]Report1!AK9</f>
        <v>841.77784749144519</v>
      </c>
      <c r="AL4" s="598">
        <v>0</v>
      </c>
      <c r="AM4" s="598">
        <v>0</v>
      </c>
      <c r="AN4" s="518">
        <f>+[3]Report1!J9</f>
        <v>0.89220755657812334</v>
      </c>
      <c r="AO4" s="519">
        <f>+[3]Report1!K9</f>
        <v>0.89220755657812334</v>
      </c>
      <c r="AP4" s="519">
        <f>+[3]Report1!BN9</f>
        <v>0.89220755657812334</v>
      </c>
      <c r="AQ4" s="519">
        <f>+[3]Report1!BO9</f>
        <v>0.89220755657812334</v>
      </c>
      <c r="AR4" s="520">
        <f>+[3]Report1!R9</f>
        <v>45.591999999999999</v>
      </c>
      <c r="AS4" s="520">
        <f>+[3]Report1!S9</f>
        <v>45.591999999999999</v>
      </c>
      <c r="AT4" s="521">
        <f>+[3]Report1!AF9</f>
        <v>119.11206199069575</v>
      </c>
      <c r="AU4" s="521">
        <f>+[3]Report1!AG9</f>
        <v>119.11206199069575</v>
      </c>
      <c r="AV4" s="520">
        <f>+[3]Report1!AL9</f>
        <v>1.5879978943674331</v>
      </c>
      <c r="AW4" s="520">
        <f>+[3]Report1!AM9</f>
        <v>1.5879978943674331</v>
      </c>
      <c r="AX4" s="520">
        <f>+[3]Report1!AR9</f>
        <v>0.19082295139498157</v>
      </c>
      <c r="AY4" s="520">
        <f>+[3]Report1!AS9</f>
        <v>0.19082295139498157</v>
      </c>
      <c r="AZ4" s="520">
        <f>+[3]Report1!AX9</f>
        <v>938.67389015616914</v>
      </c>
      <c r="BA4" s="520">
        <f>+[3]Report1!AY9</f>
        <v>938.67389015616914</v>
      </c>
      <c r="BB4" s="520">
        <f>+[3]Report1!BD9</f>
        <v>545.80854097209397</v>
      </c>
      <c r="BC4" s="520">
        <f>+[3]Report1!BE9</f>
        <v>545.80854097209397</v>
      </c>
      <c r="BD4" s="520">
        <f>+[3]Report1!BJ9</f>
        <v>15.302289875416616</v>
      </c>
      <c r="BE4" s="520">
        <f>+[3]Report1!BK9</f>
        <v>15.302289875416616</v>
      </c>
      <c r="BF4" s="518">
        <f>+[4]Report1!J9</f>
        <v>0.84364073764658554</v>
      </c>
      <c r="BG4" s="519">
        <f>+[4]Report1!K9</f>
        <v>0.84364073764658554</v>
      </c>
      <c r="BH4" s="519">
        <f>+[4]Report1!AN9</f>
        <v>0.84364073764658554</v>
      </c>
      <c r="BI4" s="519">
        <f>+[4]Report1!AO9</f>
        <v>0.84364073764658554</v>
      </c>
      <c r="BJ4" s="520">
        <f>+[4]Report1!R9</f>
        <v>45.37</v>
      </c>
      <c r="BK4" s="520">
        <f>+[4]Report1!S9</f>
        <v>45.37</v>
      </c>
      <c r="BL4" s="520">
        <f>+[4]Report1!AD9</f>
        <v>2.8080229226361033</v>
      </c>
      <c r="BM4" s="520">
        <f>+[4]Report1!AE9</f>
        <v>2.8080229226361033</v>
      </c>
      <c r="BN4" s="521">
        <v>0</v>
      </c>
      <c r="BO4" s="521">
        <v>0</v>
      </c>
      <c r="BP4" s="521">
        <f>+[4]Report1!AJ9</f>
        <v>1046.0847476306119</v>
      </c>
      <c r="BQ4" s="521">
        <f>+[4]Report1!AK9</f>
        <v>1046.0847476306119</v>
      </c>
      <c r="BR4" s="521">
        <v>0</v>
      </c>
      <c r="BS4" s="522">
        <v>0</v>
      </c>
      <c r="BT4" s="601">
        <f>+[5]Report1!J9</f>
        <v>1.0117806564072955</v>
      </c>
      <c r="BU4" s="602">
        <f>+[5]Report1!K9</f>
        <v>1.0117806564072955</v>
      </c>
      <c r="BV4" s="602">
        <f>+[5]Report1!BG9</f>
        <v>1.0117806564072955</v>
      </c>
      <c r="BW4" s="602">
        <f>+[5]Report1!BH9</f>
        <v>1.0117806564072955</v>
      </c>
      <c r="BX4" s="598">
        <f>+[5]Report1!R9</f>
        <v>52.125999999999998</v>
      </c>
      <c r="BY4" s="598">
        <f>+[5]Report1!S9</f>
        <v>52.125999999999998</v>
      </c>
      <c r="BZ4" s="603">
        <f>+[5]Report1!X9</f>
        <v>70.730409384765494</v>
      </c>
      <c r="CA4" s="603">
        <f>+[5]Report1!Y9</f>
        <v>70.730409384765494</v>
      </c>
      <c r="CB4" s="598">
        <f>+[5]Report1!AD9</f>
        <v>1.8800598549668113</v>
      </c>
      <c r="CC4" s="598">
        <f>+[5]Report1!AE9</f>
        <v>1.8800598549668113</v>
      </c>
      <c r="CD4" s="603">
        <f>+[5]Report1!AJ9</f>
        <v>0.17649541495606799</v>
      </c>
      <c r="CE4" s="603">
        <f>+[5]Report1!AK9</f>
        <v>0.17649541495606799</v>
      </c>
      <c r="CF4" s="603">
        <f>+[5]Report1!AP9</f>
        <v>741.15997774624157</v>
      </c>
      <c r="CG4" s="603">
        <f>+[5]Report1!AQ9</f>
        <v>741.15997774624157</v>
      </c>
      <c r="CH4" s="603">
        <f>+[5]Report1!AV9</f>
        <v>496.87674097378846</v>
      </c>
      <c r="CI4" s="603">
        <f>+[5]Report1!AW9</f>
        <v>496.87674097378846</v>
      </c>
      <c r="CJ4" s="603">
        <f>+[5]Report1!BB9</f>
        <v>13.930437785366113</v>
      </c>
      <c r="CK4" s="603">
        <f>+[5]Report1!BC9</f>
        <v>13.930437785366113</v>
      </c>
    </row>
    <row r="5" spans="1:89" ht="14.25" customHeight="1">
      <c r="A5" s="568">
        <f>1+A4</f>
        <v>45871</v>
      </c>
      <c r="B5" s="512">
        <f>+Report1!J10</f>
        <v>0.66209516620163322</v>
      </c>
      <c r="C5" s="513">
        <f>+Report1!K10</f>
        <v>0.38887501099624505</v>
      </c>
      <c r="D5" s="513">
        <f>+Report1!AJ10</f>
        <v>0.66209516620163322</v>
      </c>
      <c r="E5" s="513">
        <f>+Report1!AK10</f>
        <v>0.38887501099624505</v>
      </c>
      <c r="F5" s="510">
        <f>+Report1!R10</f>
        <v>44.24</v>
      </c>
      <c r="G5" s="510">
        <f>+Report1!S10</f>
        <v>51.954000000000001</v>
      </c>
      <c r="H5" s="510">
        <f>+Report1!X10</f>
        <v>2.8289783001808315</v>
      </c>
      <c r="I5" s="510">
        <f>+Report1!Y10</f>
        <v>3.0977595565307774</v>
      </c>
      <c r="J5" s="510">
        <f>+Report1!AD10</f>
        <v>1027.8358951175501</v>
      </c>
      <c r="K5" s="511">
        <f>+Report1!AE10</f>
        <v>1166.1754629094632</v>
      </c>
      <c r="L5" s="512">
        <f>+[1]Report1!J10</f>
        <v>1.0084006925939923</v>
      </c>
      <c r="M5" s="513">
        <f>+[1]Report1!K10</f>
        <v>1.0426799600844918</v>
      </c>
      <c r="N5" s="513">
        <f>+[1]Report1!BJ10</f>
        <v>1.0084006925939923</v>
      </c>
      <c r="O5" s="513">
        <f>+[1]Report1!BK10</f>
        <v>1.0426799600844918</v>
      </c>
      <c r="P5" s="510">
        <f>+[1]Report1!R10</f>
        <v>68.052000000000007</v>
      </c>
      <c r="Q5" s="510">
        <f>+[1]Report1!S10</f>
        <v>148.221</v>
      </c>
      <c r="R5" s="510">
        <f>+[1]Report1!AL10</f>
        <v>2.682110738846764</v>
      </c>
      <c r="S5" s="510">
        <f>+[1]Report1!AM10</f>
        <v>2.4754994231586616</v>
      </c>
      <c r="T5" s="510">
        <f>+[1]Report1!AR10</f>
        <v>0.26303415035561034</v>
      </c>
      <c r="U5" s="510">
        <f>+[1]Report1!AS10</f>
        <v>0.25030191403377383</v>
      </c>
      <c r="V5" s="510">
        <f>+[1]Report1!AX10</f>
        <v>531.02759654383976</v>
      </c>
      <c r="W5" s="510">
        <f>+[1]Report1!AY10</f>
        <v>475.8395908811886</v>
      </c>
      <c r="X5" s="510">
        <f>+[1]Report1!BD10</f>
        <v>461.57350261564682</v>
      </c>
      <c r="Y5" s="587">
        <f>+[1]Report1!BE10</f>
        <v>424.8925590840704</v>
      </c>
      <c r="Z5" s="512">
        <f>+[2]Report1!J10</f>
        <v>0.95928273913585382</v>
      </c>
      <c r="AA5" s="513">
        <f>+[2]Report1!K10</f>
        <v>0.94749902076042258</v>
      </c>
      <c r="AB5" s="513">
        <f>+[2]Report1!BC10</f>
        <v>0.95928273913585382</v>
      </c>
      <c r="AC5" s="513">
        <f>+[2]Report1!BD10</f>
        <v>0.94749902076042258</v>
      </c>
      <c r="AD5" s="510">
        <f>+[2]Report1!R10</f>
        <v>45.750999999999998</v>
      </c>
      <c r="AE5" s="510">
        <f>+[2]Report1!S10</f>
        <v>90.378</v>
      </c>
      <c r="AF5" s="510">
        <f>+[2]Report1!X10</f>
        <v>88.306060210923548</v>
      </c>
      <c r="AG5" s="510">
        <f>+[2]Report1!Y10</f>
        <v>90.371994410585302</v>
      </c>
      <c r="AH5" s="510">
        <f>+[2]Report1!AD10</f>
        <v>1.3267469563506811</v>
      </c>
      <c r="AI5" s="510">
        <f>+[2]Report1!AE10</f>
        <v>1.3299696828874283</v>
      </c>
      <c r="AJ5" s="510">
        <f>+[2]Report1!AJ10</f>
        <v>853.34659351708149</v>
      </c>
      <c r="AK5" s="510">
        <f>+[2]Report1!AK10</f>
        <v>847.63415875545729</v>
      </c>
      <c r="AL5" s="598">
        <v>0</v>
      </c>
      <c r="AM5" s="598">
        <v>0</v>
      </c>
      <c r="AN5" s="512">
        <f>+[3]Report1!J10</f>
        <v>0.89586703221157027</v>
      </c>
      <c r="AO5" s="513">
        <f>+[3]Report1!K10</f>
        <v>0.89403729439484692</v>
      </c>
      <c r="AP5" s="513">
        <f>+[3]Report1!BN10</f>
        <v>0.89586703221157027</v>
      </c>
      <c r="AQ5" s="513">
        <f>+[3]Report1!BO10</f>
        <v>0.89403729439484692</v>
      </c>
      <c r="AR5" s="510">
        <f>+[3]Report1!R10</f>
        <v>45.779000000000003</v>
      </c>
      <c r="AS5" s="510">
        <f>+[3]Report1!S10</f>
        <v>91.371000000000009</v>
      </c>
      <c r="AT5" s="514">
        <f>+[3]Report1!AF10</f>
        <v>118.40144868438162</v>
      </c>
      <c r="AU5" s="514">
        <f>+[3]Report1!AG10</f>
        <v>118.75602816650914</v>
      </c>
      <c r="AV5" s="510">
        <f>+[3]Report1!AL10</f>
        <v>1.5487450577775836</v>
      </c>
      <c r="AW5" s="510">
        <f>+[3]Report1!AM10</f>
        <v>1.5683313086208972</v>
      </c>
      <c r="AX5" s="510">
        <f>+[3]Report1!AR10</f>
        <v>0.24028484676379996</v>
      </c>
      <c r="AY5" s="510">
        <f>+[3]Report1!AS10</f>
        <v>0.21560451346707377</v>
      </c>
      <c r="AZ5" s="510">
        <f>+[3]Report1!AX10</f>
        <v>922.07038161602384</v>
      </c>
      <c r="BA5" s="510">
        <f>+[3]Report1!AY10</f>
        <v>930.35514550568553</v>
      </c>
      <c r="BB5" s="510">
        <f>+[3]Report1!BD10</f>
        <v>516.82577164202905</v>
      </c>
      <c r="BC5" s="510">
        <f>+[3]Report1!BE10</f>
        <v>531.28749822153793</v>
      </c>
      <c r="BD5" s="510">
        <f>+[3]Report1!BJ10</f>
        <v>15.458529019856332</v>
      </c>
      <c r="BE5" s="510">
        <f>+[3]Report1!BK10</f>
        <v>15.380569327248221</v>
      </c>
      <c r="BF5" s="512">
        <f>+[4]Report1!J10</f>
        <v>0.84293413971776543</v>
      </c>
      <c r="BG5" s="513">
        <f>+[4]Report1!K10</f>
        <v>0.84328743868217548</v>
      </c>
      <c r="BH5" s="513">
        <f>+[4]Report1!AN10</f>
        <v>0.84293413971776543</v>
      </c>
      <c r="BI5" s="513">
        <f>+[4]Report1!AO10</f>
        <v>0.84328743868217548</v>
      </c>
      <c r="BJ5" s="510">
        <f>+[4]Report1!R10</f>
        <v>45.332000000000001</v>
      </c>
      <c r="BK5" s="510">
        <f>+[4]Report1!S10</f>
        <v>90.701999999999998</v>
      </c>
      <c r="BL5" s="510">
        <f>+[4]Report1!AD10</f>
        <v>2.8302303008912029</v>
      </c>
      <c r="BM5" s="510">
        <f>+[4]Report1!AE10</f>
        <v>2.8191219598244803</v>
      </c>
      <c r="BN5" s="514">
        <v>0</v>
      </c>
      <c r="BO5" s="514">
        <v>0</v>
      </c>
      <c r="BP5" s="514">
        <f>+[4]Report1!AJ10</f>
        <v>1034.3912688608705</v>
      </c>
      <c r="BQ5" s="514">
        <f>+[4]Report1!AK10</f>
        <v>1040.240457762804</v>
      </c>
      <c r="BR5" s="514">
        <v>0</v>
      </c>
      <c r="BS5" s="515">
        <v>0</v>
      </c>
      <c r="BT5" s="512">
        <f>+[5]Report1!J10</f>
        <v>0.81839596009862248</v>
      </c>
      <c r="BU5" s="513">
        <f>+[5]Report1!K10</f>
        <v>0.91508830825295895</v>
      </c>
      <c r="BV5" s="513">
        <f>+[5]Report1!BG10</f>
        <v>0.81839596009862248</v>
      </c>
      <c r="BW5" s="513">
        <f>+[5]Report1!BH10</f>
        <v>0.91508830825295895</v>
      </c>
      <c r="BX5" s="510">
        <f>+[5]Report1!R10</f>
        <v>42.162999999999997</v>
      </c>
      <c r="BY5" s="510">
        <f>+[5]Report1!S10</f>
        <v>94.288999999999987</v>
      </c>
      <c r="BZ5" s="514">
        <f>+[5]Report1!X10</f>
        <v>87.911427554199847</v>
      </c>
      <c r="CA5" s="514">
        <f>+[5]Report1!Y10</f>
        <v>78.413206625990469</v>
      </c>
      <c r="CB5" s="510">
        <f>+[5]Report1!AD10</f>
        <v>2.3077105519056995</v>
      </c>
      <c r="CC5" s="510">
        <f>+[5]Report1!AE10</f>
        <v>2.0712914549947508</v>
      </c>
      <c r="CD5" s="514">
        <f>+[5]Report1!AJ10</f>
        <v>0.25140526053648937</v>
      </c>
      <c r="CE5" s="514">
        <f>+[5]Report1!AK10</f>
        <v>0.20999268207320049</v>
      </c>
      <c r="CF5" s="514">
        <f>+[5]Report1!AP10</f>
        <v>913.04852595881096</v>
      </c>
      <c r="CG5" s="514">
        <f>+[5]Report1!AQ10</f>
        <v>818.02299313813853</v>
      </c>
      <c r="CH5" s="514">
        <f>+[5]Report1!AV10</f>
        <v>539.14410739274786</v>
      </c>
      <c r="CI5" s="514">
        <f>+[5]Report1!AW10</f>
        <v>515.77734412285781</v>
      </c>
      <c r="CJ5" s="514">
        <f>+[5]Report1!BB10</f>
        <v>16.126082109906857</v>
      </c>
      <c r="CK5" s="514">
        <f>+[5]Report1!BC10</f>
        <v>14.912259118242817</v>
      </c>
    </row>
    <row r="6" spans="1:89" ht="12.75" customHeight="1">
      <c r="A6" s="568">
        <f t="shared" ref="A6:A34" si="0">1+A5</f>
        <v>45872</v>
      </c>
      <c r="B6" s="512">
        <f>+Report1!J11</f>
        <v>0.78055074259255575</v>
      </c>
      <c r="C6" s="513">
        <f>+Report1!K11</f>
        <v>0.51856922936571559</v>
      </c>
      <c r="D6" s="513">
        <f>+Report1!AJ11</f>
        <v>0.78055074259255575</v>
      </c>
      <c r="E6" s="513">
        <f>+Report1!AK11</f>
        <v>0.51856922936571559</v>
      </c>
      <c r="F6" s="510">
        <f>+Report1!R11</f>
        <v>51.625</v>
      </c>
      <c r="G6" s="510">
        <f>+Report1!S11</f>
        <v>103.57900000000001</v>
      </c>
      <c r="H6" s="510">
        <f>+Report1!X11</f>
        <v>2.6112348668280871</v>
      </c>
      <c r="I6" s="510">
        <f>+Report1!Y11</f>
        <v>2.8552698906148928</v>
      </c>
      <c r="J6" s="510">
        <f>+Report1!AD11</f>
        <v>946.31476997574964</v>
      </c>
      <c r="K6" s="511">
        <f>+Report1!AE11</f>
        <v>1056.594290348394</v>
      </c>
      <c r="L6" s="512">
        <f>+[1]Report1!J11</f>
        <v>0.91110339907076565</v>
      </c>
      <c r="M6" s="513">
        <f>+[1]Report1!K11</f>
        <v>1.0044026983975332</v>
      </c>
      <c r="N6" s="513">
        <f>+[1]Report1!BJ11</f>
        <v>0.91110339907076565</v>
      </c>
      <c r="O6" s="513">
        <f>+[1]Report1!BK11</f>
        <v>1.0044026983975332</v>
      </c>
      <c r="P6" s="510">
        <f>+[1]Report1!R11</f>
        <v>53.136000000000003</v>
      </c>
      <c r="Q6" s="510">
        <f>+[1]Report1!S11</f>
        <v>201.357</v>
      </c>
      <c r="R6" s="510">
        <f>+[1]Report1!AL11</f>
        <v>2.894214844926227</v>
      </c>
      <c r="S6" s="510">
        <f>+[1]Report1!AM11</f>
        <v>2.5859940305030369</v>
      </c>
      <c r="T6" s="510">
        <f>+[1]Report1!AR11</f>
        <v>0.28605841613971694</v>
      </c>
      <c r="U6" s="510">
        <f>+[1]Report1!AS11</f>
        <v>0.2597376798422702</v>
      </c>
      <c r="V6" s="510">
        <f>+[1]Report1!AX11</f>
        <v>677.61875188195825</v>
      </c>
      <c r="W6" s="510">
        <f>+[1]Report1!AY11</f>
        <v>529.08699474068635</v>
      </c>
      <c r="X6" s="510">
        <f>+[1]Report1!BD11</f>
        <v>477.86811201445352</v>
      </c>
      <c r="Y6" s="587">
        <f>+[1]Report1!BE11</f>
        <v>438.87225177172883</v>
      </c>
      <c r="Z6" s="512">
        <f>+[2]Report1!J11</f>
        <v>0.62858379568870104</v>
      </c>
      <c r="AA6" s="513">
        <f>+[2]Report1!K11</f>
        <v>0.8411939457365154</v>
      </c>
      <c r="AB6" s="513">
        <f>+[2]Report1!BC11</f>
        <v>0.62858379568870104</v>
      </c>
      <c r="AC6" s="513">
        <f>+[2]Report1!BD11</f>
        <v>0.8411939457365154</v>
      </c>
      <c r="AD6" s="510">
        <f>+[2]Report1!R11</f>
        <v>29.978999999999999</v>
      </c>
      <c r="AE6" s="510">
        <f>+[2]Report1!S11</f>
        <v>120.357</v>
      </c>
      <c r="AF6" s="510">
        <f>+[2]Report1!X11</f>
        <v>96.908808779457274</v>
      </c>
      <c r="AG6" s="510">
        <f>+[2]Report1!Y11</f>
        <v>92.000210118557533</v>
      </c>
      <c r="AH6" s="510">
        <f>+[2]Report1!AD11</f>
        <v>1.5777711064411755</v>
      </c>
      <c r="AI6" s="510">
        <f>+[2]Report1!AE11</f>
        <v>1.3916930465199366</v>
      </c>
      <c r="AJ6" s="510">
        <f>+[2]Report1!AJ11</f>
        <v>969.79552353312772</v>
      </c>
      <c r="AK6" s="510">
        <f>+[2]Report1!AK11</f>
        <v>878.06259710694314</v>
      </c>
      <c r="AL6" s="598">
        <v>0</v>
      </c>
      <c r="AM6" s="598">
        <v>0</v>
      </c>
      <c r="AN6" s="512">
        <f>+[3]Report1!J11</f>
        <v>0.98639502301544812</v>
      </c>
      <c r="AO6" s="513">
        <f>+[3]Report1!K11</f>
        <v>0.92482320393504736</v>
      </c>
      <c r="AP6" s="513">
        <f>+[3]Report1!BN11</f>
        <v>0.98639502301544812</v>
      </c>
      <c r="AQ6" s="513">
        <f>+[3]Report1!BO11</f>
        <v>0.92482320393504736</v>
      </c>
      <c r="AR6" s="510">
        <f>+[3]Report1!R11</f>
        <v>50.405000000000001</v>
      </c>
      <c r="AS6" s="510">
        <f>+[3]Report1!S11</f>
        <v>141.77600000000001</v>
      </c>
      <c r="AT6" s="514">
        <f>+[3]Report1!AF11</f>
        <v>107.6514392733048</v>
      </c>
      <c r="AU6" s="514">
        <f>+[3]Report1!AG11</f>
        <v>114.80806233899274</v>
      </c>
      <c r="AV6" s="510">
        <f>+[3]Report1!AL11</f>
        <v>1.4145422081142742</v>
      </c>
      <c r="AW6" s="510">
        <f>+[3]Report1!AM11</f>
        <v>1.5136553436406726</v>
      </c>
      <c r="AX6" s="510">
        <f>+[3]Report1!AR11</f>
        <v>0.22418410871937308</v>
      </c>
      <c r="AY6" s="510">
        <f>+[3]Report1!AS11</f>
        <v>0.21865477937027422</v>
      </c>
      <c r="AZ6" s="510">
        <f>+[3]Report1!AX11</f>
        <v>861.88870151770629</v>
      </c>
      <c r="BA6" s="510">
        <f>+[3]Report1!AY11</f>
        <v>906.01357070308086</v>
      </c>
      <c r="BB6" s="510">
        <f>+[3]Report1!BD11</f>
        <v>523.57206626325365</v>
      </c>
      <c r="BC6" s="510">
        <f>+[3]Report1!BE11</f>
        <v>528.54446450738817</v>
      </c>
      <c r="BD6" s="510">
        <f>+[3]Report1!BJ11</f>
        <v>13.930165658168717</v>
      </c>
      <c r="BE6" s="510">
        <f>+[3]Report1!BK11</f>
        <v>14.86491366662899</v>
      </c>
      <c r="BF6" s="512">
        <f>+[4]Report1!J11</f>
        <v>0.99516880401383323</v>
      </c>
      <c r="BG6" s="513">
        <f>+[4]Report1!K11</f>
        <v>0.89391456045939488</v>
      </c>
      <c r="BH6" s="513">
        <f>+[4]Report1!AN11</f>
        <v>0.99516880401383323</v>
      </c>
      <c r="BI6" s="513">
        <f>+[4]Report1!AO11</f>
        <v>0.89391456045939488</v>
      </c>
      <c r="BJ6" s="510">
        <f>+[4]Report1!R11</f>
        <v>53.518999999999998</v>
      </c>
      <c r="BK6" s="510">
        <f>+[4]Report1!S11</f>
        <v>144.221</v>
      </c>
      <c r="BL6" s="510">
        <f>+[4]Report1!AD11</f>
        <v>2.4122274332480051</v>
      </c>
      <c r="BM6" s="510">
        <f>+[4]Report1!AE11</f>
        <v>2.6681273878284024</v>
      </c>
      <c r="BN6" s="514">
        <v>0</v>
      </c>
      <c r="BO6" s="514">
        <v>0</v>
      </c>
      <c r="BP6" s="514">
        <f>+[4]Report1!AJ11</f>
        <v>888.73699060143235</v>
      </c>
      <c r="BQ6" s="514">
        <f>+[4]Report1!AK11</f>
        <v>984.01900555397549</v>
      </c>
      <c r="BR6" s="514">
        <v>0</v>
      </c>
      <c r="BS6" s="515">
        <v>0</v>
      </c>
      <c r="BT6" s="512">
        <f>+[5]Report1!J11</f>
        <v>0.97878316732521742</v>
      </c>
      <c r="BU6" s="513">
        <f>+[5]Report1!K11</f>
        <v>0.93631992794371177</v>
      </c>
      <c r="BV6" s="513">
        <f>+[5]Report1!BG11</f>
        <v>0.97878316732521742</v>
      </c>
      <c r="BW6" s="513">
        <f>+[5]Report1!BH11</f>
        <v>0.93631992794371177</v>
      </c>
      <c r="BX6" s="510">
        <f>+[5]Report1!R11</f>
        <v>50.426000000000002</v>
      </c>
      <c r="BY6" s="510">
        <f>+[5]Report1!S11</f>
        <v>144.71499999999997</v>
      </c>
      <c r="BZ6" s="514">
        <f>+[5]Report1!X11</f>
        <v>76.00444264922308</v>
      </c>
      <c r="CA6" s="514">
        <f>+[5]Report1!Y11</f>
        <v>77.573871848721552</v>
      </c>
      <c r="CB6" s="510">
        <f>+[5]Report1!AD11</f>
        <v>1.9672391226748105</v>
      </c>
      <c r="CC6" s="510">
        <f>+[5]Report1!AE11</f>
        <v>2.0350343779152129</v>
      </c>
      <c r="CD6" s="514">
        <f>+[5]Report1!AJ11</f>
        <v>0.22805695474556775</v>
      </c>
      <c r="CE6" s="514">
        <f>+[5]Report1!AK11</f>
        <v>0.2162871851570328</v>
      </c>
      <c r="CF6" s="514">
        <f>+[5]Report1!AP11</f>
        <v>764.31949787804206</v>
      </c>
      <c r="CG6" s="514">
        <f>+[5]Report1!AQ11</f>
        <v>799.30998859828003</v>
      </c>
      <c r="CH6" s="514">
        <f>+[5]Report1!AV11</f>
        <v>523.35402371790929</v>
      </c>
      <c r="CI6" s="514">
        <f>+[5]Report1!AW11</f>
        <v>518.41744117748294</v>
      </c>
      <c r="CJ6" s="514">
        <f>+[5]Report1!BB11</f>
        <v>13.924364415182529</v>
      </c>
      <c r="CK6" s="514">
        <f>+[5]Report1!BC11</f>
        <v>14.56802681131874</v>
      </c>
    </row>
    <row r="7" spans="1:89" ht="12.75" customHeight="1">
      <c r="A7" s="568">
        <f t="shared" si="0"/>
        <v>45873</v>
      </c>
      <c r="B7" s="512">
        <f>+Report1!J12</f>
        <v>0.68443015671764551</v>
      </c>
      <c r="C7" s="513">
        <f>+Report1!K12</f>
        <v>0.55881790984855062</v>
      </c>
      <c r="D7" s="513">
        <f>+Report1!AJ12</f>
        <v>0.68443015671764551</v>
      </c>
      <c r="E7" s="513">
        <f>+Report1!AK12</f>
        <v>0.55881790984855062</v>
      </c>
      <c r="F7" s="510">
        <f>+Report1!R12</f>
        <v>43.804000000000002</v>
      </c>
      <c r="G7" s="510">
        <f>+Report1!S12</f>
        <v>147.38300000000001</v>
      </c>
      <c r="H7" s="510">
        <f>+Report1!X12</f>
        <v>2.9611222719386356</v>
      </c>
      <c r="I7" s="510">
        <f>+Report1!Y12</f>
        <v>2.886730491304967</v>
      </c>
      <c r="J7" s="510">
        <f>+Report1!AD12</f>
        <v>1199.992238151799</v>
      </c>
      <c r="K7" s="511">
        <f>+Report1!AE12</f>
        <v>1099.2138849120843</v>
      </c>
      <c r="L7" s="512">
        <f>+[1]Report1!J12</f>
        <v>0.80052628435133444</v>
      </c>
      <c r="M7" s="513">
        <f>+[1]Report1!K12</f>
        <v>0.9613215669015448</v>
      </c>
      <c r="N7" s="513">
        <f>+[1]Report1!BJ12</f>
        <v>0.80052628435133444</v>
      </c>
      <c r="O7" s="513">
        <f>+[1]Report1!BK12</f>
        <v>0.9613215669015448</v>
      </c>
      <c r="P7" s="510">
        <f>+[1]Report1!R12</f>
        <v>42.997999999999998</v>
      </c>
      <c r="Q7" s="510">
        <f>+[1]Report1!S12</f>
        <v>244.35499999999999</v>
      </c>
      <c r="R7" s="510">
        <f>+[1]Report1!AL12</f>
        <v>3.4281594492767105</v>
      </c>
      <c r="S7" s="510">
        <f>+[1]Report1!AM12</f>
        <v>2.7341859180290968</v>
      </c>
      <c r="T7" s="510">
        <f>+[1]Report1!AR12</f>
        <v>0.23722033582957347</v>
      </c>
      <c r="U7" s="510">
        <f>+[1]Report1!AS12</f>
        <v>0.25577540872910315</v>
      </c>
      <c r="V7" s="510">
        <f>+[1]Report1!AX12</f>
        <v>879.37322666170667</v>
      </c>
      <c r="W7" s="510">
        <f>+[1]Report1!AY12</f>
        <v>590.72521536289594</v>
      </c>
      <c r="X7" s="510">
        <f>+[1]Report1!BD12</f>
        <v>389.64603004790922</v>
      </c>
      <c r="Y7" s="587">
        <f>+[1]Report1!BE12</f>
        <v>430.21014507581185</v>
      </c>
      <c r="Z7" s="512">
        <f>+[2]Report1!J12</f>
        <v>0.92728637927658697</v>
      </c>
      <c r="AA7" s="513">
        <f>+[2]Report1!K12</f>
        <v>0.86271705412153321</v>
      </c>
      <c r="AB7" s="513">
        <f>+[2]Report1!BC12</f>
        <v>0.92728637927658697</v>
      </c>
      <c r="AC7" s="513">
        <f>+[2]Report1!BD12</f>
        <v>0.86271705412153321</v>
      </c>
      <c r="AD7" s="510">
        <f>+[2]Report1!R12</f>
        <v>44.225000000000001</v>
      </c>
      <c r="AE7" s="510">
        <f>+[2]Report1!S12</f>
        <v>164.58199999999999</v>
      </c>
      <c r="AF7" s="510">
        <f>+[2]Report1!X12</f>
        <v>96.428790299210732</v>
      </c>
      <c r="AG7" s="510">
        <f>+[2]Report1!Y12</f>
        <v>93.19021849425711</v>
      </c>
      <c r="AH7" s="510">
        <f>+[2]Report1!AD12</f>
        <v>1.3408705483323911</v>
      </c>
      <c r="AI7" s="510">
        <f>+[2]Report1!AE12</f>
        <v>1.3780364802955367</v>
      </c>
      <c r="AJ7" s="510">
        <f>+[2]Report1!AJ12</f>
        <v>828.13928773317434</v>
      </c>
      <c r="AK7" s="510">
        <f>+[2]Report1!AK12</f>
        <v>864.64765284174462</v>
      </c>
      <c r="AL7" s="598">
        <v>0</v>
      </c>
      <c r="AM7" s="598">
        <v>0</v>
      </c>
      <c r="AN7" s="512">
        <f>+[3]Report1!J12</f>
        <v>0.93655179072459693</v>
      </c>
      <c r="AO7" s="513">
        <f>+[3]Report1!K12</f>
        <v>0.92775535063243475</v>
      </c>
      <c r="AP7" s="513">
        <f>+[3]Report1!BN12</f>
        <v>0.93655179072459693</v>
      </c>
      <c r="AQ7" s="513">
        <f>+[3]Report1!BO12</f>
        <v>0.92775535063243475</v>
      </c>
      <c r="AR7" s="510">
        <f>+[3]Report1!R12</f>
        <v>47.857999999999997</v>
      </c>
      <c r="AS7" s="510">
        <f>+[3]Report1!S12</f>
        <v>189.63400000000001</v>
      </c>
      <c r="AT7" s="514">
        <f>+[3]Report1!AF12</f>
        <v>112.83687736242176</v>
      </c>
      <c r="AU7" s="514">
        <f>+[3]Report1!AG12</f>
        <v>114.31059368564611</v>
      </c>
      <c r="AV7" s="510">
        <f>+[3]Report1!AL12</f>
        <v>1.4668393998913454</v>
      </c>
      <c r="AW7" s="510">
        <f>+[3]Report1!AM12</f>
        <v>1.5018403872723245</v>
      </c>
      <c r="AX7" s="510">
        <f>+[3]Report1!AR12</f>
        <v>0.17969827406076311</v>
      </c>
      <c r="AY7" s="510">
        <f>+[3]Report1!AS12</f>
        <v>0.20882331227522491</v>
      </c>
      <c r="AZ7" s="510">
        <f>+[3]Report1!AX12</f>
        <v>917.59914747795665</v>
      </c>
      <c r="BA7" s="510">
        <f>+[3]Report1!AY12</f>
        <v>908.93742683274127</v>
      </c>
      <c r="BB7" s="510">
        <f>+[3]Report1!BD12</f>
        <v>460.94696811402241</v>
      </c>
      <c r="BC7" s="510">
        <f>+[3]Report1!BE12</f>
        <v>511.48486030986186</v>
      </c>
      <c r="BD7" s="510">
        <f>+[3]Report1!BJ12</f>
        <v>14.375861924861351</v>
      </c>
      <c r="BE7" s="510">
        <f>+[3]Report1!BK12</f>
        <v>14.74149150468801</v>
      </c>
      <c r="BF7" s="512">
        <f>+[4]Report1!J12</f>
        <v>0.87419463115995699</v>
      </c>
      <c r="BG7" s="513">
        <f>+[4]Report1!K12</f>
        <v>0.88908076889404664</v>
      </c>
      <c r="BH7" s="513">
        <f>+[4]Report1!AN12</f>
        <v>0.87419463115995699</v>
      </c>
      <c r="BI7" s="513">
        <f>+[4]Report1!AO12</f>
        <v>0.88908076889404664</v>
      </c>
      <c r="BJ7" s="510">
        <f>+[4]Report1!R12</f>
        <v>45.798000000000002</v>
      </c>
      <c r="BK7" s="510">
        <f>+[4]Report1!S12</f>
        <v>190.01900000000001</v>
      </c>
      <c r="BL7" s="510">
        <f>+[4]Report1!AD12</f>
        <v>2.8625704179221798</v>
      </c>
      <c r="BM7" s="510">
        <f>+[4]Report1!AE12</f>
        <v>2.7149916587288638</v>
      </c>
      <c r="BN7" s="514">
        <v>0</v>
      </c>
      <c r="BO7" s="514">
        <v>0</v>
      </c>
      <c r="BP7" s="514">
        <f>+[4]Report1!AJ12</f>
        <v>1011.010415301939</v>
      </c>
      <c r="BQ7" s="514">
        <f>+[4]Report1!AK12</f>
        <v>990.5244212420763</v>
      </c>
      <c r="BR7" s="514">
        <v>0</v>
      </c>
      <c r="BS7" s="515">
        <v>0</v>
      </c>
      <c r="BT7" s="512">
        <f>+[5]Report1!J12</f>
        <v>0.9445434198306375</v>
      </c>
      <c r="BU7" s="513">
        <f>+[5]Report1!K12</f>
        <v>0.93837580091544315</v>
      </c>
      <c r="BV7" s="513">
        <f>+[5]Report1!BG12</f>
        <v>0.9445434198306375</v>
      </c>
      <c r="BW7" s="513">
        <f>+[5]Report1!BH12</f>
        <v>0.93837580091544315</v>
      </c>
      <c r="BX7" s="510">
        <f>+[5]Report1!R12</f>
        <v>48.661999999999999</v>
      </c>
      <c r="BY7" s="510">
        <f>+[5]Report1!S12</f>
        <v>193.37699999999998</v>
      </c>
      <c r="BZ7" s="514">
        <f>+[5]Report1!X12</f>
        <v>79.349173322235558</v>
      </c>
      <c r="CA7" s="514">
        <f>+[5]Report1!Y12</f>
        <v>78.020614327424497</v>
      </c>
      <c r="CB7" s="510">
        <f>+[5]Report1!AD12</f>
        <v>2.022111709341992</v>
      </c>
      <c r="CC7" s="510">
        <f>+[5]Report1!AE12</f>
        <v>2.0317824767164661</v>
      </c>
      <c r="CD7" s="514">
        <f>+[5]Report1!AJ12</f>
        <v>0.17467428383543629</v>
      </c>
      <c r="CE7" s="514">
        <f>+[5]Report1!AK12</f>
        <v>0.20581558303210826</v>
      </c>
      <c r="CF7" s="514">
        <f>+[5]Report1!AP12</f>
        <v>770.88929760387293</v>
      </c>
      <c r="CG7" s="514">
        <f>+[5]Report1!AQ12</f>
        <v>792.15811601172709</v>
      </c>
      <c r="CH7" s="514">
        <f>+[5]Report1!AV12</f>
        <v>453.33114134233864</v>
      </c>
      <c r="CI7" s="514">
        <f>+[5]Report1!AW12</f>
        <v>502.03891879592879</v>
      </c>
      <c r="CJ7" s="514">
        <f>+[5]Report1!BB12</f>
        <v>14.138342032797963</v>
      </c>
      <c r="CK7" s="514">
        <f>+[5]Report1!BC12</f>
        <v>14.459899574406499</v>
      </c>
    </row>
    <row r="8" spans="1:89" ht="12.75" customHeight="1">
      <c r="A8" s="568">
        <f t="shared" si="0"/>
        <v>45874</v>
      </c>
      <c r="B8" s="512">
        <f>+Report1!J13</f>
        <v>0.76602828634014486</v>
      </c>
      <c r="C8" s="513">
        <f>+Report1!K13</f>
        <v>0.60434138834387341</v>
      </c>
      <c r="D8" s="513">
        <f>+Report1!AJ13</f>
        <v>0.76602828634014486</v>
      </c>
      <c r="E8" s="513">
        <f>+Report1!AK13</f>
        <v>0.60434138834387341</v>
      </c>
      <c r="F8" s="510">
        <f>+Report1!R13</f>
        <v>56.883000000000003</v>
      </c>
      <c r="G8" s="510">
        <f>+Report1!S13</f>
        <v>204.26600000000002</v>
      </c>
      <c r="H8" s="510">
        <f>+Report1!X13</f>
        <v>2.6590369706239119</v>
      </c>
      <c r="I8" s="510">
        <f>+Report1!Y13</f>
        <v>2.8233235095414795</v>
      </c>
      <c r="J8" s="510">
        <f>+Report1!AD13</f>
        <v>989.88977374615013</v>
      </c>
      <c r="K8" s="511">
        <f>+Report1!AE13</f>
        <v>1068.7698393271517</v>
      </c>
      <c r="L8" s="512">
        <f>+[1]Report1!J13</f>
        <v>4.5486570452663515E-2</v>
      </c>
      <c r="M8" s="513">
        <f>+[1]Report1!K13</f>
        <v>0.80530974396073562</v>
      </c>
      <c r="N8" s="513">
        <f>+[1]Report1!BJ13</f>
        <v>0.34593654160131782</v>
      </c>
      <c r="O8" s="513">
        <f>+[1]Report1!BK13</f>
        <v>0.9451441546282926</v>
      </c>
      <c r="P8" s="510">
        <f>+[1]Report1!R13</f>
        <v>2.3740000000000001</v>
      </c>
      <c r="Q8" s="510">
        <f>+[1]Report1!S13</f>
        <v>246.72899999999998</v>
      </c>
      <c r="R8" s="510">
        <f>+[1]Report1!AL13</f>
        <v>19.467986520640267</v>
      </c>
      <c r="S8" s="510">
        <f>+[1]Report1!AM13</f>
        <v>2.895196754333702</v>
      </c>
      <c r="T8" s="510">
        <f>+[1]Report1!AR13</f>
        <v>0</v>
      </c>
      <c r="U8" s="510">
        <f>+[1]Report1!AS13</f>
        <v>0.25331436515367062</v>
      </c>
      <c r="V8" s="510">
        <f>+[1]Report1!AX13</f>
        <v>4236.3732097726042</v>
      </c>
      <c r="W8" s="510">
        <f>+[1]Report1!AY13</f>
        <v>625.80324971933021</v>
      </c>
      <c r="X8" s="510">
        <f>+[1]Report1!BD13</f>
        <v>264.11120471777588</v>
      </c>
      <c r="Y8" s="587">
        <f>+[1]Report1!BE13</f>
        <v>428.6119588698532</v>
      </c>
      <c r="Z8" s="512">
        <f>+[2]Report1!J13</f>
        <v>0.89698838452125262</v>
      </c>
      <c r="AA8" s="513">
        <f>+[2]Report1!K13</f>
        <v>0.86957132020147709</v>
      </c>
      <c r="AB8" s="513">
        <f>+[2]Report1!BC13</f>
        <v>0.89698838452125262</v>
      </c>
      <c r="AC8" s="513">
        <f>+[2]Report1!BD13</f>
        <v>0.86957132020147709</v>
      </c>
      <c r="AD8" s="510">
        <f>+[2]Report1!R13</f>
        <v>42.78</v>
      </c>
      <c r="AE8" s="510">
        <f>+[2]Report1!S13</f>
        <v>207.36199999999999</v>
      </c>
      <c r="AF8" s="510">
        <f>+[2]Report1!X13</f>
        <v>96.845417491214278</v>
      </c>
      <c r="AG8" s="510">
        <f>+[2]Report1!Y13</f>
        <v>93.94430754186385</v>
      </c>
      <c r="AH8" s="510">
        <f>+[2]Report1!AD13</f>
        <v>1.2973352033660588</v>
      </c>
      <c r="AI8" s="510">
        <f>+[2]Report1!AE13</f>
        <v>1.3613873322981067</v>
      </c>
      <c r="AJ8" s="510">
        <f>+[2]Report1!AJ13</f>
        <v>848.47826086959935</v>
      </c>
      <c r="AK8" s="510">
        <f>+[2]Report1!AK13</f>
        <v>861.31181219317648</v>
      </c>
      <c r="AL8" s="598">
        <v>0</v>
      </c>
      <c r="AM8" s="598">
        <v>0</v>
      </c>
      <c r="AN8" s="512">
        <f>+[3]Report1!J13</f>
        <v>0.93103322319180559</v>
      </c>
      <c r="AO8" s="513">
        <f>+[3]Report1!K13</f>
        <v>0.9284109251443089</v>
      </c>
      <c r="AP8" s="513">
        <f>+[3]Report1!BN13</f>
        <v>0.93103322319180559</v>
      </c>
      <c r="AQ8" s="513">
        <f>+[3]Report1!BO13</f>
        <v>0.9284109251443089</v>
      </c>
      <c r="AR8" s="510">
        <f>+[3]Report1!R13</f>
        <v>47.576000000000001</v>
      </c>
      <c r="AS8" s="510">
        <f>+[3]Report1!S13</f>
        <v>237.21</v>
      </c>
      <c r="AT8" s="514">
        <f>+[3]Report1!AF13</f>
        <v>115.54346686285565</v>
      </c>
      <c r="AU8" s="514">
        <f>+[3]Report1!AG13</f>
        <v>114.55786477151484</v>
      </c>
      <c r="AV8" s="510">
        <f>+[3]Report1!AL13</f>
        <v>1.4797376828653104</v>
      </c>
      <c r="AW8" s="510">
        <f>+[3]Report1!AM13</f>
        <v>1.4974073605665867</v>
      </c>
      <c r="AX8" s="510">
        <f>+[3]Report1!AR13</f>
        <v>0.20808811165293425</v>
      </c>
      <c r="AY8" s="510">
        <f>+[3]Report1!AS13</f>
        <v>0.20867585683571518</v>
      </c>
      <c r="AZ8" s="510">
        <f>+[3]Report1!AX13</f>
        <v>852.27635782747552</v>
      </c>
      <c r="BA8" s="510">
        <f>+[3]Report1!AY13</f>
        <v>897.57320517684752</v>
      </c>
      <c r="BB8" s="510">
        <f>+[3]Report1!BD13</f>
        <v>537.45480914746088</v>
      </c>
      <c r="BC8" s="510">
        <f>+[3]Report1!BE13</f>
        <v>516.69352050925318</v>
      </c>
      <c r="BD8" s="510">
        <f>+[3]Report1!BJ13</f>
        <v>3.9578779216409194</v>
      </c>
      <c r="BE8" s="510">
        <f>+[3]Report1!BK13</f>
        <v>12.578677121537854</v>
      </c>
      <c r="BF8" s="512">
        <f>+[4]Report1!J13</f>
        <v>0.85371022049135314</v>
      </c>
      <c r="BG8" s="513">
        <f>+[4]Report1!K13</f>
        <v>0.88208327326384961</v>
      </c>
      <c r="BH8" s="513">
        <f>+[4]Report1!AN13</f>
        <v>0.85371022049135314</v>
      </c>
      <c r="BI8" s="513">
        <f>+[4]Report1!AO13</f>
        <v>0.88208327326384961</v>
      </c>
      <c r="BJ8" s="510">
        <f>+[4]Report1!R13</f>
        <v>44.999000000000002</v>
      </c>
      <c r="BK8" s="510">
        <f>+[4]Report1!S13</f>
        <v>235.018</v>
      </c>
      <c r="BL8" s="510">
        <f>+[4]Report1!AD13</f>
        <v>2.7778395075446118</v>
      </c>
      <c r="BM8" s="510">
        <f>+[4]Report1!AE13</f>
        <v>2.727025164029989</v>
      </c>
      <c r="BN8" s="514">
        <v>0</v>
      </c>
      <c r="BO8" s="514">
        <v>0</v>
      </c>
      <c r="BP8" s="514">
        <f>+[4]Report1!AJ13</f>
        <v>966.99593324302191</v>
      </c>
      <c r="BQ8" s="514">
        <f>+[4]Report1!AK13</f>
        <v>986.0194112791396</v>
      </c>
      <c r="BR8" s="514">
        <v>0</v>
      </c>
      <c r="BS8" s="515">
        <v>0</v>
      </c>
      <c r="BT8" s="512">
        <f>+[5]Report1!J13</f>
        <v>0.82618231045110013</v>
      </c>
      <c r="BU8" s="513">
        <f>+[5]Report1!K13</f>
        <v>0.91567728382382885</v>
      </c>
      <c r="BV8" s="513">
        <f>+[5]Report1!BG13</f>
        <v>0.82618231045110013</v>
      </c>
      <c r="BW8" s="513">
        <f>+[5]Report1!BH13</f>
        <v>0.91567728382382885</v>
      </c>
      <c r="BX8" s="510">
        <f>+[5]Report1!R13</f>
        <v>43.182000000000002</v>
      </c>
      <c r="BY8" s="510">
        <f>+[5]Report1!S13</f>
        <v>236.55899999999997</v>
      </c>
      <c r="BZ8" s="514">
        <f>+[5]Report1!X13</f>
        <v>89.709996300741849</v>
      </c>
      <c r="CA8" s="514">
        <f>+[5]Report1!Y13</f>
        <v>80.154419815153943</v>
      </c>
      <c r="CB8" s="510">
        <f>+[5]Report1!AD13</f>
        <v>2.2578852299569263</v>
      </c>
      <c r="CC8" s="510">
        <f>+[5]Report1!AE13</f>
        <v>2.0730557704420463</v>
      </c>
      <c r="CD8" s="514">
        <f>+[5]Report1!AJ13</f>
        <v>0.22926219258024177</v>
      </c>
      <c r="CE8" s="514">
        <f>+[5]Report1!AK13</f>
        <v>0.21009557869284196</v>
      </c>
      <c r="CF8" s="514">
        <f>+[5]Report1!AP13</f>
        <v>904.58640174148127</v>
      </c>
      <c r="CG8" s="514">
        <f>+[5]Report1!AQ13</f>
        <v>812.68102249333322</v>
      </c>
      <c r="CH8" s="514">
        <f>+[5]Report1!AV13</f>
        <v>592.14371728960214</v>
      </c>
      <c r="CI8" s="514">
        <f>+[5]Report1!AW13</f>
        <v>518.48684683313638</v>
      </c>
      <c r="CJ8" s="514">
        <f>+[5]Report1!BB13</f>
        <v>4.3606132184703892</v>
      </c>
      <c r="CK8" s="514">
        <f>+[5]Report1!BC13</f>
        <v>12.616353636936216</v>
      </c>
    </row>
    <row r="9" spans="1:89" ht="12.75" customHeight="1">
      <c r="A9" s="568">
        <f t="shared" si="0"/>
        <v>45875</v>
      </c>
      <c r="B9" s="512">
        <f>+Report1!J14</f>
        <v>0.9206027578524032</v>
      </c>
      <c r="C9" s="513">
        <f>+Report1!K14</f>
        <v>0.66482752685688695</v>
      </c>
      <c r="D9" s="513">
        <f>+Report1!AJ14</f>
        <v>0.9206027578524032</v>
      </c>
      <c r="E9" s="513">
        <f>+Report1!AK14</f>
        <v>0.66482752685688695</v>
      </c>
      <c r="F9" s="510">
        <f>+Report1!R14</f>
        <v>73.584000000000003</v>
      </c>
      <c r="G9" s="510">
        <f>+Report1!S14</f>
        <v>277.85000000000002</v>
      </c>
      <c r="H9" s="510">
        <f>+Report1!X14</f>
        <v>2.2536964557512502</v>
      </c>
      <c r="I9" s="510">
        <f>+Report1!Y14</f>
        <v>2.6724671585387796</v>
      </c>
      <c r="J9" s="510">
        <f>+Report1!AD14</f>
        <v>776.10594694494284</v>
      </c>
      <c r="K9" s="511">
        <f>+Report1!AE14</f>
        <v>991.2626237178215</v>
      </c>
      <c r="L9" s="512">
        <f>+[1]Report1!J14</f>
        <v>0.60009356716637552</v>
      </c>
      <c r="M9" s="513">
        <f>+[1]Report1!K14</f>
        <v>0.77405446118790122</v>
      </c>
      <c r="N9" s="513">
        <f>+[1]Report1!BJ14</f>
        <v>0.67266853480307953</v>
      </c>
      <c r="O9" s="513">
        <f>+[1]Report1!BK14</f>
        <v>0.90200280595936655</v>
      </c>
      <c r="P9" s="510">
        <f>+[1]Report1!R14</f>
        <v>33.033000000000001</v>
      </c>
      <c r="Q9" s="510">
        <f>+[1]Report1!S14</f>
        <v>279.762</v>
      </c>
      <c r="R9" s="510">
        <f>+[1]Report1!AL14</f>
        <v>3.9973662700935422</v>
      </c>
      <c r="S9" s="510">
        <f>+[1]Report1!AM14</f>
        <v>3.0253358211622734</v>
      </c>
      <c r="T9" s="510">
        <f>+[1]Report1!AR14</f>
        <v>0</v>
      </c>
      <c r="U9" s="510">
        <f>+[1]Report1!AS14</f>
        <v>0.22340417926666237</v>
      </c>
      <c r="V9" s="510">
        <f>+[1]Report1!AX14</f>
        <v>1370.7223079950318</v>
      </c>
      <c r="W9" s="510">
        <f>+[1]Report1!AY14</f>
        <v>713.75983872005668</v>
      </c>
      <c r="X9" s="510">
        <f>+[1]Report1!BD14</f>
        <v>18.557200375382195</v>
      </c>
      <c r="Y9" s="587">
        <f>+[1]Report1!BE14</f>
        <v>380.19459397630845</v>
      </c>
      <c r="Z9" s="512">
        <f>+[2]Report1!J14</f>
        <v>0.89021991201295658</v>
      </c>
      <c r="AA9" s="513">
        <f>+[2]Report1!K14</f>
        <v>0.87303250780941077</v>
      </c>
      <c r="AB9" s="513">
        <f>+[2]Report1!BC14</f>
        <v>0.89021991201295658</v>
      </c>
      <c r="AC9" s="513">
        <f>+[2]Report1!BD14</f>
        <v>0.87303250780941077</v>
      </c>
      <c r="AD9" s="510">
        <f>+[2]Report1!R14</f>
        <v>42.75</v>
      </c>
      <c r="AE9" s="510">
        <f>+[2]Report1!S14</f>
        <v>250.11199999999999</v>
      </c>
      <c r="AF9" s="510">
        <f>+[2]Report1!X14</f>
        <v>94.947024824009816</v>
      </c>
      <c r="AG9" s="510">
        <f>+[2]Report1!Y14</f>
        <v>94.115695415343495</v>
      </c>
      <c r="AH9" s="510">
        <f>+[2]Report1!AD14</f>
        <v>1.3543859649122807</v>
      </c>
      <c r="AI9" s="510">
        <f>+[2]Report1!AE14</f>
        <v>1.3601906345957011</v>
      </c>
      <c r="AJ9" s="510">
        <f>+[2]Report1!AJ14</f>
        <v>914.59602339178741</v>
      </c>
      <c r="AK9" s="510">
        <f>+[2]Report1!AK14</f>
        <v>870.41933213920311</v>
      </c>
      <c r="AL9" s="598">
        <v>0</v>
      </c>
      <c r="AM9" s="598">
        <v>0</v>
      </c>
      <c r="AN9" s="512">
        <f>+[3]Report1!J14</f>
        <v>0.94067469080857868</v>
      </c>
      <c r="AO9" s="513">
        <f>+[3]Report1!K14</f>
        <v>0.93052831822366144</v>
      </c>
      <c r="AP9" s="513">
        <f>+[3]Report1!BN14</f>
        <v>0.94067469080857868</v>
      </c>
      <c r="AQ9" s="513">
        <f>+[3]Report1!BO14</f>
        <v>0.93052831822366144</v>
      </c>
      <c r="AR9" s="510">
        <f>+[3]Report1!R14</f>
        <v>50.155999999999999</v>
      </c>
      <c r="AS9" s="510">
        <f>+[3]Report1!S14</f>
        <v>287.36599999999999</v>
      </c>
      <c r="AT9" s="514">
        <f>+[3]Report1!AF14</f>
        <v>110.53195587433846</v>
      </c>
      <c r="AU9" s="514">
        <f>+[3]Report1!AG14</f>
        <v>113.85519470391193</v>
      </c>
      <c r="AV9" s="510">
        <f>+[3]Report1!AL14</f>
        <v>1.4335273945290694</v>
      </c>
      <c r="AW9" s="510">
        <f>+[3]Report1!AM14</f>
        <v>1.4862579428324856</v>
      </c>
      <c r="AX9" s="510">
        <f>+[3]Report1!AR14</f>
        <v>0.19339660259988833</v>
      </c>
      <c r="AY9" s="510">
        <f>+[3]Report1!AS14</f>
        <v>0.20600906161480484</v>
      </c>
      <c r="AZ9" s="510">
        <f>+[3]Report1!AX14</f>
        <v>881.0307839540626</v>
      </c>
      <c r="BA9" s="510">
        <f>+[3]Report1!AY14</f>
        <v>894.68594057752136</v>
      </c>
      <c r="BB9" s="510">
        <f>+[3]Report1!BD14</f>
        <v>459.88158944094425</v>
      </c>
      <c r="BC9" s="510">
        <f>+[3]Report1!BE14</f>
        <v>506.77773640583769</v>
      </c>
      <c r="BD9" s="510">
        <f>+[3]Report1!BJ14</f>
        <v>4.1689927426429536</v>
      </c>
      <c r="BE9" s="510">
        <f>+[3]Report1!BK14</f>
        <v>11.110876025695436</v>
      </c>
      <c r="BF9" s="512">
        <f>+[4]Report1!J14</f>
        <v>0.93469207338172033</v>
      </c>
      <c r="BG9" s="513">
        <f>+[4]Report1!K14</f>
        <v>0.89073683203161413</v>
      </c>
      <c r="BH9" s="513">
        <f>+[4]Report1!AN14</f>
        <v>0.93469207338172033</v>
      </c>
      <c r="BI9" s="513">
        <f>+[4]Report1!AO14</f>
        <v>0.89073683203161413</v>
      </c>
      <c r="BJ9" s="510">
        <f>+[4]Report1!R14</f>
        <v>49.027999999999999</v>
      </c>
      <c r="BK9" s="510">
        <f>+[4]Report1!S14</f>
        <v>284.04599999999999</v>
      </c>
      <c r="BL9" s="510">
        <f>+[4]Report1!AD14</f>
        <v>2.5944358325854613</v>
      </c>
      <c r="BM9" s="510">
        <f>+[4]Report1!AE14</f>
        <v>2.7041394703674757</v>
      </c>
      <c r="BN9" s="514">
        <v>0</v>
      </c>
      <c r="BO9" s="514">
        <v>0</v>
      </c>
      <c r="BP9" s="514">
        <f>+[4]Report1!AJ14</f>
        <v>967.11001876478372</v>
      </c>
      <c r="BQ9" s="514">
        <f>+[4]Report1!AK14</f>
        <v>982.75553959570163</v>
      </c>
      <c r="BR9" s="514">
        <v>0</v>
      </c>
      <c r="BS9" s="515">
        <v>0</v>
      </c>
      <c r="BT9" s="512">
        <f>+[5]Report1!J14</f>
        <v>0.95001356444494822</v>
      </c>
      <c r="BU9" s="513">
        <f>+[5]Report1!K14</f>
        <v>0.92166585413409163</v>
      </c>
      <c r="BV9" s="513">
        <f>+[5]Report1!BG14</f>
        <v>0.95001356444494822</v>
      </c>
      <c r="BW9" s="513">
        <f>+[5]Report1!BH14</f>
        <v>0.92166585413409163</v>
      </c>
      <c r="BX9" s="510">
        <f>+[5]Report1!R14</f>
        <v>51.847999999999999</v>
      </c>
      <c r="BY9" s="510">
        <f>+[5]Report1!S14</f>
        <v>288.40699999999998</v>
      </c>
      <c r="BZ9" s="514">
        <f>+[5]Report1!X14</f>
        <v>71.751541234768155</v>
      </c>
      <c r="CA9" s="514">
        <f>+[5]Report1!Y14</f>
        <v>78.643803052607112</v>
      </c>
      <c r="CB9" s="510">
        <f>+[5]Report1!AD14</f>
        <v>1.8187779663632155</v>
      </c>
      <c r="CC9" s="510">
        <f>+[5]Report1!AE14</f>
        <v>2.0273433030404946</v>
      </c>
      <c r="CD9" s="514">
        <f>+[5]Report1!AJ14</f>
        <v>0.17744175281592345</v>
      </c>
      <c r="CE9" s="514">
        <f>+[5]Report1!AK14</f>
        <v>0.20422527885938965</v>
      </c>
      <c r="CF9" s="514">
        <f>+[5]Report1!AP14</f>
        <v>739.63257984878885</v>
      </c>
      <c r="CG9" s="514">
        <f>+[5]Report1!AQ14</f>
        <v>799.54883203251097</v>
      </c>
      <c r="CH9" s="514">
        <f>+[5]Report1!AV14</f>
        <v>427.42784678290383</v>
      </c>
      <c r="CI9" s="514">
        <f>+[5]Report1!AW14</f>
        <v>502.11683142226059</v>
      </c>
      <c r="CJ9" s="514">
        <f>+[5]Report1!BB14</f>
        <v>3.8747878413825028</v>
      </c>
      <c r="CK9" s="514">
        <f>+[5]Report1!BC14</f>
        <v>11.044849812937946</v>
      </c>
    </row>
    <row r="10" spans="1:89" ht="12.75" customHeight="1">
      <c r="A10" s="568">
        <f t="shared" si="0"/>
        <v>45876</v>
      </c>
      <c r="B10" s="512">
        <f>+Report1!J15</f>
        <v>0.93472606491672794</v>
      </c>
      <c r="C10" s="513">
        <f>+Report1!K15</f>
        <v>0.70548493838188719</v>
      </c>
      <c r="D10" s="513">
        <f>+Report1!AJ15</f>
        <v>0.93472606491672794</v>
      </c>
      <c r="E10" s="513">
        <f>+Report1!AK15</f>
        <v>0.70548493838188719</v>
      </c>
      <c r="F10" s="510">
        <f>+Report1!R15</f>
        <v>69.284000000000006</v>
      </c>
      <c r="G10" s="510">
        <f>+Report1!S15</f>
        <v>347.13400000000001</v>
      </c>
      <c r="H10" s="510">
        <f>+Report1!X15</f>
        <v>2.0695398649038741</v>
      </c>
      <c r="I10" s="510">
        <f>+Report1!Y15</f>
        <v>2.5521297251205586</v>
      </c>
      <c r="J10" s="510">
        <f>+Report1!AD15</f>
        <v>788.3398764505996</v>
      </c>
      <c r="K10" s="511">
        <f>+Report1!AE15</f>
        <v>950.76155029469896</v>
      </c>
      <c r="L10" s="512">
        <f>+[1]Report1!J15</f>
        <v>0.55646883810175429</v>
      </c>
      <c r="M10" s="513">
        <f>+[1]Report1!K15</f>
        <v>0.74460828309688887</v>
      </c>
      <c r="N10" s="513">
        <f>+[1]Report1!BJ15</f>
        <v>0.55646883810175429</v>
      </c>
      <c r="O10" s="513">
        <f>+[1]Report1!BK15</f>
        <v>0.84870395475009042</v>
      </c>
      <c r="P10" s="510">
        <f>+[1]Report1!R15</f>
        <v>31.478000000000002</v>
      </c>
      <c r="Q10" s="510">
        <f>+[1]Report1!S15</f>
        <v>311.24</v>
      </c>
      <c r="R10" s="510">
        <f>+[1]Report1!AL15</f>
        <v>3.4532689497426774</v>
      </c>
      <c r="S10" s="510">
        <f>+[1]Report1!AM15</f>
        <v>3.0686158591440686</v>
      </c>
      <c r="T10" s="510">
        <f>+[1]Report1!AR15</f>
        <v>0</v>
      </c>
      <c r="U10" s="510">
        <f>+[1]Report1!AS15</f>
        <v>0.20080966456753629</v>
      </c>
      <c r="V10" s="510">
        <f>+[1]Report1!AX15</f>
        <v>1113.3779147341004</v>
      </c>
      <c r="W10" s="510">
        <f>+[1]Report1!AY15</f>
        <v>754.17616630253349</v>
      </c>
      <c r="X10" s="510">
        <f>+[1]Report1!BD15</f>
        <v>15.058135840904759</v>
      </c>
      <c r="Y10" s="587">
        <f>+[1]Report1!BE15</f>
        <v>343.26564708906312</v>
      </c>
      <c r="Z10" s="512">
        <f>+[2]Report1!J15</f>
        <v>0.92251305166472508</v>
      </c>
      <c r="AA10" s="513">
        <f>+[2]Report1!K15</f>
        <v>0.88077142129555108</v>
      </c>
      <c r="AB10" s="513">
        <f>+[2]Report1!BC15</f>
        <v>0.92251305166472508</v>
      </c>
      <c r="AC10" s="513">
        <f>+[2]Report1!BD15</f>
        <v>0.88077142129555108</v>
      </c>
      <c r="AD10" s="510">
        <f>+[2]Report1!R15</f>
        <v>48.999000000000002</v>
      </c>
      <c r="AE10" s="510">
        <f>+[2]Report1!S15</f>
        <v>299.11099999999999</v>
      </c>
      <c r="AF10" s="510">
        <f>+[2]Report1!X15</f>
        <v>95.878766798322388</v>
      </c>
      <c r="AG10" s="510">
        <f>+[2]Report1!Y15</f>
        <v>94.404513729262348</v>
      </c>
      <c r="AH10" s="510">
        <f>+[2]Report1!AD15</f>
        <v>1.2592093716198289</v>
      </c>
      <c r="AI10" s="510">
        <f>+[2]Report1!AE15</f>
        <v>1.3436483445944816</v>
      </c>
      <c r="AJ10" s="510">
        <f>+[2]Report1!AJ15</f>
        <v>729.79734280290688</v>
      </c>
      <c r="AK10" s="510">
        <f>+[2]Report1!AK15</f>
        <v>847.38327911711701</v>
      </c>
      <c r="AL10" s="598">
        <v>0</v>
      </c>
      <c r="AM10" s="598">
        <v>0</v>
      </c>
      <c r="AN10" s="512">
        <f>+[3]Report1!J15</f>
        <v>0.94103815675437796</v>
      </c>
      <c r="AO10" s="513">
        <f>+[3]Report1!K15</f>
        <v>0.93211222386370551</v>
      </c>
      <c r="AP10" s="513">
        <f>+[3]Report1!BN15</f>
        <v>0.97564619473491199</v>
      </c>
      <c r="AQ10" s="513">
        <f>+[3]Report1!BO15</f>
        <v>0.93712195012047306</v>
      </c>
      <c r="AR10" s="510">
        <f>+[3]Report1!R15</f>
        <v>51.569000000000003</v>
      </c>
      <c r="AS10" s="510">
        <f>+[3]Report1!S15</f>
        <v>338.935</v>
      </c>
      <c r="AT10" s="514">
        <f>+[3]Report1!AF15</f>
        <v>98.312336655470844</v>
      </c>
      <c r="AU10" s="514">
        <f>+[3]Report1!AG15</f>
        <v>111.49034702898884</v>
      </c>
      <c r="AV10" s="510">
        <f>+[3]Report1!AL15</f>
        <v>1.2546297194050688</v>
      </c>
      <c r="AW10" s="510">
        <f>+[3]Report1!AM15</f>
        <v>1.4510156814728488</v>
      </c>
      <c r="AX10" s="510">
        <f>+[3]Report1!AR15</f>
        <v>0.12604471678721713</v>
      </c>
      <c r="AY10" s="510">
        <f>+[3]Report1!AS15</f>
        <v>0.193842477171139</v>
      </c>
      <c r="AZ10" s="510">
        <f>+[3]Report1!AX15</f>
        <v>759.1642265702277</v>
      </c>
      <c r="BA10" s="510">
        <f>+[3]Report1!AY15</f>
        <v>874.06629589744375</v>
      </c>
      <c r="BB10" s="510">
        <f>+[3]Report1!BD15</f>
        <v>338.61273245554497</v>
      </c>
      <c r="BC10" s="510">
        <f>+[3]Report1!BE15</f>
        <v>481.19141133255636</v>
      </c>
      <c r="BD10" s="510">
        <f>+[3]Report1!BJ15</f>
        <v>4.1265101126645858</v>
      </c>
      <c r="BE10" s="510">
        <f>+[3]Report1!BK15</f>
        <v>10.048203932907473</v>
      </c>
      <c r="BF10" s="512">
        <f>+[4]Report1!J15</f>
        <v>0.86945414130564502</v>
      </c>
      <c r="BG10" s="513">
        <f>+[4]Report1!K15</f>
        <v>0.88777858211495908</v>
      </c>
      <c r="BH10" s="513">
        <f>+[4]Report1!AN15</f>
        <v>0.86945414130564502</v>
      </c>
      <c r="BI10" s="513">
        <f>+[4]Report1!AO15</f>
        <v>0.88777858211495908</v>
      </c>
      <c r="BJ10" s="510">
        <f>+[4]Report1!R15</f>
        <v>44.76</v>
      </c>
      <c r="BK10" s="510">
        <f>+[4]Report1!S15</f>
        <v>328.80599999999998</v>
      </c>
      <c r="BL10" s="510">
        <f>+[4]Report1!AD15</f>
        <v>2.8686327077747991</v>
      </c>
      <c r="BM10" s="510">
        <f>+[4]Report1!AE15</f>
        <v>2.7265317542867225</v>
      </c>
      <c r="BN10" s="514">
        <v>0</v>
      </c>
      <c r="BO10" s="514">
        <v>0</v>
      </c>
      <c r="BP10" s="514">
        <f>+[4]Report1!AJ15</f>
        <v>1024.3151251117104</v>
      </c>
      <c r="BQ10" s="514">
        <f>+[4]Report1!AK15</f>
        <v>988.41300037104202</v>
      </c>
      <c r="BR10" s="514">
        <v>0</v>
      </c>
      <c r="BS10" s="515">
        <v>0</v>
      </c>
      <c r="BT10" s="512">
        <f>+[5]Report1!J15</f>
        <v>0.67586398934832559</v>
      </c>
      <c r="BU10" s="513">
        <f>+[5]Report1!K15</f>
        <v>0.88630096453000706</v>
      </c>
      <c r="BV10" s="513">
        <f>+[5]Report1!BG15</f>
        <v>0.75153988004755889</v>
      </c>
      <c r="BW10" s="513">
        <f>+[5]Report1!BH15</f>
        <v>0.89932998350148097</v>
      </c>
      <c r="BX10" s="510">
        <f>+[5]Report1!R15</f>
        <v>35.542000000000002</v>
      </c>
      <c r="BY10" s="510">
        <f>+[5]Report1!S15</f>
        <v>323.94899999999996</v>
      </c>
      <c r="BZ10" s="514">
        <f>+[5]Report1!X15</f>
        <v>99.014332808030673</v>
      </c>
      <c r="CA10" s="514">
        <f>+[5]Report1!Y15</f>
        <v>80.878751666639758</v>
      </c>
      <c r="CB10" s="510">
        <f>+[5]Report1!AD15</f>
        <v>2.4421810815373357</v>
      </c>
      <c r="CC10" s="510">
        <f>+[5]Report1!AE15</f>
        <v>2.0728571472670079</v>
      </c>
      <c r="CD10" s="514">
        <f>+[5]Report1!AJ15</f>
        <v>0.14630577907827358</v>
      </c>
      <c r="CE10" s="514">
        <f>+[5]Report1!AK15</f>
        <v>0.19787065247924829</v>
      </c>
      <c r="CF10" s="514">
        <f>+[5]Report1!AP15</f>
        <v>955.22719599347329</v>
      </c>
      <c r="CG10" s="514">
        <f>+[5]Report1!AQ15</f>
        <v>816.62905272126306</v>
      </c>
      <c r="CH10" s="514">
        <f>+[5]Report1!AV15</f>
        <v>386.0244218108154</v>
      </c>
      <c r="CI10" s="514">
        <f>+[5]Report1!AW15</f>
        <v>489.37977582891119</v>
      </c>
      <c r="CJ10" s="514">
        <f>+[5]Report1!BB15</f>
        <v>4.7042935119014118</v>
      </c>
      <c r="CK10" s="514">
        <f>+[5]Report1!BC15</f>
        <v>10.34919694149386</v>
      </c>
    </row>
    <row r="11" spans="1:89" ht="12.75" customHeight="1">
      <c r="A11" s="568">
        <f t="shared" si="0"/>
        <v>45877</v>
      </c>
      <c r="B11" s="512">
        <f>+Report1!J16</f>
        <v>0.97140590076192956</v>
      </c>
      <c r="C11" s="513">
        <f>+Report1!K16</f>
        <v>0.73948208913798441</v>
      </c>
      <c r="D11" s="513">
        <f>+Report1!AJ16</f>
        <v>0.97140590076192956</v>
      </c>
      <c r="E11" s="513">
        <f>+Report1!AK16</f>
        <v>0.73948208913798441</v>
      </c>
      <c r="F11" s="510">
        <f>+Report1!R16</f>
        <v>70.066000000000003</v>
      </c>
      <c r="G11" s="510">
        <f>+Report1!S16</f>
        <v>417.20000000000005</v>
      </c>
      <c r="H11" s="510">
        <f>+Report1!X16</f>
        <v>2.1457768389803897</v>
      </c>
      <c r="I11" s="510">
        <f>+Report1!Y16</f>
        <v>2.4838854266538828</v>
      </c>
      <c r="J11" s="510">
        <f>+Report1!AD16</f>
        <v>827.7986469899173</v>
      </c>
      <c r="K11" s="511">
        <f>+Report1!AE16</f>
        <v>930.11073825502285</v>
      </c>
      <c r="L11" s="512">
        <f>+[1]Report1!J16</f>
        <v>0.86040660712842121</v>
      </c>
      <c r="M11" s="513">
        <f>+[1]Report1!K16</f>
        <v>0.76319655153210064</v>
      </c>
      <c r="N11" s="513">
        <f>+[1]Report1!BJ16</f>
        <v>0.86040660712842121</v>
      </c>
      <c r="O11" s="513">
        <f>+[1]Report1!BK16</f>
        <v>0.85079812067636107</v>
      </c>
      <c r="P11" s="510">
        <f>+[1]Report1!R16</f>
        <v>68.77</v>
      </c>
      <c r="Q11" s="510">
        <f>+[1]Report1!S16</f>
        <v>380.01</v>
      </c>
      <c r="R11" s="510">
        <f>+[1]Report1!AL16</f>
        <v>2.1362803548058746</v>
      </c>
      <c r="S11" s="510">
        <f>+[1]Report1!AM16</f>
        <v>2.899892108102418</v>
      </c>
      <c r="T11" s="510">
        <f>+[1]Report1!AR16</f>
        <v>0</v>
      </c>
      <c r="U11" s="510">
        <f>+[1]Report1!AS16</f>
        <v>0.16446935606957713</v>
      </c>
      <c r="V11" s="510">
        <f>+[1]Report1!AX16</f>
        <v>636.78653482622281</v>
      </c>
      <c r="W11" s="510">
        <f>+[1]Report1!AY16</f>
        <v>732.93229125549283</v>
      </c>
      <c r="X11" s="510">
        <f>+[1]Report1!BD16</f>
        <v>7.5468954485967723</v>
      </c>
      <c r="Y11" s="587">
        <f>+[1]Report1!BE16</f>
        <v>282.51098655298546</v>
      </c>
      <c r="Z11" s="512">
        <f>+[2]Report1!J16</f>
        <v>0.82670870787697237</v>
      </c>
      <c r="AA11" s="513">
        <f>+[2]Report1!K16</f>
        <v>0.87347982399293889</v>
      </c>
      <c r="AB11" s="513">
        <f>+[2]Report1!BC16</f>
        <v>0.82670870787697237</v>
      </c>
      <c r="AC11" s="513">
        <f>+[2]Report1!BD16</f>
        <v>0.87347982399293889</v>
      </c>
      <c r="AD11" s="510">
        <f>+[2]Report1!R16</f>
        <v>43.768999999999998</v>
      </c>
      <c r="AE11" s="510">
        <f>+[2]Report1!S16</f>
        <v>342.88</v>
      </c>
      <c r="AF11" s="510">
        <f>+[2]Report1!X16</f>
        <v>103.36941168375184</v>
      </c>
      <c r="AG11" s="510">
        <f>+[2]Report1!Y16</f>
        <v>95.548892574835293</v>
      </c>
      <c r="AH11" s="510">
        <f>+[2]Report1!AD16</f>
        <v>1.3000068541661907</v>
      </c>
      <c r="AI11" s="510">
        <f>+[2]Report1!AE16</f>
        <v>1.3380774615025663</v>
      </c>
      <c r="AJ11" s="510">
        <f>+[2]Report1!AJ16</f>
        <v>811.08867006332014</v>
      </c>
      <c r="AK11" s="510">
        <f>+[2]Report1!AK16</f>
        <v>842.75023331778289</v>
      </c>
      <c r="AL11" s="598">
        <v>0</v>
      </c>
      <c r="AM11" s="598">
        <v>0</v>
      </c>
      <c r="AN11" s="512">
        <f>+[3]Report1!J16</f>
        <v>7.1476656962109725E-2</v>
      </c>
      <c r="AO11" s="513">
        <f>+[3]Report1!K16</f>
        <v>0.82278522658447395</v>
      </c>
      <c r="AP11" s="513">
        <f>+[3]Report1!BN16</f>
        <v>0.10140530642900294</v>
      </c>
      <c r="AQ11" s="513">
        <f>+[3]Report1!BO16</f>
        <v>0.85899928527009528</v>
      </c>
      <c r="AR11" s="510">
        <f>+[3]Report1!R16</f>
        <v>3.782</v>
      </c>
      <c r="AS11" s="510">
        <f>+[3]Report1!S16</f>
        <v>342.71699999999998</v>
      </c>
      <c r="AT11" s="514">
        <f>+[3]Report1!AF16</f>
        <v>467.83210917506204</v>
      </c>
      <c r="AU11" s="514">
        <f>+[3]Report1!AG16</f>
        <v>115.42270096660049</v>
      </c>
      <c r="AV11" s="510">
        <f>+[3]Report1!AL16</f>
        <v>7.2448439978847166</v>
      </c>
      <c r="AW11" s="510">
        <f>+[3]Report1!AM16</f>
        <v>1.5149525701964013</v>
      </c>
      <c r="AX11" s="510">
        <f>+[3]Report1!AR16</f>
        <v>0</v>
      </c>
      <c r="AY11" s="510">
        <f>+[3]Report1!AS16</f>
        <v>0.19170335874788821</v>
      </c>
      <c r="AZ11" s="510">
        <f>+[3]Report1!AX16</f>
        <v>5105.9069275515394</v>
      </c>
      <c r="BA11" s="510">
        <f>+[3]Report1!AY16</f>
        <v>920.76611314874958</v>
      </c>
      <c r="BB11" s="510">
        <f>+[3]Report1!BD16</f>
        <v>220.12162876784768</v>
      </c>
      <c r="BC11" s="510">
        <f>+[3]Report1!BE16</f>
        <v>478.31041646606377</v>
      </c>
      <c r="BD11" s="510">
        <f>+[3]Report1!BJ16</f>
        <v>1.3220518244315178</v>
      </c>
      <c r="BE11" s="510">
        <f>+[3]Report1!BK16</f>
        <v>9.9519078423305363</v>
      </c>
      <c r="BF11" s="512">
        <f>+[4]Report1!J16</f>
        <v>0.97512506464574145</v>
      </c>
      <c r="BG11" s="513">
        <f>+[4]Report1!K16</f>
        <v>0.89843793434374419</v>
      </c>
      <c r="BH11" s="513">
        <f>+[4]Report1!AN16</f>
        <v>0.97512506464574145</v>
      </c>
      <c r="BI11" s="513">
        <f>+[4]Report1!AO16</f>
        <v>0.89843793434374419</v>
      </c>
      <c r="BJ11" s="510">
        <f>+[4]Report1!R16</f>
        <v>50.2</v>
      </c>
      <c r="BK11" s="510">
        <f>+[4]Report1!S16</f>
        <v>379.00599999999997</v>
      </c>
      <c r="BL11" s="510">
        <f>+[4]Report1!AD16</f>
        <v>2.5796812749003983</v>
      </c>
      <c r="BM11" s="510">
        <f>+[4]Report1!AE16</f>
        <v>2.7070811543880575</v>
      </c>
      <c r="BN11" s="514">
        <v>0</v>
      </c>
      <c r="BO11" s="514">
        <v>0</v>
      </c>
      <c r="BP11" s="514">
        <f>+[4]Report1!AJ16</f>
        <v>889.82689243027244</v>
      </c>
      <c r="BQ11" s="514">
        <f>+[4]Report1!AK16</f>
        <v>975.35509991926381</v>
      </c>
      <c r="BR11" s="514">
        <v>0</v>
      </c>
      <c r="BS11" s="515">
        <v>0</v>
      </c>
      <c r="BT11" s="512">
        <f>+[5]Report1!J16</f>
        <v>0.19411750269506906</v>
      </c>
      <c r="BU11" s="513">
        <f>+[5]Report1!K16</f>
        <v>0.79796021752469548</v>
      </c>
      <c r="BV11" s="513">
        <f>+[5]Report1!BG16</f>
        <v>0.2529676053220809</v>
      </c>
      <c r="BW11" s="513">
        <f>+[5]Report1!BH16</f>
        <v>0.83323028036386604</v>
      </c>
      <c r="BX11" s="510">
        <f>+[5]Report1!R16</f>
        <v>10.38</v>
      </c>
      <c r="BY11" s="510">
        <f>+[5]Report1!S16</f>
        <v>334.32899999999995</v>
      </c>
      <c r="BZ11" s="514">
        <f>+[5]Report1!X16</f>
        <v>88.466587968572412</v>
      </c>
      <c r="CA11" s="514">
        <f>+[5]Report1!Y16</f>
        <v>81.114333207020834</v>
      </c>
      <c r="CB11" s="510">
        <f>+[5]Report1!AD16</f>
        <v>2.3709055876685934</v>
      </c>
      <c r="CC11" s="510">
        <f>+[5]Report1!AE16</f>
        <v>2.0821107352338566</v>
      </c>
      <c r="CD11" s="514">
        <f>+[5]Report1!AJ16</f>
        <v>0</v>
      </c>
      <c r="CE11" s="514">
        <f>+[5]Report1!AK16</f>
        <v>0.19172731052346642</v>
      </c>
      <c r="CF11" s="514">
        <f>+[5]Report1!AP16</f>
        <v>1500.3188824662782</v>
      </c>
      <c r="CG11" s="514">
        <f>+[5]Report1!AQ16</f>
        <v>837.85574987512416</v>
      </c>
      <c r="CH11" s="514">
        <f>+[5]Report1!AV16</f>
        <v>80.202312138728317</v>
      </c>
      <c r="CI11" s="514">
        <f>+[5]Report1!AW16</f>
        <v>476.67593597922985</v>
      </c>
      <c r="CJ11" s="514">
        <f>+[5]Report1!BB16</f>
        <v>0.48169556840077071</v>
      </c>
      <c r="CK11" s="514">
        <f>+[5]Report1!BC16</f>
        <v>10.04283804276624</v>
      </c>
    </row>
    <row r="12" spans="1:89" ht="12.75" customHeight="1">
      <c r="A12" s="568">
        <f t="shared" si="0"/>
        <v>45878</v>
      </c>
      <c r="B12" s="512">
        <f>+Report1!J17</f>
        <v>0.98913092366095912</v>
      </c>
      <c r="C12" s="513">
        <f>+Report1!K17</f>
        <v>0.76885769299811146</v>
      </c>
      <c r="D12" s="513">
        <f>+Report1!AJ17</f>
        <v>0.98913092366095912</v>
      </c>
      <c r="E12" s="513">
        <f>+Report1!AK17</f>
        <v>0.76885769299811146</v>
      </c>
      <c r="F12" s="510">
        <f>+Report1!R17</f>
        <v>74.421000000000006</v>
      </c>
      <c r="G12" s="510">
        <f>+Report1!S17</f>
        <v>491.62100000000004</v>
      </c>
      <c r="H12" s="510">
        <f>+Report1!X17</f>
        <v>2.135297832601013</v>
      </c>
      <c r="I12" s="510">
        <f>+Report1!Y17</f>
        <v>2.4311166528687749</v>
      </c>
      <c r="J12" s="510">
        <f>+Report1!AD17</f>
        <v>777.38030932133586</v>
      </c>
      <c r="K12" s="511">
        <f>+Report1!AE17</f>
        <v>906.9905882783662</v>
      </c>
      <c r="L12" s="512">
        <f>+[1]Report1!J17</f>
        <v>0.83020675659207965</v>
      </c>
      <c r="M12" s="513">
        <f>+[1]Report1!K17</f>
        <v>0.77264687086455175</v>
      </c>
      <c r="N12" s="513">
        <f>+[1]Report1!BJ17</f>
        <v>0.83020675659207965</v>
      </c>
      <c r="O12" s="513">
        <f>+[1]Report1!BK17</f>
        <v>0.84761240576078301</v>
      </c>
      <c r="P12" s="510">
        <f>+[1]Report1!R17</f>
        <v>67.869</v>
      </c>
      <c r="Q12" s="510">
        <f>+[1]Report1!S17</f>
        <v>447.87900000000002</v>
      </c>
      <c r="R12" s="510">
        <f>+[1]Report1!AL17</f>
        <v>2.3344531376622615</v>
      </c>
      <c r="S12" s="510">
        <f>+[1]Report1!AM17</f>
        <v>2.8142087483449765</v>
      </c>
      <c r="T12" s="510">
        <f>+[1]Report1!AR17</f>
        <v>0</v>
      </c>
      <c r="U12" s="510">
        <f>+[1]Report1!AS17</f>
        <v>0.13954661861797493</v>
      </c>
      <c r="V12" s="510">
        <f>+[1]Report1!AX17</f>
        <v>667.80754099810235</v>
      </c>
      <c r="W12" s="510">
        <f>+[1]Report1!AY17</f>
        <v>723.0636622837867</v>
      </c>
      <c r="X12" s="510">
        <f>+[1]Report1!BD17</f>
        <v>6.6451546361372644</v>
      </c>
      <c r="Y12" s="587">
        <f>+[1]Report1!BE17</f>
        <v>240.70786975946629</v>
      </c>
      <c r="Z12" s="512">
        <f>+[2]Report1!J17</f>
        <v>0.95697160394552683</v>
      </c>
      <c r="AA12" s="513">
        <f>+[2]Report1!K17</f>
        <v>0.88236428051111226</v>
      </c>
      <c r="AB12" s="513">
        <f>+[2]Report1!BC17</f>
        <v>0.95697160394552683</v>
      </c>
      <c r="AC12" s="513">
        <f>+[2]Report1!BD17</f>
        <v>0.88236428051111226</v>
      </c>
      <c r="AD12" s="510">
        <f>+[2]Report1!R17</f>
        <v>44.734000000000002</v>
      </c>
      <c r="AE12" s="510">
        <f>+[2]Report1!S17</f>
        <v>387.61399999999998</v>
      </c>
      <c r="AF12" s="510">
        <f>+[2]Report1!X17</f>
        <v>93.762406534006487</v>
      </c>
      <c r="AG12" s="510">
        <f>+[2]Report1!Y17</f>
        <v>95.342716671616031</v>
      </c>
      <c r="AH12" s="510">
        <f>+[2]Report1!AD17</f>
        <v>1.2093709482720079</v>
      </c>
      <c r="AI12" s="510">
        <f>+[2]Report1!AE17</f>
        <v>1.3232236193739133</v>
      </c>
      <c r="AJ12" s="510">
        <f>+[2]Report1!AJ17</f>
        <v>869.8846514954904</v>
      </c>
      <c r="AK12" s="510">
        <f>+[2]Report1!AK17</f>
        <v>845.88177929589926</v>
      </c>
      <c r="AL12" s="598">
        <v>0</v>
      </c>
      <c r="AM12" s="598">
        <v>0</v>
      </c>
      <c r="AN12" s="512">
        <f>+[3]Report1!J17</f>
        <v>0.79384984370732836</v>
      </c>
      <c r="AO12" s="513">
        <f>+[3]Report1!K17</f>
        <v>0.81951946950487498</v>
      </c>
      <c r="AP12" s="513">
        <f>+[3]Report1!BN17</f>
        <v>0.79384984370732836</v>
      </c>
      <c r="AQ12" s="513">
        <f>+[3]Report1!BO17</f>
        <v>0.85136058262855852</v>
      </c>
      <c r="AR12" s="510">
        <f>+[3]Report1!R17</f>
        <v>42.067999999999998</v>
      </c>
      <c r="AS12" s="510">
        <f>+[3]Report1!S17</f>
        <v>384.78499999999997</v>
      </c>
      <c r="AT12" s="514">
        <f>+[3]Report1!AF17</f>
        <v>123.12678448599827</v>
      </c>
      <c r="AU12" s="514">
        <f>+[3]Report1!AG17</f>
        <v>116.26497752492273</v>
      </c>
      <c r="AV12" s="510">
        <f>+[3]Report1!AL17</f>
        <v>1.5902823999239328</v>
      </c>
      <c r="AW12" s="510">
        <f>+[3]Report1!AM17</f>
        <v>1.5231882739711788</v>
      </c>
      <c r="AX12" s="510">
        <f>+[3]Report1!AR17</f>
        <v>0</v>
      </c>
      <c r="AY12" s="510">
        <f>+[3]Report1!AS17</f>
        <v>0.17074470158660032</v>
      </c>
      <c r="AZ12" s="510">
        <f>+[3]Report1!AX17</f>
        <v>1056.9416183322244</v>
      </c>
      <c r="BA12" s="510">
        <f>+[3]Report1!AY17</f>
        <v>935.65398859103163</v>
      </c>
      <c r="BB12" s="510">
        <f>+[3]Report1!BD17</f>
        <v>21.52467433678752</v>
      </c>
      <c r="BC12" s="510">
        <f>+[3]Report1!BE17</f>
        <v>428.37067713138498</v>
      </c>
      <c r="BD12" s="510">
        <f>+[3]Report1!BJ17</f>
        <v>0</v>
      </c>
      <c r="BE12" s="510">
        <f>+[3]Report1!BK17</f>
        <v>8.8638798289953993</v>
      </c>
      <c r="BF12" s="512">
        <f>+[4]Report1!J17</f>
        <v>0.94919295386283176</v>
      </c>
      <c r="BG12" s="513">
        <f>+[4]Report1!K17</f>
        <v>0.90395817333522943</v>
      </c>
      <c r="BH12" s="513">
        <f>+[4]Report1!AN17</f>
        <v>0.94919295386283176</v>
      </c>
      <c r="BI12" s="513">
        <f>+[4]Report1!AO17</f>
        <v>0.90395817333522943</v>
      </c>
      <c r="BJ12" s="510">
        <f>+[4]Report1!R17</f>
        <v>48.865000000000002</v>
      </c>
      <c r="BK12" s="510">
        <f>+[4]Report1!S17</f>
        <v>427.87099999999998</v>
      </c>
      <c r="BL12" s="510">
        <f>+[4]Report1!AD17</f>
        <v>2.6419727821549164</v>
      </c>
      <c r="BM12" s="510">
        <f>+[4]Report1!AE17</f>
        <v>2.6996454538868022</v>
      </c>
      <c r="BN12" s="514">
        <v>0</v>
      </c>
      <c r="BO12" s="514">
        <v>0</v>
      </c>
      <c r="BP12" s="514">
        <f>+[4]Report1!AJ17</f>
        <v>989.64760053207351</v>
      </c>
      <c r="BQ12" s="514">
        <f>+[4]Report1!AK17</f>
        <v>976.9873746993843</v>
      </c>
      <c r="BR12" s="514">
        <v>0</v>
      </c>
      <c r="BS12" s="515">
        <v>0</v>
      </c>
      <c r="BT12" s="512">
        <f>+[5]Report1!J17</f>
        <v>0.85309948576023609</v>
      </c>
      <c r="BU12" s="513">
        <f>+[5]Report1!K17</f>
        <v>0.80414306262289459</v>
      </c>
      <c r="BV12" s="513">
        <f>+[5]Report1!BG17</f>
        <v>0.85309948576023609</v>
      </c>
      <c r="BW12" s="513">
        <f>+[5]Report1!BH17</f>
        <v>0.83554524584720913</v>
      </c>
      <c r="BX12" s="510">
        <f>+[5]Report1!R17</f>
        <v>45.140999999999998</v>
      </c>
      <c r="BY12" s="510">
        <f>+[5]Report1!S17</f>
        <v>379.46999999999997</v>
      </c>
      <c r="BZ12" s="514">
        <f>+[5]Report1!X17</f>
        <v>89.806050737705803</v>
      </c>
      <c r="CA12" s="514">
        <f>+[5]Report1!Y17</f>
        <v>82.148282718319862</v>
      </c>
      <c r="CB12" s="510">
        <f>+[5]Report1!AD17</f>
        <v>2.0557807757914093</v>
      </c>
      <c r="CC12" s="510">
        <f>+[5]Report1!AE17</f>
        <v>2.0789785753814529</v>
      </c>
      <c r="CD12" s="514">
        <f>+[5]Report1!AJ17</f>
        <v>0</v>
      </c>
      <c r="CE12" s="514">
        <f>+[5]Report1!AK17</f>
        <v>0.16891980920757899</v>
      </c>
      <c r="CF12" s="514">
        <f>+[5]Report1!AP17</f>
        <v>912.80941937484965</v>
      </c>
      <c r="CG12" s="514">
        <f>+[5]Report1!AQ17</f>
        <v>846.77209002029258</v>
      </c>
      <c r="CH12" s="514">
        <f>+[5]Report1!AV17</f>
        <v>20.059369531024505</v>
      </c>
      <c r="CI12" s="514">
        <f>+[5]Report1!AW17</f>
        <v>422.35773315413581</v>
      </c>
      <c r="CJ12" s="514">
        <f>+[5]Report1!BB17</f>
        <v>0</v>
      </c>
      <c r="CK12" s="514">
        <f>+[5]Report1!BC17</f>
        <v>8.8481619100323989</v>
      </c>
    </row>
    <row r="13" spans="1:89" ht="12.75" customHeight="1">
      <c r="A13" s="568">
        <f t="shared" si="0"/>
        <v>45879</v>
      </c>
      <c r="B13" s="512">
        <f>+Report1!J18</f>
        <v>1.019358954407974</v>
      </c>
      <c r="C13" s="513">
        <f>+Report1!K18</f>
        <v>0.79677449600583394</v>
      </c>
      <c r="D13" s="513">
        <f>+Report1!AJ18</f>
        <v>1.019358954407974</v>
      </c>
      <c r="E13" s="513">
        <f>+Report1!AK18</f>
        <v>0.79677449600583394</v>
      </c>
      <c r="F13" s="510">
        <f>+Report1!R18</f>
        <v>81.748999999999995</v>
      </c>
      <c r="G13" s="510">
        <f>+Report1!S18</f>
        <v>573.37</v>
      </c>
      <c r="H13" s="510">
        <f>+Report1!X18</f>
        <v>2.1023988061016037</v>
      </c>
      <c r="I13" s="510">
        <f>+Report1!Y18</f>
        <v>2.3842492631285208</v>
      </c>
      <c r="J13" s="510">
        <f>+Report1!AD18</f>
        <v>675.02403699128172</v>
      </c>
      <c r="K13" s="511">
        <f>+Report1!AE18</f>
        <v>873.91764480178415</v>
      </c>
      <c r="L13" s="512">
        <f>+[1]Report1!J18</f>
        <v>0.9720304898436728</v>
      </c>
      <c r="M13" s="513">
        <f>+[1]Report1!K18</f>
        <v>0.79608712975948037</v>
      </c>
      <c r="N13" s="513">
        <f>+[1]Report1!BJ18</f>
        <v>0.9720304898436728</v>
      </c>
      <c r="O13" s="513">
        <f>+[1]Report1!BK18</f>
        <v>0.86347765650278663</v>
      </c>
      <c r="P13" s="510">
        <f>+[1]Report1!R18</f>
        <v>75.066999999999993</v>
      </c>
      <c r="Q13" s="510">
        <f>+[1]Report1!S18</f>
        <v>522.94600000000003</v>
      </c>
      <c r="R13" s="510">
        <f>+[1]Report1!AL18</f>
        <v>2.0930368870475711</v>
      </c>
      <c r="S13" s="510">
        <f>+[1]Report1!AM18</f>
        <v>2.710687145517892</v>
      </c>
      <c r="T13" s="510">
        <f>+[1]Report1!AR18</f>
        <v>0</v>
      </c>
      <c r="U13" s="510">
        <f>+[1]Report1!AS18</f>
        <v>0.11951520807119664</v>
      </c>
      <c r="V13" s="510">
        <f>+[1]Report1!AX18</f>
        <v>604.44416321419283</v>
      </c>
      <c r="W13" s="510">
        <f>+[1]Report1!AY18</f>
        <v>706.03626378249362</v>
      </c>
      <c r="X13" s="510">
        <f>+[1]Report1!BD18</f>
        <v>6.0612519482595548</v>
      </c>
      <c r="Y13" s="587">
        <f>+[1]Report1!BE18</f>
        <v>207.02519954259142</v>
      </c>
      <c r="Z13" s="512">
        <f>+[2]Report1!J18</f>
        <v>0.91104547274797243</v>
      </c>
      <c r="AA13" s="513">
        <f>+[2]Report1!K18</f>
        <v>0.88490805469823708</v>
      </c>
      <c r="AB13" s="513">
        <f>+[2]Report1!BC18</f>
        <v>0.91104547274797243</v>
      </c>
      <c r="AC13" s="513">
        <f>+[2]Report1!BD18</f>
        <v>0.88490805469823708</v>
      </c>
      <c r="AD13" s="510">
        <f>+[2]Report1!R18</f>
        <v>38.950000000000003</v>
      </c>
      <c r="AE13" s="510">
        <f>+[2]Report1!S18</f>
        <v>426.56399999999996</v>
      </c>
      <c r="AF13" s="510">
        <f>+[2]Report1!X18</f>
        <v>101.64431912093821</v>
      </c>
      <c r="AG13" s="510">
        <f>+[2]Report1!Y18</f>
        <v>95.918122508491848</v>
      </c>
      <c r="AH13" s="510">
        <f>+[2]Report1!AD18</f>
        <v>1.3247753530166879</v>
      </c>
      <c r="AI13" s="510">
        <f>+[2]Report1!AE18</f>
        <v>1.3233653097776654</v>
      </c>
      <c r="AJ13" s="510">
        <f>+[2]Report1!AJ18</f>
        <v>942.29884467267595</v>
      </c>
      <c r="AK13" s="510">
        <f>+[2]Report1!AK18</f>
        <v>854.68572125167964</v>
      </c>
      <c r="AL13" s="598">
        <v>0</v>
      </c>
      <c r="AM13" s="598">
        <v>0</v>
      </c>
      <c r="AN13" s="512">
        <f>+[3]Report1!J18</f>
        <v>0.92215643375897138</v>
      </c>
      <c r="AO13" s="513">
        <f>+[3]Report1!K18</f>
        <v>0.82993452836093051</v>
      </c>
      <c r="AP13" s="513">
        <f>+[3]Report1!BN18</f>
        <v>0.92215643375897138</v>
      </c>
      <c r="AQ13" s="513">
        <f>+[3]Report1!BO18</f>
        <v>0.85879438654606699</v>
      </c>
      <c r="AR13" s="510">
        <f>+[3]Report1!R18</f>
        <v>48.898000000000003</v>
      </c>
      <c r="AS13" s="510">
        <f>+[3]Report1!S18</f>
        <v>433.68299999999999</v>
      </c>
      <c r="AT13" s="514">
        <f>+[3]Report1!AF18</f>
        <v>101.90029773069767</v>
      </c>
      <c r="AU13" s="514">
        <f>+[3]Report1!AG18</f>
        <v>114.64535187075131</v>
      </c>
      <c r="AV13" s="510">
        <f>+[3]Report1!AL18</f>
        <v>1.3988302180048264</v>
      </c>
      <c r="AW13" s="510">
        <f>+[3]Report1!AM18</f>
        <v>1.5091668338394635</v>
      </c>
      <c r="AX13" s="510">
        <f>+[3]Report1!AR18</f>
        <v>0</v>
      </c>
      <c r="AY13" s="510">
        <f>+[3]Report1!AS18</f>
        <v>0.15149314130367111</v>
      </c>
      <c r="AZ13" s="510">
        <f>+[3]Report1!AX18</f>
        <v>883.72816884126223</v>
      </c>
      <c r="BA13" s="510">
        <f>+[3]Report1!AY18</f>
        <v>929.79932346898568</v>
      </c>
      <c r="BB13" s="510">
        <f>+[3]Report1!BD18</f>
        <v>13.364554787516871</v>
      </c>
      <c r="BC13" s="510">
        <f>+[3]Report1!BE18</f>
        <v>381.57850549825548</v>
      </c>
      <c r="BD13" s="510">
        <f>+[3]Report1!BJ18</f>
        <v>0.10225367090678555</v>
      </c>
      <c r="BE13" s="510">
        <f>+[3]Report1!BK18</f>
        <v>7.8760015956355103</v>
      </c>
      <c r="BF13" s="512">
        <f>+[4]Report1!J18</f>
        <v>0.99338437860524331</v>
      </c>
      <c r="BG13" s="513">
        <f>+[4]Report1!K18</f>
        <v>0.9127303058541647</v>
      </c>
      <c r="BH13" s="513">
        <f>+[4]Report1!AN18</f>
        <v>0.99338437860524331</v>
      </c>
      <c r="BI13" s="513">
        <f>+[4]Report1!AO18</f>
        <v>0.9127303058541647</v>
      </c>
      <c r="BJ13" s="510">
        <f>+[4]Report1!R18</f>
        <v>51.14</v>
      </c>
      <c r="BK13" s="510">
        <f>+[4]Report1!S18</f>
        <v>479.01099999999997</v>
      </c>
      <c r="BL13" s="510">
        <f>+[4]Report1!AD18</f>
        <v>2.5048885412592883</v>
      </c>
      <c r="BM13" s="510">
        <f>+[4]Report1!AE18</f>
        <v>2.6788528864681602</v>
      </c>
      <c r="BN13" s="514">
        <v>0</v>
      </c>
      <c r="BO13" s="514">
        <v>0</v>
      </c>
      <c r="BP13" s="514">
        <f>+[4]Report1!AJ18</f>
        <v>899.25322643724212</v>
      </c>
      <c r="BQ13" s="514">
        <f>+[4]Report1!AK18</f>
        <v>968.68834953686019</v>
      </c>
      <c r="BR13" s="514">
        <v>0</v>
      </c>
      <c r="BS13" s="515">
        <v>0</v>
      </c>
      <c r="BT13" s="512">
        <f>+[5]Report1!J18</f>
        <v>0.83168638527585681</v>
      </c>
      <c r="BU13" s="513">
        <f>+[5]Report1!K18</f>
        <v>0.80695379918509147</v>
      </c>
      <c r="BV13" s="513">
        <f>+[5]Report1!BG18</f>
        <v>0.83168638527585681</v>
      </c>
      <c r="BW13" s="513">
        <f>+[5]Report1!BH18</f>
        <v>0.83513770389558262</v>
      </c>
      <c r="BX13" s="510">
        <f>+[5]Report1!R18</f>
        <v>44.601999999999997</v>
      </c>
      <c r="BY13" s="510">
        <f>+[5]Report1!S18</f>
        <v>424.07199999999995</v>
      </c>
      <c r="BZ13" s="514">
        <f>+[5]Report1!X18</f>
        <v>91.929353208461563</v>
      </c>
      <c r="CA13" s="514">
        <f>+[5]Report1!Y18</f>
        <v>83.177012052020984</v>
      </c>
      <c r="CB13" s="510">
        <f>+[5]Report1!AD18</f>
        <v>2.1770324200708489</v>
      </c>
      <c r="CC13" s="510">
        <f>+[5]Report1!AE18</f>
        <v>2.0892914410760435</v>
      </c>
      <c r="CD13" s="514">
        <f>+[5]Report1!AJ18</f>
        <v>0</v>
      </c>
      <c r="CE13" s="514">
        <f>+[5]Report1!AK18</f>
        <v>0.15115357769435381</v>
      </c>
      <c r="CF13" s="514">
        <f>+[5]Report1!AP18</f>
        <v>915.62732612887282</v>
      </c>
      <c r="CG13" s="514">
        <f>+[5]Report1!AQ18</f>
        <v>854.01397640023492</v>
      </c>
      <c r="CH13" s="514">
        <f>+[5]Report1!AV18</f>
        <v>14.65180933590422</v>
      </c>
      <c r="CI13" s="514">
        <f>+[5]Report1!AW18</f>
        <v>379.47704399252933</v>
      </c>
      <c r="CJ13" s="514">
        <f>+[5]Report1!BB18</f>
        <v>0.11210259629613022</v>
      </c>
      <c r="CK13" s="514">
        <f>+[5]Report1!BC18</f>
        <v>7.9293421871757497</v>
      </c>
    </row>
    <row r="14" spans="1:89" ht="12.75" customHeight="1">
      <c r="A14" s="568">
        <f t="shared" si="0"/>
        <v>45880</v>
      </c>
      <c r="B14" s="512">
        <f>+Report1!J19</f>
        <v>0.72974618419024206</v>
      </c>
      <c r="C14" s="513">
        <f>+Report1!K19</f>
        <v>0.78979691494059368</v>
      </c>
      <c r="D14" s="513">
        <f>+Report1!AJ19</f>
        <v>0.72974618419024206</v>
      </c>
      <c r="E14" s="513">
        <f>+Report1!AK19</f>
        <v>0.78979691494059368</v>
      </c>
      <c r="F14" s="510">
        <f>+Report1!R19</f>
        <v>61.018000000000001</v>
      </c>
      <c r="G14" s="510">
        <f>+Report1!S19</f>
        <v>634.38800000000003</v>
      </c>
      <c r="H14" s="510">
        <f>+Report1!X19</f>
        <v>2.8267232619882656</v>
      </c>
      <c r="I14" s="510">
        <f>+Report1!Y19</f>
        <v>2.4268081993984754</v>
      </c>
      <c r="J14" s="510">
        <f>+Report1!AD19</f>
        <v>914.61896489558046</v>
      </c>
      <c r="K14" s="511">
        <f>+Report1!AE19</f>
        <v>877.83246215249585</v>
      </c>
      <c r="L14" s="512">
        <f>+[1]Report1!J19</f>
        <v>0.86127935191573768</v>
      </c>
      <c r="M14" s="513">
        <f>+[1]Report1!K19</f>
        <v>0.80110245220455134</v>
      </c>
      <c r="N14" s="513">
        <f>+[1]Report1!BJ19</f>
        <v>0.86127935191573768</v>
      </c>
      <c r="O14" s="513">
        <f>+[1]Report1!BK19</f>
        <v>0.86329540869569776</v>
      </c>
      <c r="P14" s="510">
        <f>+[1]Report1!R19</f>
        <v>47.152999999999999</v>
      </c>
      <c r="Q14" s="510">
        <f>+[1]Report1!S19</f>
        <v>570.09900000000005</v>
      </c>
      <c r="R14" s="510">
        <f>+[1]Report1!AL19</f>
        <v>2.8393527453184317</v>
      </c>
      <c r="S14" s="510">
        <f>+[1]Report1!AM19</f>
        <v>2.7213291024892161</v>
      </c>
      <c r="T14" s="510">
        <f>+[1]Report1!AR19</f>
        <v>0</v>
      </c>
      <c r="U14" s="510">
        <f>+[1]Report1!AS19</f>
        <v>0.10963008179281142</v>
      </c>
      <c r="V14" s="510">
        <f>+[1]Report1!AX19</f>
        <v>965.59561427692665</v>
      </c>
      <c r="W14" s="510">
        <f>+[1]Report1!AY19</f>
        <v>727.50446852213361</v>
      </c>
      <c r="X14" s="510">
        <f>+[1]Report1!BD19</f>
        <v>9.7342692935762312</v>
      </c>
      <c r="Y14" s="587">
        <f>+[1]Report1!BE19</f>
        <v>190.7072280428487</v>
      </c>
      <c r="Z14" s="512">
        <f>+[2]Report1!J19</f>
        <v>0.90631824825211993</v>
      </c>
      <c r="AA14" s="513">
        <f>+[2]Report1!K19</f>
        <v>0.88672808887952603</v>
      </c>
      <c r="AB14" s="513">
        <f>+[2]Report1!BC19</f>
        <v>0.90631824825211993</v>
      </c>
      <c r="AC14" s="513">
        <f>+[2]Report1!BD19</f>
        <v>0.88672808887952603</v>
      </c>
      <c r="AD14" s="510">
        <f>+[2]Report1!R19</f>
        <v>40.588999999999999</v>
      </c>
      <c r="AE14" s="510">
        <f>+[2]Report1!S19</f>
        <v>467.15299999999996</v>
      </c>
      <c r="AF14" s="510">
        <f>+[2]Report1!X19</f>
        <v>98.498282314256116</v>
      </c>
      <c r="AG14" s="510">
        <f>+[2]Report1!Y19</f>
        <v>96.142301966519881</v>
      </c>
      <c r="AH14" s="510">
        <f>+[2]Report1!AD19</f>
        <v>1.295917613146419</v>
      </c>
      <c r="AI14" s="510">
        <f>+[2]Report1!AE19</f>
        <v>1.3209804924724877</v>
      </c>
      <c r="AJ14" s="510">
        <f>+[2]Report1!AJ19</f>
        <v>964.01044617996365</v>
      </c>
      <c r="AK14" s="510">
        <f>+[2]Report1!AK19</f>
        <v>864.18449629992756</v>
      </c>
      <c r="AL14" s="598">
        <v>0</v>
      </c>
      <c r="AM14" s="598">
        <v>0</v>
      </c>
      <c r="AN14" s="512">
        <f>+[3]Report1!J19</f>
        <v>0.89069999522344911</v>
      </c>
      <c r="AO14" s="513">
        <f>+[3]Report1!K19</f>
        <v>0.83553262290517571</v>
      </c>
      <c r="AP14" s="513">
        <f>+[3]Report1!BN19</f>
        <v>0.89069999522344911</v>
      </c>
      <c r="AQ14" s="513">
        <f>+[3]Report1!BO19</f>
        <v>0.86182622963205691</v>
      </c>
      <c r="AR14" s="510">
        <f>+[3]Report1!R19</f>
        <v>47.23</v>
      </c>
      <c r="AS14" s="510">
        <f>+[3]Report1!S19</f>
        <v>480.91300000000001</v>
      </c>
      <c r="AT14" s="514">
        <f>+[3]Report1!AF19</f>
        <v>105.0313424263941</v>
      </c>
      <c r="AU14" s="514">
        <f>+[3]Report1!AG19</f>
        <v>113.70116931370463</v>
      </c>
      <c r="AV14" s="510">
        <f>+[3]Report1!AL19</f>
        <v>1.4567012492060132</v>
      </c>
      <c r="AW14" s="510">
        <f>+[3]Report1!AM19</f>
        <v>1.5040142395817953</v>
      </c>
      <c r="AX14" s="510">
        <f>+[3]Report1!AR19</f>
        <v>0</v>
      </c>
      <c r="AY14" s="510">
        <f>+[3]Report1!AS19</f>
        <v>0.13661514660655877</v>
      </c>
      <c r="AZ14" s="510">
        <f>+[3]Report1!AX19</f>
        <v>1009.9136142282439</v>
      </c>
      <c r="BA14" s="510">
        <f>+[3]Report1!AY19</f>
        <v>937.66727037946589</v>
      </c>
      <c r="BB14" s="510">
        <f>+[3]Report1!BD19</f>
        <v>25.333474486556121</v>
      </c>
      <c r="BC14" s="510">
        <f>+[3]Report1!BE19</f>
        <v>346.59202600054476</v>
      </c>
      <c r="BD14" s="510">
        <f>+[3]Report1!BJ19</f>
        <v>0</v>
      </c>
      <c r="BE14" s="510">
        <f>+[3]Report1!BK19</f>
        <v>7.1025071062749285</v>
      </c>
      <c r="BF14" s="512">
        <f>+[4]Report1!J19</f>
        <v>0.86547205687830686</v>
      </c>
      <c r="BG14" s="513">
        <f>+[4]Report1!K19</f>
        <v>0.90850869037712823</v>
      </c>
      <c r="BH14" s="513">
        <f>+[4]Report1!AN19</f>
        <v>0.86547205687830686</v>
      </c>
      <c r="BI14" s="513">
        <f>+[4]Report1!AO19</f>
        <v>0.90850869037712823</v>
      </c>
      <c r="BJ14" s="510">
        <f>+[4]Report1!R19</f>
        <v>44.555</v>
      </c>
      <c r="BK14" s="510">
        <f>+[4]Report1!S19</f>
        <v>523.56599999999992</v>
      </c>
      <c r="BL14" s="510">
        <f>+[4]Report1!AD19</f>
        <v>2.8885646953203903</v>
      </c>
      <c r="BM14" s="510">
        <f>+[4]Report1!AE19</f>
        <v>2.6966991745071303</v>
      </c>
      <c r="BN14" s="514">
        <v>0</v>
      </c>
      <c r="BO14" s="514">
        <v>0</v>
      </c>
      <c r="BP14" s="514">
        <f>+[4]Report1!AJ19</f>
        <v>1140.0402872853663</v>
      </c>
      <c r="BQ14" s="514">
        <f>+[4]Report1!AK19</f>
        <v>983.27024673107189</v>
      </c>
      <c r="BR14" s="514">
        <v>0</v>
      </c>
      <c r="BS14" s="515">
        <v>0</v>
      </c>
      <c r="BT14" s="512">
        <f>+[5]Report1!J19</f>
        <v>0.58917595962172464</v>
      </c>
      <c r="BU14" s="513">
        <f>+[5]Report1!K19</f>
        <v>0.78893499854667348</v>
      </c>
      <c r="BV14" s="513">
        <f>+[5]Report1!BG19</f>
        <v>0.58917595962172464</v>
      </c>
      <c r="BW14" s="513">
        <f>+[5]Report1!BH19</f>
        <v>0.81413689733899242</v>
      </c>
      <c r="BX14" s="510">
        <f>+[5]Report1!R19</f>
        <v>27.928999999999998</v>
      </c>
      <c r="BY14" s="510">
        <f>+[5]Report1!S19</f>
        <v>452.00099999999992</v>
      </c>
      <c r="BZ14" s="514">
        <f>+[5]Report1!X19</f>
        <v>124.54520091475045</v>
      </c>
      <c r="CA14" s="514">
        <f>+[5]Report1!Y19</f>
        <v>85.733139464896553</v>
      </c>
      <c r="CB14" s="510">
        <f>+[5]Report1!AD19</f>
        <v>3.0720756203229618</v>
      </c>
      <c r="CC14" s="510">
        <f>+[5]Report1!AE19</f>
        <v>2.1500173672182141</v>
      </c>
      <c r="CD14" s="514">
        <f>+[5]Report1!AJ19</f>
        <v>0</v>
      </c>
      <c r="CE14" s="514">
        <f>+[5]Report1!AK19</f>
        <v>0.14181384554458951</v>
      </c>
      <c r="CF14" s="514">
        <f>+[5]Report1!AP19</f>
        <v>1428.5565183142928</v>
      </c>
      <c r="CG14" s="514">
        <f>+[5]Report1!AQ19</f>
        <v>889.51477983455857</v>
      </c>
      <c r="CH14" s="514">
        <f>+[5]Report1!AV19</f>
        <v>42.840774821871371</v>
      </c>
      <c r="CI14" s="514">
        <f>+[5]Report1!AW19</f>
        <v>358.67639452125098</v>
      </c>
      <c r="CJ14" s="514">
        <f>+[5]Report1!BB19</f>
        <v>0</v>
      </c>
      <c r="CK14" s="514">
        <f>+[5]Report1!BC19</f>
        <v>7.439390620817198</v>
      </c>
    </row>
    <row r="15" spans="1:89" ht="12.75" customHeight="1">
      <c r="A15" s="568">
        <f t="shared" si="0"/>
        <v>45881</v>
      </c>
      <c r="B15" s="512">
        <f>+Report1!J20</f>
        <v>1.0214101881452593</v>
      </c>
      <c r="C15" s="513">
        <f>+Report1!K20</f>
        <v>0.81146341639911712</v>
      </c>
      <c r="D15" s="513">
        <f>+Report1!AJ20</f>
        <v>1.0214101881452593</v>
      </c>
      <c r="E15" s="513">
        <f>+Report1!AK20</f>
        <v>0.81146341639911712</v>
      </c>
      <c r="F15" s="510">
        <f>+Report1!R20</f>
        <v>84.668000000000006</v>
      </c>
      <c r="G15" s="510">
        <f>+Report1!S20</f>
        <v>719.05600000000004</v>
      </c>
      <c r="H15" s="510">
        <f>+Report1!X20</f>
        <v>2.0147163036802569</v>
      </c>
      <c r="I15" s="510">
        <f>+Report1!Y20</f>
        <v>2.3782848623751138</v>
      </c>
      <c r="J15" s="510">
        <f>+Report1!AD20</f>
        <v>628.37813577738802</v>
      </c>
      <c r="K15" s="511">
        <f>+Report1!AE20</f>
        <v>848.45950802162486</v>
      </c>
      <c r="L15" s="512">
        <f>+[1]Report1!J20</f>
        <v>0.91022183735166273</v>
      </c>
      <c r="M15" s="513">
        <f>+[1]Report1!K20</f>
        <v>0.80878019015104674</v>
      </c>
      <c r="N15" s="513">
        <f>+[1]Report1!BJ20</f>
        <v>0.91022183735166273</v>
      </c>
      <c r="O15" s="513">
        <f>+[1]Report1!BK20</f>
        <v>0.86683419557299013</v>
      </c>
      <c r="P15" s="510">
        <f>+[1]Report1!R20</f>
        <v>49.026000000000003</v>
      </c>
      <c r="Q15" s="510">
        <f>+[1]Report1!S20</f>
        <v>619.125</v>
      </c>
      <c r="R15" s="510">
        <f>+[1]Report1!AL20</f>
        <v>2.3781462897238197</v>
      </c>
      <c r="S15" s="510">
        <f>+[1]Report1!AM20</f>
        <v>2.6941538461538457</v>
      </c>
      <c r="T15" s="510">
        <f>+[1]Report1!AR20</f>
        <v>0</v>
      </c>
      <c r="U15" s="510">
        <f>+[1]Report1!AS20</f>
        <v>0.10094891984655764</v>
      </c>
      <c r="V15" s="510">
        <f>+[1]Report1!AX20</f>
        <v>943.06857585771957</v>
      </c>
      <c r="W15" s="510">
        <f>+[1]Report1!AY20</f>
        <v>744.57411669695205</v>
      </c>
      <c r="X15" s="510">
        <f>+[1]Report1!BD20</f>
        <v>9.301187125198874</v>
      </c>
      <c r="Y15" s="587">
        <f>+[1]Report1!BE20</f>
        <v>176.34241873611953</v>
      </c>
      <c r="Z15" s="512">
        <f>+[2]Report1!J20</f>
        <v>0.9163286374484596</v>
      </c>
      <c r="AA15" s="513">
        <f>+[2]Report1!K20</f>
        <v>0.88905803611785295</v>
      </c>
      <c r="AB15" s="513">
        <f>+[2]Report1!BC20</f>
        <v>0.9163286374484596</v>
      </c>
      <c r="AC15" s="513">
        <f>+[2]Report1!BD20</f>
        <v>0.88905803611785295</v>
      </c>
      <c r="AD15" s="510">
        <f>+[2]Report1!R20</f>
        <v>41.244999999999997</v>
      </c>
      <c r="AE15" s="510">
        <f>+[2]Report1!S20</f>
        <v>508.39799999999997</v>
      </c>
      <c r="AF15" s="510">
        <f>+[2]Report1!X20</f>
        <v>92.05425849110965</v>
      </c>
      <c r="AG15" s="510">
        <f>+[2]Report1!Y20</f>
        <v>95.810649691838833</v>
      </c>
      <c r="AH15" s="510">
        <f>+[2]Report1!AD20</f>
        <v>1.3262213601648687</v>
      </c>
      <c r="AI15" s="510">
        <f>+[2]Report1!AE20</f>
        <v>1.3214056703606232</v>
      </c>
      <c r="AJ15" s="510">
        <f>+[2]Report1!AJ20</f>
        <v>954.38283428297859</v>
      </c>
      <c r="AK15" s="510">
        <f>+[2]Report1!AK20</f>
        <v>871.50205154229866</v>
      </c>
      <c r="AL15" s="598">
        <v>0</v>
      </c>
      <c r="AM15" s="598">
        <v>0</v>
      </c>
      <c r="AN15" s="512">
        <f>+[3]Report1!J20</f>
        <v>0.93075510186318511</v>
      </c>
      <c r="AO15" s="513">
        <f>+[3]Report1!K20</f>
        <v>0.84355662204337589</v>
      </c>
      <c r="AP15" s="513">
        <f>+[3]Report1!BN20</f>
        <v>0.93075510186318511</v>
      </c>
      <c r="AQ15" s="513">
        <f>+[3]Report1!BO20</f>
        <v>0.86780151606157507</v>
      </c>
      <c r="AR15" s="510">
        <f>+[3]Report1!R20</f>
        <v>49.296999999999997</v>
      </c>
      <c r="AS15" s="510">
        <f>+[3]Report1!S20</f>
        <v>530.21</v>
      </c>
      <c r="AT15" s="514">
        <f>+[3]Report1!AF20</f>
        <v>96.987303454126021</v>
      </c>
      <c r="AU15" s="514">
        <f>+[3]Report1!AG20</f>
        <v>112.14717477327791</v>
      </c>
      <c r="AV15" s="510">
        <f>+[3]Report1!AL20</f>
        <v>1.3956224516704872</v>
      </c>
      <c r="AW15" s="510">
        <f>+[3]Report1!AM20</f>
        <v>1.493936364836574</v>
      </c>
      <c r="AX15" s="510">
        <f>+[3]Report1!AR20</f>
        <v>0</v>
      </c>
      <c r="AY15" s="510">
        <f>+[3]Report1!AS20</f>
        <v>0.12391316648120555</v>
      </c>
      <c r="AZ15" s="510">
        <f>+[3]Report1!AX20</f>
        <v>925.68553867375431</v>
      </c>
      <c r="BA15" s="510">
        <f>+[3]Report1!AY20</f>
        <v>936.55325248486474</v>
      </c>
      <c r="BB15" s="510">
        <f>+[3]Report1!BD20</f>
        <v>13.885226281518145</v>
      </c>
      <c r="BC15" s="510">
        <f>+[3]Report1!BE20</f>
        <v>315.65815620225953</v>
      </c>
      <c r="BD15" s="510">
        <f>+[3]Report1!BJ20</f>
        <v>0</v>
      </c>
      <c r="BE15" s="510">
        <f>+[3]Report1!BK20</f>
        <v>6.4421417928745113</v>
      </c>
      <c r="BF15" s="512">
        <f>+[4]Report1!J20</f>
        <v>0.86990538245927584</v>
      </c>
      <c r="BG15" s="513">
        <f>+[4]Report1!K20</f>
        <v>0.90528660324828902</v>
      </c>
      <c r="BH15" s="513">
        <f>+[4]Report1!AN20</f>
        <v>0.86990538245927584</v>
      </c>
      <c r="BI15" s="513">
        <f>+[4]Report1!AO20</f>
        <v>0.90528660324828902</v>
      </c>
      <c r="BJ15" s="510">
        <f>+[4]Report1!R20</f>
        <v>45.654000000000003</v>
      </c>
      <c r="BK15" s="510">
        <f>+[4]Report1!S20</f>
        <v>569.21999999999991</v>
      </c>
      <c r="BL15" s="510">
        <f>+[4]Report1!AD20</f>
        <v>2.9000744732115478</v>
      </c>
      <c r="BM15" s="510">
        <f>+[4]Report1!AE20</f>
        <v>2.7130107866905595</v>
      </c>
      <c r="BN15" s="514">
        <v>0</v>
      </c>
      <c r="BO15" s="514">
        <v>0</v>
      </c>
      <c r="BP15" s="514">
        <f>+[4]Report1!AJ20</f>
        <v>1073.8222280632576</v>
      </c>
      <c r="BQ15" s="514">
        <f>+[4]Report1!AK20</f>
        <v>990.5329222444758</v>
      </c>
      <c r="BR15" s="514">
        <v>0</v>
      </c>
      <c r="BS15" s="515">
        <v>0</v>
      </c>
      <c r="BT15" s="512">
        <f>+[5]Report1!J20</f>
        <v>0.79201523894857395</v>
      </c>
      <c r="BU15" s="513">
        <f>+[5]Report1!K20</f>
        <v>0.78917268714172073</v>
      </c>
      <c r="BV15" s="513">
        <f>+[5]Report1!BG20</f>
        <v>0.79201523894857395</v>
      </c>
      <c r="BW15" s="513">
        <f>+[5]Report1!BH20</f>
        <v>0.81237966813819029</v>
      </c>
      <c r="BX15" s="510">
        <f>+[5]Report1!R20</f>
        <v>37.942999999999998</v>
      </c>
      <c r="BY15" s="510">
        <f>+[5]Report1!S20</f>
        <v>489.9439999999999</v>
      </c>
      <c r="BZ15" s="514">
        <f>+[5]Report1!X20</f>
        <v>98.912553307754578</v>
      </c>
      <c r="CA15" s="514">
        <f>+[5]Report1!Y20</f>
        <v>86.753799988220791</v>
      </c>
      <c r="CB15" s="510">
        <f>+[5]Report1!AD20</f>
        <v>2.3877922146377459</v>
      </c>
      <c r="CC15" s="510">
        <f>+[5]Report1!AE20</f>
        <v>2.1684314942115837</v>
      </c>
      <c r="CD15" s="514">
        <f>+[5]Report1!AJ20</f>
        <v>0</v>
      </c>
      <c r="CE15" s="514">
        <f>+[5]Report1!AK20</f>
        <v>0.13083127867674674</v>
      </c>
      <c r="CF15" s="514">
        <f>+[5]Report1!AP20</f>
        <v>1116.5506153967801</v>
      </c>
      <c r="CG15" s="514">
        <f>+[5]Report1!AQ20</f>
        <v>907.09723968453625</v>
      </c>
      <c r="CH15" s="514">
        <f>+[5]Report1!AV20</f>
        <v>18.040218222069946</v>
      </c>
      <c r="CI15" s="514">
        <f>+[5]Report1!AW20</f>
        <v>332.29632162043004</v>
      </c>
      <c r="CJ15" s="514">
        <f>+[5]Report1!BB20</f>
        <v>0</v>
      </c>
      <c r="CK15" s="514">
        <f>+[5]Report1!BC20</f>
        <v>6.8632578417125103</v>
      </c>
    </row>
    <row r="16" spans="1:89" ht="12.75" customHeight="1">
      <c r="A16" s="568">
        <f t="shared" si="0"/>
        <v>45882</v>
      </c>
      <c r="B16" s="512">
        <f>+Report1!J21</f>
        <v>0.96594056400670769</v>
      </c>
      <c r="C16" s="513">
        <f>+Report1!K21</f>
        <v>0.82405085280809742</v>
      </c>
      <c r="D16" s="513">
        <f>+Report1!AJ21</f>
        <v>0.96594056400670769</v>
      </c>
      <c r="E16" s="513">
        <f>+Report1!AK21</f>
        <v>0.82405085280809742</v>
      </c>
      <c r="F16" s="510">
        <f>+Report1!R21</f>
        <v>75.933000000000007</v>
      </c>
      <c r="G16" s="510">
        <f>+Report1!S21</f>
        <v>794.98900000000003</v>
      </c>
      <c r="H16" s="510">
        <f>+Report1!X21</f>
        <v>2.160417736688923</v>
      </c>
      <c r="I16" s="510">
        <f>+Report1!Y21</f>
        <v>2.3574753864518878</v>
      </c>
      <c r="J16" s="510">
        <f>+Report1!AD21</f>
        <v>735.3100759880432</v>
      </c>
      <c r="K16" s="511">
        <f>+Report1!AE21</f>
        <v>837.65209329940103</v>
      </c>
      <c r="L16" s="512">
        <f>+[1]Report1!J21</f>
        <v>0.80938961655449282</v>
      </c>
      <c r="M16" s="513">
        <f>+[1]Report1!K21</f>
        <v>0.80881995828541453</v>
      </c>
      <c r="N16" s="513">
        <f>+[1]Report1!BJ21</f>
        <v>0.80938961655449282</v>
      </c>
      <c r="O16" s="513">
        <f>+[1]Report1!BK21</f>
        <v>0.86283530930713548</v>
      </c>
      <c r="P16" s="510">
        <f>+[1]Report1!R21</f>
        <v>43.253999999999998</v>
      </c>
      <c r="Q16" s="510">
        <f>+[1]Report1!S21</f>
        <v>662.37900000000002</v>
      </c>
      <c r="R16" s="510">
        <f>+[1]Report1!AL21</f>
        <v>2.6957275627687616</v>
      </c>
      <c r="S16" s="510">
        <f>+[1]Report1!AM21</f>
        <v>2.6942566113961939</v>
      </c>
      <c r="T16" s="510">
        <f>+[1]Report1!AR21</f>
        <v>0</v>
      </c>
      <c r="U16" s="510">
        <f>+[1]Report1!AS21</f>
        <v>9.4356856120136653E-2</v>
      </c>
      <c r="V16" s="510">
        <f>+[1]Report1!AX21</f>
        <v>1051.8063069311509</v>
      </c>
      <c r="W16" s="510">
        <f>+[1]Report1!AY21</f>
        <v>764.63668081264723</v>
      </c>
      <c r="X16" s="510">
        <f>+[1]Report1!BD21</f>
        <v>12.27632126508531</v>
      </c>
      <c r="Y16" s="587">
        <f>+[1]Report1!BE21</f>
        <v>165.62874124934515</v>
      </c>
      <c r="Z16" s="512">
        <f>+[2]Report1!J21</f>
        <v>0.95002271047008524</v>
      </c>
      <c r="AA16" s="513">
        <f>+[2]Report1!K21</f>
        <v>0.89368668299888032</v>
      </c>
      <c r="AB16" s="513">
        <f>+[2]Report1!BC21</f>
        <v>0.95002271047008524</v>
      </c>
      <c r="AC16" s="513">
        <f>+[2]Report1!BD21</f>
        <v>0.89368668299888032</v>
      </c>
      <c r="AD16" s="510">
        <f>+[2]Report1!R21</f>
        <v>44.634999999999998</v>
      </c>
      <c r="AE16" s="510">
        <f>+[2]Report1!S21</f>
        <v>553.03300000000002</v>
      </c>
      <c r="AF16" s="510">
        <f>+[2]Report1!X21</f>
        <v>84.983096617005472</v>
      </c>
      <c r="AG16" s="510">
        <f>+[2]Report1!Y21</f>
        <v>94.936763628086425</v>
      </c>
      <c r="AH16" s="510">
        <f>+[2]Report1!AD21</f>
        <v>1.2815055449759158</v>
      </c>
      <c r="AI16" s="510">
        <f>+[2]Report1!AE21</f>
        <v>1.3181853524111582</v>
      </c>
      <c r="AJ16" s="510">
        <f>+[2]Report1!AJ21</f>
        <v>841.57768567264577</v>
      </c>
      <c r="AK16" s="510">
        <f>+[2]Report1!AK21</f>
        <v>869.08687185032363</v>
      </c>
      <c r="AL16" s="598">
        <v>0</v>
      </c>
      <c r="AM16" s="598">
        <v>0</v>
      </c>
      <c r="AN16" s="512">
        <f>+[3]Report1!J21</f>
        <v>0.92316886849514723</v>
      </c>
      <c r="AO16" s="513">
        <f>+[3]Report1!K21</f>
        <v>0.8491121855910716</v>
      </c>
      <c r="AP16" s="513">
        <f>+[3]Report1!BN21</f>
        <v>0.92316886849514723</v>
      </c>
      <c r="AQ16" s="513">
        <f>+[3]Report1!BO21</f>
        <v>0.87176829496202357</v>
      </c>
      <c r="AR16" s="510">
        <f>+[3]Report1!R21</f>
        <v>43.529000000000003</v>
      </c>
      <c r="AS16" s="510">
        <f>+[3]Report1!S21</f>
        <v>573.73900000000003</v>
      </c>
      <c r="AT16" s="514">
        <f>+[3]Report1!AF21</f>
        <v>95.849751673002061</v>
      </c>
      <c r="AU16" s="514">
        <f>+[3]Report1!AG21</f>
        <v>110.91070569913111</v>
      </c>
      <c r="AV16" s="510">
        <f>+[3]Report1!AL21</f>
        <v>1.5690688965976702</v>
      </c>
      <c r="AW16" s="510">
        <f>+[3]Report1!AM21</f>
        <v>1.4996365943399348</v>
      </c>
      <c r="AX16" s="510">
        <f>+[3]Report1!AR21</f>
        <v>0</v>
      </c>
      <c r="AY16" s="510">
        <f>+[3]Report1!AS21</f>
        <v>0.11451199935859337</v>
      </c>
      <c r="AZ16" s="510">
        <f>+[3]Report1!AX21</f>
        <v>1013.8946449493434</v>
      </c>
      <c r="BA16" s="510">
        <f>+[3]Report1!AY21</f>
        <v>942.42106602479532</v>
      </c>
      <c r="BB16" s="510">
        <f>+[3]Report1!BD21</f>
        <v>19.240046865308187</v>
      </c>
      <c r="BC16" s="510">
        <f>+[3]Report1!BE21</f>
        <v>293.16921283022418</v>
      </c>
      <c r="BD16" s="510">
        <f>+[3]Report1!BJ21</f>
        <v>0.11486595143467573</v>
      </c>
      <c r="BE16" s="510">
        <f>+[3]Report1!BK21</f>
        <v>5.9620977482792599</v>
      </c>
      <c r="BF16" s="512">
        <f>+[4]Report1!J21</f>
        <v>0.90148879439815122</v>
      </c>
      <c r="BG16" s="513">
        <f>+[4]Report1!K21</f>
        <v>0.9049873708916214</v>
      </c>
      <c r="BH16" s="513">
        <f>+[4]Report1!AN21</f>
        <v>0.90148879439815122</v>
      </c>
      <c r="BI16" s="513">
        <f>+[4]Report1!AO21</f>
        <v>0.9049873708916214</v>
      </c>
      <c r="BJ16" s="510">
        <f>+[4]Report1!R21</f>
        <v>48.481000000000002</v>
      </c>
      <c r="BK16" s="510">
        <f>+[4]Report1!S21</f>
        <v>617.70099999999991</v>
      </c>
      <c r="BL16" s="510">
        <f>+[4]Report1!AD21</f>
        <v>2.7515934077267383</v>
      </c>
      <c r="BM16" s="510">
        <f>+[4]Report1!AE21</f>
        <v>2.7160389897377537</v>
      </c>
      <c r="BN16" s="514">
        <v>0</v>
      </c>
      <c r="BO16" s="514">
        <v>0</v>
      </c>
      <c r="BP16" s="514">
        <f>+[4]Report1!AJ21</f>
        <v>929.15069821166503</v>
      </c>
      <c r="BQ16" s="514">
        <f>+[4]Report1!AK21</f>
        <v>985.71526515255812</v>
      </c>
      <c r="BR16" s="514">
        <v>0</v>
      </c>
      <c r="BS16" s="515">
        <v>0</v>
      </c>
      <c r="BT16" s="512">
        <f>+[5]Report1!J21</f>
        <v>0.77611565719043962</v>
      </c>
      <c r="BU16" s="513">
        <f>+[5]Report1!K21</f>
        <v>0.78822604941632701</v>
      </c>
      <c r="BV16" s="513">
        <f>+[5]Report1!BG21</f>
        <v>0.77611565719043962</v>
      </c>
      <c r="BW16" s="513">
        <f>+[5]Report1!BH21</f>
        <v>0.8096789620930267</v>
      </c>
      <c r="BX16" s="510">
        <f>+[5]Report1!R21</f>
        <v>37.664000000000001</v>
      </c>
      <c r="BY16" s="510">
        <f>+[5]Report1!S21</f>
        <v>527.60799999999995</v>
      </c>
      <c r="BZ16" s="514">
        <f>+[5]Report1!X21</f>
        <v>99.313287009501266</v>
      </c>
      <c r="CA16" s="514">
        <f>+[5]Report1!Y21</f>
        <v>87.650375701950495</v>
      </c>
      <c r="CB16" s="510">
        <f>+[5]Report1!AD21</f>
        <v>2.3736193712829228</v>
      </c>
      <c r="CC16" s="510">
        <f>+[5]Report1!AE21</f>
        <v>2.1830791041834092</v>
      </c>
      <c r="CD16" s="514">
        <f>+[5]Report1!AJ21</f>
        <v>0</v>
      </c>
      <c r="CE16" s="514">
        <f>+[5]Report1!AK21</f>
        <v>0.12149171354490455</v>
      </c>
      <c r="CF16" s="514">
        <f>+[5]Report1!AP21</f>
        <v>1052.2263965590807</v>
      </c>
      <c r="CG16" s="514">
        <f>+[5]Report1!AQ21</f>
        <v>917.45747790026223</v>
      </c>
      <c r="CH16" s="514">
        <f>+[5]Report1!AV21</f>
        <v>22.236087510620223</v>
      </c>
      <c r="CI16" s="514">
        <f>+[5]Report1!AW21</f>
        <v>310.16225872238471</v>
      </c>
      <c r="CJ16" s="514">
        <f>+[5]Report1!BB21</f>
        <v>0.13275276125743415</v>
      </c>
      <c r="CK16" s="514">
        <f>+[5]Report1!BC21</f>
        <v>6.3827917696471506</v>
      </c>
    </row>
    <row r="17" spans="1:89" ht="12.75" customHeight="1">
      <c r="A17" s="568">
        <f t="shared" si="0"/>
        <v>45883</v>
      </c>
      <c r="B17" s="512">
        <f>+Report1!J22</f>
        <v>1.0379524466916799</v>
      </c>
      <c r="C17" s="513">
        <f>+Report1!K22</f>
        <v>0.8403061214870583</v>
      </c>
      <c r="D17" s="513">
        <f>+Report1!AJ22</f>
        <v>1.0379524466916799</v>
      </c>
      <c r="E17" s="513">
        <f>+Report1!AK22</f>
        <v>0.8403061214870583</v>
      </c>
      <c r="F17" s="510">
        <f>+Report1!R22</f>
        <v>82.355000000000004</v>
      </c>
      <c r="G17" s="510">
        <f>+Report1!S22</f>
        <v>877.34400000000005</v>
      </c>
      <c r="H17" s="510">
        <f>+Report1!X22</f>
        <v>1.9051423714407139</v>
      </c>
      <c r="I17" s="510">
        <f>+Report1!Y22</f>
        <v>2.3150155469234415</v>
      </c>
      <c r="J17" s="510">
        <f>+Report1!AD22</f>
        <v>679.1534211644846</v>
      </c>
      <c r="K17" s="511">
        <f>+Report1!AE22</f>
        <v>822.77405441878966</v>
      </c>
      <c r="L17" s="512">
        <f>+[1]Report1!J22</f>
        <v>0.87026645183675888</v>
      </c>
      <c r="M17" s="513">
        <f>+[1]Report1!K22</f>
        <v>0.81248963960997045</v>
      </c>
      <c r="N17" s="513">
        <f>+[1]Report1!BJ22</f>
        <v>0.87026645183675888</v>
      </c>
      <c r="O17" s="513">
        <f>+[1]Report1!BK22</f>
        <v>0.86330686631275988</v>
      </c>
      <c r="P17" s="510">
        <f>+[1]Report1!R22</f>
        <v>45.267000000000003</v>
      </c>
      <c r="Q17" s="510">
        <f>+[1]Report1!S22</f>
        <v>707.64600000000007</v>
      </c>
      <c r="R17" s="510">
        <f>+[1]Report1!AL22</f>
        <v>2.5568515695760707</v>
      </c>
      <c r="S17" s="510">
        <f>+[1]Report1!AM22</f>
        <v>2.6854670272989596</v>
      </c>
      <c r="T17" s="510">
        <f>+[1]Report1!AR22</f>
        <v>0</v>
      </c>
      <c r="U17" s="510">
        <f>+[1]Report1!AS22</f>
        <v>8.8320996656520337E-2</v>
      </c>
      <c r="V17" s="510">
        <f>+[1]Report1!AX22</f>
        <v>916.03684803499164</v>
      </c>
      <c r="W17" s="510">
        <f>+[1]Report1!AY22</f>
        <v>774.32151103800527</v>
      </c>
      <c r="X17" s="510">
        <f>+[1]Report1!BD22</f>
        <v>8.019086751938497</v>
      </c>
      <c r="Y17" s="587">
        <f>+[1]Report1!BE22</f>
        <v>155.5466999036241</v>
      </c>
      <c r="Z17" s="512">
        <f>+[2]Report1!J22</f>
        <v>0.91292631390021106</v>
      </c>
      <c r="AA17" s="513">
        <f>+[2]Report1!K22</f>
        <v>0.89501941715941469</v>
      </c>
      <c r="AB17" s="513">
        <f>+[2]Report1!BC22</f>
        <v>0.91292631390021106</v>
      </c>
      <c r="AC17" s="513">
        <f>+[2]Report1!BD22</f>
        <v>0.89501941715941469</v>
      </c>
      <c r="AD17" s="510">
        <f>+[2]Report1!R22</f>
        <v>42.045999999999999</v>
      </c>
      <c r="AE17" s="510">
        <f>+[2]Report1!S22</f>
        <v>595.07900000000006</v>
      </c>
      <c r="AF17" s="510">
        <f>+[2]Report1!X22</f>
        <v>99.641968640218778</v>
      </c>
      <c r="AG17" s="510">
        <f>+[2]Report1!Y22</f>
        <v>95.269215369687302</v>
      </c>
      <c r="AH17" s="510">
        <f>+[2]Report1!AD22</f>
        <v>1.3675498263806307</v>
      </c>
      <c r="AI17" s="510">
        <f>+[2]Report1!AE22</f>
        <v>1.3216732568280851</v>
      </c>
      <c r="AJ17" s="510">
        <f>+[2]Report1!AJ22</f>
        <v>914.05032583362822</v>
      </c>
      <c r="AK17" s="510">
        <f>+[2]Report1!AK22</f>
        <v>872.26381707302835</v>
      </c>
      <c r="AL17" s="598">
        <v>0</v>
      </c>
      <c r="AM17" s="598">
        <v>0</v>
      </c>
      <c r="AN17" s="512">
        <f>+[3]Report1!J22</f>
        <v>0.38930879334084101</v>
      </c>
      <c r="AO17" s="513">
        <f>+[3]Report1!K22</f>
        <v>0.81803956025332036</v>
      </c>
      <c r="AP17" s="513">
        <f>+[3]Report1!BN22</f>
        <v>0.38930879334084101</v>
      </c>
      <c r="AQ17" s="513">
        <f>+[3]Report1!BO22</f>
        <v>0.83835492681787305</v>
      </c>
      <c r="AR17" s="510">
        <f>+[3]Report1!R22</f>
        <v>19.065000000000001</v>
      </c>
      <c r="AS17" s="510">
        <f>+[3]Report1!S22</f>
        <v>592.80400000000009</v>
      </c>
      <c r="AT17" s="514">
        <f>+[3]Report1!AF22</f>
        <v>192.91486595961814</v>
      </c>
      <c r="AU17" s="514">
        <f>+[3]Report1!AG22</f>
        <v>113.54801805762764</v>
      </c>
      <c r="AV17" s="510">
        <f>+[3]Report1!AL22</f>
        <v>2.559664306320482</v>
      </c>
      <c r="AW17" s="510">
        <f>+[3]Report1!AM22</f>
        <v>1.5337278425921548</v>
      </c>
      <c r="AX17" s="510">
        <f>+[3]Report1!AR22</f>
        <v>0</v>
      </c>
      <c r="AY17" s="510">
        <f>+[3]Report1!AS22</f>
        <v>0.11082921167873359</v>
      </c>
      <c r="AZ17" s="510">
        <f>+[3]Report1!AX22</f>
        <v>1771.9464988198249</v>
      </c>
      <c r="BA17" s="510">
        <f>+[3]Report1!AY22</f>
        <v>969.09919636169786</v>
      </c>
      <c r="BB17" s="510">
        <f>+[3]Report1!BD22</f>
        <v>13.375295043275399</v>
      </c>
      <c r="BC17" s="510">
        <f>+[3]Report1!BE22</f>
        <v>284.17084061511059</v>
      </c>
      <c r="BD17" s="510">
        <f>+[3]Report1!BJ22</f>
        <v>0</v>
      </c>
      <c r="BE17" s="510">
        <f>+[3]Report1!BK22</f>
        <v>5.7703524267717388</v>
      </c>
      <c r="BF17" s="512">
        <f>+[4]Report1!J22</f>
        <v>0.78824567947533197</v>
      </c>
      <c r="BG17" s="513">
        <f>+[4]Report1!K22</f>
        <v>0.89663540694114585</v>
      </c>
      <c r="BH17" s="513">
        <f>+[4]Report1!AN22</f>
        <v>0.82445451972101369</v>
      </c>
      <c r="BI17" s="513">
        <f>+[4]Report1!AO22</f>
        <v>0.89946154348745866</v>
      </c>
      <c r="BJ17" s="510">
        <f>+[4]Report1!R22</f>
        <v>41.457000000000001</v>
      </c>
      <c r="BK17" s="510">
        <f>+[4]Report1!S22</f>
        <v>659.1579999999999</v>
      </c>
      <c r="BL17" s="510">
        <f>+[4]Report1!AD22</f>
        <v>3.3842294425549366</v>
      </c>
      <c r="BM17" s="510">
        <f>+[4]Report1!AE22</f>
        <v>2.7580640756844343</v>
      </c>
      <c r="BN17" s="514">
        <v>0</v>
      </c>
      <c r="BO17" s="514">
        <v>0</v>
      </c>
      <c r="BP17" s="514">
        <f>+[4]Report1!AJ22</f>
        <v>1248.4054562558858</v>
      </c>
      <c r="BQ17" s="514">
        <f>+[4]Report1!AK22</f>
        <v>1002.2368688539023</v>
      </c>
      <c r="BR17" s="514">
        <v>0</v>
      </c>
      <c r="BS17" s="515">
        <v>0</v>
      </c>
      <c r="BT17" s="512">
        <f>+[5]Report1!J22</f>
        <v>0.86968843434806609</v>
      </c>
      <c r="BU17" s="513">
        <f>+[5]Report1!K22</f>
        <v>0.79412438228506277</v>
      </c>
      <c r="BV17" s="513">
        <f>+[5]Report1!BG22</f>
        <v>0.86968843434806609</v>
      </c>
      <c r="BW17" s="513">
        <f>+[5]Report1!BH22</f>
        <v>0.81413346288094202</v>
      </c>
      <c r="BX17" s="510">
        <f>+[5]Report1!R22</f>
        <v>45.44</v>
      </c>
      <c r="BY17" s="510">
        <f>+[5]Report1!S22</f>
        <v>573.048</v>
      </c>
      <c r="BZ17" s="514">
        <f>+[5]Report1!X22</f>
        <v>92.529310454076622</v>
      </c>
      <c r="CA17" s="514">
        <f>+[5]Report1!Y22</f>
        <v>88.037252185485215</v>
      </c>
      <c r="CB17" s="510">
        <f>+[5]Report1!AD22</f>
        <v>2.0356514084507045</v>
      </c>
      <c r="CC17" s="510">
        <f>+[5]Report1!AE22</f>
        <v>2.1713887841856176</v>
      </c>
      <c r="CD17" s="514">
        <f>+[5]Report1!AJ22</f>
        <v>0</v>
      </c>
      <c r="CE17" s="514">
        <f>+[5]Report1!AK22</f>
        <v>0.11185799444374642</v>
      </c>
      <c r="CF17" s="514">
        <f>+[5]Report1!AP22</f>
        <v>972.48162411968951</v>
      </c>
      <c r="CG17" s="514">
        <f>+[5]Report1!AQ22</f>
        <v>921.82063282656986</v>
      </c>
      <c r="CH17" s="514">
        <f>+[5]Report1!AV22</f>
        <v>5.611795774648888</v>
      </c>
      <c r="CI17" s="514">
        <f>+[5]Report1!AW22</f>
        <v>286.0128453462886</v>
      </c>
      <c r="CJ17" s="514">
        <f>+[5]Report1!BB22</f>
        <v>0</v>
      </c>
      <c r="CK17" s="514">
        <f>+[5]Report1!BC22</f>
        <v>5.8766665270622944</v>
      </c>
    </row>
    <row r="18" spans="1:89" ht="12.75" customHeight="1">
      <c r="A18" s="568">
        <f t="shared" si="0"/>
        <v>45884</v>
      </c>
      <c r="B18" s="512">
        <f>+Report1!J23</f>
        <v>0.96966855007746189</v>
      </c>
      <c r="C18" s="513">
        <f>+Report1!K23</f>
        <v>0.84953532483850758</v>
      </c>
      <c r="D18" s="513">
        <f>+Report1!AJ23</f>
        <v>0.96966855007746189</v>
      </c>
      <c r="E18" s="513">
        <f>+Report1!AK23</f>
        <v>0.84953532483850758</v>
      </c>
      <c r="F18" s="510">
        <f>+Report1!R23</f>
        <v>77.778000000000006</v>
      </c>
      <c r="G18" s="510">
        <f>+Report1!S23</f>
        <v>955.12200000000007</v>
      </c>
      <c r="H18" s="510">
        <f>+Report1!X23</f>
        <v>2.1866337524749926</v>
      </c>
      <c r="I18" s="510">
        <f>+Report1!Y23</f>
        <v>2.304561092719045</v>
      </c>
      <c r="J18" s="510">
        <f>+Report1!AD23</f>
        <v>740.42094165442768</v>
      </c>
      <c r="K18" s="511">
        <f>+Report1!AE23</f>
        <v>816.06783217222153</v>
      </c>
      <c r="L18" s="512">
        <f>+[1]Report1!J23</f>
        <v>0.93086423512678151</v>
      </c>
      <c r="M18" s="513">
        <f>+[1]Report1!K23</f>
        <v>0.81916074772247494</v>
      </c>
      <c r="N18" s="513">
        <f>+[1]Report1!BJ23</f>
        <v>0.93086423512678151</v>
      </c>
      <c r="O18" s="513">
        <f>+[1]Report1!BK23</f>
        <v>0.86733803950917276</v>
      </c>
      <c r="P18" s="510">
        <f>+[1]Report1!R23</f>
        <v>48.418999999999997</v>
      </c>
      <c r="Q18" s="510">
        <f>+[1]Report1!S23</f>
        <v>756.06500000000005</v>
      </c>
      <c r="R18" s="510">
        <f>+[1]Report1!AL23</f>
        <v>2.4348086494970982</v>
      </c>
      <c r="S18" s="510">
        <f>+[1]Report1!AM23</f>
        <v>2.6694146667283891</v>
      </c>
      <c r="T18" s="510">
        <f>+[1]Report1!AR23</f>
        <v>0</v>
      </c>
      <c r="U18" s="510">
        <f>+[1]Report1!AS23</f>
        <v>8.2664850244357296E-2</v>
      </c>
      <c r="V18" s="510">
        <f>+[1]Report1!AX23</f>
        <v>938.5631673516383</v>
      </c>
      <c r="W18" s="510">
        <f>+[1]Report1!AY23</f>
        <v>784.83967648284124</v>
      </c>
      <c r="X18" s="510">
        <f>+[1]Report1!BD23</f>
        <v>9.1699539436997863</v>
      </c>
      <c r="Y18" s="587">
        <f>+[1]Report1!BE23</f>
        <v>146.17261743368627</v>
      </c>
      <c r="Z18" s="512">
        <f>+[2]Report1!J23</f>
        <v>0.90554591220211911</v>
      </c>
      <c r="AA18" s="513">
        <f>+[2]Report1!K23</f>
        <v>0.8957503301660138</v>
      </c>
      <c r="AB18" s="513">
        <f>+[2]Report1!BC23</f>
        <v>0.90554591220211911</v>
      </c>
      <c r="AC18" s="513">
        <f>+[2]Report1!BD23</f>
        <v>0.8957503301660138</v>
      </c>
      <c r="AD18" s="510">
        <f>+[2]Report1!R23</f>
        <v>44.924999999999997</v>
      </c>
      <c r="AE18" s="510">
        <f>+[2]Report1!S23</f>
        <v>640.00400000000002</v>
      </c>
      <c r="AF18" s="510">
        <f>+[2]Report1!X23</f>
        <v>91.414059866040546</v>
      </c>
      <c r="AG18" s="510">
        <f>+[2]Report1!Y23</f>
        <v>94.998603215698679</v>
      </c>
      <c r="AH18" s="510">
        <f>+[2]Report1!AD23</f>
        <v>1.3489148580968282</v>
      </c>
      <c r="AI18" s="510">
        <f>+[2]Report1!AE23</f>
        <v>1.3235854775907652</v>
      </c>
      <c r="AJ18" s="510">
        <f>+[2]Report1!AJ23</f>
        <v>828.45765164162492</v>
      </c>
      <c r="AK18" s="510">
        <f>+[2]Report1!AK23</f>
        <v>869.18884881969609</v>
      </c>
      <c r="AL18" s="598">
        <v>0</v>
      </c>
      <c r="AM18" s="598">
        <v>0</v>
      </c>
      <c r="AN18" s="512">
        <f>+[3]Report1!J23</f>
        <v>0.91802192212694467</v>
      </c>
      <c r="AO18" s="513">
        <f>+[3]Report1!K23</f>
        <v>0.82456496541418844</v>
      </c>
      <c r="AP18" s="513">
        <f>+[3]Report1!BN23</f>
        <v>0.91802192212694467</v>
      </c>
      <c r="AQ18" s="513">
        <f>+[3]Report1!BO23</f>
        <v>0.84367494111699204</v>
      </c>
      <c r="AR18" s="510">
        <f>+[3]Report1!R23</f>
        <v>46.45</v>
      </c>
      <c r="AS18" s="510">
        <f>+[3]Report1!S23</f>
        <v>639.25400000000013</v>
      </c>
      <c r="AT18" s="514">
        <f>+[3]Report1!AF23</f>
        <v>109.04770872427821</v>
      </c>
      <c r="AU18" s="514">
        <f>+[3]Report1!AG23</f>
        <v>113.22101287888165</v>
      </c>
      <c r="AV18" s="510">
        <f>+[3]Report1!AL23</f>
        <v>1.5651237890204521</v>
      </c>
      <c r="AW18" s="510">
        <f>+[3]Report1!AM23</f>
        <v>1.5360091606779147</v>
      </c>
      <c r="AX18" s="510">
        <f>+[3]Report1!AR23</f>
        <v>0</v>
      </c>
      <c r="AY18" s="510">
        <f>+[3]Report1!AS23</f>
        <v>0.1027760483313362</v>
      </c>
      <c r="AZ18" s="510">
        <f>+[3]Report1!AX23</f>
        <v>1010.7311087190529</v>
      </c>
      <c r="BA18" s="510">
        <f>+[3]Report1!AY23</f>
        <v>972.1242886239271</v>
      </c>
      <c r="BB18" s="510">
        <f>+[3]Report1!BD23</f>
        <v>22.874058127017808</v>
      </c>
      <c r="BC18" s="510">
        <f>+[3]Report1!BE23</f>
        <v>265.18427886254915</v>
      </c>
      <c r="BD18" s="510">
        <f>+[3]Report1!BJ23</f>
        <v>0</v>
      </c>
      <c r="BE18" s="510">
        <f>+[3]Report1!BK23</f>
        <v>5.3510623320307644</v>
      </c>
      <c r="BF18" s="512">
        <f>+[4]Report1!J23</f>
        <v>0.97286732412458921</v>
      </c>
      <c r="BG18" s="513">
        <f>+[4]Report1!K23</f>
        <v>0.90160624841326431</v>
      </c>
      <c r="BH18" s="513">
        <f>+[4]Report1!AN23</f>
        <v>0.97286732412458921</v>
      </c>
      <c r="BI18" s="513">
        <f>+[4]Report1!AO23</f>
        <v>0.90426220181324213</v>
      </c>
      <c r="BJ18" s="510">
        <f>+[4]Report1!R23</f>
        <v>49.889000000000003</v>
      </c>
      <c r="BK18" s="510">
        <f>+[4]Report1!S23</f>
        <v>709.04699999999991</v>
      </c>
      <c r="BL18" s="510">
        <f>+[4]Report1!AD23</f>
        <v>2.6659183387119403</v>
      </c>
      <c r="BM18" s="510">
        <f>+[4]Report1!AE23</f>
        <v>2.7515806427500578</v>
      </c>
      <c r="BN18" s="514">
        <v>0</v>
      </c>
      <c r="BO18" s="514">
        <v>0</v>
      </c>
      <c r="BP18" s="514">
        <f>+[4]Report1!AJ23</f>
        <v>966.95373729678101</v>
      </c>
      <c r="BQ18" s="514">
        <f>+[4]Report1!AK23</f>
        <v>999.75432517167349</v>
      </c>
      <c r="BR18" s="514">
        <v>0</v>
      </c>
      <c r="BS18" s="515">
        <v>0</v>
      </c>
      <c r="BT18" s="512">
        <f>+[5]Report1!J23</f>
        <v>1.0604650317840718</v>
      </c>
      <c r="BU18" s="513">
        <f>+[5]Report1!K23</f>
        <v>0.81144849861632684</v>
      </c>
      <c r="BV18" s="513">
        <f>+[5]Report1!BG23</f>
        <v>1.0604650317840718</v>
      </c>
      <c r="BW18" s="513">
        <f>+[5]Report1!BH23</f>
        <v>0.83053292495045239</v>
      </c>
      <c r="BX18" s="510">
        <f>+[5]Report1!R23</f>
        <v>53.238</v>
      </c>
      <c r="BY18" s="510">
        <f>+[5]Report1!S23</f>
        <v>626.28600000000006</v>
      </c>
      <c r="BZ18" s="514">
        <f>+[5]Report1!X23</f>
        <v>74.231888693703809</v>
      </c>
      <c r="CA18" s="514">
        <f>+[5]Report1!Y23</f>
        <v>86.863714949181883</v>
      </c>
      <c r="CB18" s="510">
        <f>+[5]Report1!AD23</f>
        <v>1.6924001652954654</v>
      </c>
      <c r="CC18" s="510">
        <f>+[5]Report1!AE23</f>
        <v>2.1306719294379879</v>
      </c>
      <c r="CD18" s="514">
        <f>+[5]Report1!AJ23</f>
        <v>0</v>
      </c>
      <c r="CE18" s="514">
        <f>+[5]Report1!AK23</f>
        <v>0.1023494058624973</v>
      </c>
      <c r="CF18" s="514">
        <f>+[5]Report1!AP23</f>
        <v>790.24409256544743</v>
      </c>
      <c r="CG18" s="514">
        <f>+[5]Report1!AQ23</f>
        <v>910.63585167159977</v>
      </c>
      <c r="CH18" s="514">
        <f>+[5]Report1!AV23</f>
        <v>19.957549119049876</v>
      </c>
      <c r="CI18" s="514">
        <f>+[5]Report1!AW23</f>
        <v>263.39657760192625</v>
      </c>
      <c r="CJ18" s="514">
        <f>+[5]Report1!BB23</f>
        <v>0</v>
      </c>
      <c r="CK18" s="514">
        <f>+[5]Report1!BC23</f>
        <v>5.3771152476663922</v>
      </c>
    </row>
    <row r="19" spans="1:89" ht="12.75" customHeight="1">
      <c r="A19" s="568">
        <f t="shared" si="0"/>
        <v>45885</v>
      </c>
      <c r="B19" s="512">
        <f>+Report1!J24</f>
        <v>1.0021387472367862</v>
      </c>
      <c r="C19" s="513">
        <f>+Report1!K24</f>
        <v>0.85969590553192432</v>
      </c>
      <c r="D19" s="513">
        <f>+Report1!AJ24</f>
        <v>1.0021387472367862</v>
      </c>
      <c r="E19" s="513">
        <f>+Report1!AK24</f>
        <v>0.85969590553192432</v>
      </c>
      <c r="F19" s="510">
        <f>+Report1!R24</f>
        <v>80.367999999999995</v>
      </c>
      <c r="G19" s="510">
        <f>+Report1!S24</f>
        <v>1035.49</v>
      </c>
      <c r="H19" s="510">
        <f>+Report1!X24</f>
        <v>2.0563283894087196</v>
      </c>
      <c r="I19" s="510">
        <f>+Report1!Y24</f>
        <v>2.2852948845474121</v>
      </c>
      <c r="J19" s="510">
        <f>+Report1!AD24</f>
        <v>725.49771053155735</v>
      </c>
      <c r="K19" s="511">
        <f>+Report1!AE24</f>
        <v>809.03836830872035</v>
      </c>
      <c r="L19" s="512">
        <f>+[1]Report1!J24</f>
        <v>0.9403614765434285</v>
      </c>
      <c r="M19" s="513">
        <f>+[1]Report1!K24</f>
        <v>0.82562672889425337</v>
      </c>
      <c r="N19" s="513">
        <f>+[1]Report1!BJ24</f>
        <v>0.9403614765434285</v>
      </c>
      <c r="O19" s="513">
        <f>+[1]Report1!BK24</f>
        <v>0.87145001209327055</v>
      </c>
      <c r="P19" s="510">
        <f>+[1]Report1!R24</f>
        <v>48.912999999999997</v>
      </c>
      <c r="Q19" s="510">
        <f>+[1]Report1!S24</f>
        <v>804.97800000000007</v>
      </c>
      <c r="R19" s="510">
        <f>+[1]Report1!AL24</f>
        <v>2.3599043199149512</v>
      </c>
      <c r="S19" s="510">
        <f>+[1]Report1!AM24</f>
        <v>2.6506078426988058</v>
      </c>
      <c r="T19" s="510">
        <f>+[1]Report1!AR24</f>
        <v>0</v>
      </c>
      <c r="U19" s="510">
        <f>+[1]Report1!AS24</f>
        <v>7.7641873442504006E-2</v>
      </c>
      <c r="V19" s="510">
        <f>+[1]Report1!AX24</f>
        <v>929.22535931143716</v>
      </c>
      <c r="W19" s="510">
        <f>+[1]Report1!AY24</f>
        <v>793.61300557282254</v>
      </c>
      <c r="X19" s="510">
        <f>+[1]Report1!BD24</f>
        <v>8.9546746263774466</v>
      </c>
      <c r="Y19" s="587">
        <f>+[1]Report1!BE24</f>
        <v>137.83482281503342</v>
      </c>
      <c r="Z19" s="512">
        <f>+[2]Report1!J24</f>
        <v>0.92632761137808772</v>
      </c>
      <c r="AA19" s="513">
        <f>+[2]Report1!K24</f>
        <v>0.89773563019657709</v>
      </c>
      <c r="AB19" s="513">
        <f>+[2]Report1!BC24</f>
        <v>0.92632761137808772</v>
      </c>
      <c r="AC19" s="513">
        <f>+[2]Report1!BD24</f>
        <v>0.89773563019657709</v>
      </c>
      <c r="AD19" s="510">
        <f>+[2]Report1!R24</f>
        <v>45.956000000000003</v>
      </c>
      <c r="AE19" s="510">
        <f>+[2]Report1!S24</f>
        <v>685.96</v>
      </c>
      <c r="AF19" s="510">
        <f>+[2]Report1!X24</f>
        <v>92.422312318337376</v>
      </c>
      <c r="AG19" s="510">
        <f>+[2]Report1!Y24</f>
        <v>94.826004194649158</v>
      </c>
      <c r="AH19" s="510">
        <f>+[2]Report1!AD24</f>
        <v>1.2968926799547393</v>
      </c>
      <c r="AI19" s="510">
        <f>+[2]Report1!AE24</f>
        <v>1.3217971893404865</v>
      </c>
      <c r="AJ19" s="510">
        <f>+[2]Report1!AJ24</f>
        <v>806.13630429106104</v>
      </c>
      <c r="AK19" s="510">
        <f>+[2]Report1!AK24</f>
        <v>864.96463350632814</v>
      </c>
      <c r="AL19" s="598">
        <v>0</v>
      </c>
      <c r="AM19" s="598">
        <v>0</v>
      </c>
      <c r="AN19" s="512">
        <f>+[3]Report1!J24</f>
        <v>0.90131026404715542</v>
      </c>
      <c r="AO19" s="513">
        <f>+[3]Report1!K24</f>
        <v>0.8295214866711218</v>
      </c>
      <c r="AP19" s="513">
        <f>+[3]Report1!BN24</f>
        <v>0.90131026404715542</v>
      </c>
      <c r="AQ19" s="513">
        <f>+[3]Report1!BO24</f>
        <v>0.84747783874076466</v>
      </c>
      <c r="AR19" s="510">
        <f>+[3]Report1!R24</f>
        <v>48.244</v>
      </c>
      <c r="AS19" s="510">
        <f>+[3]Report1!S24</f>
        <v>687.49800000000016</v>
      </c>
      <c r="AT19" s="514">
        <f>+[3]Report1!AF24</f>
        <v>112.32398838195371</v>
      </c>
      <c r="AU19" s="514">
        <f>+[3]Report1!AG24</f>
        <v>113.15806571419202</v>
      </c>
      <c r="AV19" s="510">
        <f>+[3]Report1!AL24</f>
        <v>1.3887737335212669</v>
      </c>
      <c r="AW19" s="510">
        <f>+[3]Report1!AM24</f>
        <v>1.5256771656062993</v>
      </c>
      <c r="AX19" s="510">
        <f>+[3]Report1!AR24</f>
        <v>0</v>
      </c>
      <c r="AY19" s="510">
        <f>+[3]Report1!AS24</f>
        <v>9.5563914367750871E-2</v>
      </c>
      <c r="AZ19" s="510">
        <f>+[3]Report1!AX24</f>
        <v>866.36265649614461</v>
      </c>
      <c r="BA19" s="510">
        <f>+[3]Report1!AY24</f>
        <v>964.70264640769858</v>
      </c>
      <c r="BB19" s="510">
        <f>+[3]Report1!BD24</f>
        <v>20.531050493333137</v>
      </c>
      <c r="BC19" s="510">
        <f>+[3]Report1!BE24</f>
        <v>248.01615568336248</v>
      </c>
      <c r="BD19" s="510">
        <f>+[3]Report1!BJ24</f>
        <v>0</v>
      </c>
      <c r="BE19" s="510">
        <f>+[3]Report1!BK24</f>
        <v>4.9755606561764463</v>
      </c>
      <c r="BF19" s="512">
        <f>+[4]Report1!J24</f>
        <v>1.0026500091995862</v>
      </c>
      <c r="BG19" s="513">
        <f>+[4]Report1!K24</f>
        <v>0.90781432502987758</v>
      </c>
      <c r="BH19" s="513">
        <f>+[4]Report1!AN24</f>
        <v>1.0026500091995862</v>
      </c>
      <c r="BI19" s="513">
        <f>+[4]Report1!AO24</f>
        <v>0.9103238080064141</v>
      </c>
      <c r="BJ19" s="510">
        <f>+[4]Report1!R24</f>
        <v>51.616999999999997</v>
      </c>
      <c r="BK19" s="510">
        <f>+[4]Report1!S24</f>
        <v>760.66399999999987</v>
      </c>
      <c r="BL19" s="510">
        <f>+[4]Report1!AD24</f>
        <v>2.5592343607726136</v>
      </c>
      <c r="BM19" s="510">
        <f>+[4]Report1!AE24</f>
        <v>2.7385284435703547</v>
      </c>
      <c r="BN19" s="514">
        <v>0</v>
      </c>
      <c r="BO19" s="514">
        <v>0</v>
      </c>
      <c r="BP19" s="514">
        <f>+[4]Report1!AJ24</f>
        <v>924.03403917316189</v>
      </c>
      <c r="BQ19" s="514">
        <f>+[4]Report1!AK24</f>
        <v>994.61611171292554</v>
      </c>
      <c r="BR19" s="514">
        <v>0</v>
      </c>
      <c r="BS19" s="515">
        <v>0</v>
      </c>
      <c r="BT19" s="512">
        <f>+[5]Report1!J24</f>
        <v>0.95277542367489454</v>
      </c>
      <c r="BU19" s="513">
        <f>+[5]Report1!K24</f>
        <v>0.81958537246511187</v>
      </c>
      <c r="BV19" s="513">
        <f>+[5]Report1!BG24</f>
        <v>0.95277542367489454</v>
      </c>
      <c r="BW19" s="513">
        <f>+[5]Report1!BH24</f>
        <v>0.83772680354182361</v>
      </c>
      <c r="BX19" s="510">
        <f>+[5]Report1!R24</f>
        <v>44.924999999999997</v>
      </c>
      <c r="BY19" s="510">
        <f>+[5]Report1!S24</f>
        <v>671.21100000000001</v>
      </c>
      <c r="BZ19" s="514">
        <f>+[5]Report1!X24</f>
        <v>86.403599768492228</v>
      </c>
      <c r="CA19" s="514">
        <f>+[5]Report1!Y24</f>
        <v>86.832918858991945</v>
      </c>
      <c r="CB19" s="510">
        <f>+[5]Report1!AD24</f>
        <v>1.8742348358375072</v>
      </c>
      <c r="CC19" s="510">
        <f>+[5]Report1!AE24</f>
        <v>2.1135082708716033</v>
      </c>
      <c r="CD19" s="514">
        <f>+[5]Report1!AJ24</f>
        <v>0</v>
      </c>
      <c r="CE19" s="514">
        <f>+[5]Report1!AK24</f>
        <v>9.5499030856168912E-2</v>
      </c>
      <c r="CF19" s="514">
        <f>+[5]Report1!AP24</f>
        <v>903.80690038955413</v>
      </c>
      <c r="CG19" s="514">
        <f>+[5]Report1!AQ24</f>
        <v>910.17878133701652</v>
      </c>
      <c r="CH19" s="514">
        <f>+[5]Report1!AV24</f>
        <v>22.047857540353117</v>
      </c>
      <c r="CI19" s="514">
        <f>+[5]Report1!AW24</f>
        <v>247.24280293380224</v>
      </c>
      <c r="CJ19" s="514">
        <f>+[5]Report1!BB24</f>
        <v>0</v>
      </c>
      <c r="CK19" s="514">
        <f>+[5]Report1!BC24</f>
        <v>5.0172181325991279</v>
      </c>
    </row>
    <row r="20" spans="1:89" ht="12.75" customHeight="1">
      <c r="A20" s="568">
        <f t="shared" si="0"/>
        <v>45886</v>
      </c>
      <c r="B20" s="512">
        <f>+Report1!J25</f>
        <v>0.99953816659635486</v>
      </c>
      <c r="C20" s="513">
        <f>+Report1!K25</f>
        <v>0.86770936561385437</v>
      </c>
      <c r="D20" s="513">
        <f>+Report1!AJ25</f>
        <v>0.99953816659635486</v>
      </c>
      <c r="E20" s="513">
        <f>+Report1!AK25</f>
        <v>0.86770936561385437</v>
      </c>
      <c r="F20" s="510">
        <f>+Report1!R25</f>
        <v>73.183000000000007</v>
      </c>
      <c r="G20" s="510">
        <f>+Report1!S25</f>
        <v>1108.673</v>
      </c>
      <c r="H20" s="510">
        <f>+Report1!X25</f>
        <v>2.0327808370796498</v>
      </c>
      <c r="I20" s="510">
        <f>+Report1!Y25</f>
        <v>2.2686265472325919</v>
      </c>
      <c r="J20" s="510">
        <f>+Report1!AD25</f>
        <v>787.06174931338387</v>
      </c>
      <c r="K20" s="511">
        <f>+Report1!AE25</f>
        <v>807.58770169382524</v>
      </c>
      <c r="L20" s="512">
        <f>+[1]Report1!J25</f>
        <v>0.94687881427671472</v>
      </c>
      <c r="M20" s="513">
        <f>+[1]Report1!K25</f>
        <v>0.83176782629675139</v>
      </c>
      <c r="N20" s="513">
        <f>+[1]Report1!BJ25</f>
        <v>0.94687881427671472</v>
      </c>
      <c r="O20" s="513">
        <f>+[1]Report1!BK25</f>
        <v>0.87547100800376421</v>
      </c>
      <c r="P20" s="510">
        <f>+[1]Report1!R25</f>
        <v>49.252000000000002</v>
      </c>
      <c r="Q20" s="510">
        <f>+[1]Report1!S25</f>
        <v>854.23</v>
      </c>
      <c r="R20" s="510">
        <f>+[1]Report1!AL25</f>
        <v>2.3009217899780716</v>
      </c>
      <c r="S20" s="510">
        <f>+[1]Report1!AM25</f>
        <v>2.6304461327745448</v>
      </c>
      <c r="T20" s="510">
        <f>+[1]Report1!AR25</f>
        <v>0</v>
      </c>
      <c r="U20" s="510">
        <f>+[1]Report1!AS25</f>
        <v>7.3165306767498217E-2</v>
      </c>
      <c r="V20" s="510">
        <f>+[1]Report1!AX25</f>
        <v>876.81129700319298</v>
      </c>
      <c r="W20" s="510">
        <f>+[1]Report1!AY25</f>
        <v>798.40993643398247</v>
      </c>
      <c r="X20" s="510">
        <f>+[1]Report1!BD25</f>
        <v>8.5681799723869077</v>
      </c>
      <c r="Y20" s="587">
        <f>+[1]Report1!BE25</f>
        <v>130.38174730459011</v>
      </c>
      <c r="Z20" s="512">
        <f>+[2]Report1!J25</f>
        <v>0.92867599385729549</v>
      </c>
      <c r="AA20" s="513">
        <f>+[2]Report1!K25</f>
        <v>0.89953187494877029</v>
      </c>
      <c r="AB20" s="513">
        <f>+[2]Report1!BC25</f>
        <v>0.92867599385729549</v>
      </c>
      <c r="AC20" s="513">
        <f>+[2]Report1!BD25</f>
        <v>0.89953187494877029</v>
      </c>
      <c r="AD20" s="510">
        <f>+[2]Report1!R25</f>
        <v>43.734999999999999</v>
      </c>
      <c r="AE20" s="510">
        <f>+[2]Report1!S25</f>
        <v>729.69500000000005</v>
      </c>
      <c r="AF20" s="510">
        <f>+[2]Report1!X25</f>
        <v>95.219846234453513</v>
      </c>
      <c r="AG20" s="510">
        <f>+[2]Report1!Y25</f>
        <v>94.84960951140593</v>
      </c>
      <c r="AH20" s="510">
        <f>+[2]Report1!AD25</f>
        <v>1.3536069509546131</v>
      </c>
      <c r="AI20" s="510">
        <f>+[2]Report1!AE25</f>
        <v>1.3237037392335156</v>
      </c>
      <c r="AJ20" s="510">
        <f>+[2]Report1!AJ25</f>
        <v>850.79547273352534</v>
      </c>
      <c r="AK20" s="510">
        <f>+[2]Report1!AK25</f>
        <v>864.11539067692877</v>
      </c>
      <c r="AL20" s="598">
        <v>0</v>
      </c>
      <c r="AM20" s="598">
        <v>0</v>
      </c>
      <c r="AN20" s="512">
        <f>+[3]Report1!J25</f>
        <v>0.99759636828879028</v>
      </c>
      <c r="AO20" s="513">
        <f>+[3]Report1!K25</f>
        <v>0.8398774157529485</v>
      </c>
      <c r="AP20" s="513">
        <f>+[3]Report1!BN25</f>
        <v>0.99759636828879028</v>
      </c>
      <c r="AQ20" s="513">
        <f>+[3]Report1!BO25</f>
        <v>0.85691502243308071</v>
      </c>
      <c r="AR20" s="510">
        <f>+[3]Report1!R25</f>
        <v>54.287999999999997</v>
      </c>
      <c r="AS20" s="510">
        <f>+[3]Report1!S25</f>
        <v>741.78600000000017</v>
      </c>
      <c r="AT20" s="514">
        <f>+[3]Report1!AF25</f>
        <v>98.097716210022284</v>
      </c>
      <c r="AU20" s="514">
        <f>+[3]Report1!AG25</f>
        <v>112.05586608534709</v>
      </c>
      <c r="AV20" s="510">
        <f>+[3]Report1!AL25</f>
        <v>1.254420866489832</v>
      </c>
      <c r="AW20" s="510">
        <f>+[3]Report1!AM25</f>
        <v>1.5058251301588321</v>
      </c>
      <c r="AX20" s="510">
        <f>+[3]Report1!AR25</f>
        <v>0</v>
      </c>
      <c r="AY20" s="510">
        <f>+[3]Report1!AS25</f>
        <v>8.8570018846405821E-2</v>
      </c>
      <c r="AZ20" s="510">
        <f>+[3]Report1!AX25</f>
        <v>733.30275567344665</v>
      </c>
      <c r="BA20" s="510">
        <f>+[3]Report1!AY25</f>
        <v>947.76752324794472</v>
      </c>
      <c r="BB20" s="510">
        <f>+[3]Report1!BD25</f>
        <v>379.67875036839217</v>
      </c>
      <c r="BC20" s="510">
        <f>+[3]Report1!BE25</f>
        <v>257.65195218027793</v>
      </c>
      <c r="BD20" s="510">
        <f>+[3]Report1!BJ25</f>
        <v>0</v>
      </c>
      <c r="BE20" s="510">
        <f>+[3]Report1!BK25</f>
        <v>4.6114216229478506</v>
      </c>
      <c r="BF20" s="512">
        <f>+[4]Report1!J25</f>
        <v>0.95391321398836992</v>
      </c>
      <c r="BG20" s="513">
        <f>+[4]Report1!K25</f>
        <v>0.91052082997197614</v>
      </c>
      <c r="BH20" s="513">
        <f>+[4]Report1!AN25</f>
        <v>0.95391321398836992</v>
      </c>
      <c r="BI20" s="513">
        <f>+[4]Report1!AO25</f>
        <v>0.9128896369988897</v>
      </c>
      <c r="BJ20" s="510">
        <f>+[4]Report1!R25</f>
        <v>49.853999999999999</v>
      </c>
      <c r="BK20" s="510">
        <f>+[4]Report1!S25</f>
        <v>810.51799999999992</v>
      </c>
      <c r="BL20" s="510">
        <f>+[4]Report1!AD25</f>
        <v>2.7079070886990011</v>
      </c>
      <c r="BM20" s="510">
        <f>+[4]Report1!AE25</f>
        <v>2.73664496038336</v>
      </c>
      <c r="BN20" s="514">
        <v>0</v>
      </c>
      <c r="BO20" s="514">
        <v>0</v>
      </c>
      <c r="BP20" s="514">
        <f>+[4]Report1!AJ25</f>
        <v>952.74822481646345</v>
      </c>
      <c r="BQ20" s="514">
        <f>+[4]Report1!AK25</f>
        <v>992.04086769202002</v>
      </c>
      <c r="BR20" s="514">
        <v>0</v>
      </c>
      <c r="BS20" s="515">
        <v>0</v>
      </c>
      <c r="BT20" s="512">
        <f>+[5]Report1!J25</f>
        <v>0.92257504074082552</v>
      </c>
      <c r="BU20" s="513">
        <f>+[5]Report1!K25</f>
        <v>0.82519217454437088</v>
      </c>
      <c r="BV20" s="513">
        <f>+[5]Report1!BG25</f>
        <v>0.92257504074082552</v>
      </c>
      <c r="BW20" s="513">
        <f>+[5]Report1!BH25</f>
        <v>0.84244254056845724</v>
      </c>
      <c r="BX20" s="510">
        <f>+[5]Report1!R25</f>
        <v>43.500999999999998</v>
      </c>
      <c r="BY20" s="510">
        <f>+[5]Report1!S25</f>
        <v>714.71199999999999</v>
      </c>
      <c r="BZ20" s="514">
        <f>+[5]Report1!X25</f>
        <v>89.998648475356546</v>
      </c>
      <c r="CA20" s="514">
        <f>+[5]Report1!Y25</f>
        <v>87.025601231809915</v>
      </c>
      <c r="CB20" s="510">
        <f>+[5]Report1!AD25</f>
        <v>1.9378864853681526</v>
      </c>
      <c r="CC20" s="510">
        <f>+[5]Report1!AE25</f>
        <v>2.1028190375983611</v>
      </c>
      <c r="CD20" s="514">
        <f>+[5]Report1!AJ25</f>
        <v>0</v>
      </c>
      <c r="CE20" s="514">
        <f>+[5]Report1!AK25</f>
        <v>8.9686475111653355E-2</v>
      </c>
      <c r="CF20" s="514">
        <f>+[5]Report1!AP25</f>
        <v>912.26201696512817</v>
      </c>
      <c r="CG20" s="514">
        <f>+[5]Report1!AQ25</f>
        <v>910.30557763127013</v>
      </c>
      <c r="CH20" s="514">
        <f>+[5]Report1!AV25</f>
        <v>0</v>
      </c>
      <c r="CI20" s="514">
        <f>+[5]Report1!AW25</f>
        <v>232.19435101131691</v>
      </c>
      <c r="CJ20" s="514">
        <f>+[5]Report1!BB25</f>
        <v>0</v>
      </c>
      <c r="CK20" s="514">
        <f>+[5]Report1!BC25</f>
        <v>4.7118447710406341</v>
      </c>
    </row>
    <row r="21" spans="1:89" ht="12.75" customHeight="1">
      <c r="A21" s="568">
        <f t="shared" si="0"/>
        <v>45887</v>
      </c>
      <c r="B21" s="512">
        <f>+Report1!J26</f>
        <v>0.9866696260148462</v>
      </c>
      <c r="C21" s="513">
        <f>+Report1!K26</f>
        <v>0.87281813477930881</v>
      </c>
      <c r="D21" s="513">
        <f>+Report1!AJ26</f>
        <v>0.9866696260148462</v>
      </c>
      <c r="E21" s="513">
        <f>+Report1!AK26</f>
        <v>0.87281813477930881</v>
      </c>
      <c r="F21" s="510">
        <f>+Report1!R26</f>
        <v>56.569000000000003</v>
      </c>
      <c r="G21" s="510">
        <f>+Report1!S26</f>
        <v>1165.242</v>
      </c>
      <c r="H21" s="510">
        <f>+Report1!X26</f>
        <v>2.2552281284802627</v>
      </c>
      <c r="I21" s="510">
        <f>+Report1!Y26</f>
        <v>2.2679760942362184</v>
      </c>
      <c r="J21" s="510">
        <f>+Report1!AD26</f>
        <v>1071.7633332744194</v>
      </c>
      <c r="K21" s="511">
        <f>+Report1!AE26</f>
        <v>820.41263531523839</v>
      </c>
      <c r="L21" s="512">
        <f>+[1]Report1!J26</f>
        <v>0.93131339103461508</v>
      </c>
      <c r="M21" s="513">
        <f>+[1]Report1!K26</f>
        <v>0.83788225367884606</v>
      </c>
      <c r="N21" s="513">
        <f>+[1]Report1!BJ26</f>
        <v>0.93131339103461508</v>
      </c>
      <c r="O21" s="513">
        <f>+[1]Report1!BK26</f>
        <v>0.87906964559102796</v>
      </c>
      <c r="P21" s="510">
        <f>+[1]Report1!R26</f>
        <v>62.594000000000001</v>
      </c>
      <c r="Q21" s="510">
        <f>+[1]Report1!S26</f>
        <v>916.82400000000007</v>
      </c>
      <c r="R21" s="510">
        <f>+[1]Report1!AL26</f>
        <v>2.1687701696648243</v>
      </c>
      <c r="S21" s="510">
        <f>+[1]Report1!AM26</f>
        <v>2.5989262933780086</v>
      </c>
      <c r="T21" s="510">
        <f>+[1]Report1!AR26</f>
        <v>0</v>
      </c>
      <c r="U21" s="510">
        <f>+[1]Report1!AS26</f>
        <v>6.8170117710705649E-2</v>
      </c>
      <c r="V21" s="510">
        <f>+[1]Report1!AX26</f>
        <v>740.36600952167794</v>
      </c>
      <c r="W21" s="510">
        <f>+[1]Report1!AY26</f>
        <v>794.44712398453873</v>
      </c>
      <c r="X21" s="510">
        <f>+[1]Report1!BD26</f>
        <v>7.2051634341949704</v>
      </c>
      <c r="Y21" s="587">
        <f>+[1]Report1!BE26</f>
        <v>121.97215605176129</v>
      </c>
      <c r="Z21" s="512">
        <f>+[2]Report1!J26</f>
        <v>0.99878774754597022</v>
      </c>
      <c r="AA21" s="513">
        <f>+[2]Report1!K26</f>
        <v>0.9045641968662177</v>
      </c>
      <c r="AB21" s="513">
        <f>+[2]Report1!BC26</f>
        <v>0.99878774754597022</v>
      </c>
      <c r="AC21" s="513">
        <f>+[2]Report1!BD26</f>
        <v>0.9045641968662177</v>
      </c>
      <c r="AD21" s="510">
        <f>+[2]Report1!R26</f>
        <v>43.271999999999998</v>
      </c>
      <c r="AE21" s="510">
        <f>+[2]Report1!S26</f>
        <v>772.9670000000001</v>
      </c>
      <c r="AF21" s="510">
        <f>+[2]Report1!X26</f>
        <v>73.048842527754402</v>
      </c>
      <c r="AG21" s="510">
        <f>+[2]Report1!Y26</f>
        <v>93.629165703434083</v>
      </c>
      <c r="AH21" s="510">
        <f>+[2]Report1!AD26</f>
        <v>1.2895174708818635</v>
      </c>
      <c r="AI21" s="510">
        <f>+[2]Report1!AE26</f>
        <v>1.3217899341110293</v>
      </c>
      <c r="AJ21" s="510">
        <f>+[2]Report1!AJ26</f>
        <v>843.00656313551497</v>
      </c>
      <c r="AK21" s="510">
        <f>+[2]Report1!AK26</f>
        <v>862.93368280922914</v>
      </c>
      <c r="AL21" s="598">
        <v>0</v>
      </c>
      <c r="AM21" s="598">
        <v>0</v>
      </c>
      <c r="AN21" s="512">
        <f>+[3]Report1!J26</f>
        <v>0.8307806916900633</v>
      </c>
      <c r="AO21" s="513">
        <f>+[3]Report1!K26</f>
        <v>0.83937559188459365</v>
      </c>
      <c r="AP21" s="513">
        <f>+[3]Report1!BN26</f>
        <v>0.8307806916900633</v>
      </c>
      <c r="AQ21" s="513">
        <f>+[3]Report1!BO26</f>
        <v>0.85544571122040758</v>
      </c>
      <c r="AR21" s="510">
        <f>+[3]Report1!R26</f>
        <v>42.841000000000001</v>
      </c>
      <c r="AS21" s="510">
        <f>+[3]Report1!S26</f>
        <v>784.62700000000018</v>
      </c>
      <c r="AT21" s="514">
        <f>+[3]Report1!AF26</f>
        <v>82.000270295999258</v>
      </c>
      <c r="AU21" s="514">
        <f>+[3]Report1!AG26</f>
        <v>110.41481654306591</v>
      </c>
      <c r="AV21" s="510">
        <f>+[3]Report1!AL26</f>
        <v>1.5732592609883056</v>
      </c>
      <c r="AW21" s="510">
        <f>+[3]Report1!AM26</f>
        <v>1.5095070651405058</v>
      </c>
      <c r="AX21" s="510">
        <f>+[3]Report1!AR26</f>
        <v>0.18907121682500408</v>
      </c>
      <c r="AY21" s="510">
        <f>+[3]Report1!AS26</f>
        <v>9.4057431110578626E-2</v>
      </c>
      <c r="AZ21" s="510">
        <f>+[3]Report1!AX26</f>
        <v>845.41864102144905</v>
      </c>
      <c r="BA21" s="510">
        <f>+[3]Report1!AY26</f>
        <v>942.17922656243002</v>
      </c>
      <c r="BB21" s="510">
        <f>+[3]Report1!BD26</f>
        <v>485.02602646996712</v>
      </c>
      <c r="BC21" s="510">
        <f>+[3]Report1!BE26</f>
        <v>270.06668264028571</v>
      </c>
      <c r="BD21" s="510">
        <f>+[3]Report1!BJ26</f>
        <v>3.0344763194136455</v>
      </c>
      <c r="BE21" s="510">
        <f>+[3]Report1!BK26</f>
        <v>4.5253196741891291</v>
      </c>
      <c r="BF21" s="512">
        <f>+[4]Report1!J26</f>
        <v>0.88961229385045393</v>
      </c>
      <c r="BG21" s="513">
        <f>+[4]Report1!K26</f>
        <v>0.90934344766642072</v>
      </c>
      <c r="BH21" s="513">
        <f>+[4]Report1!AN26</f>
        <v>0.88961229385045393</v>
      </c>
      <c r="BI21" s="513">
        <f>+[4]Report1!AO26</f>
        <v>0.9115756470030989</v>
      </c>
      <c r="BJ21" s="510">
        <f>+[4]Report1!R26</f>
        <v>47.253999999999998</v>
      </c>
      <c r="BK21" s="510">
        <f>+[4]Report1!S26</f>
        <v>857.77199999999993</v>
      </c>
      <c r="BL21" s="510">
        <f>+[4]Report1!AD26</f>
        <v>2.9394336987344989</v>
      </c>
      <c r="BM21" s="510">
        <f>+[4]Report1!AE26</f>
        <v>2.7478164360692587</v>
      </c>
      <c r="BN21" s="514">
        <v>0</v>
      </c>
      <c r="BO21" s="514">
        <v>0</v>
      </c>
      <c r="BP21" s="514">
        <f>+[4]Report1!AJ26</f>
        <v>1040.2407203623015</v>
      </c>
      <c r="BQ21" s="514">
        <f>+[4]Report1!AK26</f>
        <v>994.6961605181807</v>
      </c>
      <c r="BR21" s="514">
        <v>0</v>
      </c>
      <c r="BS21" s="515">
        <v>0</v>
      </c>
      <c r="BT21" s="512">
        <f>+[5]Report1!J26</f>
        <v>0.92773675959292579</v>
      </c>
      <c r="BU21" s="513">
        <f>+[5]Report1!K26</f>
        <v>0.83051975056486449</v>
      </c>
      <c r="BV21" s="513">
        <f>+[5]Report1!BG26</f>
        <v>0.92773675959292579</v>
      </c>
      <c r="BW21" s="513">
        <f>+[5]Report1!BH26</f>
        <v>0.84696162325805735</v>
      </c>
      <c r="BX21" s="510">
        <f>+[5]Report1!R26</f>
        <v>44.033999999999999</v>
      </c>
      <c r="BY21" s="510">
        <f>+[5]Report1!S26</f>
        <v>758.74599999999998</v>
      </c>
      <c r="BZ21" s="514">
        <f>+[5]Report1!X26</f>
        <v>72.854087895446852</v>
      </c>
      <c r="CA21" s="514">
        <f>+[5]Report1!Y26</f>
        <v>86.203154170140522</v>
      </c>
      <c r="CB21" s="510">
        <f>+[5]Report1!AD26</f>
        <v>1.8962619793795703</v>
      </c>
      <c r="CC21" s="510">
        <f>+[5]Report1!AE26</f>
        <v>2.0908314508412564</v>
      </c>
      <c r="CD21" s="514">
        <f>+[5]Report1!AJ26</f>
        <v>0</v>
      </c>
      <c r="CE21" s="514">
        <f>+[5]Report1!AK26</f>
        <v>8.4481499737725133E-2</v>
      </c>
      <c r="CF21" s="514">
        <f>+[5]Report1!AP26</f>
        <v>902.17093609483879</v>
      </c>
      <c r="CG21" s="514">
        <f>+[5]Report1!AQ26</f>
        <v>909.83348182395753</v>
      </c>
      <c r="CH21" s="514">
        <f>+[5]Report1!AV26</f>
        <v>0</v>
      </c>
      <c r="CI21" s="514">
        <f>+[5]Report1!AW26</f>
        <v>218.71889802384504</v>
      </c>
      <c r="CJ21" s="514">
        <f>+[5]Report1!BB26</f>
        <v>0</v>
      </c>
      <c r="CK21" s="514">
        <f>+[5]Report1!BC26</f>
        <v>4.4383917674689464</v>
      </c>
    </row>
    <row r="22" spans="1:89" ht="12.75" customHeight="1">
      <c r="A22" s="568">
        <f t="shared" si="0"/>
        <v>45888</v>
      </c>
      <c r="B22" s="512">
        <f>+Report1!J27</f>
        <v>0.96500987229287571</v>
      </c>
      <c r="C22" s="513">
        <f>+Report1!K27</f>
        <v>0.87660382512390667</v>
      </c>
      <c r="D22" s="513">
        <f>+Report1!AJ27</f>
        <v>0.96500987229287571</v>
      </c>
      <c r="E22" s="513">
        <f>+Report1!AK27</f>
        <v>0.87660382512390667</v>
      </c>
      <c r="F22" s="510">
        <f>+Report1!R27</f>
        <v>55.167999999999999</v>
      </c>
      <c r="G22" s="510">
        <f>+Report1!S27</f>
        <v>1220.4099999999999</v>
      </c>
      <c r="H22" s="510">
        <f>+Report1!X27</f>
        <v>2.1635730858468678</v>
      </c>
      <c r="I22" s="510">
        <f>+Report1!Y27</f>
        <v>2.2632566104833622</v>
      </c>
      <c r="J22" s="510">
        <f>+Report1!AD27</f>
        <v>1065.9523636890499</v>
      </c>
      <c r="K22" s="511">
        <f>+Report1!AE27</f>
        <v>831.51213116903068</v>
      </c>
      <c r="L22" s="512">
        <f>+[1]Report1!J27</f>
        <v>0.8981666494042837</v>
      </c>
      <c r="M22" s="513">
        <f>+[1]Report1!K27</f>
        <v>0.84145922659684025</v>
      </c>
      <c r="N22" s="513">
        <f>+[1]Report1!BJ27</f>
        <v>0.8981666494042837</v>
      </c>
      <c r="O22" s="513">
        <f>+[1]Report1!BK27</f>
        <v>0.88025500868897233</v>
      </c>
      <c r="P22" s="510">
        <f>+[1]Report1!R27</f>
        <v>61.991999999999997</v>
      </c>
      <c r="Q22" s="510">
        <f>+[1]Report1!S27</f>
        <v>978.81600000000003</v>
      </c>
      <c r="R22" s="510">
        <f>+[1]Report1!AL27</f>
        <v>2.2392728093947607</v>
      </c>
      <c r="S22" s="510">
        <f>+[1]Report1!AM27</f>
        <v>2.5761481218124747</v>
      </c>
      <c r="T22" s="510">
        <f>+[1]Report1!AR27</f>
        <v>0</v>
      </c>
      <c r="U22" s="510">
        <f>+[1]Report1!AS27</f>
        <v>6.385265463580489E-2</v>
      </c>
      <c r="V22" s="510">
        <f>+[1]Report1!AX27</f>
        <v>776.05642663569085</v>
      </c>
      <c r="W22" s="510">
        <f>+[1]Report1!AY27</f>
        <v>793.28237380672226</v>
      </c>
      <c r="X22" s="510">
        <f>+[1]Report1!BD27</f>
        <v>7.2267389340560069</v>
      </c>
      <c r="Y22" s="587">
        <f>+[1]Report1!BE27</f>
        <v>114.7049087877599</v>
      </c>
      <c r="Z22" s="512">
        <f>+[2]Report1!J27</f>
        <v>0.75325327245909912</v>
      </c>
      <c r="AA22" s="513">
        <f>+[2]Report1!K27</f>
        <v>0.8968099347849593</v>
      </c>
      <c r="AB22" s="513">
        <f>+[2]Report1!BC27</f>
        <v>0.75325327245909912</v>
      </c>
      <c r="AC22" s="513">
        <f>+[2]Report1!BD27</f>
        <v>0.8968099347849593</v>
      </c>
      <c r="AD22" s="510">
        <f>+[2]Report1!R27</f>
        <v>34.768000000000001</v>
      </c>
      <c r="AE22" s="510">
        <f>+[2]Report1!S27</f>
        <v>807.73500000000013</v>
      </c>
      <c r="AF22" s="510">
        <f>+[2]Report1!X27</f>
        <v>99.584489428207959</v>
      </c>
      <c r="AG22" s="510">
        <f>+[2]Report1!Y27</f>
        <v>93.885505586270583</v>
      </c>
      <c r="AH22" s="510">
        <f>+[2]Report1!AD27</f>
        <v>1.5157616198803499</v>
      </c>
      <c r="AI22" s="510">
        <f>+[2]Report1!AE27</f>
        <v>1.3301392164509398</v>
      </c>
      <c r="AJ22" s="510">
        <f>+[2]Report1!AJ27</f>
        <v>987.87563276576168</v>
      </c>
      <c r="AK22" s="510">
        <f>+[2]Report1!AK27</f>
        <v>868.31166162169689</v>
      </c>
      <c r="AL22" s="598">
        <v>0</v>
      </c>
      <c r="AM22" s="598">
        <v>0</v>
      </c>
      <c r="AN22" s="512">
        <f>+[3]Report1!J27</f>
        <v>1.0248318423489604</v>
      </c>
      <c r="AO22" s="513">
        <f>+[3]Report1!K27</f>
        <v>0.84945322763332942</v>
      </c>
      <c r="AP22" s="513">
        <f>+[3]Report1!BN27</f>
        <v>1.0248318423489604</v>
      </c>
      <c r="AQ22" s="513">
        <f>+[3]Report1!BO27</f>
        <v>0.86481657368226295</v>
      </c>
      <c r="AR22" s="510">
        <f>+[3]Report1!R27</f>
        <v>55.048000000000002</v>
      </c>
      <c r="AS22" s="510">
        <f>+[3]Report1!S27</f>
        <v>839.67500000000018</v>
      </c>
      <c r="AT22" s="514">
        <f>+[3]Report1!AF27</f>
        <v>86.303184086653047</v>
      </c>
      <c r="AU22" s="514">
        <f>+[3]Report1!AG27</f>
        <v>108.8340893051934</v>
      </c>
      <c r="AV22" s="510">
        <f>+[3]Report1!AL27</f>
        <v>1.3424647580293563</v>
      </c>
      <c r="AW22" s="510">
        <f>+[3]Report1!AM27</f>
        <v>1.4985559889242859</v>
      </c>
      <c r="AX22" s="510">
        <f>+[3]Report1!AR27</f>
        <v>0.16349367824444122</v>
      </c>
      <c r="AY22" s="510">
        <f>+[3]Report1!AS27</f>
        <v>9.8609581087920894E-2</v>
      </c>
      <c r="AZ22" s="510">
        <f>+[3]Report1!AX27</f>
        <v>762.36121203313473</v>
      </c>
      <c r="BA22" s="510">
        <f>+[3]Report1!AY27</f>
        <v>930.39059159793931</v>
      </c>
      <c r="BB22" s="510">
        <f>+[3]Report1!BD27</f>
        <v>428.06278157244913</v>
      </c>
      <c r="BC22" s="510">
        <f>+[3]Report1!BE27</f>
        <v>280.42470122368729</v>
      </c>
      <c r="BD22" s="510">
        <f>+[3]Report1!BJ27</f>
        <v>2.9065542799011772</v>
      </c>
      <c r="BE22" s="510">
        <f>+[3]Report1!BK27</f>
        <v>4.4191955220769863</v>
      </c>
      <c r="BF22" s="512">
        <f>+[4]Report1!J27</f>
        <v>0.95554064627730018</v>
      </c>
      <c r="BG22" s="513">
        <f>+[4]Report1!K27</f>
        <v>0.9117197494769731</v>
      </c>
      <c r="BH22" s="513">
        <f>+[4]Report1!AN27</f>
        <v>0.95554064627730018</v>
      </c>
      <c r="BI22" s="513">
        <f>+[4]Report1!AO27</f>
        <v>0.91384239357304042</v>
      </c>
      <c r="BJ22" s="510">
        <f>+[4]Report1!R27</f>
        <v>48.878</v>
      </c>
      <c r="BK22" s="510">
        <f>+[4]Report1!S27</f>
        <v>906.65</v>
      </c>
      <c r="BL22" s="510">
        <f>+[4]Report1!AD27</f>
        <v>2.7271983305372562</v>
      </c>
      <c r="BM22" s="510">
        <f>+[4]Report1!AE27</f>
        <v>2.7467049026636521</v>
      </c>
      <c r="BN22" s="514">
        <v>0</v>
      </c>
      <c r="BO22" s="514">
        <v>0</v>
      </c>
      <c r="BP22" s="514">
        <f>+[4]Report1!AJ27</f>
        <v>991.86801833134507</v>
      </c>
      <c r="BQ22" s="514">
        <f>+[4]Report1!AK27</f>
        <v>994.54369381790116</v>
      </c>
      <c r="BR22" s="514">
        <v>0</v>
      </c>
      <c r="BS22" s="515">
        <v>0</v>
      </c>
      <c r="BT22" s="512">
        <f>+[5]Report1!J27</f>
        <v>0.9257927499339913</v>
      </c>
      <c r="BU22" s="513">
        <f>+[5]Report1!K27</f>
        <v>0.83555321433534346</v>
      </c>
      <c r="BV22" s="513">
        <f>+[5]Report1!BG27</f>
        <v>0.9257927499339913</v>
      </c>
      <c r="BW22" s="513">
        <f>+[5]Report1!BH27</f>
        <v>0.85120444328929112</v>
      </c>
      <c r="BX22" s="510">
        <f>+[5]Report1!R27</f>
        <v>47.177</v>
      </c>
      <c r="BY22" s="510">
        <f>+[5]Report1!S27</f>
        <v>805.923</v>
      </c>
      <c r="BZ22" s="514">
        <f>+[5]Report1!X27</f>
        <v>83.172494943679936</v>
      </c>
      <c r="CA22" s="514">
        <f>+[5]Report1!Y27</f>
        <v>86.025745893758369</v>
      </c>
      <c r="CB22" s="510">
        <f>+[5]Report1!AD27</f>
        <v>1.8695550798058376</v>
      </c>
      <c r="CC22" s="510">
        <f>+[5]Report1!AE27</f>
        <v>2.0778784077387042</v>
      </c>
      <c r="CD22" s="514">
        <f>+[5]Report1!AJ27</f>
        <v>0</v>
      </c>
      <c r="CE22" s="514">
        <f>+[5]Report1!AK27</f>
        <v>7.9536134345340681E-2</v>
      </c>
      <c r="CF22" s="514">
        <f>+[5]Report1!AP27</f>
        <v>918.22000127180149</v>
      </c>
      <c r="CG22" s="514">
        <f>+[5]Report1!AQ27</f>
        <v>910.32441064468969</v>
      </c>
      <c r="CH22" s="514">
        <f>+[5]Report1!AV27</f>
        <v>0</v>
      </c>
      <c r="CI22" s="514">
        <f>+[5]Report1!AW27</f>
        <v>205.91556389382154</v>
      </c>
      <c r="CJ22" s="514">
        <f>+[5]Report1!BB27</f>
        <v>0</v>
      </c>
      <c r="CK22" s="514">
        <f>+[5]Report1!BC27</f>
        <v>4.1785778542118708</v>
      </c>
    </row>
    <row r="23" spans="1:89" ht="12.75" customHeight="1">
      <c r="A23" s="568">
        <f t="shared" si="0"/>
        <v>45889</v>
      </c>
      <c r="B23" s="512">
        <f>+Report1!J28</f>
        <v>0.97942225553071971</v>
      </c>
      <c r="C23" s="513">
        <f>+Report1!K28</f>
        <v>0.88061975038636775</v>
      </c>
      <c r="D23" s="513">
        <f>+Report1!AJ28</f>
        <v>0.97942225553071971</v>
      </c>
      <c r="E23" s="513">
        <f>+Report1!AK28</f>
        <v>0.88061975038636775</v>
      </c>
      <c r="F23" s="510">
        <f>+Report1!R28</f>
        <v>55.423000000000002</v>
      </c>
      <c r="G23" s="510">
        <f>+Report1!S28</f>
        <v>1275.8329999999999</v>
      </c>
      <c r="H23" s="510">
        <f>+Report1!X28</f>
        <v>2.2084152788553486</v>
      </c>
      <c r="I23" s="510">
        <f>+Report1!Y28</f>
        <v>2.2608742680272416</v>
      </c>
      <c r="J23" s="510">
        <f>+Report1!AD28</f>
        <v>1051.4912581419885</v>
      </c>
      <c r="K23" s="511">
        <f>+Report1!AE28</f>
        <v>841.06816487737831</v>
      </c>
      <c r="L23" s="512">
        <f>+[1]Report1!J28</f>
        <v>0.93268989894130183</v>
      </c>
      <c r="M23" s="513">
        <f>+[1]Report1!K28</f>
        <v>0.84549324359895961</v>
      </c>
      <c r="N23" s="513">
        <f>+[1]Report1!BJ28</f>
        <v>0.93268989894130183</v>
      </c>
      <c r="O23" s="513">
        <f>+[1]Report1!BK28</f>
        <v>0.88267552579181319</v>
      </c>
      <c r="P23" s="510">
        <f>+[1]Report1!R28</f>
        <v>50.192999999999998</v>
      </c>
      <c r="Q23" s="510">
        <f>+[1]Report1!S28</f>
        <v>1029.009</v>
      </c>
      <c r="R23" s="510">
        <f>+[1]Report1!AL28</f>
        <v>2.4520351443428368</v>
      </c>
      <c r="S23" s="510">
        <f>+[1]Report1!AM28</f>
        <v>2.5700941391183161</v>
      </c>
      <c r="T23" s="510">
        <f>+[1]Report1!AR28</f>
        <v>0</v>
      </c>
      <c r="U23" s="510">
        <f>+[1]Report1!AS28</f>
        <v>6.0738049910156279E-2</v>
      </c>
      <c r="V23" s="510">
        <f>+[1]Report1!AX28</f>
        <v>962.07040822423994</v>
      </c>
      <c r="W23" s="510">
        <f>+[1]Report1!AY28</f>
        <v>801.5155163851822</v>
      </c>
      <c r="X23" s="510">
        <f>+[1]Report1!BD28</f>
        <v>8.9255473870858477</v>
      </c>
      <c r="Y23" s="587">
        <f>+[1]Report1!BE28</f>
        <v>109.54520320036073</v>
      </c>
      <c r="Z23" s="512">
        <f>+[2]Report1!J28</f>
        <v>0.93323277801661286</v>
      </c>
      <c r="AA23" s="513">
        <f>+[2]Report1!K28</f>
        <v>0.89850555846028046</v>
      </c>
      <c r="AB23" s="513">
        <f>+[2]Report1!BC28</f>
        <v>0.93323277801661286</v>
      </c>
      <c r="AC23" s="513">
        <f>+[2]Report1!BD28</f>
        <v>0.89850555846028046</v>
      </c>
      <c r="AD23" s="510">
        <f>+[2]Report1!R28</f>
        <v>41.040999999999997</v>
      </c>
      <c r="AE23" s="510">
        <f>+[2]Report1!S28</f>
        <v>848.77600000000007</v>
      </c>
      <c r="AF23" s="510">
        <f>+[2]Report1!X28</f>
        <v>91.640886865995824</v>
      </c>
      <c r="AG23" s="510">
        <f>+[2]Report1!Y28</f>
        <v>93.776971182730904</v>
      </c>
      <c r="AH23" s="510">
        <f>+[2]Report1!AD28</f>
        <v>1.4083477498111645</v>
      </c>
      <c r="AI23" s="510">
        <f>+[2]Report1!AE28</f>
        <v>1.3339208460182663</v>
      </c>
      <c r="AJ23" s="510">
        <f>+[2]Report1!AJ28</f>
        <v>898.53561073073274</v>
      </c>
      <c r="AK23" s="510">
        <f>+[2]Report1!AK28</f>
        <v>869.77308500711786</v>
      </c>
      <c r="AL23" s="598">
        <v>0</v>
      </c>
      <c r="AM23" s="598">
        <v>0</v>
      </c>
      <c r="AN23" s="512">
        <f>+[3]Report1!J28</f>
        <v>0.96260345188745955</v>
      </c>
      <c r="AO23" s="513">
        <f>+[3]Report1!K28</f>
        <v>0.85598635229572195</v>
      </c>
      <c r="AP23" s="513">
        <f>+[3]Report1!BN28</f>
        <v>0.96260345188745955</v>
      </c>
      <c r="AQ23" s="513">
        <f>+[3]Report1!BO28</f>
        <v>0.87055876103189545</v>
      </c>
      <c r="AR23" s="510">
        <f>+[3]Report1!R28</f>
        <v>58.305999999999997</v>
      </c>
      <c r="AS23" s="510">
        <f>+[3]Report1!S28</f>
        <v>897.98100000000022</v>
      </c>
      <c r="AT23" s="514">
        <f>+[3]Report1!AF28</f>
        <v>78.456033361561097</v>
      </c>
      <c r="AU23" s="514">
        <f>+[3]Report1!AG28</f>
        <v>106.86163896398413</v>
      </c>
      <c r="AV23" s="510">
        <f>+[3]Report1!AL28</f>
        <v>1.197132370596508</v>
      </c>
      <c r="AW23" s="510">
        <f>+[3]Report1!AM28</f>
        <v>1.4789845219442277</v>
      </c>
      <c r="AX23" s="510">
        <f>+[3]Report1!AR28</f>
        <v>0.21610125887558743</v>
      </c>
      <c r="AY23" s="510">
        <f>+[3]Report1!AS28</f>
        <v>0.10623832798244057</v>
      </c>
      <c r="AZ23" s="510">
        <f>+[3]Report1!AX28</f>
        <v>619.26388364833838</v>
      </c>
      <c r="BA23" s="510">
        <f>+[3]Report1!AY28</f>
        <v>910.1891019965899</v>
      </c>
      <c r="BB23" s="510">
        <f>+[3]Report1!BD28</f>
        <v>598.27462010770682</v>
      </c>
      <c r="BC23" s="510">
        <f>+[3]Report1!BE28</f>
        <v>301.06272961231872</v>
      </c>
      <c r="BD23" s="510">
        <f>+[3]Report1!BJ28</f>
        <v>2.7441429698487294</v>
      </c>
      <c r="BE23" s="510">
        <f>+[3]Report1!BK28</f>
        <v>4.3104341851330865</v>
      </c>
      <c r="BF23" s="512">
        <f>+[4]Report1!J28</f>
        <v>0.95735277833270793</v>
      </c>
      <c r="BG23" s="513">
        <f>+[4]Report1!K28</f>
        <v>0.91393529554879671</v>
      </c>
      <c r="BH23" s="513">
        <f>+[4]Report1!AN28</f>
        <v>0.95735277833270793</v>
      </c>
      <c r="BI23" s="513">
        <f>+[4]Report1!AO28</f>
        <v>0.91595956129518563</v>
      </c>
      <c r="BJ23" s="510">
        <f>+[4]Report1!R28</f>
        <v>48.581000000000003</v>
      </c>
      <c r="BK23" s="510">
        <f>+[4]Report1!S28</f>
        <v>955.23099999999999</v>
      </c>
      <c r="BL23" s="510">
        <f>+[4]Report1!AD28</f>
        <v>2.7829810008027827</v>
      </c>
      <c r="BM23" s="510">
        <f>+[4]Report1!AE28</f>
        <v>2.748549827214569</v>
      </c>
      <c r="BN23" s="514">
        <v>0</v>
      </c>
      <c r="BO23" s="514">
        <v>0</v>
      </c>
      <c r="BP23" s="514">
        <f>+[4]Report1!AJ28</f>
        <v>1034.4586360923029</v>
      </c>
      <c r="BQ23" s="514">
        <f>+[4]Report1!AK28</f>
        <v>996.57368217740043</v>
      </c>
      <c r="BR23" s="514">
        <v>0</v>
      </c>
      <c r="BS23" s="515">
        <v>0</v>
      </c>
      <c r="BT23" s="512">
        <f>+[5]Report1!J28</f>
        <v>0.82421116730348243</v>
      </c>
      <c r="BU23" s="513">
        <f>+[5]Report1!K28</f>
        <v>0.83497606802540991</v>
      </c>
      <c r="BV23" s="513">
        <f>+[5]Report1!BG28</f>
        <v>0.82421116730348243</v>
      </c>
      <c r="BW23" s="513">
        <f>+[5]Report1!BH28</f>
        <v>0.84980647897813888</v>
      </c>
      <c r="BX23" s="510">
        <f>+[5]Report1!R28</f>
        <v>42.622</v>
      </c>
      <c r="BY23" s="510">
        <f>+[5]Report1!S28</f>
        <v>848.54499999999996</v>
      </c>
      <c r="BZ23" s="514">
        <f>+[5]Report1!X28</f>
        <v>91.37320822470754</v>
      </c>
      <c r="CA23" s="514">
        <f>+[5]Report1!Y28</f>
        <v>86.294346309139655</v>
      </c>
      <c r="CB23" s="510">
        <f>+[5]Report1!AD28</f>
        <v>2.0740462671859605</v>
      </c>
      <c r="CC23" s="510">
        <f>+[5]Report1!AE28</f>
        <v>2.0776859211945156</v>
      </c>
      <c r="CD23" s="514">
        <f>+[5]Report1!AJ28</f>
        <v>0</v>
      </c>
      <c r="CE23" s="514">
        <f>+[5]Report1!AK28</f>
        <v>7.554107324891432E-2</v>
      </c>
      <c r="CF23" s="514">
        <f>+[5]Report1!AP28</f>
        <v>993.48634508000725</v>
      </c>
      <c r="CG23" s="514">
        <f>+[5]Report1!AQ28</f>
        <v>914.50159390486112</v>
      </c>
      <c r="CH23" s="514">
        <f>+[5]Report1!AV28</f>
        <v>0</v>
      </c>
      <c r="CI23" s="514">
        <f>+[5]Report1!AW28</f>
        <v>195.5725259120027</v>
      </c>
      <c r="CJ23" s="514">
        <f>+[5]Report1!BB28</f>
        <v>0</v>
      </c>
      <c r="CK23" s="514">
        <f>+[5]Report1!BC28</f>
        <v>3.9686899339457473</v>
      </c>
    </row>
    <row r="24" spans="1:89" ht="12.75" customHeight="1">
      <c r="A24" s="568">
        <f t="shared" si="0"/>
        <v>45890</v>
      </c>
      <c r="B24" s="512">
        <f>+Report1!J29</f>
        <v>0.99568876472732981</v>
      </c>
      <c r="C24" s="513">
        <f>+Report1!K29</f>
        <v>0.88496534930381121</v>
      </c>
      <c r="D24" s="513">
        <f>+Report1!AJ29</f>
        <v>0.99568876472732981</v>
      </c>
      <c r="E24" s="513">
        <f>+Report1!AK29</f>
        <v>0.88496534930381121</v>
      </c>
      <c r="F24" s="510">
        <f>+Report1!R29</f>
        <v>56.616</v>
      </c>
      <c r="G24" s="510">
        <f>+Report1!S29</f>
        <v>1332.4489999999998</v>
      </c>
      <c r="H24" s="510">
        <f>+Report1!X29</f>
        <v>2.2713720503038011</v>
      </c>
      <c r="I24" s="510">
        <f>+Report1!Y29</f>
        <v>2.2613203207027062</v>
      </c>
      <c r="J24" s="510">
        <f>+Report1!AD29</f>
        <v>975.72947576656009</v>
      </c>
      <c r="K24" s="511">
        <f>+Report1!AE29</f>
        <v>846.78994843329838</v>
      </c>
      <c r="L24" s="512">
        <f>+[1]Report1!J29</f>
        <v>0.92668258275493076</v>
      </c>
      <c r="M24" s="513">
        <f>+[1]Report1!K29</f>
        <v>0.84893653502373134</v>
      </c>
      <c r="N24" s="513">
        <f>+[1]Report1!BJ29</f>
        <v>0.92668258275493076</v>
      </c>
      <c r="O24" s="513">
        <f>+[1]Report1!BK29</f>
        <v>0.88462034304190851</v>
      </c>
      <c r="P24" s="510">
        <f>+[1]Report1!R29</f>
        <v>49.95</v>
      </c>
      <c r="Q24" s="510">
        <f>+[1]Report1!S29</f>
        <v>1078.9590000000001</v>
      </c>
      <c r="R24" s="510">
        <f>+[1]Report1!AL29</f>
        <v>2.1656856856856854</v>
      </c>
      <c r="S24" s="510">
        <f>+[1]Report1!AM29</f>
        <v>2.5513722022801599</v>
      </c>
      <c r="T24" s="510">
        <f>+[1]Report1!AR29</f>
        <v>0</v>
      </c>
      <c r="U24" s="510">
        <f>+[1]Report1!AS29</f>
        <v>5.7926204795548296E-2</v>
      </c>
      <c r="V24" s="510">
        <f>+[1]Report1!AX29</f>
        <v>859.21221221222402</v>
      </c>
      <c r="W24" s="510">
        <f>+[1]Report1!AY29</f>
        <v>804.18656315949033</v>
      </c>
      <c r="X24" s="510">
        <f>+[1]Report1!BD29</f>
        <v>8.5285285285285291</v>
      </c>
      <c r="Y24" s="587">
        <f>+[1]Report1!BE29</f>
        <v>104.86867434258392</v>
      </c>
      <c r="Z24" s="512">
        <f>+[2]Report1!J29</f>
        <v>0.9519032187092431</v>
      </c>
      <c r="AA24" s="513">
        <f>+[2]Report1!K29</f>
        <v>0.90088328206332746</v>
      </c>
      <c r="AB24" s="513">
        <f>+[2]Report1!BC29</f>
        <v>0.9519032187092431</v>
      </c>
      <c r="AC24" s="513">
        <f>+[2]Report1!BD29</f>
        <v>0.90088328206332746</v>
      </c>
      <c r="AD24" s="510">
        <f>+[2]Report1!R29</f>
        <v>41.906999999999996</v>
      </c>
      <c r="AE24" s="510">
        <f>+[2]Report1!S29</f>
        <v>890.68300000000011</v>
      </c>
      <c r="AF24" s="510">
        <f>+[2]Report1!X29</f>
        <v>86.831017462061567</v>
      </c>
      <c r="AG24" s="510">
        <f>+[2]Report1!Y29</f>
        <v>93.450161214906103</v>
      </c>
      <c r="AH24" s="510">
        <f>+[2]Report1!AD29</f>
        <v>1.3434509747774834</v>
      </c>
      <c r="AI24" s="510">
        <f>+[2]Report1!AE29</f>
        <v>1.3343692424802089</v>
      </c>
      <c r="AJ24" s="510">
        <f>+[2]Report1!AJ29</f>
        <v>844.77294962651933</v>
      </c>
      <c r="AK24" s="510">
        <f>+[2]Report1!AK29</f>
        <v>868.5968183966686</v>
      </c>
      <c r="AL24" s="598">
        <v>0</v>
      </c>
      <c r="AM24" s="598">
        <v>0</v>
      </c>
      <c r="AN24" s="512">
        <f>+[3]Report1!J29</f>
        <v>0.92878946915681715</v>
      </c>
      <c r="AO24" s="513">
        <f>+[3]Report1!K29</f>
        <v>0.85996826064376497</v>
      </c>
      <c r="AP24" s="513">
        <f>+[3]Report1!BN29</f>
        <v>0.92878946915681715</v>
      </c>
      <c r="AQ24" s="513">
        <f>+[3]Report1!BO29</f>
        <v>0.87379484972525789</v>
      </c>
      <c r="AR24" s="510">
        <f>+[3]Report1!R29</f>
        <v>56.375</v>
      </c>
      <c r="AS24" s="510">
        <f>+[3]Report1!S29</f>
        <v>954.35600000000022</v>
      </c>
      <c r="AT24" s="514">
        <f>+[3]Report1!AF29</f>
        <v>81.54511060862184</v>
      </c>
      <c r="AU24" s="514">
        <f>+[3]Report1!AG29</f>
        <v>105.36616003784594</v>
      </c>
      <c r="AV24" s="510">
        <f>+[3]Report1!AL29</f>
        <v>1.2523281596452327</v>
      </c>
      <c r="AW24" s="510">
        <f>+[3]Report1!AM29</f>
        <v>1.4655956477457044</v>
      </c>
      <c r="AX24" s="510">
        <f>+[3]Report1!AR29</f>
        <v>0.22350332594235034</v>
      </c>
      <c r="AY24" s="510">
        <f>+[3]Report1!AS29</f>
        <v>0.11316531776402093</v>
      </c>
      <c r="AZ24" s="510">
        <f>+[3]Report1!AX29</f>
        <v>638.79201773835996</v>
      </c>
      <c r="BA24" s="510">
        <f>+[3]Report1!AY29</f>
        <v>894.15733751346443</v>
      </c>
      <c r="BB24" s="510">
        <f>+[3]Report1!BD29</f>
        <v>535.23725055432374</v>
      </c>
      <c r="BC24" s="510">
        <f>+[3]Report1!BE29</f>
        <v>314.8957108248909</v>
      </c>
      <c r="BD24" s="510">
        <f>+[3]Report1!BJ29</f>
        <v>2.6607538802660753</v>
      </c>
      <c r="BE24" s="510">
        <f>+[3]Report1!BK29</f>
        <v>4.2129855106480116</v>
      </c>
      <c r="BF24" s="512">
        <f>+[4]Report1!J29</f>
        <v>0.95471213132468868</v>
      </c>
      <c r="BG24" s="513">
        <f>+[4]Report1!K29</f>
        <v>0.91582339688643211</v>
      </c>
      <c r="BH24" s="513">
        <f>+[4]Report1!AN29</f>
        <v>0.95471213132468868</v>
      </c>
      <c r="BI24" s="513">
        <f>+[4]Report1!AO29</f>
        <v>0.91775772240517139</v>
      </c>
      <c r="BJ24" s="510">
        <f>+[4]Report1!R29</f>
        <v>48.447000000000003</v>
      </c>
      <c r="BK24" s="510">
        <f>+[4]Report1!S29</f>
        <v>1003.678</v>
      </c>
      <c r="BL24" s="510">
        <f>+[4]Report1!AD29</f>
        <v>2.8051272524614528</v>
      </c>
      <c r="BM24" s="510">
        <f>+[4]Report1!AE29</f>
        <v>2.7512807892571125</v>
      </c>
      <c r="BN24" s="514">
        <v>0</v>
      </c>
      <c r="BO24" s="514">
        <v>0</v>
      </c>
      <c r="BP24" s="514">
        <f>+[4]Report1!AJ29</f>
        <v>960.87167420067669</v>
      </c>
      <c r="BQ24" s="514">
        <f>+[4]Report1!AK29</f>
        <v>994.85036535622032</v>
      </c>
      <c r="BR24" s="514">
        <v>0</v>
      </c>
      <c r="BS24" s="515">
        <v>0</v>
      </c>
      <c r="BT24" s="512">
        <f>+[5]Report1!J29</f>
        <v>0.91264785984446017</v>
      </c>
      <c r="BU24" s="513">
        <f>+[5]Report1!K29</f>
        <v>0.83870851495448495</v>
      </c>
      <c r="BV24" s="513">
        <f>+[5]Report1!BG29</f>
        <v>0.91264785984446017</v>
      </c>
      <c r="BW24" s="513">
        <f>+[5]Report1!BH29</f>
        <v>0.85287727896014476</v>
      </c>
      <c r="BX24" s="510">
        <f>+[5]Report1!R29</f>
        <v>46.819000000000003</v>
      </c>
      <c r="BY24" s="510">
        <f>+[5]Report1!S29</f>
        <v>895.36399999999992</v>
      </c>
      <c r="BZ24" s="514">
        <f>+[5]Report1!X29</f>
        <v>83.64268653017642</v>
      </c>
      <c r="CA24" s="514">
        <f>+[5]Report1!Y29</f>
        <v>86.155689785992323</v>
      </c>
      <c r="CB24" s="510">
        <f>+[5]Report1!AD29</f>
        <v>1.9244323885601997</v>
      </c>
      <c r="CC24" s="510">
        <f>+[5]Report1!AE29</f>
        <v>2.0696722226937871</v>
      </c>
      <c r="CD24" s="514">
        <f>+[5]Report1!AJ29</f>
        <v>0</v>
      </c>
      <c r="CE24" s="514">
        <f>+[5]Report1!AK29</f>
        <v>7.1590995394052032E-2</v>
      </c>
      <c r="CF24" s="514">
        <f>+[5]Report1!AP29</f>
        <v>855.1090369294518</v>
      </c>
      <c r="CG24" s="514">
        <f>+[5]Report1!AQ29</f>
        <v>911.39592947672736</v>
      </c>
      <c r="CH24" s="514">
        <f>+[5]Report1!AV29</f>
        <v>0</v>
      </c>
      <c r="CI24" s="514">
        <f>+[5]Report1!AW29</f>
        <v>185.34594756992726</v>
      </c>
      <c r="CJ24" s="514">
        <f>+[5]Report1!BB29</f>
        <v>0</v>
      </c>
      <c r="CK24" s="514">
        <f>+[5]Report1!BC29</f>
        <v>3.7611652914345388</v>
      </c>
    </row>
    <row r="25" spans="1:89" ht="12.75" customHeight="1">
      <c r="A25" s="568">
        <f t="shared" si="0"/>
        <v>45891</v>
      </c>
      <c r="B25" s="512">
        <f>+Report1!J30</f>
        <v>0.98022427050564487</v>
      </c>
      <c r="C25" s="513">
        <f>+Report1!K30</f>
        <v>0.88841531771425353</v>
      </c>
      <c r="D25" s="513">
        <f>+Report1!AJ30</f>
        <v>0.98022427050564487</v>
      </c>
      <c r="E25" s="513">
        <f>+Report1!AK30</f>
        <v>0.88841531771425353</v>
      </c>
      <c r="F25" s="510">
        <f>+Report1!R30</f>
        <v>55.46</v>
      </c>
      <c r="G25" s="510">
        <f>+Report1!S30</f>
        <v>1387.9089999999999</v>
      </c>
      <c r="H25" s="510">
        <f>+Report1!X30</f>
        <v>2.336783267219618</v>
      </c>
      <c r="I25" s="510">
        <f>+Report1!Y30</f>
        <v>2.2643357741753962</v>
      </c>
      <c r="J25" s="510">
        <f>+Report1!AD30</f>
        <v>998.10890732059249</v>
      </c>
      <c r="K25" s="511">
        <f>+Report1!AE30</f>
        <v>852.8365620512584</v>
      </c>
      <c r="L25" s="512">
        <f>+[1]Report1!J30</f>
        <v>0.94399890877308856</v>
      </c>
      <c r="M25" s="513">
        <f>+[1]Report1!K30</f>
        <v>0.85273860744503582</v>
      </c>
      <c r="N25" s="513">
        <f>+[1]Report1!BJ30</f>
        <v>0.94399890877308856</v>
      </c>
      <c r="O25" s="513">
        <f>+[1]Report1!BK30</f>
        <v>0.88709089293109966</v>
      </c>
      <c r="P25" s="510">
        <f>+[1]Report1!R30</f>
        <v>49.984999999999999</v>
      </c>
      <c r="Q25" s="510">
        <f>+[1]Report1!S30</f>
        <v>1128.944</v>
      </c>
      <c r="R25" s="510">
        <f>+[1]Report1!AL30</f>
        <v>2.103671101330399</v>
      </c>
      <c r="S25" s="510">
        <f>+[1]Report1!AM30</f>
        <v>2.531549837724457</v>
      </c>
      <c r="T25" s="510">
        <f>+[1]Report1!AR30</f>
        <v>0</v>
      </c>
      <c r="U25" s="510">
        <f>+[1]Report1!AS30</f>
        <v>5.5361470542382975E-2</v>
      </c>
      <c r="V25" s="510">
        <f>+[1]Report1!AX30</f>
        <v>875.50825247574937</v>
      </c>
      <c r="W25" s="510">
        <f>+[1]Report1!AY30</f>
        <v>807.34439440751794</v>
      </c>
      <c r="X25" s="510">
        <f>+[1]Report1!BD30</f>
        <v>8.8426527958387524</v>
      </c>
      <c r="Y25" s="587">
        <f>+[1]Report1!BE30</f>
        <v>100.61703680607718</v>
      </c>
      <c r="Z25" s="512">
        <f>+[2]Report1!J30</f>
        <v>1.0052664550061756</v>
      </c>
      <c r="AA25" s="513">
        <f>+[2]Report1!K30</f>
        <v>0.90538231031683081</v>
      </c>
      <c r="AB25" s="513">
        <f>+[2]Report1!BC30</f>
        <v>1.0052664550061756</v>
      </c>
      <c r="AC25" s="513">
        <f>+[2]Report1!BD30</f>
        <v>0.90538231031683081</v>
      </c>
      <c r="AD25" s="510">
        <f>+[2]Report1!R30</f>
        <v>44.767000000000003</v>
      </c>
      <c r="AE25" s="510">
        <f>+[2]Report1!S30</f>
        <v>935.45000000000016</v>
      </c>
      <c r="AF25" s="510">
        <f>+[2]Report1!X30</f>
        <v>84.377996281025176</v>
      </c>
      <c r="AG25" s="510">
        <f>+[2]Report1!Y30</f>
        <v>93.016002673460761</v>
      </c>
      <c r="AH25" s="510">
        <f>+[2]Report1!AD30</f>
        <v>1.3201688743940849</v>
      </c>
      <c r="AI25" s="510">
        <f>+[2]Report1!AE30</f>
        <v>1.3336896680741885</v>
      </c>
      <c r="AJ25" s="510">
        <f>+[2]Report1!AJ30</f>
        <v>839.34862733712544</v>
      </c>
      <c r="AK25" s="510">
        <f>+[2]Report1!AK30</f>
        <v>867.1971136886001</v>
      </c>
      <c r="AL25" s="598">
        <v>0</v>
      </c>
      <c r="AM25" s="598">
        <v>0</v>
      </c>
      <c r="AN25" s="512">
        <f>+[3]Report1!J30</f>
        <v>1.0214978530396439</v>
      </c>
      <c r="AO25" s="513">
        <f>+[3]Report1!K30</f>
        <v>0.86836954184561743</v>
      </c>
      <c r="AP25" s="513">
        <f>+[3]Report1!BN30</f>
        <v>1.0214978530396439</v>
      </c>
      <c r="AQ25" s="513">
        <f>+[3]Report1!BO30</f>
        <v>0.88159399104035274</v>
      </c>
      <c r="AR25" s="510">
        <f>+[3]Report1!R30</f>
        <v>62.195</v>
      </c>
      <c r="AS25" s="510">
        <f>+[3]Report1!S30</f>
        <v>1016.5510000000003</v>
      </c>
      <c r="AT25" s="514">
        <f>+[3]Report1!AF30</f>
        <v>74.700708536970737</v>
      </c>
      <c r="AU25" s="514">
        <f>+[3]Report1!AG30</f>
        <v>103.48997501997971</v>
      </c>
      <c r="AV25" s="510">
        <f>+[3]Report1!AL30</f>
        <v>1.131923788085859</v>
      </c>
      <c r="AW25" s="510">
        <f>+[3]Report1!AM30</f>
        <v>1.445180812374391</v>
      </c>
      <c r="AX25" s="510">
        <f>+[3]Report1!AR30</f>
        <v>0.1736473993086261</v>
      </c>
      <c r="AY25" s="510">
        <f>+[3]Report1!AS30</f>
        <v>0.11686575489080228</v>
      </c>
      <c r="AZ25" s="510">
        <f>+[3]Report1!AX30</f>
        <v>579.22855535010854</v>
      </c>
      <c r="BA25" s="510">
        <f>+[3]Report1!AY30</f>
        <v>874.88924805543434</v>
      </c>
      <c r="BB25" s="510">
        <f>+[3]Report1!BD30</f>
        <v>458.12364337969217</v>
      </c>
      <c r="BC25" s="510">
        <f>+[3]Report1!BE30</f>
        <v>323.65873527250426</v>
      </c>
      <c r="BD25" s="510">
        <f>+[3]Report1!BJ30</f>
        <v>2.7333386928209666</v>
      </c>
      <c r="BE25" s="510">
        <f>+[3]Report1!BK30</f>
        <v>4.1224572107056057</v>
      </c>
      <c r="BF25" s="512">
        <f>+[4]Report1!J30</f>
        <v>0.92235435231597518</v>
      </c>
      <c r="BG25" s="513">
        <f>+[4]Report1!K30</f>
        <v>0.91611241889177908</v>
      </c>
      <c r="BH25" s="513">
        <f>+[4]Report1!AN30</f>
        <v>0.92235435231597518</v>
      </c>
      <c r="BI25" s="513">
        <f>+[4]Report1!AO30</f>
        <v>0.91796155303683546</v>
      </c>
      <c r="BJ25" s="510">
        <f>+[4]Report1!R30</f>
        <v>46.805</v>
      </c>
      <c r="BK25" s="510">
        <f>+[4]Report1!S30</f>
        <v>1050.4829999999999</v>
      </c>
      <c r="BL25" s="510">
        <f>+[4]Report1!AD30</f>
        <v>2.924901185770751</v>
      </c>
      <c r="BM25" s="510">
        <f>+[4]Report1!AE30</f>
        <v>2.7590165666650486</v>
      </c>
      <c r="BN25" s="514">
        <v>0</v>
      </c>
      <c r="BO25" s="514">
        <v>0</v>
      </c>
      <c r="BP25" s="514">
        <f>+[4]Report1!AJ30</f>
        <v>1021.2515756863585</v>
      </c>
      <c r="BQ25" s="514">
        <f>+[4]Report1!AK30</f>
        <v>996.02668962753387</v>
      </c>
      <c r="BR25" s="514">
        <v>0</v>
      </c>
      <c r="BS25" s="515">
        <v>0</v>
      </c>
      <c r="BT25" s="512">
        <f>+[5]Report1!J30</f>
        <v>0.93941007920619324</v>
      </c>
      <c r="BU25" s="513">
        <f>+[5]Report1!K30</f>
        <v>0.8433747419343457</v>
      </c>
      <c r="BV25" s="513">
        <f>+[5]Report1!BG30</f>
        <v>0.93941007920619324</v>
      </c>
      <c r="BW25" s="513">
        <f>+[5]Report1!BH30</f>
        <v>0.85695151383216761</v>
      </c>
      <c r="BX25" s="510">
        <f>+[5]Report1!R30</f>
        <v>48.728000000000002</v>
      </c>
      <c r="BY25" s="510">
        <f>+[5]Report1!S30</f>
        <v>944.09199999999987</v>
      </c>
      <c r="BZ25" s="514">
        <f>+[5]Report1!X30</f>
        <v>77.053022349171968</v>
      </c>
      <c r="CA25" s="514">
        <f>+[5]Report1!Y30</f>
        <v>85.685868223198256</v>
      </c>
      <c r="CB25" s="510">
        <f>+[5]Report1!AD30</f>
        <v>1.8716138565096043</v>
      </c>
      <c r="CC25" s="510">
        <f>+[5]Report1!AE30</f>
        <v>2.0594497146464543</v>
      </c>
      <c r="CD25" s="514">
        <f>+[5]Report1!AJ30</f>
        <v>0</v>
      </c>
      <c r="CE25" s="514">
        <f>+[5]Report1!AK30</f>
        <v>6.7895925397101139E-2</v>
      </c>
      <c r="CF25" s="514">
        <f>+[5]Report1!AP30</f>
        <v>845.46215728123525</v>
      </c>
      <c r="CG25" s="514">
        <f>+[5]Report1!AQ30</f>
        <v>907.99284921384833</v>
      </c>
      <c r="CH25" s="514">
        <f>+[5]Report1!AV30</f>
        <v>0</v>
      </c>
      <c r="CI25" s="514">
        <f>+[5]Report1!AW30</f>
        <v>175.77957338903448</v>
      </c>
      <c r="CJ25" s="514">
        <f>+[5]Report1!BB30</f>
        <v>0</v>
      </c>
      <c r="CK25" s="514">
        <f>+[5]Report1!BC30</f>
        <v>3.5670379581650882</v>
      </c>
    </row>
    <row r="26" spans="1:89" ht="13.5" customHeight="1">
      <c r="A26" s="568">
        <f t="shared" si="0"/>
        <v>45892</v>
      </c>
      <c r="B26" s="512">
        <f>+Report1!J31</f>
        <v>0.80290783777060148</v>
      </c>
      <c r="C26" s="513">
        <f>+Report1!K31</f>
        <v>0.885661729435536</v>
      </c>
      <c r="D26" s="513">
        <f>+Report1!AJ31</f>
        <v>0.80290783777060148</v>
      </c>
      <c r="E26" s="513">
        <f>+Report1!AK31</f>
        <v>0.885661729435536</v>
      </c>
      <c r="F26" s="510">
        <f>+Report1!R31</f>
        <v>41.737000000000002</v>
      </c>
      <c r="G26" s="510">
        <f>+Report1!S31</f>
        <v>1429.646</v>
      </c>
      <c r="H26" s="510">
        <f>+Report1!X31</f>
        <v>3.0125787670412345</v>
      </c>
      <c r="I26" s="510">
        <f>+Report1!Y31</f>
        <v>2.286179935452552</v>
      </c>
      <c r="J26" s="510">
        <f>+Report1!AD31</f>
        <v>1272.4810120516545</v>
      </c>
      <c r="K26" s="511">
        <f>+Report1!AE31</f>
        <v>865.08763707938863</v>
      </c>
      <c r="L26" s="512">
        <f>+[1]Report1!J31</f>
        <v>0.97979699434719558</v>
      </c>
      <c r="M26" s="513">
        <f>+[1]Report1!K31</f>
        <v>0.85747628699385758</v>
      </c>
      <c r="N26" s="513">
        <f>+[1]Report1!BJ31</f>
        <v>0.97979699434719558</v>
      </c>
      <c r="O26" s="513">
        <f>+[1]Report1!BK31</f>
        <v>0.89068152568739622</v>
      </c>
      <c r="P26" s="510">
        <f>+[1]Report1!R31</f>
        <v>50.241</v>
      </c>
      <c r="Q26" s="510">
        <f>+[1]Report1!S31</f>
        <v>1179.1849999999999</v>
      </c>
      <c r="R26" s="510">
        <f>+[1]Report1!AL31</f>
        <v>2.0961167174220261</v>
      </c>
      <c r="S26" s="510">
        <f>+[1]Report1!AM31</f>
        <v>2.512997536434062</v>
      </c>
      <c r="T26" s="510">
        <f>+[1]Report1!AR31</f>
        <v>0</v>
      </c>
      <c r="U26" s="510">
        <f>+[1]Report1!AS31</f>
        <v>5.3002709498509569E-2</v>
      </c>
      <c r="V26" s="510">
        <f>+[1]Report1!AX31</f>
        <v>866.84998308154331</v>
      </c>
      <c r="W26" s="510">
        <f>+[1]Report1!AY31</f>
        <v>809.87972201138984</v>
      </c>
      <c r="X26" s="510">
        <f>+[1]Report1!BD31</f>
        <v>5.3541927907485913</v>
      </c>
      <c r="Y26" s="587">
        <f>+[1]Report1!BE31</f>
        <v>96.558216056004781</v>
      </c>
      <c r="Z26" s="512">
        <f>+[2]Report1!J31</f>
        <v>0.90847818579762052</v>
      </c>
      <c r="AA26" s="513">
        <f>+[2]Report1!K31</f>
        <v>0.90551464907843149</v>
      </c>
      <c r="AB26" s="513">
        <f>+[2]Report1!BC31</f>
        <v>0.90847818579762052</v>
      </c>
      <c r="AC26" s="513">
        <f>+[2]Report1!BD31</f>
        <v>0.90551464907843149</v>
      </c>
      <c r="AD26" s="510">
        <f>+[2]Report1!R31</f>
        <v>41.915999999999997</v>
      </c>
      <c r="AE26" s="510">
        <f>+[2]Report1!S31</f>
        <v>977.36600000000021</v>
      </c>
      <c r="AF26" s="510">
        <f>+[2]Report1!X31</f>
        <v>95.56066757356831</v>
      </c>
      <c r="AG26" s="510">
        <f>+[2]Report1!Y31</f>
        <v>93.125134947299742</v>
      </c>
      <c r="AH26" s="510">
        <f>+[2]Report1!AD31</f>
        <v>1.4242771256799314</v>
      </c>
      <c r="AI26" s="510">
        <f>+[2]Report1!AE31</f>
        <v>1.3375746649668596</v>
      </c>
      <c r="AJ26" s="510">
        <f>+[2]Report1!AJ31</f>
        <v>885.33113846739366</v>
      </c>
      <c r="AK26" s="510">
        <f>+[2]Report1!AK31</f>
        <v>867.97482212395369</v>
      </c>
      <c r="AL26" s="598">
        <v>0</v>
      </c>
      <c r="AM26" s="598">
        <v>0</v>
      </c>
      <c r="AN26" s="512">
        <f>+[3]Report1!J31</f>
        <v>1.019214901008572</v>
      </c>
      <c r="AO26" s="513">
        <f>+[3]Report1!K31</f>
        <v>0.87582724657867506</v>
      </c>
      <c r="AP26" s="513">
        <f>+[3]Report1!BN31</f>
        <v>1.019214901008572</v>
      </c>
      <c r="AQ26" s="513">
        <f>+[3]Report1!BO31</f>
        <v>0.88849630693645509</v>
      </c>
      <c r="AR26" s="510">
        <f>+[3]Report1!R31</f>
        <v>62.055999999999997</v>
      </c>
      <c r="AS26" s="510">
        <f>+[3]Report1!S31</f>
        <v>1078.6070000000002</v>
      </c>
      <c r="AT26" s="514">
        <f>+[3]Report1!AF31</f>
        <v>74.442073288691091</v>
      </c>
      <c r="AU26" s="514">
        <f>+[3]Report1!AG31</f>
        <v>101.81874853077944</v>
      </c>
      <c r="AV26" s="510">
        <f>+[3]Report1!AL31</f>
        <v>1.1344591981436123</v>
      </c>
      <c r="AW26" s="510">
        <f>+[3]Report1!AM31</f>
        <v>1.4273039207051315</v>
      </c>
      <c r="AX26" s="510">
        <f>+[3]Report1!AR31</f>
        <v>0.1885393837823901</v>
      </c>
      <c r="AY26" s="510">
        <f>+[3]Report1!AS31</f>
        <v>0.12098938723742748</v>
      </c>
      <c r="AZ26" s="510">
        <f>+[3]Report1!AX31</f>
        <v>621.68911950496295</v>
      </c>
      <c r="BA26" s="510">
        <f>+[3]Report1!AY31</f>
        <v>860.32176687152946</v>
      </c>
      <c r="BB26" s="510">
        <f>+[3]Report1!BD31</f>
        <v>495.33485883716645</v>
      </c>
      <c r="BC26" s="510">
        <f>+[3]Report1!BE31</f>
        <v>333.53585782402553</v>
      </c>
      <c r="BD26" s="510">
        <f>+[3]Report1!BJ31</f>
        <v>2.2753641871859553</v>
      </c>
      <c r="BE26" s="510">
        <f>+[3]Report1!BK31</f>
        <v>4.0161875456028051</v>
      </c>
      <c r="BF26" s="512">
        <f>+[4]Report1!J31</f>
        <v>0.85035707081340051</v>
      </c>
      <c r="BG26" s="513">
        <f>+[4]Report1!K31</f>
        <v>0.91324404936063042</v>
      </c>
      <c r="BH26" s="513">
        <f>+[4]Report1!AN31</f>
        <v>0.85035707081340051</v>
      </c>
      <c r="BI26" s="513">
        <f>+[4]Report1!AO31</f>
        <v>0.91500682852806803</v>
      </c>
      <c r="BJ26" s="510">
        <f>+[4]Report1!R31</f>
        <v>44.475000000000001</v>
      </c>
      <c r="BK26" s="510">
        <f>+[4]Report1!S31</f>
        <v>1094.9579999999999</v>
      </c>
      <c r="BL26" s="510">
        <f>+[4]Report1!AD31</f>
        <v>3.2085441259134342</v>
      </c>
      <c r="BM26" s="510">
        <f>+[4]Report1!AE31</f>
        <v>2.7772754754063631</v>
      </c>
      <c r="BN26" s="514">
        <v>0</v>
      </c>
      <c r="BO26" s="514">
        <v>0</v>
      </c>
      <c r="BP26" s="514">
        <f>+[4]Report1!AJ31</f>
        <v>1086.1422147273568</v>
      </c>
      <c r="BQ26" s="514">
        <f>+[4]Report1!AK31</f>
        <v>999.68700169321562</v>
      </c>
      <c r="BR26" s="514">
        <v>0</v>
      </c>
      <c r="BS26" s="515">
        <v>0</v>
      </c>
      <c r="BT26" s="512">
        <f>+[5]Report1!J31</f>
        <v>0.90743098367241348</v>
      </c>
      <c r="BU26" s="513">
        <f>+[5]Report1!K31</f>
        <v>0.84637610211303338</v>
      </c>
      <c r="BV26" s="513">
        <f>+[5]Report1!BG31</f>
        <v>0.90743098367241348</v>
      </c>
      <c r="BW26" s="513">
        <f>+[5]Report1!BH31</f>
        <v>0.85935299757315087</v>
      </c>
      <c r="BX26" s="510">
        <f>+[5]Report1!R31</f>
        <v>49.935000000000002</v>
      </c>
      <c r="BY26" s="510">
        <f>+[5]Report1!S31</f>
        <v>994.02699999999982</v>
      </c>
      <c r="BZ26" s="514">
        <f>+[5]Report1!X31</f>
        <v>77.118288935281754</v>
      </c>
      <c r="CA26" s="514">
        <f>+[5]Report1!Y31</f>
        <v>85.255475415214079</v>
      </c>
      <c r="CB26" s="510">
        <f>+[5]Report1!AD31</f>
        <v>1.8043456493441472</v>
      </c>
      <c r="CC26" s="510">
        <f>+[5]Report1!AE31</f>
        <v>2.046634548156137</v>
      </c>
      <c r="CD26" s="514">
        <f>+[5]Report1!AJ31</f>
        <v>0</v>
      </c>
      <c r="CE26" s="514">
        <f>+[5]Report1!AK31</f>
        <v>6.4485169919931765E-2</v>
      </c>
      <c r="CF26" s="514">
        <f>+[5]Report1!AP31</f>
        <v>760.89185941723531</v>
      </c>
      <c r="CG26" s="514">
        <f>+[5]Report1!AQ31</f>
        <v>900.60322305128557</v>
      </c>
      <c r="CH26" s="514">
        <f>+[5]Report1!AV31</f>
        <v>0</v>
      </c>
      <c r="CI26" s="514">
        <f>+[5]Report1!AW31</f>
        <v>166.94927703171078</v>
      </c>
      <c r="CJ26" s="514">
        <f>+[5]Report1!BB31</f>
        <v>0</v>
      </c>
      <c r="CK26" s="514">
        <f>+[5]Report1!BC31</f>
        <v>3.3878476137972053</v>
      </c>
    </row>
    <row r="27" spans="1:89" ht="12.75" customHeight="1">
      <c r="A27" s="568">
        <f t="shared" si="0"/>
        <v>45893</v>
      </c>
      <c r="B27" s="512">
        <f>+Report1!J32</f>
        <v>0.87883768679858632</v>
      </c>
      <c r="C27" s="513">
        <f>+Report1!K32</f>
        <v>0.88545237753621198</v>
      </c>
      <c r="D27" s="513">
        <f>+Report1!AJ32</f>
        <v>0.87883768679858632</v>
      </c>
      <c r="E27" s="513">
        <f>+Report1!AK32</f>
        <v>0.88545237753621198</v>
      </c>
      <c r="F27" s="510">
        <f>+Report1!R32</f>
        <v>44.899000000000001</v>
      </c>
      <c r="G27" s="510">
        <f>+Report1!S32</f>
        <v>1474.5450000000001</v>
      </c>
      <c r="H27" s="510">
        <f>+Report1!X32</f>
        <v>2.7527561861065948</v>
      </c>
      <c r="I27" s="510">
        <f>+Report1!Y32</f>
        <v>2.3003868990095246</v>
      </c>
      <c r="J27" s="510">
        <f>+Report1!AD32</f>
        <v>1250.6541348359112</v>
      </c>
      <c r="K27" s="511">
        <f>+Report1!AE32</f>
        <v>876.8279028446043</v>
      </c>
      <c r="L27" s="512">
        <f>+[1]Report1!J32</f>
        <v>0.99753962165299936</v>
      </c>
      <c r="M27" s="513">
        <f>+[1]Report1!K32</f>
        <v>0.86251857185039715</v>
      </c>
      <c r="N27" s="513">
        <f>+[1]Report1!BJ32</f>
        <v>0.99753962165299936</v>
      </c>
      <c r="O27" s="513">
        <f>+[1]Report1!BK32</f>
        <v>0.8946718266495155</v>
      </c>
      <c r="P27" s="510">
        <f>+[1]Report1!R32</f>
        <v>51.228999999999999</v>
      </c>
      <c r="Q27" s="510">
        <f>+[1]Report1!S32</f>
        <v>1230.414</v>
      </c>
      <c r="R27" s="510">
        <f>+[1]Report1!AL32</f>
        <v>2.0516894727595698</v>
      </c>
      <c r="S27" s="510">
        <f>+[1]Report1!AM32</f>
        <v>2.493790707843051</v>
      </c>
      <c r="T27" s="510">
        <f>+[1]Report1!AR32</f>
        <v>0</v>
      </c>
      <c r="U27" s="510">
        <f>+[1]Report1!AS32</f>
        <v>5.0795910969803661E-2</v>
      </c>
      <c r="V27" s="510">
        <f>+[1]Report1!AX32</f>
        <v>841.86456889652641</v>
      </c>
      <c r="W27" s="510">
        <f>+[1]Report1!AY32</f>
        <v>811.21142964888304</v>
      </c>
      <c r="X27" s="510">
        <f>+[1]Report1!BD32</f>
        <v>14.366862519276191</v>
      </c>
      <c r="Y27" s="587">
        <f>+[1]Report1!BE32</f>
        <v>93.136131415929924</v>
      </c>
      <c r="Z27" s="512">
        <f>+[2]Report1!J32</f>
        <v>0.96789333551893486</v>
      </c>
      <c r="AA27" s="513">
        <f>+[2]Report1!K32</f>
        <v>0.90808235022413608</v>
      </c>
      <c r="AB27" s="513">
        <f>+[2]Report1!BC32</f>
        <v>0.96789333551893486</v>
      </c>
      <c r="AC27" s="513">
        <f>+[2]Report1!BD32</f>
        <v>0.90808235022413608</v>
      </c>
      <c r="AD27" s="510">
        <f>+[2]Report1!R32</f>
        <v>44.848999999999997</v>
      </c>
      <c r="AE27" s="510">
        <f>+[2]Report1!S32</f>
        <v>1022.2150000000003</v>
      </c>
      <c r="AF27" s="510">
        <f>+[2]Report1!X32</f>
        <v>88.815860106301798</v>
      </c>
      <c r="AG27" s="510">
        <f>+[2]Report1!Y32</f>
        <v>92.936068393449602</v>
      </c>
      <c r="AH27" s="510">
        <f>+[2]Report1!AD32</f>
        <v>1.3400521750763674</v>
      </c>
      <c r="AI27" s="510">
        <f>+[2]Report1!AE32</f>
        <v>1.3376833640672456</v>
      </c>
      <c r="AJ27" s="510">
        <f>+[2]Report1!AJ32</f>
        <v>817.03315570023051</v>
      </c>
      <c r="AK27" s="510">
        <f>+[2]Report1!AK32</f>
        <v>865.73979055286782</v>
      </c>
      <c r="AL27" s="598">
        <v>0</v>
      </c>
      <c r="AM27" s="598">
        <v>0</v>
      </c>
      <c r="AN27" s="512">
        <f>+[3]Report1!J32</f>
        <v>1.0002608562610158</v>
      </c>
      <c r="AO27" s="513">
        <f>+[3]Report1!K32</f>
        <v>0.88147691764381619</v>
      </c>
      <c r="AP27" s="513">
        <f>+[3]Report1!BN32</f>
        <v>1.0002608562610158</v>
      </c>
      <c r="AQ27" s="513">
        <f>+[3]Report1!BO32</f>
        <v>0.89364078800163216</v>
      </c>
      <c r="AR27" s="510">
        <f>+[3]Report1!R32</f>
        <v>58.59</v>
      </c>
      <c r="AS27" s="510">
        <f>+[3]Report1!S32</f>
        <v>1137.1970000000001</v>
      </c>
      <c r="AT27" s="514">
        <f>+[3]Report1!AF32</f>
        <v>79.704949033154605</v>
      </c>
      <c r="AU27" s="514">
        <f>+[3]Report1!AG32</f>
        <v>100.67941426190093</v>
      </c>
      <c r="AV27" s="510">
        <f>+[3]Report1!AL32</f>
        <v>1.2169312169312168</v>
      </c>
      <c r="AW27" s="510">
        <f>+[3]Report1!AM32</f>
        <v>1.4164652210654793</v>
      </c>
      <c r="AX27" s="510">
        <f>+[3]Report1!AR32</f>
        <v>0.18433179723502305</v>
      </c>
      <c r="AY27" s="510">
        <f>+[3]Report1!AS32</f>
        <v>0.1242528779094563</v>
      </c>
      <c r="AZ27" s="510">
        <f>+[3]Report1!AX32</f>
        <v>630.87762416794726</v>
      </c>
      <c r="BA27" s="510">
        <f>+[3]Report1!AY32</f>
        <v>848.50047968821593</v>
      </c>
      <c r="BB27" s="510">
        <f>+[3]Report1!BD32</f>
        <v>554.20208226660782</v>
      </c>
      <c r="BC27" s="510">
        <f>+[3]Report1!BE32</f>
        <v>344.90489422676922</v>
      </c>
      <c r="BD27" s="510">
        <f>+[3]Report1!BJ32</f>
        <v>2.7137736815151206</v>
      </c>
      <c r="BE27" s="510">
        <f>+[3]Report1!BK32</f>
        <v>3.949085338775935</v>
      </c>
      <c r="BF27" s="512">
        <f>+[4]Report1!J32</f>
        <v>0.90842429574588368</v>
      </c>
      <c r="BG27" s="513">
        <f>+[4]Report1!K32</f>
        <v>0.9130332366489724</v>
      </c>
      <c r="BH27" s="513">
        <f>+[4]Report1!AN32</f>
        <v>0.90842429574588368</v>
      </c>
      <c r="BI27" s="513">
        <f>+[4]Report1!AO32</f>
        <v>0.91471838167393704</v>
      </c>
      <c r="BJ27" s="510">
        <f>+[4]Report1!R32</f>
        <v>49.819000000000003</v>
      </c>
      <c r="BK27" s="510">
        <f>+[4]Report1!S32</f>
        <v>1144.7769999999998</v>
      </c>
      <c r="BL27" s="510">
        <f>+[4]Report1!AD32</f>
        <v>2.9707541299504205</v>
      </c>
      <c r="BM27" s="510">
        <f>+[4]Report1!AE32</f>
        <v>2.7856953799735673</v>
      </c>
      <c r="BN27" s="514">
        <v>0</v>
      </c>
      <c r="BO27" s="514">
        <v>0</v>
      </c>
      <c r="BP27" s="514">
        <f>+[4]Report1!AJ32</f>
        <v>969.61761576913034</v>
      </c>
      <c r="BQ27" s="514">
        <f>+[4]Report1!AK32</f>
        <v>998.37842654071687</v>
      </c>
      <c r="BR27" s="514">
        <v>0</v>
      </c>
      <c r="BS27" s="515">
        <v>0</v>
      </c>
      <c r="BT27" s="512">
        <f>+[5]Report1!J32</f>
        <v>0.98306929775801366</v>
      </c>
      <c r="BU27" s="513">
        <f>+[5]Report1!K32</f>
        <v>0.85215157188531077</v>
      </c>
      <c r="BV27" s="513">
        <f>+[5]Report1!BG32</f>
        <v>0.98306929775801366</v>
      </c>
      <c r="BW27" s="513">
        <f>+[5]Report1!BH32</f>
        <v>0.86465688498753435</v>
      </c>
      <c r="BX27" s="510">
        <f>+[5]Report1!R32</f>
        <v>50.933999999999997</v>
      </c>
      <c r="BY27" s="510">
        <f>+[5]Report1!S32</f>
        <v>1044.9609999999998</v>
      </c>
      <c r="BZ27" s="514">
        <f>+[5]Report1!X32</f>
        <v>76.781413716573255</v>
      </c>
      <c r="CA27" s="514">
        <f>+[5]Report1!Y32</f>
        <v>84.842428556471432</v>
      </c>
      <c r="CB27" s="510">
        <f>+[5]Report1!AD32</f>
        <v>1.7473593277574901</v>
      </c>
      <c r="CC27" s="510">
        <f>+[5]Report1!AE32</f>
        <v>2.0320471290316102</v>
      </c>
      <c r="CD27" s="514">
        <f>+[5]Report1!AJ32</f>
        <v>0</v>
      </c>
      <c r="CE27" s="514">
        <f>+[5]Report1!AK32</f>
        <v>6.1342002237404082E-2</v>
      </c>
      <c r="CF27" s="514">
        <f>+[5]Report1!AP32</f>
        <v>751.7901598147065</v>
      </c>
      <c r="CG27" s="514">
        <f>+[5]Report1!AQ32</f>
        <v>893.34970396024596</v>
      </c>
      <c r="CH27" s="514">
        <f>+[5]Report1!AV32</f>
        <v>0</v>
      </c>
      <c r="CI27" s="514">
        <f>+[5]Report1!AW32</f>
        <v>158.81175374009206</v>
      </c>
      <c r="CJ27" s="514">
        <f>+[5]Report1!BB32</f>
        <v>0</v>
      </c>
      <c r="CK27" s="514">
        <f>+[5]Report1!BC32</f>
        <v>3.2227154889034084</v>
      </c>
    </row>
    <row r="28" spans="1:89" ht="12.75" customHeight="1">
      <c r="A28" s="568">
        <f t="shared" si="0"/>
        <v>45894</v>
      </c>
      <c r="B28" s="512">
        <f>+Report1!J33</f>
        <v>0.77499150997452282</v>
      </c>
      <c r="C28" s="513">
        <f>+Report1!K33</f>
        <v>0.88212673812562148</v>
      </c>
      <c r="D28" s="513">
        <f>+Report1!AJ33</f>
        <v>0.77499150997452282</v>
      </c>
      <c r="E28" s="513">
        <f>+Report1!AK33</f>
        <v>0.88212673812562148</v>
      </c>
      <c r="F28" s="510">
        <f>+Report1!R33</f>
        <v>40.061999999999998</v>
      </c>
      <c r="G28" s="510">
        <f>+Report1!S33</f>
        <v>1514.607</v>
      </c>
      <c r="H28" s="510">
        <f>+Report1!X33</f>
        <v>3.234037242274475</v>
      </c>
      <c r="I28" s="510">
        <f>+Report1!Y33</f>
        <v>2.3250823480942575</v>
      </c>
      <c r="J28" s="510">
        <f>+Report1!AD33</f>
        <v>1402.5555389147378</v>
      </c>
      <c r="K28" s="511">
        <f>+Report1!AE33</f>
        <v>890.73362264930734</v>
      </c>
      <c r="L28" s="512">
        <f>+[1]Report1!J33</f>
        <v>0.9506970633727001</v>
      </c>
      <c r="M28" s="513">
        <f>+[1]Report1!K33</f>
        <v>0.86594795770164679</v>
      </c>
      <c r="N28" s="513">
        <f>+[1]Report1!BJ33</f>
        <v>0.9506970633727001</v>
      </c>
      <c r="O28" s="513">
        <f>+[1]Report1!BK33</f>
        <v>0.89692868086526856</v>
      </c>
      <c r="P28" s="510">
        <f>+[1]Report1!R33</f>
        <v>54.878999999999998</v>
      </c>
      <c r="Q28" s="510">
        <f>+[1]Report1!S33</f>
        <v>1285.2929999999999</v>
      </c>
      <c r="R28" s="510">
        <f>+[1]Report1!AL33</f>
        <v>1.9921099145392591</v>
      </c>
      <c r="S28" s="510">
        <f>+[1]Report1!AM33</f>
        <v>2.4723701132737825</v>
      </c>
      <c r="T28" s="510">
        <f>+[1]Report1!AR33</f>
        <v>0</v>
      </c>
      <c r="U28" s="510">
        <f>+[1]Report1!AS33</f>
        <v>4.8627044572716112E-2</v>
      </c>
      <c r="V28" s="510">
        <f>+[1]Report1!AX33</f>
        <v>788.15521419850143</v>
      </c>
      <c r="W28" s="510">
        <f>+[1]Report1!AY33</f>
        <v>810.2269832637387</v>
      </c>
      <c r="X28" s="510">
        <f>+[1]Report1!BD33</f>
        <v>7.9447511798684376</v>
      </c>
      <c r="Y28" s="587">
        <f>+[1]Report1!BE33</f>
        <v>89.498659060618863</v>
      </c>
      <c r="Z28" s="512">
        <f>+[2]Report1!J33</f>
        <v>0.89183625181888104</v>
      </c>
      <c r="AA28" s="513">
        <f>+[2]Report1!K33</f>
        <v>0.90744619864028198</v>
      </c>
      <c r="AB28" s="513">
        <f>+[2]Report1!BC33</f>
        <v>0.89183625181888104</v>
      </c>
      <c r="AC28" s="513">
        <f>+[2]Report1!BD33</f>
        <v>0.90744619864028198</v>
      </c>
      <c r="AD28" s="510">
        <f>+[2]Report1!R33</f>
        <v>40.912999999999997</v>
      </c>
      <c r="AE28" s="510">
        <f>+[2]Report1!S33</f>
        <v>1063.1280000000002</v>
      </c>
      <c r="AF28" s="510">
        <f>+[2]Report1!X33</f>
        <v>101.16618419173648</v>
      </c>
      <c r="AG28" s="510">
        <f>+[2]Report1!Y33</f>
        <v>93.25279293429071</v>
      </c>
      <c r="AH28" s="510">
        <f>+[2]Report1!AD33</f>
        <v>1.4836360081147804</v>
      </c>
      <c r="AI28" s="510">
        <f>+[2]Report1!AE33</f>
        <v>1.3433001482417919</v>
      </c>
      <c r="AJ28" s="510">
        <f>+[2]Report1!AJ33</f>
        <v>871.34113851345762</v>
      </c>
      <c r="AK28" s="510">
        <f>+[2]Report1!AK33</f>
        <v>865.95535062570161</v>
      </c>
      <c r="AL28" s="598">
        <v>0</v>
      </c>
      <c r="AM28" s="598">
        <v>0</v>
      </c>
      <c r="AN28" s="512">
        <f>+[3]Report1!J33</f>
        <v>0.94426269562160758</v>
      </c>
      <c r="AO28" s="513">
        <f>+[3]Report1!K33</f>
        <v>0.88389757354117604</v>
      </c>
      <c r="AP28" s="513">
        <f>+[3]Report1!BN33</f>
        <v>0.94426269562160758</v>
      </c>
      <c r="AQ28" s="513">
        <f>+[3]Report1!BO33</f>
        <v>0.89561835555942493</v>
      </c>
      <c r="AR28" s="510">
        <f>+[3]Report1!R33</f>
        <v>48.85</v>
      </c>
      <c r="AS28" s="510">
        <f>+[3]Report1!S33</f>
        <v>1186.047</v>
      </c>
      <c r="AT28" s="514">
        <f>+[3]Report1!AF33</f>
        <v>107.20732165465029</v>
      </c>
      <c r="AU28" s="514">
        <f>+[3]Report1!AG33</f>
        <v>100.94828073695277</v>
      </c>
      <c r="AV28" s="510">
        <f>+[3]Report1!AL33</f>
        <v>1.5312180143295802</v>
      </c>
      <c r="AW28" s="510">
        <f>+[3]Report1!AM33</f>
        <v>1.4211915716662156</v>
      </c>
      <c r="AX28" s="510">
        <f>+[3]Report1!AR33</f>
        <v>0.25793244626407369</v>
      </c>
      <c r="AY28" s="510">
        <f>+[3]Report1!AS33</f>
        <v>0.12975877009932993</v>
      </c>
      <c r="AZ28" s="510">
        <f>+[3]Report1!AX33</f>
        <v>881.45711361310214</v>
      </c>
      <c r="BA28" s="510">
        <f>+[3]Report1!AY33</f>
        <v>849.85787241146443</v>
      </c>
      <c r="BB28" s="510">
        <f>+[3]Report1!BD33</f>
        <v>667.6171954964251</v>
      </c>
      <c r="BC28" s="510">
        <f>+[3]Report1!BE33</f>
        <v>358.1965225661375</v>
      </c>
      <c r="BD28" s="510">
        <f>+[3]Report1!BJ33</f>
        <v>2.8352098259979526</v>
      </c>
      <c r="BE28" s="510">
        <f>+[3]Report1!BK33</f>
        <v>3.9032078829928132</v>
      </c>
      <c r="BF28" s="512">
        <f>+[4]Report1!J33</f>
        <v>0.93106540372700297</v>
      </c>
      <c r="BG28" s="513">
        <f>+[4]Report1!K33</f>
        <v>0.9137707497184977</v>
      </c>
      <c r="BH28" s="513">
        <f>+[4]Report1!AN33</f>
        <v>0.93106540372700297</v>
      </c>
      <c r="BI28" s="513">
        <f>+[4]Report1!AO33</f>
        <v>0.91538815598084255</v>
      </c>
      <c r="BJ28" s="510">
        <f>+[4]Report1!R33</f>
        <v>49.781999999999996</v>
      </c>
      <c r="BK28" s="510">
        <f>+[4]Report1!S33</f>
        <v>1194.5589999999997</v>
      </c>
      <c r="BL28" s="510">
        <f>+[4]Report1!AD33</f>
        <v>3.0051022457916519</v>
      </c>
      <c r="BM28" s="510">
        <f>+[4]Report1!AE33</f>
        <v>2.7948389321917131</v>
      </c>
      <c r="BN28" s="514">
        <v>0</v>
      </c>
      <c r="BO28" s="514">
        <v>0</v>
      </c>
      <c r="BP28" s="514">
        <f>+[4]Report1!AJ33</f>
        <v>1005.8649712747157</v>
      </c>
      <c r="BQ28" s="514">
        <f>+[4]Report1!AK33</f>
        <v>998.69042048153347</v>
      </c>
      <c r="BR28" s="514">
        <v>0</v>
      </c>
      <c r="BS28" s="515">
        <v>0</v>
      </c>
      <c r="BT28" s="512">
        <f>+[5]Report1!J33</f>
        <v>0.93907394183584814</v>
      </c>
      <c r="BU28" s="513">
        <f>+[5]Report1!K33</f>
        <v>0.8555130885751312</v>
      </c>
      <c r="BV28" s="513">
        <f>+[5]Report1!BG33</f>
        <v>0.93907394183584814</v>
      </c>
      <c r="BW28" s="513">
        <f>+[5]Report1!BH33</f>
        <v>0.86757536522195333</v>
      </c>
      <c r="BX28" s="510">
        <f>+[5]Report1!R33</f>
        <v>46.325000000000003</v>
      </c>
      <c r="BY28" s="510">
        <f>+[5]Report1!S33</f>
        <v>1091.2859999999998</v>
      </c>
      <c r="BZ28" s="514">
        <f>+[5]Report1!X33</f>
        <v>85.653755927335538</v>
      </c>
      <c r="CA28" s="514">
        <f>+[5]Report1!Y33</f>
        <v>84.876869335932781</v>
      </c>
      <c r="CB28" s="510">
        <f>+[5]Report1!AD33</f>
        <v>1.8866702644360496</v>
      </c>
      <c r="CC28" s="510">
        <f>+[5]Report1!AE33</f>
        <v>2.0258758932122287</v>
      </c>
      <c r="CD28" s="514">
        <f>+[5]Report1!AJ33</f>
        <v>0</v>
      </c>
      <c r="CE28" s="514">
        <f>+[5]Report1!AK33</f>
        <v>5.8738039340741108E-2</v>
      </c>
      <c r="CF28" s="514">
        <f>+[5]Report1!AP33</f>
        <v>870.75596330268297</v>
      </c>
      <c r="CG28" s="514">
        <f>+[5]Report1!AQ33</f>
        <v>892.39060154716481</v>
      </c>
      <c r="CH28" s="514">
        <f>+[5]Report1!AV33</f>
        <v>0</v>
      </c>
      <c r="CI28" s="514">
        <f>+[5]Report1!AW33</f>
        <v>152.07020799313869</v>
      </c>
      <c r="CJ28" s="514">
        <f>+[5]Report1!BB33</f>
        <v>0</v>
      </c>
      <c r="CK28" s="514">
        <f>+[5]Report1!BC33</f>
        <v>3.0859114842488533</v>
      </c>
    </row>
    <row r="29" spans="1:89" ht="12.75" customHeight="1">
      <c r="A29" s="568">
        <f t="shared" si="0"/>
        <v>45895</v>
      </c>
      <c r="B29" s="512">
        <f>+Report1!J34</f>
        <v>0.85579198215296204</v>
      </c>
      <c r="C29" s="513">
        <f>+Report1!K34</f>
        <v>0.881271384772779</v>
      </c>
      <c r="D29" s="513">
        <f>+Report1!AJ34</f>
        <v>0.85579198215296204</v>
      </c>
      <c r="E29" s="513">
        <f>+Report1!AK34</f>
        <v>0.881271384772779</v>
      </c>
      <c r="F29" s="510">
        <f>+Report1!R34</f>
        <v>49.328000000000003</v>
      </c>
      <c r="G29" s="510">
        <f>+Report1!S34</f>
        <v>1563.9349999999999</v>
      </c>
      <c r="H29" s="510">
        <f>+Report1!X34</f>
        <v>2.7341063898799867</v>
      </c>
      <c r="I29" s="510">
        <f>+Report1!Y34</f>
        <v>2.3379833560857706</v>
      </c>
      <c r="J29" s="510">
        <f>+Report1!AD34</f>
        <v>1195.5291112552368</v>
      </c>
      <c r="K29" s="511">
        <f>+Report1!AE34</f>
        <v>900.34716276571453</v>
      </c>
      <c r="L29" s="512">
        <f>+[1]Report1!J34</f>
        <v>0.95058438496035369</v>
      </c>
      <c r="M29" s="513">
        <f>+[1]Report1!K34</f>
        <v>0.86925299953692914</v>
      </c>
      <c r="N29" s="513">
        <f>+[1]Report1!BJ34</f>
        <v>0.95058438496035369</v>
      </c>
      <c r="O29" s="513">
        <f>+[1]Report1!BK34</f>
        <v>0.89909586263281072</v>
      </c>
      <c r="P29" s="510">
        <f>+[1]Report1!R34</f>
        <v>57.335000000000001</v>
      </c>
      <c r="Q29" s="510">
        <f>+[1]Report1!S34</f>
        <v>1342.6279999999999</v>
      </c>
      <c r="R29" s="510">
        <f>+[1]Report1!AL34</f>
        <v>2.139495944885323</v>
      </c>
      <c r="S29" s="510">
        <f>+[1]Report1!AM34</f>
        <v>2.4581552001001019</v>
      </c>
      <c r="T29" s="510">
        <f>+[1]Report1!AR34</f>
        <v>0</v>
      </c>
      <c r="U29" s="510">
        <f>+[1]Report1!AS34</f>
        <v>4.6550496488975357E-2</v>
      </c>
      <c r="V29" s="510">
        <f>+[1]Report1!AX34</f>
        <v>796.8778233190809</v>
      </c>
      <c r="W29" s="510">
        <f>+[1]Report1!AY34</f>
        <v>809.65692656491581</v>
      </c>
      <c r="X29" s="510">
        <f>+[1]Report1!BD34</f>
        <v>7.8660504055114675</v>
      </c>
      <c r="Y29" s="587">
        <f>+[1]Report1!BE34</f>
        <v>86.01265577658144</v>
      </c>
      <c r="Z29" s="512">
        <f>+[2]Report1!J34</f>
        <v>0.88567217476587146</v>
      </c>
      <c r="AA29" s="513">
        <f>+[2]Report1!K34</f>
        <v>0.90663958597811156</v>
      </c>
      <c r="AB29" s="513">
        <f>+[2]Report1!BC34</f>
        <v>0.88567217476587146</v>
      </c>
      <c r="AC29" s="513">
        <f>+[2]Report1!BD34</f>
        <v>0.90663958597811156</v>
      </c>
      <c r="AD29" s="510">
        <f>+[2]Report1!R34</f>
        <v>39.917000000000002</v>
      </c>
      <c r="AE29" s="510">
        <f>+[2]Report1!S34</f>
        <v>1103.0450000000001</v>
      </c>
      <c r="AF29" s="510">
        <f>+[2]Report1!X34</f>
        <v>102.69579742056152</v>
      </c>
      <c r="AG29" s="510">
        <f>+[2]Report1!Y34</f>
        <v>93.594516445188702</v>
      </c>
      <c r="AH29" s="510">
        <f>+[2]Report1!AD34</f>
        <v>1.5006137735801788</v>
      </c>
      <c r="AI29" s="510">
        <f>+[2]Report1!AE34</f>
        <v>1.3489930147908742</v>
      </c>
      <c r="AJ29" s="510">
        <f>+[2]Report1!AJ34</f>
        <v>949.79732945862656</v>
      </c>
      <c r="AK29" s="510">
        <f>+[2]Report1!AK34</f>
        <v>868.98942472881993</v>
      </c>
      <c r="AL29" s="598">
        <v>0</v>
      </c>
      <c r="AM29" s="598">
        <v>0</v>
      </c>
      <c r="AN29" s="512">
        <f>+[3]Report1!J34</f>
        <v>0.98760019743498817</v>
      </c>
      <c r="AO29" s="513">
        <f>+[3]Report1!K34</f>
        <v>0.88774732199668727</v>
      </c>
      <c r="AP29" s="513">
        <f>+[3]Report1!BN34</f>
        <v>0.98760019743498817</v>
      </c>
      <c r="AQ29" s="513">
        <f>+[3]Report1!BO34</f>
        <v>0.89907657079416603</v>
      </c>
      <c r="AR29" s="510">
        <f>+[3]Report1!R34</f>
        <v>51.091999999999999</v>
      </c>
      <c r="AS29" s="510">
        <f>+[3]Report1!S34</f>
        <v>1237.1390000000001</v>
      </c>
      <c r="AT29" s="514">
        <f>+[3]Report1!AF34</f>
        <v>104.72772121222947</v>
      </c>
      <c r="AU29" s="514">
        <f>+[3]Report1!AG34</f>
        <v>101.10436600527171</v>
      </c>
      <c r="AV29" s="510">
        <f>+[3]Report1!AL34</f>
        <v>1.4757692006576373</v>
      </c>
      <c r="AW29" s="510">
        <f>+[3]Report1!AM34</f>
        <v>1.4234455465392326</v>
      </c>
      <c r="AX29" s="510">
        <f>+[3]Report1!AR34</f>
        <v>0.21138338683159791</v>
      </c>
      <c r="AY29" s="510">
        <f>+[3]Report1!AS34</f>
        <v>0.13312974532368632</v>
      </c>
      <c r="AZ29" s="510">
        <f>+[3]Report1!AX34</f>
        <v>862.81727080560461</v>
      </c>
      <c r="BA29" s="510">
        <f>+[3]Report1!AY34</f>
        <v>850.39307628326321</v>
      </c>
      <c r="BB29" s="510">
        <f>+[3]Report1!BD34</f>
        <v>480.82674391293085</v>
      </c>
      <c r="BC29" s="510">
        <f>+[3]Report1!BE34</f>
        <v>363.26096825013116</v>
      </c>
      <c r="BD29" s="510">
        <f>+[3]Report1!BJ34</f>
        <v>2.5503014170525047</v>
      </c>
      <c r="BE29" s="510">
        <f>+[3]Report1!BK34</f>
        <v>3.8473348588962297</v>
      </c>
      <c r="BF29" s="512">
        <f>+[4]Report1!J34</f>
        <v>0.88660624154632628</v>
      </c>
      <c r="BG29" s="513">
        <f>+[4]Report1!K34</f>
        <v>0.91274154768339111</v>
      </c>
      <c r="BH29" s="513">
        <f>+[4]Report1!AN34</f>
        <v>0.88660624154632628</v>
      </c>
      <c r="BI29" s="513">
        <f>+[4]Report1!AO34</f>
        <v>0.91429581712906416</v>
      </c>
      <c r="BJ29" s="510">
        <f>+[4]Report1!R34</f>
        <v>45.643000000000001</v>
      </c>
      <c r="BK29" s="510">
        <f>+[4]Report1!S34</f>
        <v>1240.2019999999998</v>
      </c>
      <c r="BL29" s="510">
        <f>+[4]Report1!AD34</f>
        <v>3.2337926954845209</v>
      </c>
      <c r="BM29" s="510">
        <f>+[4]Report1!AE34</f>
        <v>2.8109936929629211</v>
      </c>
      <c r="BN29" s="514">
        <v>0</v>
      </c>
      <c r="BO29" s="514">
        <v>0</v>
      </c>
      <c r="BP29" s="514">
        <f>+[4]Report1!AJ34</f>
        <v>1106.3578204762994</v>
      </c>
      <c r="BQ29" s="514">
        <f>+[4]Report1!AK34</f>
        <v>1002.6528904162386</v>
      </c>
      <c r="BR29" s="514">
        <v>0</v>
      </c>
      <c r="BS29" s="515">
        <v>0</v>
      </c>
      <c r="BT29" s="512">
        <f>+[5]Report1!J34</f>
        <v>0.83394079987738123</v>
      </c>
      <c r="BU29" s="513">
        <f>+[5]Report1!K34</f>
        <v>0.85473216767052862</v>
      </c>
      <c r="BV29" s="513">
        <f>+[5]Report1!BG34</f>
        <v>0.83394079987738123</v>
      </c>
      <c r="BW29" s="513">
        <f>+[5]Report1!BH34</f>
        <v>0.86634125034006748</v>
      </c>
      <c r="BX29" s="510">
        <f>+[5]Report1!R34</f>
        <v>39.954999999999998</v>
      </c>
      <c r="BY29" s="510">
        <f>+[5]Report1!S34</f>
        <v>1131.2409999999998</v>
      </c>
      <c r="BZ29" s="514">
        <f>+[5]Report1!X34</f>
        <v>100.58673813510744</v>
      </c>
      <c r="CA29" s="514">
        <f>+[5]Report1!Y34</f>
        <v>85.431735900945043</v>
      </c>
      <c r="CB29" s="510">
        <f>+[5]Report1!AD34</f>
        <v>2.1999749718433241</v>
      </c>
      <c r="CC29" s="510">
        <f>+[5]Report1!AE34</f>
        <v>2.0320250061657954</v>
      </c>
      <c r="CD29" s="514">
        <f>+[5]Report1!AJ34</f>
        <v>0</v>
      </c>
      <c r="CE29" s="514">
        <f>+[5]Report1!AK34</f>
        <v>5.6663434228427019E-2</v>
      </c>
      <c r="CF29" s="514">
        <f>+[5]Report1!AP34</f>
        <v>994.78388186717689</v>
      </c>
      <c r="CG29" s="514">
        <f>+[5]Report1!AQ34</f>
        <v>896.00709309510728</v>
      </c>
      <c r="CH29" s="514">
        <f>+[5]Report1!AV34</f>
        <v>9.1051903568807732E-14</v>
      </c>
      <c r="CI29" s="514">
        <f>+[5]Report1!AW34</f>
        <v>146.69914633575019</v>
      </c>
      <c r="CJ29" s="514">
        <f>+[5]Report1!BB34</f>
        <v>0</v>
      </c>
      <c r="CK29" s="514">
        <f>+[5]Report1!BC34</f>
        <v>2.9769182694050111</v>
      </c>
    </row>
    <row r="30" spans="1:89" ht="12.75" customHeight="1">
      <c r="A30" s="568">
        <f t="shared" si="0"/>
        <v>45896</v>
      </c>
      <c r="B30" s="512">
        <f>+Report1!J35</f>
        <v>0.9373920416037046</v>
      </c>
      <c r="C30" s="513">
        <f>+Report1!K35</f>
        <v>0.88312662018369126</v>
      </c>
      <c r="D30" s="513">
        <f>+Report1!AJ35</f>
        <v>0.9373920416037046</v>
      </c>
      <c r="E30" s="513">
        <f>+Report1!AK35</f>
        <v>0.88312662018369126</v>
      </c>
      <c r="F30" s="510">
        <f>+Report1!R35</f>
        <v>56.872999999999998</v>
      </c>
      <c r="G30" s="510">
        <f>+Report1!S35</f>
        <v>1620.808</v>
      </c>
      <c r="H30" s="510">
        <f>+Report1!X35</f>
        <v>2.4097550683100946</v>
      </c>
      <c r="I30" s="510">
        <f>+Report1!Y35</f>
        <v>2.3405017744236205</v>
      </c>
      <c r="J30" s="510">
        <f>+Report1!AD35</f>
        <v>966.72621454822695</v>
      </c>
      <c r="K30" s="511">
        <f>+Report1!AE35</f>
        <v>902.67635648392593</v>
      </c>
      <c r="L30" s="512">
        <f>+[1]Report1!J35</f>
        <v>0.9383288248377758</v>
      </c>
      <c r="M30" s="513">
        <f>+[1]Report1!K35</f>
        <v>0.87209700134365442</v>
      </c>
      <c r="N30" s="513">
        <f>+[1]Report1!BJ35</f>
        <v>0.9383288248377758</v>
      </c>
      <c r="O30" s="513">
        <f>+[1]Report1!BK35</f>
        <v>0.90076426670652232</v>
      </c>
      <c r="P30" s="510">
        <f>+[1]Report1!R35</f>
        <v>62.234000000000002</v>
      </c>
      <c r="Q30" s="510">
        <f>+[1]Report1!S35</f>
        <v>1404.8619999999999</v>
      </c>
      <c r="R30" s="510">
        <f>+[1]Report1!AL35</f>
        <v>2.0777709933476878</v>
      </c>
      <c r="S30" s="510">
        <f>+[1]Report1!AM35</f>
        <v>2.4413045551805088</v>
      </c>
      <c r="T30" s="510">
        <f>+[1]Report1!AR35</f>
        <v>0.14782916090882794</v>
      </c>
      <c r="U30" s="510">
        <f>+[1]Report1!AS35</f>
        <v>5.1037041360646108E-2</v>
      </c>
      <c r="V30" s="510">
        <f>+[1]Report1!AX35</f>
        <v>607.47549570975627</v>
      </c>
      <c r="W30" s="510">
        <f>+[1]Report1!AY35</f>
        <v>800.70048873127826</v>
      </c>
      <c r="X30" s="510">
        <f>+[1]Report1!BD35</f>
        <v>462.72519844458003</v>
      </c>
      <c r="Y30" s="587">
        <f>+[1]Report1!BE35</f>
        <v>102.7006496011708</v>
      </c>
      <c r="Z30" s="512">
        <f>+[2]Report1!J35</f>
        <v>0.93982438386848344</v>
      </c>
      <c r="AA30" s="513">
        <f>+[2]Report1!K35</f>
        <v>0.90777765513332431</v>
      </c>
      <c r="AB30" s="513">
        <f>+[2]Report1!BC35</f>
        <v>0.93982438386848344</v>
      </c>
      <c r="AC30" s="513">
        <f>+[2]Report1!BD35</f>
        <v>0.90777765513332431</v>
      </c>
      <c r="AD30" s="510">
        <f>+[2]Report1!R35</f>
        <v>40.606000000000002</v>
      </c>
      <c r="AE30" s="510">
        <f>+[2]Report1!S35</f>
        <v>1143.6510000000001</v>
      </c>
      <c r="AF30" s="510">
        <f>+[2]Report1!X35</f>
        <v>100.85089263506249</v>
      </c>
      <c r="AG30" s="510">
        <f>+[2]Report1!Y35</f>
        <v>93.852158340807236</v>
      </c>
      <c r="AH30" s="510">
        <f>+[2]Report1!AD35</f>
        <v>1.4160468896222234</v>
      </c>
      <c r="AI30" s="510">
        <f>+[2]Report1!AE35</f>
        <v>1.3513738019728045</v>
      </c>
      <c r="AJ30" s="510">
        <f>+[2]Report1!AJ35</f>
        <v>851.12101659854125</v>
      </c>
      <c r="AK30" s="510">
        <f>+[2]Report1!AK35</f>
        <v>868.35499641061949</v>
      </c>
      <c r="AL30" s="598">
        <v>0</v>
      </c>
      <c r="AM30" s="598">
        <v>0</v>
      </c>
      <c r="AN30" s="512">
        <f>+[3]Report1!J35</f>
        <v>0.99436564151825457</v>
      </c>
      <c r="AO30" s="513">
        <f>+[3]Report1!K35</f>
        <v>0.89156363680166639</v>
      </c>
      <c r="AP30" s="513">
        <f>+[3]Report1!BN35</f>
        <v>0.99436564151825457</v>
      </c>
      <c r="AQ30" s="513">
        <f>+[3]Report1!BO35</f>
        <v>0.9025293151245839</v>
      </c>
      <c r="AR30" s="510">
        <f>+[3]Report1!R35</f>
        <v>51.442</v>
      </c>
      <c r="AS30" s="510">
        <f>+[3]Report1!S35</f>
        <v>1288.5810000000001</v>
      </c>
      <c r="AT30" s="514">
        <f>+[3]Report1!AF35</f>
        <v>106.9938404614866</v>
      </c>
      <c r="AU30" s="514">
        <f>+[3]Report1!AG35</f>
        <v>101.33948226492214</v>
      </c>
      <c r="AV30" s="510">
        <f>+[3]Report1!AL35</f>
        <v>1.448232961393414</v>
      </c>
      <c r="AW30" s="510">
        <f>+[3]Report1!AM35</f>
        <v>1.4244350956594889</v>
      </c>
      <c r="AX30" s="510">
        <f>+[3]Report1!AR35</f>
        <v>0.26631934994751372</v>
      </c>
      <c r="AY30" s="510">
        <f>+[3]Report1!AS35</f>
        <v>0.13844686519512545</v>
      </c>
      <c r="AZ30" s="510">
        <f>+[3]Report1!AX35</f>
        <v>790.61117374907747</v>
      </c>
      <c r="BA30" s="510">
        <f>+[3]Report1!AY35</f>
        <v>848.00649706925685</v>
      </c>
      <c r="BB30" s="510">
        <f>+[3]Report1!BD35</f>
        <v>570.15395979938569</v>
      </c>
      <c r="BC30" s="510">
        <f>+[3]Report1!BE35</f>
        <v>371.52043294135103</v>
      </c>
      <c r="BD30" s="510">
        <f>+[3]Report1!BJ35</f>
        <v>2.7992690797402902</v>
      </c>
      <c r="BE30" s="510">
        <f>+[3]Report1!BK35</f>
        <v>3.8054945711600765</v>
      </c>
      <c r="BF30" s="512">
        <f>+[4]Report1!J35</f>
        <v>0.8258454606257708</v>
      </c>
      <c r="BG30" s="513">
        <f>+[4]Report1!K35</f>
        <v>0.90956943486159536</v>
      </c>
      <c r="BH30" s="513">
        <f>+[4]Report1!AN35</f>
        <v>0.8258454606257708</v>
      </c>
      <c r="BI30" s="513">
        <f>+[4]Report1!AO35</f>
        <v>0.91106166898362662</v>
      </c>
      <c r="BJ30" s="510">
        <f>+[4]Report1!R35</f>
        <v>42.515000000000001</v>
      </c>
      <c r="BK30" s="510">
        <f>+[4]Report1!S35</f>
        <v>1282.7169999999999</v>
      </c>
      <c r="BL30" s="510">
        <f>+[4]Report1!AD35</f>
        <v>3.481124309067388</v>
      </c>
      <c r="BM30" s="510">
        <f>+[4]Report1!AE35</f>
        <v>2.8332048300599433</v>
      </c>
      <c r="BN30" s="514">
        <v>0</v>
      </c>
      <c r="BO30" s="514">
        <v>0</v>
      </c>
      <c r="BP30" s="514">
        <f>+[4]Report1!AJ35</f>
        <v>1146.176643537623</v>
      </c>
      <c r="BQ30" s="514">
        <f>+[4]Report1!AK35</f>
        <v>1007.409911929133</v>
      </c>
      <c r="BR30" s="514">
        <v>0</v>
      </c>
      <c r="BS30" s="515">
        <v>0</v>
      </c>
      <c r="BT30" s="512">
        <f>+[5]Report1!J35</f>
        <v>0.8139132123862467</v>
      </c>
      <c r="BU30" s="513">
        <f>+[5]Report1!K35</f>
        <v>0.85334557741458383</v>
      </c>
      <c r="BV30" s="513">
        <f>+[5]Report1!BG35</f>
        <v>0.8139132123862467</v>
      </c>
      <c r="BW30" s="513">
        <f>+[5]Report1!BH35</f>
        <v>0.86453695144926768</v>
      </c>
      <c r="BX30" s="510">
        <f>+[5]Report1!R35</f>
        <v>37.878999999999998</v>
      </c>
      <c r="BY30" s="510">
        <f>+[5]Report1!S35</f>
        <v>1169.1199999999997</v>
      </c>
      <c r="BZ30" s="514">
        <f>+[5]Report1!X35</f>
        <v>106.28241275220728</v>
      </c>
      <c r="CA30" s="514">
        <f>+[5]Report1!Y35</f>
        <v>86.107289127687352</v>
      </c>
      <c r="CB30" s="510">
        <f>+[5]Report1!AD35</f>
        <v>2.3707067240423454</v>
      </c>
      <c r="CC30" s="510">
        <f>+[5]Report1!AE35</f>
        <v>2.0429981524565495</v>
      </c>
      <c r="CD30" s="514">
        <f>+[5]Report1!AJ35</f>
        <v>0</v>
      </c>
      <c r="CE30" s="514">
        <f>+[5]Report1!AK35</f>
        <v>5.4827562611194758E-2</v>
      </c>
      <c r="CF30" s="514">
        <f>+[5]Report1!AP35</f>
        <v>1066.3370205126505</v>
      </c>
      <c r="CG30" s="514">
        <f>+[5]Report1!AQ35</f>
        <v>901.52571164636731</v>
      </c>
      <c r="CH30" s="514">
        <f>+[5]Report1!AV35</f>
        <v>0</v>
      </c>
      <c r="CI30" s="514">
        <f>+[5]Report1!AW35</f>
        <v>141.94615522786398</v>
      </c>
      <c r="CJ30" s="514">
        <f>+[5]Report1!BB35</f>
        <v>0</v>
      </c>
      <c r="CK30" s="514">
        <f>+[5]Report1!BC35</f>
        <v>2.8804673600656856</v>
      </c>
    </row>
    <row r="31" spans="1:89" ht="12.75" customHeight="1">
      <c r="A31" s="568">
        <f t="shared" si="0"/>
        <v>45897</v>
      </c>
      <c r="B31" s="512">
        <f>+Report1!J36</f>
        <v>0.93879878219169843</v>
      </c>
      <c r="C31" s="513">
        <f>+Report1!K36</f>
        <v>0.88492005174358068</v>
      </c>
      <c r="D31" s="513">
        <f>+Report1!AJ36</f>
        <v>0.94632378930109218</v>
      </c>
      <c r="E31" s="513">
        <f>+Report1!AK36</f>
        <v>0.88514679228393789</v>
      </c>
      <c r="F31" s="510">
        <f>+Report1!R36</f>
        <v>57.351999999999997</v>
      </c>
      <c r="G31" s="510">
        <f>+Report1!S36</f>
        <v>1678.16</v>
      </c>
      <c r="H31" s="510">
        <f>+Report1!X36</f>
        <v>2.2512728414004743</v>
      </c>
      <c r="I31" s="510">
        <f>+Report1!Y36</f>
        <v>2.3374523287410018</v>
      </c>
      <c r="J31" s="510">
        <f>+Report1!AD36</f>
        <v>990.62979495048307</v>
      </c>
      <c r="K31" s="511">
        <f>+Report1!AE36</f>
        <v>905.68221146970438</v>
      </c>
      <c r="L31" s="512">
        <f>+[1]Report1!J36</f>
        <v>0.95200122713825619</v>
      </c>
      <c r="M31" s="513">
        <f>+[1]Report1!K36</f>
        <v>0.8752603523035809</v>
      </c>
      <c r="N31" s="513">
        <f>+[1]Report1!BJ36</f>
        <v>0.95200122713825619</v>
      </c>
      <c r="O31" s="513">
        <f>+[1]Report1!BK36</f>
        <v>0.90285665622407207</v>
      </c>
      <c r="P31" s="510">
        <f>+[1]Report1!R36</f>
        <v>63.216000000000001</v>
      </c>
      <c r="Q31" s="510">
        <f>+[1]Report1!S36</f>
        <v>1468.0779999999997</v>
      </c>
      <c r="R31" s="510">
        <f>+[1]Report1!AL36</f>
        <v>1.933719311566692</v>
      </c>
      <c r="S31" s="510">
        <f>+[1]Report1!AM36</f>
        <v>2.41944774051515</v>
      </c>
      <c r="T31" s="510">
        <f>+[1]Report1!AR36</f>
        <v>0.25626423690205008</v>
      </c>
      <c r="U31" s="510">
        <f>+[1]Report1!AS36</f>
        <v>5.9874202869329846E-2</v>
      </c>
      <c r="V31" s="510">
        <f>+[1]Report1!AX36</f>
        <v>544.9917742343705</v>
      </c>
      <c r="W31" s="510">
        <f>+[1]Report1!AY36</f>
        <v>789.6895737147488</v>
      </c>
      <c r="X31" s="510">
        <f>+[1]Report1!BD36</f>
        <v>477.96443938243482</v>
      </c>
      <c r="Y31" s="587">
        <f>+[1]Report1!BE36</f>
        <v>118.85965187135834</v>
      </c>
      <c r="Z31" s="512">
        <f>+[2]Report1!J36</f>
        <v>0.92386749820454228</v>
      </c>
      <c r="AA31" s="513">
        <f>+[2]Report1!K36</f>
        <v>0.90831142220689443</v>
      </c>
      <c r="AB31" s="513">
        <f>+[2]Report1!BC36</f>
        <v>0.92386749820454228</v>
      </c>
      <c r="AC31" s="513">
        <f>+[2]Report1!BD36</f>
        <v>0.90831142220689443</v>
      </c>
      <c r="AD31" s="510">
        <f>+[2]Report1!R36</f>
        <v>39.936999999999998</v>
      </c>
      <c r="AE31" s="510">
        <f>+[2]Report1!S36</f>
        <v>1183.588</v>
      </c>
      <c r="AF31" s="510">
        <f>+[2]Report1!X36</f>
        <v>82.333896499130574</v>
      </c>
      <c r="AG31" s="510">
        <f>+[2]Report1!Y36</f>
        <v>93.463505512989585</v>
      </c>
      <c r="AH31" s="510">
        <f>+[2]Report1!AD36</f>
        <v>1.424743971755515</v>
      </c>
      <c r="AI31" s="510">
        <f>+[2]Report1!AE36</f>
        <v>1.3538494814073818</v>
      </c>
      <c r="AJ31" s="510">
        <f>+[2]Report1!AJ36</f>
        <v>878.99942409293726</v>
      </c>
      <c r="AK31" s="510">
        <f>+[2]Report1!AK36</f>
        <v>868.71416405032915</v>
      </c>
      <c r="AL31" s="598">
        <v>0</v>
      </c>
      <c r="AM31" s="598">
        <v>0</v>
      </c>
      <c r="AN31" s="512">
        <f>+[3]Report1!J36</f>
        <v>0.94698820309515197</v>
      </c>
      <c r="AO31" s="513">
        <f>+[3]Report1!K36</f>
        <v>0.89347895615954043</v>
      </c>
      <c r="AP31" s="513">
        <f>+[3]Report1!BN36</f>
        <v>0.94698820309515197</v>
      </c>
      <c r="AQ31" s="513">
        <f>+[3]Report1!BO36</f>
        <v>0.90408392674775817</v>
      </c>
      <c r="AR31" s="510">
        <f>+[3]Report1!R36</f>
        <v>48.991</v>
      </c>
      <c r="AS31" s="510">
        <f>+[3]Report1!S36</f>
        <v>1337.5720000000001</v>
      </c>
      <c r="AT31" s="514">
        <f>+[3]Report1!AF36</f>
        <v>91.569108436843123</v>
      </c>
      <c r="AU31" s="514">
        <f>+[3]Report1!AG36</f>
        <v>100.98162460626045</v>
      </c>
      <c r="AV31" s="510">
        <f>+[3]Report1!AL36</f>
        <v>1.5247698556877796</v>
      </c>
      <c r="AW31" s="510">
        <f>+[3]Report1!AM36</f>
        <v>1.4281100381885983</v>
      </c>
      <c r="AX31" s="510">
        <f>+[3]Report1!AR36</f>
        <v>0.16941887285419774</v>
      </c>
      <c r="AY31" s="510">
        <f>+[3]Report1!AS36</f>
        <v>0.13958127113904895</v>
      </c>
      <c r="AZ31" s="510">
        <f>+[3]Report1!AX36</f>
        <v>844.94294870486294</v>
      </c>
      <c r="BA31" s="510">
        <f>+[3]Report1!AY36</f>
        <v>847.89428905509396</v>
      </c>
      <c r="BB31" s="510">
        <f>+[3]Report1!BD36</f>
        <v>429.85283011166382</v>
      </c>
      <c r="BC31" s="510">
        <f>+[3]Report1!BE36</f>
        <v>373.65696276536858</v>
      </c>
      <c r="BD31" s="510">
        <f>+[3]Report1!BJ36</f>
        <v>5.2662733971539852</v>
      </c>
      <c r="BE31" s="510">
        <f>+[3]Report1!BK36</f>
        <v>3.8589982445804747</v>
      </c>
      <c r="BF31" s="512">
        <f>+[4]Report1!J36</f>
        <v>0.84055241975677808</v>
      </c>
      <c r="BG31" s="513">
        <f>+[4]Report1!K36</f>
        <v>0.9071440420446375</v>
      </c>
      <c r="BH31" s="513">
        <f>+[4]Report1!AN36</f>
        <v>0.84055241975677808</v>
      </c>
      <c r="BI31" s="513">
        <f>+[4]Report1!AO36</f>
        <v>0.90857991410748329</v>
      </c>
      <c r="BJ31" s="510">
        <f>+[4]Report1!R36</f>
        <v>43.173999999999999</v>
      </c>
      <c r="BK31" s="510">
        <f>+[4]Report1!S36</f>
        <v>1325.8909999999998</v>
      </c>
      <c r="BL31" s="510">
        <f>+[4]Report1!AD36</f>
        <v>2.9323203780052807</v>
      </c>
      <c r="BM31" s="510">
        <f>+[4]Report1!AE36</f>
        <v>2.8364322557434964</v>
      </c>
      <c r="BN31" s="514">
        <v>0</v>
      </c>
      <c r="BO31" s="514">
        <v>0</v>
      </c>
      <c r="BP31" s="514">
        <f>+[4]Report1!AJ36</f>
        <v>1045.4581461064502</v>
      </c>
      <c r="BQ31" s="514">
        <f>+[4]Report1!AK36</f>
        <v>1008.648848208489</v>
      </c>
      <c r="BR31" s="514">
        <v>0</v>
      </c>
      <c r="BS31" s="515">
        <v>0</v>
      </c>
      <c r="BT31" s="512">
        <f>+[5]Report1!J36</f>
        <v>0.88501040624028648</v>
      </c>
      <c r="BU31" s="513">
        <f>+[5]Report1!K36</f>
        <v>0.8544746552470307</v>
      </c>
      <c r="BV31" s="513">
        <f>+[5]Report1!BG36</f>
        <v>0.88501040624028648</v>
      </c>
      <c r="BW31" s="513">
        <f>+[5]Report1!BH36</f>
        <v>0.86527620504449521</v>
      </c>
      <c r="BX31" s="510">
        <f>+[5]Report1!R36</f>
        <v>44.832999999999998</v>
      </c>
      <c r="BY31" s="510">
        <f>+[5]Report1!S36</f>
        <v>1213.9529999999997</v>
      </c>
      <c r="BZ31" s="514">
        <f>+[5]Report1!X36</f>
        <v>72.285347491464805</v>
      </c>
      <c r="CA31" s="514">
        <f>+[5]Report1!Y36</f>
        <v>85.596825288167395</v>
      </c>
      <c r="CB31" s="510">
        <f>+[5]Report1!AD36</f>
        <v>2.1011308634264938</v>
      </c>
      <c r="CC31" s="510">
        <f>+[5]Report1!AE36</f>
        <v>2.0451450756330769</v>
      </c>
      <c r="CD31" s="514">
        <f>+[5]Report1!AJ36</f>
        <v>0.17620948854638327</v>
      </c>
      <c r="CE31" s="514">
        <f>+[5]Report1!AK36</f>
        <v>5.9310368688079367E-2</v>
      </c>
      <c r="CF31" s="514">
        <f>+[5]Report1!AP36</f>
        <v>819.31724399436382</v>
      </c>
      <c r="CG31" s="514">
        <f>+[5]Report1!AQ36</f>
        <v>898.48963674870447</v>
      </c>
      <c r="CH31" s="514">
        <f>+[5]Report1!AV36</f>
        <v>451.29882006558773</v>
      </c>
      <c r="CI31" s="514">
        <f>+[5]Report1!AW36</f>
        <v>153.37098635614464</v>
      </c>
      <c r="CJ31" s="514">
        <f>+[5]Report1!BB36</f>
        <v>0</v>
      </c>
      <c r="CK31" s="514">
        <f>+[5]Report1!BC36</f>
        <v>2.7740876294222216</v>
      </c>
    </row>
    <row r="32" spans="1:89" ht="12.75" customHeight="1">
      <c r="A32" s="568">
        <f t="shared" si="0"/>
        <v>45898</v>
      </c>
      <c r="B32" s="512">
        <f>+Report1!J37</f>
        <v>1.3003677406153014</v>
      </c>
      <c r="C32" s="513">
        <f>+Report1!K37</f>
        <v>0.89763053623653799</v>
      </c>
      <c r="D32" s="513">
        <f>+Report1!AJ37</f>
        <v>1.3003677406153014</v>
      </c>
      <c r="E32" s="513">
        <f>+Report1!AK37</f>
        <v>0.89785349510866252</v>
      </c>
      <c r="F32" s="510">
        <f>+Report1!R37</f>
        <v>77.828000000000003</v>
      </c>
      <c r="G32" s="510">
        <f>+Report1!S37</f>
        <v>1755.9880000000001</v>
      </c>
      <c r="H32" s="510">
        <f>+Report1!X37</f>
        <v>1.5696535951071595</v>
      </c>
      <c r="I32" s="510">
        <f>+Report1!Y37</f>
        <v>2.3034223468497506</v>
      </c>
      <c r="J32" s="510">
        <f>+Report1!AD37</f>
        <v>777.74939610422757</v>
      </c>
      <c r="K32" s="511">
        <f>+Report1!AE37</f>
        <v>900.01203880664275</v>
      </c>
      <c r="L32" s="512">
        <f>+[1]Report1!J37</f>
        <v>1.0434582719936254</v>
      </c>
      <c r="M32" s="513">
        <f>+[1]Report1!K37</f>
        <v>0.88161543590567792</v>
      </c>
      <c r="N32" s="513">
        <f>+[1]Report1!BJ37</f>
        <v>1.0434582719936254</v>
      </c>
      <c r="O32" s="513">
        <f>+[1]Report1!BK37</f>
        <v>0.90833003430569537</v>
      </c>
      <c r="P32" s="510">
        <f>+[1]Report1!R37</f>
        <v>68.724999999999994</v>
      </c>
      <c r="Q32" s="510">
        <f>+[1]Report1!S37</f>
        <v>1536.8029999999997</v>
      </c>
      <c r="R32" s="510">
        <f>+[1]Report1!AL37</f>
        <v>1.9365296471444162</v>
      </c>
      <c r="S32" s="510">
        <f>+[1]Report1!AM37</f>
        <v>2.3978519042453721</v>
      </c>
      <c r="T32" s="510">
        <f>+[1]Report1!AR37</f>
        <v>0.25609312477264462</v>
      </c>
      <c r="U32" s="510">
        <f>+[1]Report1!AS37</f>
        <v>6.8649007062063269E-2</v>
      </c>
      <c r="V32" s="510">
        <f>+[1]Report1!AX37</f>
        <v>517.36078574025839</v>
      </c>
      <c r="W32" s="510">
        <f>+[1]Report1!AY37</f>
        <v>777.51117742482302</v>
      </c>
      <c r="X32" s="510">
        <f>+[1]Report1!BD37</f>
        <v>454.15787559112403</v>
      </c>
      <c r="Y32" s="587">
        <f>+[1]Report1!BE37</f>
        <v>133.85400731258335</v>
      </c>
      <c r="Z32" s="512">
        <f>+[2]Report1!J37</f>
        <v>0.82356973734924943</v>
      </c>
      <c r="AA32" s="513">
        <f>+[2]Report1!K37</f>
        <v>0.90544419463105841</v>
      </c>
      <c r="AB32" s="513">
        <f>+[2]Report1!BC37</f>
        <v>0.82356973734924943</v>
      </c>
      <c r="AC32" s="513">
        <f>+[2]Report1!BD37</f>
        <v>0.90544419463105841</v>
      </c>
      <c r="AD32" s="510">
        <f>+[2]Report1!R37</f>
        <v>37.582000000000001</v>
      </c>
      <c r="AE32" s="510">
        <f>+[2]Report1!S37</f>
        <v>1221.17</v>
      </c>
      <c r="AF32" s="510">
        <f>+[2]Report1!X37</f>
        <v>105.05340558647656</v>
      </c>
      <c r="AG32" s="510">
        <f>+[2]Report1!Y37</f>
        <v>93.820189369096255</v>
      </c>
      <c r="AH32" s="510">
        <f>+[2]Report1!AD37</f>
        <v>1.4900750359214516</v>
      </c>
      <c r="AI32" s="510">
        <f>+[2]Report1!AE37</f>
        <v>1.3580418778712218</v>
      </c>
      <c r="AJ32" s="510">
        <f>+[2]Report1!AJ37</f>
        <v>911.62471395881005</v>
      </c>
      <c r="AK32" s="510">
        <f>+[2]Report1!AK37</f>
        <v>870.03475355601677</v>
      </c>
      <c r="AL32" s="598">
        <v>0</v>
      </c>
      <c r="AM32" s="598">
        <v>0</v>
      </c>
      <c r="AN32" s="512">
        <f>+[3]Report1!J37</f>
        <v>0.90701558039395425</v>
      </c>
      <c r="AO32" s="513">
        <f>+[3]Report1!K37</f>
        <v>0.89392587206256791</v>
      </c>
      <c r="AP32" s="513">
        <f>+[3]Report1!BN37</f>
        <v>0.90701558039395425</v>
      </c>
      <c r="AQ32" s="513">
        <f>+[3]Report1!BO37</f>
        <v>0.90418182667355429</v>
      </c>
      <c r="AR32" s="510">
        <f>+[3]Report1!R37</f>
        <v>46.36</v>
      </c>
      <c r="AS32" s="510">
        <f>+[3]Report1!S37</f>
        <v>1383.932</v>
      </c>
      <c r="AT32" s="514">
        <f>+[3]Report1!AF37</f>
        <v>104.11152340728995</v>
      </c>
      <c r="AU32" s="514">
        <f>+[3]Report1!AG37</f>
        <v>101.08647232162201</v>
      </c>
      <c r="AV32" s="510">
        <f>+[3]Report1!AL37</f>
        <v>1.5832614322691978</v>
      </c>
      <c r="AW32" s="510">
        <f>+[3]Report1!AM37</f>
        <v>1.4333074168383997</v>
      </c>
      <c r="AX32" s="510">
        <f>+[3]Report1!AR37</f>
        <v>0.22433132010353754</v>
      </c>
      <c r="AY32" s="510">
        <f>+[3]Report1!AS37</f>
        <v>0.14242029232650158</v>
      </c>
      <c r="AZ32" s="510">
        <f>+[3]Report1!AX37</f>
        <v>861.10181190681556</v>
      </c>
      <c r="BA32" s="510">
        <f>+[3]Report1!AY37</f>
        <v>848.33672463675964</v>
      </c>
      <c r="BB32" s="510">
        <f>+[3]Report1!BD37</f>
        <v>554.58015530629257</v>
      </c>
      <c r="BC32" s="510">
        <f>+[3]Report1!BE37</f>
        <v>379.71766459623689</v>
      </c>
      <c r="BD32" s="510">
        <f>+[3]Report1!BJ37</f>
        <v>6.4495254529767045</v>
      </c>
      <c r="BE32" s="510">
        <f>+[3]Report1!BK37</f>
        <v>3.9457776827185111</v>
      </c>
      <c r="BF32" s="512">
        <f>+[4]Report1!J37</f>
        <v>0.89181548367097319</v>
      </c>
      <c r="BG32" s="513">
        <f>+[4]Report1!K37</f>
        <v>0.90662395106287064</v>
      </c>
      <c r="BH32" s="513">
        <f>+[4]Report1!AN37</f>
        <v>0.89181548367097319</v>
      </c>
      <c r="BI32" s="513">
        <f>+[4]Report1!AO37</f>
        <v>0.90801023489800703</v>
      </c>
      <c r="BJ32" s="510">
        <f>+[4]Report1!R37</f>
        <v>45.78</v>
      </c>
      <c r="BK32" s="510">
        <f>+[4]Report1!S37</f>
        <v>1371.6709999999998</v>
      </c>
      <c r="BL32" s="510">
        <f>+[4]Report1!AD37</f>
        <v>3.1301878549584972</v>
      </c>
      <c r="BM32" s="510">
        <f>+[4]Report1!AE37</f>
        <v>2.8462364517438949</v>
      </c>
      <c r="BN32" s="514">
        <v>0</v>
      </c>
      <c r="BO32" s="514">
        <v>0</v>
      </c>
      <c r="BP32" s="514">
        <f>+[4]Report1!AJ37</f>
        <v>1061.8381389252638</v>
      </c>
      <c r="BQ32" s="514">
        <f>+[4]Report1!AK37</f>
        <v>1010.4240594136644</v>
      </c>
      <c r="BR32" s="514">
        <v>0</v>
      </c>
      <c r="BS32" s="515">
        <v>0</v>
      </c>
      <c r="BT32" s="512">
        <f>+[5]Report1!J37</f>
        <v>0.98735549558788216</v>
      </c>
      <c r="BU32" s="513">
        <f>+[5]Report1!K37</f>
        <v>0.85917738066983917</v>
      </c>
      <c r="BV32" s="513">
        <f>+[5]Report1!BG37</f>
        <v>0.98735549558788216</v>
      </c>
      <c r="BW32" s="513">
        <f>+[5]Report1!BH37</f>
        <v>0.86964931682457058</v>
      </c>
      <c r="BX32" s="510">
        <f>+[5]Report1!R37</f>
        <v>51.465000000000003</v>
      </c>
      <c r="BY32" s="510">
        <f>+[5]Report1!S37</f>
        <v>1265.4179999999997</v>
      </c>
      <c r="BZ32" s="514">
        <f>+[5]Report1!X37</f>
        <v>72.637184223978892</v>
      </c>
      <c r="CA32" s="514">
        <f>+[5]Report1!Y37</f>
        <v>85.069752078075197</v>
      </c>
      <c r="CB32" s="510">
        <f>+[5]Report1!AD37</f>
        <v>1.8420285631011366</v>
      </c>
      <c r="CC32" s="510">
        <f>+[5]Report1!AE37</f>
        <v>2.0368842548470156</v>
      </c>
      <c r="CD32" s="514">
        <f>+[5]Report1!AJ37</f>
        <v>0.21762362770815113</v>
      </c>
      <c r="CE32" s="514">
        <f>+[5]Report1!AK37</f>
        <v>6.574902522328592E-2</v>
      </c>
      <c r="CF32" s="514">
        <f>+[5]Report1!AP37</f>
        <v>721.79481200816485</v>
      </c>
      <c r="CG32" s="514">
        <f>+[5]Report1!AQ37</f>
        <v>891.30339539978115</v>
      </c>
      <c r="CH32" s="514">
        <f>+[5]Report1!AV37</f>
        <v>541.20011658408043</v>
      </c>
      <c r="CI32" s="514">
        <f>+[5]Report1!AW37</f>
        <v>169.14413498148483</v>
      </c>
      <c r="CJ32" s="514">
        <f>+[5]Report1!BB37</f>
        <v>0</v>
      </c>
      <c r="CK32" s="514">
        <f>+[5]Report1!BC37</f>
        <v>2.6612644991615375</v>
      </c>
    </row>
    <row r="33" spans="1:89" ht="12.75" customHeight="1">
      <c r="A33" s="568">
        <f t="shared" si="0"/>
        <v>45899</v>
      </c>
      <c r="B33" s="512">
        <f>+Report1!J38</f>
        <v>1.0587561035287552</v>
      </c>
      <c r="C33" s="513">
        <f>+Report1!K38</f>
        <v>0.90225516525260618</v>
      </c>
      <c r="D33" s="513">
        <f>+Report1!AJ38</f>
        <v>1.0587561035287552</v>
      </c>
      <c r="E33" s="513">
        <f>+Report1!AK38</f>
        <v>0.90247283892658037</v>
      </c>
      <c r="F33" s="510">
        <f>+Report1!R38</f>
        <v>61.204000000000001</v>
      </c>
      <c r="G33" s="510">
        <f>+Report1!S38</f>
        <v>1817.192</v>
      </c>
      <c r="H33" s="510">
        <f>+Report1!X38</f>
        <v>1.964544800993399</v>
      </c>
      <c r="I33" s="510">
        <f>+Report1!Y38</f>
        <v>2.292008769574156</v>
      </c>
      <c r="J33" s="510">
        <f>+Report1!AD38</f>
        <v>959.3317430233418</v>
      </c>
      <c r="K33" s="511">
        <f>+Report1!AE38</f>
        <v>902.00995822125537</v>
      </c>
      <c r="L33" s="512">
        <f>+[1]Report1!J38</f>
        <v>0.91878251905884101</v>
      </c>
      <c r="M33" s="513">
        <f>+[1]Report1!K38</f>
        <v>0.88318126803303565</v>
      </c>
      <c r="N33" s="513">
        <f>+[1]Report1!BJ38</f>
        <v>0.91878251905884101</v>
      </c>
      <c r="O33" s="513">
        <f>+[1]Report1!BK38</f>
        <v>0.90878315790725361</v>
      </c>
      <c r="P33" s="510">
        <f>+[1]Report1!R38</f>
        <v>70.441999999999993</v>
      </c>
      <c r="Q33" s="510">
        <f>+[1]Report1!S38</f>
        <v>1607.2449999999997</v>
      </c>
      <c r="R33" s="510">
        <f>+[1]Report1!AL38</f>
        <v>2.1058317481048241</v>
      </c>
      <c r="S33" s="510">
        <f>+[1]Report1!AM38</f>
        <v>2.3850533055010286</v>
      </c>
      <c r="T33" s="510">
        <f>+[1]Report1!AR38</f>
        <v>0.27256466312711169</v>
      </c>
      <c r="U33" s="510">
        <f>+[1]Report1!AS38</f>
        <v>7.7586180078332817E-2</v>
      </c>
      <c r="V33" s="510">
        <f>+[1]Report1!AX38</f>
        <v>514.11530053094725</v>
      </c>
      <c r="W33" s="510">
        <f>+[1]Report1!AY38</f>
        <v>765.9671176454126</v>
      </c>
      <c r="X33" s="510">
        <f>+[1]Report1!BD38</f>
        <v>461.4008687998637</v>
      </c>
      <c r="Y33" s="587">
        <f>+[1]Report1!BE38</f>
        <v>148.20966311918843</v>
      </c>
      <c r="Z33" s="512">
        <f>+[2]Report1!J38</f>
        <v>0.87476475753086813</v>
      </c>
      <c r="AA33" s="513">
        <f>+[2]Report1!K38</f>
        <v>0.90444877505057475</v>
      </c>
      <c r="AB33" s="513">
        <f>+[2]Report1!BC38</f>
        <v>0.87476475753086813</v>
      </c>
      <c r="AC33" s="513">
        <f>+[2]Report1!BD38</f>
        <v>0.90444877505057475</v>
      </c>
      <c r="AD33" s="510">
        <f>+[2]Report1!R38</f>
        <v>39.563000000000002</v>
      </c>
      <c r="AE33" s="510">
        <f>+[2]Report1!S38</f>
        <v>1260.7330000000002</v>
      </c>
      <c r="AF33" s="510">
        <f>+[2]Report1!X38</f>
        <v>99.959689463279545</v>
      </c>
      <c r="AG33" s="510">
        <f>+[2]Report1!Y38</f>
        <v>94.012852718295619</v>
      </c>
      <c r="AH33" s="510">
        <f>+[2]Report1!AD38</f>
        <v>1.4685438414680383</v>
      </c>
      <c r="AI33" s="510">
        <f>+[2]Report1!AE38</f>
        <v>1.3615095345326884</v>
      </c>
      <c r="AJ33" s="510">
        <f>+[2]Report1!AJ38</f>
        <v>926.74822435100759</v>
      </c>
      <c r="AK33" s="510">
        <f>+[2]Report1!AK38</f>
        <v>871.81447618171319</v>
      </c>
      <c r="AL33" s="598">
        <v>0</v>
      </c>
      <c r="AM33" s="598">
        <v>0</v>
      </c>
      <c r="AN33" s="512">
        <f>+[3]Report1!J38</f>
        <v>0.92415966177418751</v>
      </c>
      <c r="AO33" s="513">
        <f>+[3]Report1!K38</f>
        <v>0.89490350487028536</v>
      </c>
      <c r="AP33" s="513">
        <f>+[3]Report1!BN38</f>
        <v>0.92415966177418751</v>
      </c>
      <c r="AQ33" s="513">
        <f>+[3]Report1!BO38</f>
        <v>0.90483499449808957</v>
      </c>
      <c r="AR33" s="510">
        <f>+[3]Report1!R38</f>
        <v>47.81</v>
      </c>
      <c r="AS33" s="510">
        <f>+[3]Report1!S38</f>
        <v>1431.742</v>
      </c>
      <c r="AT33" s="514">
        <f>+[3]Report1!AF38</f>
        <v>108.98706907470005</v>
      </c>
      <c r="AU33" s="514">
        <f>+[3]Report1!AG38</f>
        <v>101.35029606274622</v>
      </c>
      <c r="AV33" s="510">
        <f>+[3]Report1!AL38</f>
        <v>1.5687094750052291</v>
      </c>
      <c r="AW33" s="510">
        <f>+[3]Report1!AM38</f>
        <v>1.4378288825780066</v>
      </c>
      <c r="AX33" s="510">
        <f>+[3]Report1!AR38</f>
        <v>0.19661158753398869</v>
      </c>
      <c r="AY33" s="510">
        <f>+[3]Report1!AS38</f>
        <v>0.14422989616844376</v>
      </c>
      <c r="AZ33" s="510">
        <f>+[3]Report1!AX38</f>
        <v>924.80527086383597</v>
      </c>
      <c r="BA33" s="510">
        <f>+[3]Report1!AY38</f>
        <v>850.89023022304298</v>
      </c>
      <c r="BB33" s="510">
        <f>+[3]Report1!BD38</f>
        <v>482.47228613260825</v>
      </c>
      <c r="BC33" s="510">
        <f>+[3]Report1!BE38</f>
        <v>383.14893814667676</v>
      </c>
      <c r="BD33" s="510">
        <f>+[3]Report1!BJ38</f>
        <v>6.0656766366868853</v>
      </c>
      <c r="BE33" s="510">
        <f>+[3]Report1!BK38</f>
        <v>4.0165672306882065</v>
      </c>
      <c r="BF33" s="512">
        <f>+[4]Report1!J38</f>
        <v>0.88705682545234943</v>
      </c>
      <c r="BG33" s="513">
        <f>+[4]Report1!K38</f>
        <v>0.90598132574979295</v>
      </c>
      <c r="BH33" s="513">
        <f>+[4]Report1!AN38</f>
        <v>0.88705682545234943</v>
      </c>
      <c r="BI33" s="513">
        <f>+[4]Report1!AO38</f>
        <v>0.90732106350458397</v>
      </c>
      <c r="BJ33" s="510">
        <f>+[4]Report1!R38</f>
        <v>45.573</v>
      </c>
      <c r="BK33" s="510">
        <f>+[4]Report1!S38</f>
        <v>1417.2439999999999</v>
      </c>
      <c r="BL33" s="510">
        <f>+[4]Report1!AD38</f>
        <v>3.1378228336953899</v>
      </c>
      <c r="BM33" s="510">
        <f>+[4]Report1!AE38</f>
        <v>2.8556127244144269</v>
      </c>
      <c r="BN33" s="514">
        <v>0</v>
      </c>
      <c r="BO33" s="514">
        <v>0</v>
      </c>
      <c r="BP33" s="514">
        <f>+[4]Report1!AJ38</f>
        <v>1077.9169683804087</v>
      </c>
      <c r="BQ33" s="514">
        <f>+[4]Report1!AK38</f>
        <v>1012.5943662488608</v>
      </c>
      <c r="BR33" s="514">
        <v>0</v>
      </c>
      <c r="BS33" s="515">
        <v>0</v>
      </c>
      <c r="BT33" s="512">
        <f>+[5]Report1!J38</f>
        <v>0.9179792502449704</v>
      </c>
      <c r="BU33" s="513">
        <f>+[5]Report1!K38</f>
        <v>0.86117649300759047</v>
      </c>
      <c r="BV33" s="513">
        <f>+[5]Report1!BG38</f>
        <v>0.9179792502449704</v>
      </c>
      <c r="BW33" s="513">
        <f>+[5]Report1!BH38</f>
        <v>0.87131174796297783</v>
      </c>
      <c r="BX33" s="510">
        <f>+[5]Report1!R38</f>
        <v>47.582999999999998</v>
      </c>
      <c r="BY33" s="510">
        <f>+[5]Report1!S38</f>
        <v>1313.0009999999997</v>
      </c>
      <c r="BZ33" s="514">
        <f>+[5]Report1!X38</f>
        <v>78.969863886322045</v>
      </c>
      <c r="CA33" s="514">
        <f>+[5]Report1!Y38</f>
        <v>84.848692855859682</v>
      </c>
      <c r="CB33" s="510">
        <f>+[5]Report1!AD38</f>
        <v>1.9839018136729507</v>
      </c>
      <c r="CC33" s="510">
        <f>+[5]Report1!AE38</f>
        <v>2.0349641774834906</v>
      </c>
      <c r="CD33" s="514">
        <f>+[5]Report1!AJ38</f>
        <v>0.20175272681419834</v>
      </c>
      <c r="CE33" s="514">
        <f>+[5]Report1!AK38</f>
        <v>7.06777831852375E-2</v>
      </c>
      <c r="CF33" s="514">
        <f>+[5]Report1!AP38</f>
        <v>819.61856125086661</v>
      </c>
      <c r="CG33" s="514">
        <f>+[5]Report1!AQ38</f>
        <v>888.70554554033106</v>
      </c>
      <c r="CH33" s="514">
        <f>+[5]Report1!AV38</f>
        <v>484.77397389824097</v>
      </c>
      <c r="CI33" s="514">
        <f>+[5]Report1!AW38</f>
        <v>180.58252278558857</v>
      </c>
      <c r="CJ33" s="514">
        <f>+[5]Report1!BB38</f>
        <v>0</v>
      </c>
      <c r="CK33" s="514">
        <f>+[5]Report1!BC38</f>
        <v>2.5648205903879697</v>
      </c>
    </row>
    <row r="34" spans="1:89" ht="12.75" customHeight="1">
      <c r="A34" s="568">
        <f t="shared" si="0"/>
        <v>45900</v>
      </c>
      <c r="B34" s="512">
        <f>+Report1!J39</f>
        <v>0.81840225842820513</v>
      </c>
      <c r="C34" s="513">
        <f>+Report1!K39</f>
        <v>0.89986679210292397</v>
      </c>
      <c r="D34" s="513">
        <f>+Report1!AJ39</f>
        <v>0.81840225842820513</v>
      </c>
      <c r="E34" s="513">
        <f>+Report1!AK39</f>
        <v>0.90007770455700553</v>
      </c>
      <c r="F34" s="510">
        <f>+Report1!R39</f>
        <v>48.325000000000003</v>
      </c>
      <c r="G34" s="510">
        <f>+Report1!S39</f>
        <v>1865.5170000000001</v>
      </c>
      <c r="H34" s="510">
        <f>+Report1!X39</f>
        <v>2.5416244180031038</v>
      </c>
      <c r="I34" s="510">
        <f>+Report1!Y39</f>
        <v>2.2984748999875095</v>
      </c>
      <c r="J34" s="510">
        <f>+Report1!AD39</f>
        <v>1214.9640972580899</v>
      </c>
      <c r="K34" s="511">
        <f>+Report1!AE39</f>
        <v>910.11683088387656</v>
      </c>
      <c r="L34" s="512">
        <f>+[1]Report1!J39</f>
        <v>0.96985461089263214</v>
      </c>
      <c r="M34" s="513">
        <f>+[1]Report1!K39</f>
        <v>0.88665975535746266</v>
      </c>
      <c r="N34" s="513">
        <f>+[1]Report1!BJ39</f>
        <v>0.96985461089263214</v>
      </c>
      <c r="O34" s="513">
        <f>+[1]Report1!BK39</f>
        <v>0.91130227636045102</v>
      </c>
      <c r="P34" s="510">
        <f>+[1]Report1!R39</f>
        <v>73.796000000000006</v>
      </c>
      <c r="Q34" s="510">
        <f>+[1]Report1!S39</f>
        <v>1681.0409999999997</v>
      </c>
      <c r="R34" s="510">
        <f>+[1]Report1!AL39</f>
        <v>1.8394628435145535</v>
      </c>
      <c r="S34" s="510">
        <f>+[1]Report1!AM39</f>
        <v>2.3611024359310693</v>
      </c>
      <c r="T34" s="510">
        <f>+[1]Report1!AR39</f>
        <v>0.26017670334435467</v>
      </c>
      <c r="U34" s="510">
        <f>+[1]Report1!AS39</f>
        <v>8.5601719410769897E-2</v>
      </c>
      <c r="V34" s="510">
        <f>+[1]Report1!AX39</f>
        <v>434.63344896742785</v>
      </c>
      <c r="W34" s="510">
        <f>+[1]Report1!AY39</f>
        <v>751.421904641232</v>
      </c>
      <c r="X34" s="510">
        <f>+[1]Report1!BD39</f>
        <v>425.8496395468589</v>
      </c>
      <c r="Y34" s="587">
        <f>+[1]Report1!BE39</f>
        <v>160.39777732964276</v>
      </c>
      <c r="Z34" s="512">
        <f>+[2]Report1!J39</f>
        <v>0.96751081846380171</v>
      </c>
      <c r="AA34" s="513">
        <f>+[2]Report1!K39</f>
        <v>0.90643195002874466</v>
      </c>
      <c r="AB34" s="513">
        <f>+[2]Report1!BC39</f>
        <v>0.96751081846380171</v>
      </c>
      <c r="AC34" s="513">
        <f>+[2]Report1!BD39</f>
        <v>0.90643195002874466</v>
      </c>
      <c r="AD34" s="510">
        <f>+[2]Report1!R39</f>
        <v>43.789000000000001</v>
      </c>
      <c r="AE34" s="510">
        <f>+[2]Report1!S39</f>
        <v>1304.5220000000002</v>
      </c>
      <c r="AF34" s="510">
        <f>+[2]Report1!X39</f>
        <v>84.332540569091989</v>
      </c>
      <c r="AG34" s="510">
        <f>+[2]Report1!Y39</f>
        <v>93.687912863926385</v>
      </c>
      <c r="AH34" s="510">
        <f>+[2]Report1!AD39</f>
        <v>1.3222498801068761</v>
      </c>
      <c r="AI34" s="510">
        <f>+[2]Report1!AE39</f>
        <v>1.3601917024013392</v>
      </c>
      <c r="AJ34" s="510">
        <f>+[2]Report1!AJ39</f>
        <v>758.02461805476264</v>
      </c>
      <c r="AK34" s="510">
        <f>+[2]Report1!AK39</f>
        <v>867.9948824167011</v>
      </c>
      <c r="AL34" s="598">
        <v>0</v>
      </c>
      <c r="AM34" s="598">
        <v>0</v>
      </c>
      <c r="AN34" s="512">
        <f>+[3]Report1!J39</f>
        <v>0.91507740359851863</v>
      </c>
      <c r="AO34" s="513">
        <f>+[3]Report1!K39</f>
        <v>0.89554898846394682</v>
      </c>
      <c r="AP34" s="513">
        <f>+[3]Report1!BN39</f>
        <v>0.91507740359851863</v>
      </c>
      <c r="AQ34" s="513">
        <f>+[3]Report1!BO39</f>
        <v>0.90516622970016913</v>
      </c>
      <c r="AR34" s="510">
        <f>+[3]Report1!R39</f>
        <v>48.390999999999998</v>
      </c>
      <c r="AS34" s="510">
        <f>+[3]Report1!S39</f>
        <v>1480.133</v>
      </c>
      <c r="AT34" s="514">
        <f>+[3]Report1!AF39</f>
        <v>104.29078993727192</v>
      </c>
      <c r="AU34" s="514">
        <f>+[3]Report1!AG39</f>
        <v>101.4464316391317</v>
      </c>
      <c r="AV34" s="510">
        <f>+[3]Report1!AL39</f>
        <v>1.5147444772788328</v>
      </c>
      <c r="AW34" s="510">
        <f>+[3]Report1!AM39</f>
        <v>1.4403435366956892</v>
      </c>
      <c r="AX34" s="510">
        <f>+[3]Report1!AR39</f>
        <v>0.19425099708623506</v>
      </c>
      <c r="AY34" s="510">
        <f>+[3]Report1!AS39</f>
        <v>0.14586527021558199</v>
      </c>
      <c r="AZ34" s="510">
        <f>+[3]Report1!AX39</f>
        <v>804.14002603790027</v>
      </c>
      <c r="BA34" s="510">
        <f>+[3]Report1!AY39</f>
        <v>849.3617938387971</v>
      </c>
      <c r="BB34" s="510">
        <f>+[3]Report1!BD39</f>
        <v>524.61015478084767</v>
      </c>
      <c r="BC34" s="510">
        <f>+[3]Report1!BE39</f>
        <v>387.77382640614013</v>
      </c>
      <c r="BD34" s="510">
        <f>+[3]Report1!BJ39</f>
        <v>6.6127999008080023</v>
      </c>
      <c r="BE34" s="510">
        <f>+[3]Report1!BK39</f>
        <v>4.1014476401782778</v>
      </c>
      <c r="BF34" s="512">
        <f>+[4]Report1!J39</f>
        <v>0.93663134655583125</v>
      </c>
      <c r="BG34" s="513">
        <f>+[4]Report1!K39</f>
        <v>0.90695192925845458</v>
      </c>
      <c r="BH34" s="513">
        <f>+[4]Report1!AN39</f>
        <v>0.93663134655583125</v>
      </c>
      <c r="BI34" s="513">
        <f>+[4]Report1!AO39</f>
        <v>0.90825057016469368</v>
      </c>
      <c r="BJ34" s="510">
        <f>+[4]Report1!R39</f>
        <v>47.915999999999997</v>
      </c>
      <c r="BK34" s="510">
        <f>+[4]Report1!S39</f>
        <v>1465.1599999999999</v>
      </c>
      <c r="BL34" s="510">
        <f>+[4]Report1!AD39</f>
        <v>2.9656064780031723</v>
      </c>
      <c r="BM34" s="510">
        <f>+[4]Report1!AE39</f>
        <v>2.859209915640613</v>
      </c>
      <c r="BN34" s="514">
        <v>0</v>
      </c>
      <c r="BO34" s="514">
        <v>0</v>
      </c>
      <c r="BP34" s="514">
        <f>+[4]Report1!AJ39</f>
        <v>1029.858711077711</v>
      </c>
      <c r="BQ34" s="514">
        <f>+[4]Report1!AK39</f>
        <v>1013.158972398919</v>
      </c>
      <c r="BR34" s="514">
        <v>0</v>
      </c>
      <c r="BS34" s="515">
        <v>0</v>
      </c>
      <c r="BT34" s="512">
        <f>+[5]Report1!J39</f>
        <v>0.96318270159508312</v>
      </c>
      <c r="BU34" s="513">
        <f>+[5]Report1!K39</f>
        <v>0.86462303428543996</v>
      </c>
      <c r="BV34" s="513">
        <f>+[5]Report1!BG39</f>
        <v>0.96318270159508312</v>
      </c>
      <c r="BW34" s="513">
        <f>+[5]Report1!BH39</f>
        <v>0.87445112764829958</v>
      </c>
      <c r="BX34" s="510">
        <f>+[5]Report1!R39</f>
        <v>51.353000000000002</v>
      </c>
      <c r="BY34" s="510">
        <f>+[5]Report1!S39</f>
        <v>1364.3539999999998</v>
      </c>
      <c r="BZ34" s="514">
        <f>+[5]Report1!X39</f>
        <v>71.78600598145205</v>
      </c>
      <c r="CA34" s="514">
        <f>+[5]Report1!Y39</f>
        <v>84.357025620624938</v>
      </c>
      <c r="CB34" s="510">
        <f>+[5]Report1!AD39</f>
        <v>1.8440986894631277</v>
      </c>
      <c r="CC34" s="510">
        <f>+[5]Report1!AE39</f>
        <v>2.027780180217158</v>
      </c>
      <c r="CD34" s="514">
        <f>+[5]Report1!AJ39</f>
        <v>0.17720483710786125</v>
      </c>
      <c r="CE34" s="514">
        <f>+[5]Report1!AK39</f>
        <v>7.468736119804685E-2</v>
      </c>
      <c r="CF34" s="514">
        <f>+[5]Report1!AP39</f>
        <v>755.06221642357889</v>
      </c>
      <c r="CG34" s="514">
        <f>+[5]Report1!AQ39</f>
        <v>883.67533645959929</v>
      </c>
      <c r="CH34" s="514">
        <f>+[5]Report1!AV39</f>
        <v>514.52865460635212</v>
      </c>
      <c r="CI34" s="514">
        <f>+[5]Report1!AW39</f>
        <v>193.15194077197017</v>
      </c>
      <c r="CJ34" s="514">
        <f>+[5]Report1!BB39</f>
        <v>0</v>
      </c>
      <c r="CK34" s="514">
        <f>+[5]Report1!BC39</f>
        <v>2.4682831581832825</v>
      </c>
    </row>
    <row r="35" spans="1:89" ht="12.75" customHeight="1">
      <c r="A35" s="568"/>
      <c r="B35" s="512"/>
      <c r="C35" s="513"/>
      <c r="D35" s="513"/>
      <c r="E35" s="513"/>
      <c r="F35" s="510"/>
      <c r="G35" s="510"/>
      <c r="H35" s="510"/>
      <c r="I35" s="510"/>
      <c r="J35" s="510"/>
      <c r="K35" s="511"/>
      <c r="L35" s="512"/>
      <c r="M35" s="513"/>
      <c r="N35" s="513"/>
      <c r="O35" s="513"/>
      <c r="P35" s="510"/>
      <c r="Q35" s="510"/>
      <c r="R35" s="510"/>
      <c r="S35" s="510"/>
      <c r="T35" s="510"/>
      <c r="U35" s="510"/>
      <c r="V35" s="510"/>
      <c r="W35" s="510"/>
      <c r="X35" s="510"/>
      <c r="Y35" s="587"/>
      <c r="Z35" s="512"/>
      <c r="AA35" s="513"/>
      <c r="AB35" s="513"/>
      <c r="AC35" s="513"/>
      <c r="AD35" s="510"/>
      <c r="AE35" s="510"/>
      <c r="AF35" s="510"/>
      <c r="AG35" s="510"/>
      <c r="AH35" s="510"/>
      <c r="AI35" s="510"/>
      <c r="AJ35" s="510"/>
      <c r="AK35" s="587"/>
      <c r="AL35" s="510"/>
      <c r="AM35" s="587"/>
      <c r="AN35" s="512"/>
      <c r="AO35" s="513"/>
      <c r="AP35" s="513"/>
      <c r="AQ35" s="513"/>
      <c r="AR35" s="510"/>
      <c r="AS35" s="510"/>
      <c r="AT35" s="514"/>
      <c r="AU35" s="514"/>
      <c r="AV35" s="510"/>
      <c r="AW35" s="510"/>
      <c r="AX35" s="510"/>
      <c r="AY35" s="510"/>
      <c r="AZ35" s="510"/>
      <c r="BA35" s="510"/>
      <c r="BB35" s="510"/>
      <c r="BC35" s="587"/>
      <c r="BD35" s="510"/>
      <c r="BE35" s="511"/>
      <c r="BF35" s="512"/>
      <c r="BG35" s="513"/>
      <c r="BH35" s="513"/>
      <c r="BI35" s="513"/>
      <c r="BJ35" s="510"/>
      <c r="BK35" s="510"/>
      <c r="BL35" s="510"/>
      <c r="BM35" s="510"/>
      <c r="BN35" s="514"/>
      <c r="BO35" s="514"/>
      <c r="BP35" s="514"/>
      <c r="BQ35" s="514"/>
      <c r="BR35" s="514"/>
      <c r="BS35" s="515"/>
      <c r="BT35" s="512"/>
      <c r="BU35" s="513"/>
      <c r="BV35" s="513"/>
      <c r="BW35" s="513"/>
      <c r="BX35" s="510"/>
      <c r="BY35" s="510"/>
      <c r="BZ35" s="510"/>
      <c r="CA35" s="510"/>
      <c r="CB35" s="510"/>
      <c r="CC35" s="510"/>
      <c r="CD35" s="510"/>
      <c r="CE35" s="510"/>
      <c r="CF35" s="591"/>
      <c r="CG35" s="514"/>
      <c r="CH35" s="514"/>
      <c r="CI35" s="514"/>
      <c r="CJ35" s="514"/>
      <c r="CK35" s="515"/>
    </row>
    <row r="36" spans="1:89" ht="12.75" hidden="1" customHeight="1">
      <c r="A36" s="569" t="s">
        <v>323</v>
      </c>
      <c r="B36" s="644"/>
      <c r="C36" s="624"/>
      <c r="D36" s="625"/>
      <c r="E36" s="624"/>
      <c r="F36" s="645"/>
      <c r="G36" s="646"/>
      <c r="H36" s="647"/>
      <c r="I36" s="648"/>
      <c r="J36" s="647"/>
      <c r="K36" s="649"/>
      <c r="L36" s="644"/>
      <c r="M36" s="624"/>
      <c r="N36" s="625"/>
      <c r="O36" s="624"/>
      <c r="P36" s="645"/>
      <c r="Q36" s="646"/>
      <c r="R36" s="645"/>
      <c r="S36" s="646"/>
      <c r="T36" s="645"/>
      <c r="U36" s="646"/>
      <c r="V36" s="620"/>
      <c r="W36" s="621"/>
      <c r="X36" s="620"/>
      <c r="Y36" s="658"/>
      <c r="Z36" s="656"/>
      <c r="AA36" s="657"/>
      <c r="AB36" s="625"/>
      <c r="AC36" s="624"/>
      <c r="AD36" s="655"/>
      <c r="AE36" s="655"/>
      <c r="AF36" s="655"/>
      <c r="AG36" s="655"/>
      <c r="AH36" s="655"/>
      <c r="AI36" s="655"/>
      <c r="AJ36" s="655"/>
      <c r="AK36" s="655"/>
      <c r="AL36" s="622"/>
      <c r="AM36" s="620"/>
      <c r="AN36" s="656"/>
      <c r="AO36" s="657"/>
      <c r="AP36" s="657"/>
      <c r="AQ36" s="657"/>
      <c r="AR36" s="622"/>
      <c r="AS36" s="622"/>
      <c r="AT36" s="622"/>
      <c r="AU36" s="622"/>
      <c r="AV36" s="622"/>
      <c r="AW36" s="622"/>
      <c r="AX36" s="622"/>
      <c r="AY36" s="622"/>
      <c r="AZ36" s="622"/>
      <c r="BA36" s="622"/>
      <c r="BB36" s="622"/>
      <c r="BC36" s="620"/>
      <c r="BD36" s="622"/>
      <c r="BE36" s="811"/>
      <c r="BF36" s="623"/>
      <c r="BG36" s="624"/>
      <c r="BH36" s="625"/>
      <c r="BI36" s="624"/>
      <c r="BJ36" s="620"/>
      <c r="BK36" s="621"/>
      <c r="BL36" s="620"/>
      <c r="BM36" s="621"/>
      <c r="BN36" s="620"/>
      <c r="BO36" s="621"/>
      <c r="BP36" s="620"/>
      <c r="BQ36" s="621"/>
      <c r="BR36" s="620"/>
      <c r="BS36" s="658"/>
      <c r="BT36" s="623"/>
      <c r="BU36" s="624"/>
      <c r="BV36" s="625"/>
      <c r="BW36" s="624"/>
      <c r="BX36" s="620"/>
      <c r="BY36" s="621"/>
      <c r="BZ36" s="620"/>
      <c r="CA36" s="621"/>
      <c r="CB36" s="620"/>
      <c r="CC36" s="621"/>
      <c r="CD36" s="620"/>
      <c r="CE36" s="621"/>
      <c r="CF36" s="620"/>
      <c r="CG36" s="621"/>
      <c r="CH36" s="622"/>
      <c r="CI36" s="622"/>
      <c r="CJ36" s="622"/>
      <c r="CK36" s="811"/>
    </row>
    <row r="37" spans="1:89" ht="12.75" hidden="1" customHeight="1">
      <c r="A37" s="570" t="s">
        <v>221</v>
      </c>
      <c r="B37" s="668"/>
      <c r="C37" s="627"/>
      <c r="D37" s="626"/>
      <c r="E37" s="627"/>
      <c r="F37" s="669"/>
      <c r="G37" s="670"/>
      <c r="H37" s="671"/>
      <c r="I37" s="672"/>
      <c r="J37" s="671"/>
      <c r="K37" s="673"/>
      <c r="L37" s="668"/>
      <c r="M37" s="627"/>
      <c r="N37" s="626"/>
      <c r="O37" s="627"/>
      <c r="P37" s="669"/>
      <c r="Q37" s="670"/>
      <c r="R37" s="669"/>
      <c r="S37" s="670"/>
      <c r="T37" s="669"/>
      <c r="U37" s="670"/>
      <c r="V37" s="663"/>
      <c r="W37" s="664"/>
      <c r="X37" s="663"/>
      <c r="Y37" s="674"/>
      <c r="Z37" s="659"/>
      <c r="AA37" s="660"/>
      <c r="AB37" s="626"/>
      <c r="AC37" s="627"/>
      <c r="AD37" s="661"/>
      <c r="AE37" s="661"/>
      <c r="AF37" s="661"/>
      <c r="AG37" s="661"/>
      <c r="AH37" s="661"/>
      <c r="AI37" s="661"/>
      <c r="AJ37" s="661"/>
      <c r="AK37" s="661"/>
      <c r="AL37" s="662"/>
      <c r="AM37" s="687"/>
      <c r="AN37" s="659"/>
      <c r="AO37" s="660"/>
      <c r="AP37" s="660"/>
      <c r="AQ37" s="660"/>
      <c r="AR37" s="662"/>
      <c r="AS37" s="662"/>
      <c r="AT37" s="662"/>
      <c r="AU37" s="662"/>
      <c r="AV37" s="662"/>
      <c r="AW37" s="662"/>
      <c r="AX37" s="662"/>
      <c r="AY37" s="662"/>
      <c r="AZ37" s="662"/>
      <c r="BA37" s="662"/>
      <c r="BB37" s="662"/>
      <c r="BC37" s="663"/>
      <c r="BD37" s="662"/>
      <c r="BE37" s="687"/>
      <c r="BF37" s="665"/>
      <c r="BG37" s="627"/>
      <c r="BH37" s="626"/>
      <c r="BI37" s="627"/>
      <c r="BJ37" s="663"/>
      <c r="BK37" s="664"/>
      <c r="BL37" s="663"/>
      <c r="BM37" s="664"/>
      <c r="BN37" s="663"/>
      <c r="BO37" s="664"/>
      <c r="BP37" s="663"/>
      <c r="BQ37" s="664"/>
      <c r="BR37" s="663"/>
      <c r="BS37" s="674"/>
      <c r="BT37" s="665"/>
      <c r="BU37" s="627"/>
      <c r="BV37" s="626"/>
      <c r="BW37" s="627"/>
      <c r="BX37" s="663"/>
      <c r="BY37" s="664"/>
      <c r="BZ37" s="663"/>
      <c r="CA37" s="664"/>
      <c r="CB37" s="663"/>
      <c r="CC37" s="664"/>
      <c r="CD37" s="663"/>
      <c r="CE37" s="664"/>
      <c r="CF37" s="663"/>
      <c r="CG37" s="664"/>
      <c r="CH37" s="662"/>
      <c r="CI37" s="662"/>
      <c r="CJ37" s="662"/>
      <c r="CK37" s="687"/>
    </row>
    <row r="38" spans="1:89" ht="12.75" hidden="1" customHeight="1">
      <c r="A38" s="571" t="s">
        <v>222</v>
      </c>
      <c r="B38" s="688"/>
      <c r="C38" s="684"/>
      <c r="D38" s="686"/>
      <c r="E38" s="684"/>
      <c r="F38" s="675"/>
      <c r="G38" s="676"/>
      <c r="H38" s="689"/>
      <c r="I38" s="690"/>
      <c r="J38" s="689"/>
      <c r="K38" s="691"/>
      <c r="L38" s="688"/>
      <c r="M38" s="684"/>
      <c r="N38" s="686"/>
      <c r="O38" s="684"/>
      <c r="P38" s="675"/>
      <c r="Q38" s="676"/>
      <c r="R38" s="675"/>
      <c r="S38" s="676"/>
      <c r="T38" s="675"/>
      <c r="U38" s="676"/>
      <c r="V38" s="677"/>
      <c r="W38" s="678"/>
      <c r="X38" s="677"/>
      <c r="Y38" s="679"/>
      <c r="Z38" s="680"/>
      <c r="AA38" s="681"/>
      <c r="AB38" s="686"/>
      <c r="AC38" s="684"/>
      <c r="AD38" s="682"/>
      <c r="AE38" s="682"/>
      <c r="AF38" s="682"/>
      <c r="AG38" s="682"/>
      <c r="AH38" s="682"/>
      <c r="AI38" s="682"/>
      <c r="AJ38" s="682"/>
      <c r="AK38" s="682"/>
      <c r="AL38" s="685"/>
      <c r="AM38" s="692"/>
      <c r="AN38" s="680"/>
      <c r="AO38" s="681"/>
      <c r="AP38" s="681"/>
      <c r="AQ38" s="681"/>
      <c r="AR38" s="685"/>
      <c r="AS38" s="685"/>
      <c r="AT38" s="685"/>
      <c r="AU38" s="685"/>
      <c r="AV38" s="685"/>
      <c r="AW38" s="685"/>
      <c r="AX38" s="685"/>
      <c r="AY38" s="685"/>
      <c r="AZ38" s="685"/>
      <c r="BA38" s="685"/>
      <c r="BB38" s="685"/>
      <c r="BC38" s="677"/>
      <c r="BD38" s="685"/>
      <c r="BE38" s="692"/>
      <c r="BF38" s="683"/>
      <c r="BG38" s="684"/>
      <c r="BH38" s="686"/>
      <c r="BI38" s="684"/>
      <c r="BJ38" s="677"/>
      <c r="BK38" s="678"/>
      <c r="BL38" s="677"/>
      <c r="BM38" s="678"/>
      <c r="BN38" s="677"/>
      <c r="BO38" s="678"/>
      <c r="BP38" s="677"/>
      <c r="BQ38" s="678"/>
      <c r="BR38" s="677"/>
      <c r="BS38" s="679"/>
      <c r="BT38" s="683"/>
      <c r="BU38" s="684"/>
      <c r="BV38" s="686"/>
      <c r="BW38" s="684"/>
      <c r="BX38" s="677"/>
      <c r="BY38" s="678"/>
      <c r="BZ38" s="677"/>
      <c r="CA38" s="678"/>
      <c r="CB38" s="677"/>
      <c r="CC38" s="678"/>
      <c r="CD38" s="677"/>
      <c r="CE38" s="678"/>
      <c r="CF38" s="677"/>
      <c r="CG38" s="678"/>
      <c r="CH38" s="685"/>
      <c r="CI38" s="685"/>
      <c r="CJ38" s="685"/>
      <c r="CK38" s="692"/>
    </row>
    <row r="39" spans="1:89" ht="12.75" hidden="1" customHeight="1">
      <c r="A39" s="572" t="s">
        <v>424</v>
      </c>
      <c r="B39" s="693"/>
      <c r="C39" s="652"/>
      <c r="D39" s="651"/>
      <c r="E39" s="652"/>
      <c r="F39" s="694"/>
      <c r="G39" s="695"/>
      <c r="H39" s="653"/>
      <c r="I39" s="654"/>
      <c r="J39" s="694"/>
      <c r="K39" s="696"/>
      <c r="L39" s="693"/>
      <c r="M39" s="652"/>
      <c r="N39" s="651"/>
      <c r="O39" s="652"/>
      <c r="P39" s="694"/>
      <c r="Q39" s="695"/>
      <c r="R39" s="653"/>
      <c r="S39" s="654"/>
      <c r="T39" s="653"/>
      <c r="U39" s="654"/>
      <c r="V39" s="694"/>
      <c r="W39" s="695"/>
      <c r="X39" s="653"/>
      <c r="Y39" s="699"/>
      <c r="Z39" s="700"/>
      <c r="AA39" s="701"/>
      <c r="AB39" s="651"/>
      <c r="AC39" s="652"/>
      <c r="AD39" s="702"/>
      <c r="AE39" s="702"/>
      <c r="AF39" s="698"/>
      <c r="AG39" s="698"/>
      <c r="AH39" s="703"/>
      <c r="AI39" s="703"/>
      <c r="AJ39" s="703"/>
      <c r="AK39" s="703"/>
      <c r="AL39" s="702"/>
      <c r="AM39" s="705"/>
      <c r="AN39" s="652"/>
      <c r="AO39" s="701"/>
      <c r="AP39" s="701"/>
      <c r="AQ39" s="701"/>
      <c r="AR39" s="697"/>
      <c r="AS39" s="697"/>
      <c r="AT39" s="698"/>
      <c r="AU39" s="698"/>
      <c r="AV39" s="698"/>
      <c r="AW39" s="698"/>
      <c r="AX39" s="698"/>
      <c r="AY39" s="698"/>
      <c r="AZ39" s="702"/>
      <c r="BA39" s="702"/>
      <c r="BB39" s="702"/>
      <c r="BC39" s="712"/>
      <c r="BD39" s="702"/>
      <c r="BE39" s="705"/>
      <c r="BF39" s="711"/>
      <c r="BG39" s="652"/>
      <c r="BH39" s="651"/>
      <c r="BI39" s="652"/>
      <c r="BJ39" s="702"/>
      <c r="BK39" s="702"/>
      <c r="BL39" s="698"/>
      <c r="BM39" s="698"/>
      <c r="BN39" s="698"/>
      <c r="BO39" s="698"/>
      <c r="BP39" s="702"/>
      <c r="BQ39" s="702"/>
      <c r="BR39" s="702"/>
      <c r="BS39" s="705"/>
      <c r="BT39" s="711"/>
      <c r="BU39" s="652"/>
      <c r="BV39" s="651"/>
      <c r="BW39" s="652"/>
      <c r="BX39" s="694"/>
      <c r="BY39" s="695"/>
      <c r="BZ39" s="698"/>
      <c r="CA39" s="698"/>
      <c r="CB39" s="698"/>
      <c r="CC39" s="698"/>
      <c r="CD39" s="698"/>
      <c r="CE39" s="698"/>
      <c r="CF39" s="694"/>
      <c r="CG39" s="695"/>
      <c r="CH39" s="704"/>
      <c r="CI39" s="704"/>
      <c r="CJ39" s="704"/>
      <c r="CK39" s="789"/>
    </row>
    <row r="40" spans="1:89" ht="12.75" customHeight="1">
      <c r="A40" s="573" t="s">
        <v>423</v>
      </c>
      <c r="B40" s="706">
        <f>+C34</f>
        <v>0.89986679210292397</v>
      </c>
      <c r="C40" s="707"/>
      <c r="D40" s="733">
        <f>+E34</f>
        <v>0.90007770455700553</v>
      </c>
      <c r="E40" s="707"/>
      <c r="F40" s="708">
        <f>+G34</f>
        <v>1865.5170000000001</v>
      </c>
      <c r="G40" s="709"/>
      <c r="H40" s="708">
        <f>+I34</f>
        <v>2.2984748999875095</v>
      </c>
      <c r="I40" s="709"/>
      <c r="J40" s="708">
        <f>+K34</f>
        <v>910.11683088387656</v>
      </c>
      <c r="K40" s="710"/>
      <c r="L40" s="706">
        <f>+M34</f>
        <v>0.88665975535746266</v>
      </c>
      <c r="M40" s="707"/>
      <c r="N40" s="733">
        <f>+O34</f>
        <v>0.91130227636045102</v>
      </c>
      <c r="O40" s="707"/>
      <c r="P40" s="708">
        <f>+Q34</f>
        <v>1681.0409999999997</v>
      </c>
      <c r="Q40" s="709"/>
      <c r="R40" s="708">
        <f>+S34</f>
        <v>2.3611024359310693</v>
      </c>
      <c r="S40" s="709"/>
      <c r="T40" s="708">
        <f>+U34</f>
        <v>8.5601719410769897E-2</v>
      </c>
      <c r="U40" s="709"/>
      <c r="V40" s="708">
        <f>+W34</f>
        <v>751.421904641232</v>
      </c>
      <c r="W40" s="709"/>
      <c r="X40" s="708">
        <f>+Y34</f>
        <v>160.39777732964276</v>
      </c>
      <c r="Y40" s="710"/>
      <c r="Z40" s="717">
        <f>+AA34</f>
        <v>0.90643195002874466</v>
      </c>
      <c r="AA40" s="715"/>
      <c r="AB40" s="717">
        <f>+AC34</f>
        <v>0.90643195002874466</v>
      </c>
      <c r="AC40" s="715"/>
      <c r="AD40" s="718">
        <f>+AE34</f>
        <v>1304.5220000000002</v>
      </c>
      <c r="AE40" s="718"/>
      <c r="AF40" s="713">
        <f>+AG34</f>
        <v>93.687912863926385</v>
      </c>
      <c r="AG40" s="714"/>
      <c r="AH40" s="713">
        <f>+AI34</f>
        <v>1.3601917024013392</v>
      </c>
      <c r="AI40" s="714"/>
      <c r="AJ40" s="713">
        <f>+AK34</f>
        <v>867.9948824167011</v>
      </c>
      <c r="AK40" s="714"/>
      <c r="AL40" s="718">
        <f>+AM34</f>
        <v>0</v>
      </c>
      <c r="AM40" s="719"/>
      <c r="AN40" s="707">
        <f>+AO34</f>
        <v>0.89554898846394682</v>
      </c>
      <c r="AO40" s="715"/>
      <c r="AP40" s="715">
        <f>+AQ34</f>
        <v>0.90516622970016913</v>
      </c>
      <c r="AQ40" s="715"/>
      <c r="AR40" s="716">
        <f>+AS34</f>
        <v>1480.133</v>
      </c>
      <c r="AS40" s="716"/>
      <c r="AT40" s="713">
        <f>+AU34</f>
        <v>101.4464316391317</v>
      </c>
      <c r="AU40" s="714"/>
      <c r="AV40" s="713">
        <f>+AW34</f>
        <v>1.4403435366956892</v>
      </c>
      <c r="AW40" s="714"/>
      <c r="AX40" s="713">
        <f>+AY34</f>
        <v>0.14586527021558199</v>
      </c>
      <c r="AY40" s="714"/>
      <c r="AZ40" s="718">
        <f>+BA34</f>
        <v>849.3617938387971</v>
      </c>
      <c r="BA40" s="718"/>
      <c r="BB40" s="718">
        <f>+BC34</f>
        <v>387.77382640614013</v>
      </c>
      <c r="BC40" s="708"/>
      <c r="BD40" s="718">
        <f>+BE34</f>
        <v>4.1014476401782778</v>
      </c>
      <c r="BE40" s="719"/>
      <c r="BF40" s="720">
        <f>+BG34</f>
        <v>0.90695192925845458</v>
      </c>
      <c r="BG40" s="707"/>
      <c r="BH40" s="733">
        <f>+BI34</f>
        <v>0.90825057016469368</v>
      </c>
      <c r="BI40" s="707"/>
      <c r="BJ40" s="718">
        <f>+BK34</f>
        <v>1465.1599999999999</v>
      </c>
      <c r="BK40" s="718"/>
      <c r="BL40" s="718">
        <f>+BM34</f>
        <v>2.859209915640613</v>
      </c>
      <c r="BM40" s="718"/>
      <c r="BN40" s="718">
        <f>+BO34</f>
        <v>0</v>
      </c>
      <c r="BO40" s="718"/>
      <c r="BP40" s="718">
        <f>+BQ34</f>
        <v>1013.158972398919</v>
      </c>
      <c r="BQ40" s="718"/>
      <c r="BR40" s="718">
        <f>+BS34</f>
        <v>0</v>
      </c>
      <c r="BS40" s="719"/>
      <c r="BT40" s="720">
        <f>+BU34</f>
        <v>0.86462303428543996</v>
      </c>
      <c r="BU40" s="707"/>
      <c r="BV40" s="733">
        <f>+BW34</f>
        <v>0.87445112764829958</v>
      </c>
      <c r="BW40" s="707"/>
      <c r="BX40" s="708">
        <f>+BY34</f>
        <v>1364.3539999999998</v>
      </c>
      <c r="BY40" s="709"/>
      <c r="BZ40" s="708">
        <f>+CA34</f>
        <v>84.357025620624938</v>
      </c>
      <c r="CA40" s="709"/>
      <c r="CB40" s="708">
        <f>+CC34</f>
        <v>2.027780180217158</v>
      </c>
      <c r="CC40" s="709"/>
      <c r="CD40" s="708">
        <f>+CE34</f>
        <v>7.468736119804685E-2</v>
      </c>
      <c r="CE40" s="709"/>
      <c r="CF40" s="708">
        <f>+CG34</f>
        <v>883.67533645959929</v>
      </c>
      <c r="CG40" s="709"/>
      <c r="CH40" s="718">
        <f>+CI34</f>
        <v>193.15194077197017</v>
      </c>
      <c r="CI40" s="718"/>
      <c r="CJ40" s="718">
        <f>+CK34</f>
        <v>2.4682831581832825</v>
      </c>
      <c r="CK40" s="719"/>
    </row>
    <row r="41" spans="1:89" ht="12.75" customHeight="1">
      <c r="A41" s="574" t="s">
        <v>223</v>
      </c>
      <c r="B41" s="728">
        <f>+'[6]eff all'!$B$41:$C$41</f>
        <v>0.83939758980569712</v>
      </c>
      <c r="C41" s="729"/>
      <c r="D41" s="730">
        <f>+'[6]eff all'!$D$41:$E$41</f>
        <v>0.84053150634019802</v>
      </c>
      <c r="E41" s="729"/>
      <c r="F41" s="731">
        <f>+'[6]eff all'!$F$41:$G$41</f>
        <v>1669.0300000000004</v>
      </c>
      <c r="G41" s="732"/>
      <c r="H41" s="721">
        <f>+'[6]eff all'!$H$41:$I$41</f>
        <v>2.4391880313715144</v>
      </c>
      <c r="I41" s="722"/>
      <c r="J41" s="723">
        <f>+'[6]eff all'!$J$41:$K$41</f>
        <v>1033.4658693971942</v>
      </c>
      <c r="K41" s="725"/>
      <c r="L41" s="728">
        <f>+'[6]eff all'!$L$41:$M$41</f>
        <v>0.88164645374478923</v>
      </c>
      <c r="M41" s="729"/>
      <c r="N41" s="730">
        <f>+'[6]eff all'!$N$41:$O$41</f>
        <v>0.90721678437063535</v>
      </c>
      <c r="O41" s="729"/>
      <c r="P41" s="723">
        <f>+'[6]eff all'!$P$41:$Q$41</f>
        <v>1849.2530000000002</v>
      </c>
      <c r="Q41" s="724"/>
      <c r="R41" s="721">
        <f>+'[6]eff all'!$R$41:$S$41</f>
        <v>2.6039627892992474</v>
      </c>
      <c r="S41" s="722"/>
      <c r="T41" s="721">
        <f>+'[6]eff all'!$T$41:$U$41</f>
        <v>0.22857878289233541</v>
      </c>
      <c r="U41" s="722"/>
      <c r="V41" s="723">
        <f>+'[6]eff all'!$V$41:$W$41</f>
        <v>604.72261502347192</v>
      </c>
      <c r="W41" s="724"/>
      <c r="X41" s="723">
        <f>+'[6]eff all'!$X$41:$Y$41</f>
        <v>521.7858237893895</v>
      </c>
      <c r="Y41" s="725"/>
      <c r="Z41" s="726">
        <f>+'[6]eff all'!$Z$41:$AA$41</f>
        <v>0.88193173114859524</v>
      </c>
      <c r="AA41" s="727"/>
      <c r="AB41" s="727">
        <f>+'[6]eff all'!$AB$41:$AC$41</f>
        <v>0.88340653340367237</v>
      </c>
      <c r="AC41" s="727"/>
      <c r="AD41" s="737">
        <f>+'[6]eff all'!$AD$41:$AE$41</f>
        <v>1253.7050000000004</v>
      </c>
      <c r="AE41" s="737"/>
      <c r="AF41" s="735">
        <f>+'[6]eff all'!$AF$41:$AG$41</f>
        <v>98.517030917360543</v>
      </c>
      <c r="AG41" s="735"/>
      <c r="AH41" s="736">
        <f>+'[6]eff all'!$AH$41:$AI$41</f>
        <v>1.4871121994408565</v>
      </c>
      <c r="AI41" s="736"/>
      <c r="AJ41" s="736">
        <f>+'[6]eff all'!$AJ$41:$AK$41</f>
        <v>885.26051981925434</v>
      </c>
      <c r="AK41" s="736"/>
      <c r="AL41" s="735">
        <f>+'[6]eff all'!$AL$41:$AM$41</f>
        <v>0</v>
      </c>
      <c r="AM41" s="738"/>
      <c r="AN41" s="729">
        <f>+'[6]eff all'!$AN$41:$AO$41</f>
        <v>0.88320076687716276</v>
      </c>
      <c r="AO41" s="727"/>
      <c r="AP41" s="727">
        <f>+'[6]eff all'!$AP$41:$AQ$41</f>
        <v>0.89534439715396263</v>
      </c>
      <c r="AQ41" s="727"/>
      <c r="AR41" s="734">
        <f>+'[6]eff all'!$AR$41:$AS$41</f>
        <v>1406.635</v>
      </c>
      <c r="AS41" s="734"/>
      <c r="AT41" s="735">
        <f>+'[6]eff all'!$AT$41:$AU$41</f>
        <v>105.33379299664101</v>
      </c>
      <c r="AU41" s="735"/>
      <c r="AV41" s="736">
        <f>+'[6]eff all'!$AV$41:$AW$41</f>
        <v>1.5242049287839419</v>
      </c>
      <c r="AW41" s="736"/>
      <c r="AX41" s="736">
        <f>+'[6]eff all'!$AX$41:$AY$41</f>
        <v>8.076011189825362E-2</v>
      </c>
      <c r="AY41" s="736"/>
      <c r="AZ41" s="735">
        <f>+'[6]eff all'!$AZ$41:$BA$41</f>
        <v>927.60064977766092</v>
      </c>
      <c r="BA41" s="735"/>
      <c r="BB41" s="735">
        <f>+'[6]eff all'!$BB$41:$BC$41</f>
        <v>240.2739175407979</v>
      </c>
      <c r="BC41" s="723"/>
      <c r="BD41" s="735">
        <f>+'[6]eff all'!$BD$41:$BE$41</f>
        <v>16.955357999765397</v>
      </c>
      <c r="BE41" s="738"/>
      <c r="BF41" s="747">
        <f>+'[6]eff all'!$BF$41:$BG$41</f>
        <v>0.88101947107260103</v>
      </c>
      <c r="BG41" s="729"/>
      <c r="BH41" s="748">
        <f>+'[6]eff all'!$BH$41:$BI$41</f>
        <v>0.88362769927484108</v>
      </c>
      <c r="BI41" s="749"/>
      <c r="BJ41" s="731">
        <f>+'[6]eff all'!$BJ$41:$BK$41</f>
        <v>1457.0090000000002</v>
      </c>
      <c r="BK41" s="732"/>
      <c r="BL41" s="721">
        <f>+'[6]eff all'!$BL$41:$BM$41</f>
        <v>2.7597633233562728</v>
      </c>
      <c r="BM41" s="722"/>
      <c r="BN41" s="721">
        <f>+'[6]eff all'!$BN$41:$BO$41</f>
        <v>0</v>
      </c>
      <c r="BO41" s="722"/>
      <c r="BP41" s="723">
        <f>+'[6]eff all'!$BP$41:$BQ$41</f>
        <v>932.94369492569979</v>
      </c>
      <c r="BQ41" s="724"/>
      <c r="BR41" s="723">
        <f>+'[6]eff all'!$BR$41:$BS$41</f>
        <v>0</v>
      </c>
      <c r="BS41" s="725"/>
      <c r="BT41" s="747">
        <f>+'[6]eff all'!$BT$41:$BU$41</f>
        <v>0.89958178262093658</v>
      </c>
      <c r="BU41" s="729"/>
      <c r="BV41" s="730">
        <f>+'[6]eff all'!$BV$41:$BW$41</f>
        <v>0.90458737037626458</v>
      </c>
      <c r="BW41" s="729"/>
      <c r="BX41" s="731">
        <f>+'[6]eff all'!$BX$41:$BY$41</f>
        <v>1385.694</v>
      </c>
      <c r="BY41" s="732"/>
      <c r="BZ41" s="723">
        <f>+'[6]eff all'!$BZ$41:$CA$41</f>
        <v>82.805082393313654</v>
      </c>
      <c r="CA41" s="724"/>
      <c r="CB41" s="721">
        <f>+'[6]eff all'!$CB$41:$CC$41</f>
        <v>1.9750969550275892</v>
      </c>
      <c r="CC41" s="722"/>
      <c r="CD41" s="721">
        <f>+'[6]eff all'!$CD$41:$CE$41</f>
        <v>5.6505981840146526E-2</v>
      </c>
      <c r="CE41" s="722"/>
      <c r="CF41" s="723">
        <f>+'[6]eff all'!$CF$41:$CG$41</f>
        <v>886.8080976030775</v>
      </c>
      <c r="CG41" s="724"/>
      <c r="CH41" s="735">
        <f>+'[6]eff all'!$CH$41:$CI$41</f>
        <v>150.23872370090368</v>
      </c>
      <c r="CI41" s="735"/>
      <c r="CJ41" s="735">
        <f>+'[6]eff all'!$CJ$41:$CK$41</f>
        <v>14.750731402459706</v>
      </c>
      <c r="CK41" s="738"/>
    </row>
    <row r="42" spans="1:89" ht="12.75" customHeight="1">
      <c r="A42" s="575" t="s">
        <v>224</v>
      </c>
      <c r="B42" s="743">
        <f>+'[7]eff all'!$B$42:$C$42</f>
        <v>0.89683016748794442</v>
      </c>
      <c r="C42" s="744"/>
      <c r="D42" s="745">
        <f>+'[7]eff all'!$D$42:$E$42</f>
        <v>0.91651254782215474</v>
      </c>
      <c r="E42" s="744"/>
      <c r="F42" s="739">
        <f>+'[7]eff all'!$F$42:$G$42</f>
        <v>1608.12</v>
      </c>
      <c r="G42" s="740"/>
      <c r="H42" s="741">
        <f>+'[7]eff all'!$H$42:$I$42</f>
        <v>2.3160037808123777</v>
      </c>
      <c r="I42" s="742"/>
      <c r="J42" s="739">
        <f>+'[7]eff all'!$J$42:$K$42</f>
        <v>1025.4408439668696</v>
      </c>
      <c r="K42" s="746"/>
      <c r="L42" s="743">
        <f>+'[7]eff all'!$L$42:$M$42</f>
        <v>0.92866754762333059</v>
      </c>
      <c r="M42" s="744"/>
      <c r="N42" s="745">
        <f>+'[7]eff all'!$N$42:$O$42</f>
        <v>0.93793898235070616</v>
      </c>
      <c r="O42" s="744"/>
      <c r="P42" s="739">
        <f>+'[7]eff all'!$P$42:$Q$42</f>
        <v>1827.3590000000004</v>
      </c>
      <c r="Q42" s="740"/>
      <c r="R42" s="741">
        <f>+'[7]eff all'!$R$42:$S$42</f>
        <v>2.0916446631450083</v>
      </c>
      <c r="S42" s="742"/>
      <c r="T42" s="741">
        <f>+'[7]eff all'!$T$42:$U$42</f>
        <v>0.23153633194134263</v>
      </c>
      <c r="U42" s="742"/>
      <c r="V42" s="739">
        <f>+'[7]eff all'!$V$42:$W$42</f>
        <v>614.27862833739778</v>
      </c>
      <c r="W42" s="740"/>
      <c r="X42" s="739">
        <f>+'[7]eff all'!$X$42:$Y$42</f>
        <v>437.11553121198392</v>
      </c>
      <c r="Y42" s="746"/>
      <c r="Z42" s="770">
        <f>+'[7]eff all'!$Z$42:$AA$42</f>
        <v>0.83629623576679857</v>
      </c>
      <c r="AA42" s="761"/>
      <c r="AB42" s="761">
        <f>+'[7]eff all'!$AB$42:$AC$42</f>
        <v>0.84011645284697367</v>
      </c>
      <c r="AC42" s="761"/>
      <c r="AD42" s="755">
        <f>+'[7]eff all'!$AD$42:$AE$42</f>
        <v>1132.2849999999999</v>
      </c>
      <c r="AE42" s="755"/>
      <c r="AF42" s="755">
        <f>+'[7]eff all'!$AF$42:$AG$42</f>
        <v>111.28199961501578</v>
      </c>
      <c r="AG42" s="755"/>
      <c r="AH42" s="763">
        <f>+'[7]eff all'!$AH$42:$AI$42</f>
        <v>1.6594761919481404</v>
      </c>
      <c r="AI42" s="763"/>
      <c r="AJ42" s="763">
        <f>+'[7]eff all'!$AJ$42:$AK$42</f>
        <v>964.83334142905812</v>
      </c>
      <c r="AK42" s="763"/>
      <c r="AL42" s="755">
        <f>+'[7]eff all'!$AL$42:$AM$42</f>
        <v>0</v>
      </c>
      <c r="AM42" s="756"/>
      <c r="AN42" s="744">
        <f>+'[7]eff all'!$AN$42:$AO$42</f>
        <v>0.841493556505851</v>
      </c>
      <c r="AO42" s="761"/>
      <c r="AP42" s="761">
        <f>+'[7]eff all'!$AP$42:$AQ$42</f>
        <v>0.85108230952572761</v>
      </c>
      <c r="AQ42" s="761"/>
      <c r="AR42" s="762">
        <f>+'[7]eff all'!$AR$42:$AS$42</f>
        <v>1316.3440000000001</v>
      </c>
      <c r="AS42" s="762"/>
      <c r="AT42" s="755">
        <f>+'[7]eff all'!$AT$42:$AU$42</f>
        <v>121.83943867945894</v>
      </c>
      <c r="AU42" s="755"/>
      <c r="AV42" s="763">
        <f>+'[7]eff all'!$AV$42:$AW$42</f>
        <v>1.4904158791318984</v>
      </c>
      <c r="AW42" s="763"/>
      <c r="AX42" s="763">
        <f>+'[7]eff all'!$AX$42:$AY$42</f>
        <v>0.19523771901569797</v>
      </c>
      <c r="AY42" s="763"/>
      <c r="AZ42" s="755">
        <f>+'[7]eff all'!$AZ$42:$BA$42</f>
        <v>883.63400448514949</v>
      </c>
      <c r="BA42" s="755"/>
      <c r="BB42" s="755">
        <f>+'[7]eff all'!$BB$42:$BC$42</f>
        <v>521.88219796648889</v>
      </c>
      <c r="BC42" s="739"/>
      <c r="BD42" s="755">
        <f>+'[7]eff all'!$BD$42:$BE$42</f>
        <v>0</v>
      </c>
      <c r="BE42" s="756"/>
      <c r="BF42" s="760">
        <f>+'[7]eff all'!$BF$42:$BG$42</f>
        <v>0.81559727954315242</v>
      </c>
      <c r="BG42" s="744"/>
      <c r="BH42" s="745">
        <f>+'[7]eff all'!$BH$42:$BI$42</f>
        <v>0.82877820530328572</v>
      </c>
      <c r="BI42" s="744"/>
      <c r="BJ42" s="739">
        <f>+'[7]eff all'!$BJ$42:$BK$42</f>
        <v>1259.7350000000001</v>
      </c>
      <c r="BK42" s="740"/>
      <c r="BL42" s="741">
        <f>+'[7]eff all'!$BL$42:$BM$42</f>
        <v>2.8948151793829653</v>
      </c>
      <c r="BM42" s="742"/>
      <c r="BN42" s="741">
        <f>+'[7]eff all'!$BN$42:$BO$42</f>
        <v>0</v>
      </c>
      <c r="BO42" s="742"/>
      <c r="BP42" s="739">
        <f>+'[7]eff all'!$BP$42:$BQ$42</f>
        <v>971.01940308418136</v>
      </c>
      <c r="BQ42" s="740"/>
      <c r="BR42" s="739">
        <f>+'[7]eff all'!$BR$42:$BS$42</f>
        <v>0</v>
      </c>
      <c r="BS42" s="746"/>
      <c r="BT42" s="760">
        <f>+'[7]eff all'!$BT$42:$BU$42</f>
        <v>0.90927146053562879</v>
      </c>
      <c r="BU42" s="744"/>
      <c r="BV42" s="745">
        <f>+'[7]eff all'!$BV$42:$BW$42</f>
        <v>0.93351910522430248</v>
      </c>
      <c r="BW42" s="744"/>
      <c r="BX42" s="739">
        <f>+'[7]eff all'!$BX$42:$BY$42</f>
        <v>1433.0600000000002</v>
      </c>
      <c r="BY42" s="740"/>
      <c r="BZ42" s="739">
        <f>+'[7]eff all'!$BZ$42:$CA$42</f>
        <v>77.094083288095504</v>
      </c>
      <c r="CA42" s="740"/>
      <c r="CB42" s="741">
        <f>+'[7]eff all'!$CB$42:$CC$42</f>
        <v>1.8864527654110776</v>
      </c>
      <c r="CC42" s="742"/>
      <c r="CD42" s="741">
        <f>+'[7]eff all'!$CD$42:$CE$42</f>
        <v>0.14263185072502196</v>
      </c>
      <c r="CE42" s="742"/>
      <c r="CF42" s="739">
        <f>+'[7]eff all'!$CF$42:$CG$42</f>
        <v>754.59782022786919</v>
      </c>
      <c r="CG42" s="740"/>
      <c r="CH42" s="755">
        <f>+'[7]eff all'!$CH$42:$CI$42</f>
        <v>384.70371094022579</v>
      </c>
      <c r="CI42" s="755"/>
      <c r="CJ42" s="755">
        <v>0</v>
      </c>
      <c r="CK42" s="756"/>
    </row>
    <row r="43" spans="1:89" ht="12.75" customHeight="1">
      <c r="A43" s="576" t="s">
        <v>225</v>
      </c>
      <c r="B43" s="757">
        <f>+'[8]eff all'!$B$43:$C$43</f>
        <v>0.81728992699563985</v>
      </c>
      <c r="C43" s="753"/>
      <c r="D43" s="752">
        <f>+'[8]eff all'!$D$43:$E$43</f>
        <v>0.81728992699563985</v>
      </c>
      <c r="E43" s="753"/>
      <c r="F43" s="750">
        <f>+'[8]eff all'!$F$43:$G$43</f>
        <v>1753.6980000000001</v>
      </c>
      <c r="G43" s="754"/>
      <c r="H43" s="758">
        <f>+'[8]eff all'!$H$43:$I$43</f>
        <v>2.3283626941468825</v>
      </c>
      <c r="I43" s="759"/>
      <c r="J43" s="750">
        <f>+'[8]eff all'!$J$43:$K$43</f>
        <v>919.17354641449094</v>
      </c>
      <c r="K43" s="751"/>
      <c r="L43" s="757">
        <f>+'[8]eff all'!$L$43:$M$43</f>
        <v>0.88541366395827092</v>
      </c>
      <c r="M43" s="753"/>
      <c r="N43" s="752">
        <f>+'[8]eff all'!$N$43:$O$43</f>
        <v>0.92564375346980865</v>
      </c>
      <c r="O43" s="753"/>
      <c r="P43" s="750">
        <f>+'[8]eff all'!$P$43:$Q$43</f>
        <v>1848.3660000000002</v>
      </c>
      <c r="Q43" s="754"/>
      <c r="R43" s="758">
        <f>+'[8]eff all'!$R$43:$S$43</f>
        <v>2.3081272864789759</v>
      </c>
      <c r="S43" s="759"/>
      <c r="T43" s="758">
        <f>+'[8]eff all'!$T$43:$U$43</f>
        <v>0.22165523494805681</v>
      </c>
      <c r="U43" s="759"/>
      <c r="V43" s="750">
        <f>+'[8]eff all'!$V$43:$W$43</f>
        <v>640.41014604250449</v>
      </c>
      <c r="W43" s="754"/>
      <c r="X43" s="750">
        <f>+'[8]eff all'!$X$43:$Y$43</f>
        <v>434.93518058652887</v>
      </c>
      <c r="Y43" s="751"/>
      <c r="Z43" s="776">
        <f>+'[8]eff all'!$Z$43:$AA$43</f>
        <v>0.80335180840639453</v>
      </c>
      <c r="AA43" s="753"/>
      <c r="AB43" s="752">
        <f>+'[8]eff all'!$AB$43:$AC$43</f>
        <v>0.86162048557993176</v>
      </c>
      <c r="AC43" s="753"/>
      <c r="AD43" s="750">
        <f>+'[8]eff all'!$AD$43:$AE$43</f>
        <v>1130.835</v>
      </c>
      <c r="AE43" s="754"/>
      <c r="AF43" s="750">
        <f>+'[8]eff all'!$AF$43:$AG$43</f>
        <v>107.89351601751943</v>
      </c>
      <c r="AG43" s="754"/>
      <c r="AH43" s="758">
        <f>+'[8]eff all'!$AH$43:$AI$43</f>
        <v>1.5947507815021644</v>
      </c>
      <c r="AI43" s="759"/>
      <c r="AJ43" s="758">
        <f>+'[8]eff all'!$AJ$43:$AK$43</f>
        <v>914.38361918405428</v>
      </c>
      <c r="AK43" s="759"/>
      <c r="AL43" s="750">
        <f>+'[8]eff all'!$AL$43:$AM$43</f>
        <v>20.165629822211024</v>
      </c>
      <c r="AM43" s="751"/>
      <c r="AN43" s="776">
        <f>+'[8]eff all'!$AN$43:$AO$43</f>
        <v>0.85071018918198382</v>
      </c>
      <c r="AO43" s="753"/>
      <c r="AP43" s="752">
        <f>+'[8]eff all'!$AP$43:$AQ$43</f>
        <v>0.85071018918198382</v>
      </c>
      <c r="AQ43" s="753"/>
      <c r="AR43" s="771">
        <f>+'[8]eff all'!$AR$43:$AS$43</f>
        <v>1375.3570000000002</v>
      </c>
      <c r="AS43" s="772"/>
      <c r="AT43" s="750">
        <f>+'[8]eff all'!$AT$43:$AU$43</f>
        <v>113.79764973808959</v>
      </c>
      <c r="AU43" s="754"/>
      <c r="AV43" s="758">
        <f>+'[8]eff all'!$AV$43:$AW$43</f>
        <v>1.4656558260873356</v>
      </c>
      <c r="AW43" s="759"/>
      <c r="AX43" s="758">
        <f>+'[8]eff all'!$AX$43:$AY$43</f>
        <v>0.1861334911590227</v>
      </c>
      <c r="AY43" s="759"/>
      <c r="AZ43" s="750">
        <f>+'[8]eff all'!$AZ$43:$BA$43</f>
        <v>878.4606469447566</v>
      </c>
      <c r="BA43" s="754"/>
      <c r="BB43" s="750">
        <f>+'[8]eff all'!$BB$43:$BC$43</f>
        <v>550.25945990750074</v>
      </c>
      <c r="BC43" s="751"/>
      <c r="BD43" s="812">
        <f>+'[8]eff all'!$BD$43:$BE$43</f>
        <v>0</v>
      </c>
      <c r="BE43" s="751"/>
      <c r="BF43" s="776">
        <f>+'[8]eff all'!$BF$43:$BG$43</f>
        <v>0.89363459307778192</v>
      </c>
      <c r="BG43" s="753"/>
      <c r="BH43" s="752">
        <f>+'[8]eff all'!$BH$43:$BI$43</f>
        <v>0.89363459307778192</v>
      </c>
      <c r="BI43" s="753"/>
      <c r="BJ43" s="750">
        <f>+'[8]eff all'!$BJ$43:$BK$43</f>
        <v>1430.6919999999998</v>
      </c>
      <c r="BK43" s="754"/>
      <c r="BL43" s="758">
        <f>+'[8]eff all'!$BL$43:$BM$43</f>
        <v>2.6821286482345617</v>
      </c>
      <c r="BM43" s="759"/>
      <c r="BN43" s="758">
        <f>+'[8]eff all'!$BN$43:$BO$43</f>
        <v>0</v>
      </c>
      <c r="BO43" s="759"/>
      <c r="BP43" s="750">
        <f>+'[8]eff all'!$BP$43:$BQ$43</f>
        <v>974.33568621579991</v>
      </c>
      <c r="BQ43" s="754"/>
      <c r="BR43" s="750">
        <f>+'[8]eff all'!$BR$43:$BS$43</f>
        <v>0</v>
      </c>
      <c r="BS43" s="751"/>
      <c r="BT43" s="776">
        <f>+'[8]eff all'!$BT$43:$BU$43</f>
        <v>0.90863447914298279</v>
      </c>
      <c r="BU43" s="753"/>
      <c r="BV43" s="752">
        <f>+'[8]eff all'!$BV$43:$BW$43</f>
        <v>0.91878389692957507</v>
      </c>
      <c r="BW43" s="753"/>
      <c r="BX43" s="750">
        <f>+'[8]eff all'!$BX$43:$BY$43</f>
        <v>1460.105</v>
      </c>
      <c r="BY43" s="754"/>
      <c r="BZ43" s="750">
        <f>+'[8]eff all'!$BZ$43:$CA$43</f>
        <v>77.669648185232361</v>
      </c>
      <c r="CA43" s="754"/>
      <c r="CB43" s="758">
        <f>+'[8]eff all'!$CB$43:$CC$43</f>
        <v>2.0032805859852543</v>
      </c>
      <c r="CC43" s="759"/>
      <c r="CD43" s="758">
        <f>+'[8]eff all'!$CD$43:$CE$43</f>
        <v>8.3692611147828416E-2</v>
      </c>
      <c r="CE43" s="759"/>
      <c r="CF43" s="750">
        <f>+'[8]eff all'!$CF$43:$CG$43</f>
        <v>840.7660191674878</v>
      </c>
      <c r="CG43" s="754"/>
      <c r="CH43" s="750">
        <f>+'[8]eff all'!$CH$43:$CI$43</f>
        <v>246.27502816578257</v>
      </c>
      <c r="CI43" s="751"/>
      <c r="CJ43" s="812">
        <f>+'[8]eff all'!$CJ$43:$CK$43</f>
        <v>19.550648754712846</v>
      </c>
      <c r="CK43" s="751"/>
    </row>
    <row r="44" spans="1:89" ht="12.75" customHeight="1">
      <c r="A44" s="577" t="s">
        <v>226</v>
      </c>
      <c r="B44" s="765">
        <f>+'[9]eff all'!$B$44:$C$44</f>
        <v>0.85128629745489748</v>
      </c>
      <c r="C44" s="766"/>
      <c r="D44" s="767">
        <f>+'[9]eff all'!$D$44:$E$44</f>
        <v>0.88261388777069127</v>
      </c>
      <c r="E44" s="766"/>
      <c r="F44" s="768">
        <f>+'[9]eff all'!$F$44:$G$44</f>
        <v>1626.8629999999996</v>
      </c>
      <c r="G44" s="769"/>
      <c r="H44" s="773">
        <f>+'[9]eff all'!$H$44:$I$44</f>
        <v>2.4992417923328527</v>
      </c>
      <c r="I44" s="774"/>
      <c r="J44" s="768">
        <f>+'[9]eff all'!$J$44:$K$44</f>
        <v>943.70529048850415</v>
      </c>
      <c r="K44" s="775"/>
      <c r="L44" s="765">
        <f>+'[9]eff all'!$L$44:$M$44</f>
        <v>0.91684997474795549</v>
      </c>
      <c r="M44" s="766"/>
      <c r="N44" s="767">
        <f>+'[9]eff all'!$N$44:$O$44</f>
        <v>0.9454769668630435</v>
      </c>
      <c r="O44" s="766"/>
      <c r="P44" s="768">
        <f>+'[9]eff all'!$P$44:$Q$44</f>
        <v>1788.1659999999997</v>
      </c>
      <c r="Q44" s="769"/>
      <c r="R44" s="773">
        <f>+'[9]eff all'!$R$44:$S$44</f>
        <v>2.1331811476115754</v>
      </c>
      <c r="S44" s="774"/>
      <c r="T44" s="773">
        <f>+'[9]eff all'!$T$44:$U$44</f>
        <v>0.21231250342529728</v>
      </c>
      <c r="U44" s="774"/>
      <c r="V44" s="773">
        <f>+'[9]eff all'!$V$44:$W$44</f>
        <v>722.2509375527776</v>
      </c>
      <c r="W44" s="774"/>
      <c r="X44" s="773">
        <f>+'[9]eff all'!$X$44:$Y$44</f>
        <v>464.24761459506601</v>
      </c>
      <c r="Y44" s="777"/>
      <c r="Z44" s="781">
        <f>+'[9]eff all'!$Z$44:$AA$44</f>
        <v>0.86206949583301151</v>
      </c>
      <c r="AA44" s="782"/>
      <c r="AB44" s="782">
        <f>+'[9]eff all'!$AB$44:$AC$44</f>
        <v>0.90942581099977049</v>
      </c>
      <c r="AC44" s="782"/>
      <c r="AD44" s="778">
        <f>+'[9]eff all'!$AD$44:$AE$44</f>
        <v>1188.7909999999999</v>
      </c>
      <c r="AE44" s="778"/>
      <c r="AF44" s="778">
        <f>+'[9]eff all'!$AF$44:$AG$44</f>
        <v>106.25948485661435</v>
      </c>
      <c r="AG44" s="778"/>
      <c r="AH44" s="764">
        <f>+'[9]eff all'!$AH$44:$AI$44</f>
        <v>1.5097691688446497</v>
      </c>
      <c r="AI44" s="764"/>
      <c r="AJ44" s="764">
        <f>+'[9]eff all'!$AJ$44:$AK$44</f>
        <v>921.84495003747463</v>
      </c>
      <c r="AK44" s="764"/>
      <c r="AL44" s="778">
        <f>+'[9]eff all'!$AL$44:$AM$44</f>
        <v>7.5538929887591681</v>
      </c>
      <c r="AM44" s="768"/>
      <c r="AN44" s="781">
        <f>+'[9]eff all'!$AN$44:$AO$44</f>
        <v>0.9113017975148916</v>
      </c>
      <c r="AO44" s="782"/>
      <c r="AP44" s="782">
        <f>+'[9]eff all'!$AP$44:$AQ$44</f>
        <v>0.94321744444989342</v>
      </c>
      <c r="AQ44" s="782"/>
      <c r="AR44" s="784">
        <f>+'[9]eff all'!$AR$44:$AS$44</f>
        <v>1441.538</v>
      </c>
      <c r="AS44" s="784"/>
      <c r="AT44" s="778">
        <f>+'[9]eff all'!$AT$44:$AU$44</f>
        <v>98.381360721465839</v>
      </c>
      <c r="AU44" s="778"/>
      <c r="AV44" s="764">
        <f>+'[9]eff all'!$AV$44:$AW$44</f>
        <v>1.4245895703061591</v>
      </c>
      <c r="AW44" s="764"/>
      <c r="AX44" s="778">
        <f>+'[9]eff all'!$AX$44:$AY$44</f>
        <v>6.3755312952158888E-2</v>
      </c>
      <c r="AY44" s="778"/>
      <c r="AZ44" s="778">
        <f>+'[9]eff all'!$AZ$44:$BA$44</f>
        <v>884.49349236718024</v>
      </c>
      <c r="BA44" s="778"/>
      <c r="BB44" s="778">
        <f>+'[9]eff all'!$BB$44:$BC$44</f>
        <v>178.9753721372584</v>
      </c>
      <c r="BC44" s="779"/>
      <c r="BD44" s="769">
        <f>+'[9]eff all'!$BD$44:$BE$44</f>
        <v>0</v>
      </c>
      <c r="BE44" s="779"/>
      <c r="BF44" s="783">
        <f>+'[9]eff all'!$BF$44:$BG$44</f>
        <v>0.83968007638049036</v>
      </c>
      <c r="BG44" s="766"/>
      <c r="BH44" s="767">
        <f>+'[9]eff all'!$BH$44:$BI$44</f>
        <v>0.88025535162218882</v>
      </c>
      <c r="BI44" s="766"/>
      <c r="BJ44" s="768">
        <f>+'[9]eff all'!$BJ$44:$BK$44</f>
        <v>1283.7219999999998</v>
      </c>
      <c r="BK44" s="769"/>
      <c r="BL44" s="773">
        <f>+'[9]eff all'!$BL$44:$BM$44</f>
        <v>2.9010175100216404</v>
      </c>
      <c r="BM44" s="774"/>
      <c r="BN44" s="773">
        <f>+'[9]eff all'!$BN$44:$BO$44</f>
        <v>0</v>
      </c>
      <c r="BO44" s="774"/>
      <c r="BP44" s="768">
        <f>+'[9]eff all'!$BP$44:$BQ$44</f>
        <v>1018.1901188326394</v>
      </c>
      <c r="BQ44" s="769"/>
      <c r="BR44" s="768">
        <f>+'[9]eff all'!$BR$44:$BS$44</f>
        <v>0</v>
      </c>
      <c r="BS44" s="780"/>
      <c r="BT44" s="781">
        <f>+'[9]eff all'!$BT$44:$BU$44</f>
        <v>0.86479672437549404</v>
      </c>
      <c r="BU44" s="782"/>
      <c r="BV44" s="782">
        <f>+'[9]eff all'!$BV$44:$BW$44</f>
        <v>0.91368891665471463</v>
      </c>
      <c r="BW44" s="782"/>
      <c r="BX44" s="778">
        <f>+'[9]eff all'!$BX$44:$BY$44</f>
        <v>1364.9880000000001</v>
      </c>
      <c r="BY44" s="778"/>
      <c r="BZ44" s="764">
        <f>+'[9]eff all'!$BZ$44:$CA$44</f>
        <v>71.774411764880114</v>
      </c>
      <c r="CA44" s="764"/>
      <c r="CB44" s="764">
        <f>+'[9]eff all'!$CB$44:$CC$44</f>
        <v>1.9880760856505704</v>
      </c>
      <c r="CC44" s="764"/>
      <c r="CD44" s="764">
        <f>+'[9]eff all'!$CD$44:$CE$44</f>
        <v>0.17403816004243261</v>
      </c>
      <c r="CE44" s="764"/>
      <c r="CF44" s="778">
        <f>+'[9]eff all'!$CF$44:$CG$44</f>
        <v>844.20451628287208</v>
      </c>
      <c r="CG44" s="778"/>
      <c r="CH44" s="778">
        <f>+'[9]eff all'!$CH$44:$CI$44</f>
        <v>469.40954792276608</v>
      </c>
      <c r="CI44" s="779"/>
      <c r="CJ44" s="769">
        <f>+'[9]eff all'!$CJ$44:$CK$44</f>
        <v>0</v>
      </c>
      <c r="CK44" s="779"/>
    </row>
    <row r="45" spans="1:89">
      <c r="A45" s="569" t="s">
        <v>227</v>
      </c>
      <c r="B45" s="644">
        <f>+'[10]eff all'!$B$45:$C$45</f>
        <v>0.84979165368605014</v>
      </c>
      <c r="C45" s="624"/>
      <c r="D45" s="625">
        <f>+'[10]eff all'!$D$45:$E$45</f>
        <v>0.85889246846907286</v>
      </c>
      <c r="E45" s="624"/>
      <c r="F45" s="620">
        <f>+'[10]eff all'!$F$45:$G$45</f>
        <v>1534.4690000000003</v>
      </c>
      <c r="G45" s="621"/>
      <c r="H45" s="645">
        <f>+'[10]eff all'!$H$45:$I$45</f>
        <v>2.4307190304919817</v>
      </c>
      <c r="I45" s="646"/>
      <c r="J45" s="620">
        <f>+'[10]eff all'!$J$45:$K$45</f>
        <v>1009.2876688939294</v>
      </c>
      <c r="K45" s="658"/>
      <c r="L45" s="644">
        <f>+'[10]eff all'!$L$45:$M$45</f>
        <v>0.85741705611332952</v>
      </c>
      <c r="M45" s="624"/>
      <c r="N45" s="625">
        <f>+'[10]eff all'!$N$45:$O$45</f>
        <v>0.89481520731611941</v>
      </c>
      <c r="O45" s="624"/>
      <c r="P45" s="620">
        <f>+'[10]eff all'!$P$45:$Q$45</f>
        <v>1704.768</v>
      </c>
      <c r="Q45" s="621"/>
      <c r="R45" s="645">
        <f>+'[10]eff all'!$R$45:$S$45</f>
        <v>2.4058077110785745</v>
      </c>
      <c r="S45" s="646"/>
      <c r="T45" s="645">
        <f>+'[10]eff all'!$T$45:$U$45</f>
        <v>0.14817265457821827</v>
      </c>
      <c r="U45" s="646"/>
      <c r="V45" s="645">
        <f>+'[10]eff all'!$V$45:$W$45</f>
        <v>708.74890307654778</v>
      </c>
      <c r="W45" s="646"/>
      <c r="X45" s="645">
        <f>+'[10]eff all'!$X$45:$Y$45</f>
        <v>419.01830630326219</v>
      </c>
      <c r="Y45" s="788"/>
      <c r="Z45" s="656">
        <f>+'[10]eff all'!$Z$45:$AA$45</f>
        <v>0.87132155033301406</v>
      </c>
      <c r="AA45" s="657"/>
      <c r="AB45" s="657">
        <f>+'[10]eff all'!$AB$45:$AC$45</f>
        <v>0.87132155033301406</v>
      </c>
      <c r="AC45" s="657"/>
      <c r="AD45" s="622">
        <f>+'[10]eff all'!$AD$45:$AE$45</f>
        <v>1204.6450000000002</v>
      </c>
      <c r="AE45" s="622"/>
      <c r="AF45" s="655">
        <f>+'[10]eff all'!$AF$45:$AG$45</f>
        <v>105.43835507766659</v>
      </c>
      <c r="AG45" s="655"/>
      <c r="AH45" s="655">
        <f>+'[10]eff all'!$AH$45:$AI$45</f>
        <v>1.5603767084908828</v>
      </c>
      <c r="AI45" s="655"/>
      <c r="AJ45" s="655">
        <f>+'[10]eff all'!$AJ$45:$AK$45</f>
        <v>928.04959137339199</v>
      </c>
      <c r="AK45" s="655"/>
      <c r="AL45" s="622">
        <f>+'[10]eff all'!$AL$45:$AM$45</f>
        <v>0</v>
      </c>
      <c r="AM45" s="620"/>
      <c r="AN45" s="656">
        <f>+'[10]eff all'!$AN$45:$AO$45</f>
        <v>0.47758007033586591</v>
      </c>
      <c r="AO45" s="657"/>
      <c r="AP45" s="657">
        <f>+'[10]eff all'!$AP$45:$AQ$45</f>
        <v>0.8638562625636298</v>
      </c>
      <c r="AQ45" s="657"/>
      <c r="AR45" s="787">
        <f>+'[10]eff all'!$AR$45:$AS$45</f>
        <v>764.20999999999992</v>
      </c>
      <c r="AS45" s="787"/>
      <c r="AT45" s="655">
        <f>+'[10]eff all'!$AT$45:$AU$45</f>
        <v>117.91593614950136</v>
      </c>
      <c r="AU45" s="655"/>
      <c r="AV45" s="655">
        <f>+'[10]eff all'!$AV$45:$AW$45</f>
        <v>1.737087973201084</v>
      </c>
      <c r="AW45" s="655"/>
      <c r="AX45" s="655">
        <f>+'[10]eff all'!$AX$45:$AY$45</f>
        <v>0</v>
      </c>
      <c r="AY45" s="655"/>
      <c r="AZ45" s="622">
        <f>+'[10]eff all'!$AZ$45:$BA$45</f>
        <v>1171.1575352324626</v>
      </c>
      <c r="BA45" s="622"/>
      <c r="BB45" s="655">
        <f>+'[10]eff all'!$BB$45:$BC$45</f>
        <v>0</v>
      </c>
      <c r="BC45" s="785"/>
      <c r="BD45" s="621">
        <f>+'[10]eff all'!$BD$45:$BE$45</f>
        <v>23.422881145234534</v>
      </c>
      <c r="BE45" s="811"/>
      <c r="BF45" s="623">
        <f>+'[10]eff all'!$BF$45:$BG$45</f>
        <v>0.79411423930112257</v>
      </c>
      <c r="BG45" s="624"/>
      <c r="BH45" s="625">
        <f>+'[10]eff all'!$BH$45:$BI$45</f>
        <v>0.80751482141228126</v>
      </c>
      <c r="BI45" s="624"/>
      <c r="BJ45" s="620">
        <f>+'[10]eff all'!$BJ$45:$BK$45</f>
        <v>1316.4520000000002</v>
      </c>
      <c r="BK45" s="621"/>
      <c r="BL45" s="645">
        <f>+'[10]eff all'!$BL$45:$BM$45</f>
        <v>2.6146034948482737</v>
      </c>
      <c r="BM45" s="646"/>
      <c r="BN45" s="645">
        <f>+'[10]eff all'!$BN$45:$BO$45</f>
        <v>0</v>
      </c>
      <c r="BO45" s="646"/>
      <c r="BP45" s="620">
        <f>+'[10]eff all'!$BP$45:$BQ$45</f>
        <v>1083.3644303830235</v>
      </c>
      <c r="BQ45" s="621"/>
      <c r="BR45" s="645">
        <f>+'[10]eff all'!$BR$45:$BS$45</f>
        <v>0</v>
      </c>
      <c r="BS45" s="786"/>
      <c r="BT45" s="656">
        <f>+'[10]eff all'!$BT$45:$BU$45</f>
        <v>0.79215109753247104</v>
      </c>
      <c r="BU45" s="657"/>
      <c r="BV45" s="657">
        <f>+'[10]eff all'!$BV$45:$BW$45</f>
        <v>0.80246910810737848</v>
      </c>
      <c r="BW45" s="657"/>
      <c r="BX45" s="622">
        <f>+'[10]eff all'!$BX$45:$BY$45</f>
        <v>1219.0239999999997</v>
      </c>
      <c r="BY45" s="622"/>
      <c r="BZ45" s="655">
        <f>+'[10]eff all'!$BZ$45:$CA$45</f>
        <v>89.967609483204555</v>
      </c>
      <c r="CA45" s="655"/>
      <c r="CB45" s="655">
        <f>+'[10]eff all'!$CB$45:$CC$45</f>
        <v>2.2528678680649445</v>
      </c>
      <c r="CC45" s="655"/>
      <c r="CD45" s="655">
        <f>+'[10]eff all'!$CD$45:$CE$45</f>
        <v>0</v>
      </c>
      <c r="CE45" s="655"/>
      <c r="CF45" s="622">
        <f>+'[10]eff all'!$CF$45:$CG$45</f>
        <v>1093.3749039341374</v>
      </c>
      <c r="CG45" s="622"/>
      <c r="CH45" s="655">
        <f>+'[10]eff all'!$CH$45:$CI$45</f>
        <v>0</v>
      </c>
      <c r="CI45" s="785"/>
      <c r="CJ45" s="646">
        <f>+'[10]eff all'!$CJ$45:$CK$45</f>
        <v>3.7653073278297011</v>
      </c>
      <c r="CK45" s="785"/>
    </row>
    <row r="46" spans="1:89">
      <c r="A46" s="578" t="s">
        <v>228</v>
      </c>
      <c r="B46" s="693">
        <f>+'[11]eff all'!$B$46:$C$46</f>
        <v>0.83769523903512089</v>
      </c>
      <c r="C46" s="652"/>
      <c r="D46" s="651">
        <f>+'[11]eff all'!$D$46:$E$46</f>
        <v>0.8766254011798259</v>
      </c>
      <c r="E46" s="652"/>
      <c r="F46" s="694">
        <f>+'[11]eff all'!$F$46:$G$46</f>
        <v>1634.1919999999996</v>
      </c>
      <c r="G46" s="695"/>
      <c r="H46" s="653">
        <f>+'[11]eff all'!$H$46:$I$46</f>
        <v>2.3108465835103833</v>
      </c>
      <c r="I46" s="654"/>
      <c r="J46" s="694">
        <f>+'[11]eff all'!$J$46:$K$46</f>
        <v>925.52625884841029</v>
      </c>
      <c r="K46" s="696"/>
      <c r="L46" s="693">
        <f>+'[11]eff all'!$L$46:$M$46</f>
        <v>0.84617170172403267</v>
      </c>
      <c r="M46" s="652"/>
      <c r="N46" s="651">
        <f>+'[11]eff all'!$N$46:$O$46</f>
        <v>0.9204051477742291</v>
      </c>
      <c r="O46" s="652"/>
      <c r="P46" s="694">
        <f>+'[11]eff all'!$P$46:$Q$46</f>
        <v>1544.1629999999998</v>
      </c>
      <c r="Q46" s="695"/>
      <c r="R46" s="653">
        <f>+'[11]eff all'!$R$46:$S$46</f>
        <v>2.2768451258060192</v>
      </c>
      <c r="S46" s="654"/>
      <c r="T46" s="653">
        <f>+'[11]eff all'!$T$46:$U$46</f>
        <v>0.21063190867803475</v>
      </c>
      <c r="U46" s="654"/>
      <c r="V46" s="694">
        <f>+'[11]eff all'!$V$46:$W$46</f>
        <v>556.96866198710893</v>
      </c>
      <c r="W46" s="695"/>
      <c r="X46" s="653">
        <f>+'[11]eff all'!$X$46:$Y$46</f>
        <v>505.65160543284605</v>
      </c>
      <c r="Y46" s="699"/>
      <c r="Z46" s="700">
        <f>+'[11]eff all'!$Z$46:$AA$46</f>
        <v>0.81429519491858005</v>
      </c>
      <c r="AA46" s="701"/>
      <c r="AB46" s="701">
        <f>+'[11]eff all'!$AB$46:$AC$46</f>
        <v>0.84116945725970971</v>
      </c>
      <c r="AC46" s="701"/>
      <c r="AD46" s="704">
        <f>+'[11]eff all'!$AD$46:$AE$46</f>
        <v>1037.251</v>
      </c>
      <c r="AE46" s="704"/>
      <c r="AF46" s="704">
        <f>+'[11]eff all'!$AF$46:$AG$46</f>
        <v>107.29574153254443</v>
      </c>
      <c r="AG46" s="704"/>
      <c r="AH46" s="698">
        <f>+'[11]eff all'!$AH$46:$AI$46</f>
        <v>1.536754363215846</v>
      </c>
      <c r="AI46" s="698"/>
      <c r="AJ46" s="698">
        <f>+'[11]eff all'!$AJ$46:$AK$46</f>
        <v>927.08314573810958</v>
      </c>
      <c r="AK46" s="698"/>
      <c r="AL46" s="704">
        <f>+'[11]eff all'!$AL$46:$AM$46</f>
        <v>0</v>
      </c>
      <c r="AM46" s="694"/>
      <c r="AN46" s="700">
        <f>+'[11]eff all'!$AN$46:$AO$46</f>
        <v>0.88342597272628431</v>
      </c>
      <c r="AO46" s="701"/>
      <c r="AP46" s="701">
        <f>+'[11]eff all'!$AP$46:$AQ$46</f>
        <v>0.90448559347378232</v>
      </c>
      <c r="AQ46" s="701"/>
      <c r="AR46" s="816">
        <f>+'[11]eff all'!$AR$46:$AS$46</f>
        <v>1294.864</v>
      </c>
      <c r="AS46" s="816"/>
      <c r="AT46" s="704">
        <f>+'[11]eff all'!$AT$46:$AU$46</f>
        <v>106.60047579603155</v>
      </c>
      <c r="AU46" s="704"/>
      <c r="AV46" s="698">
        <f>+'[11]eff all'!$AV$46:$AW$46</f>
        <v>1.7585630614489243</v>
      </c>
      <c r="AW46" s="698"/>
      <c r="AX46" s="698">
        <f>+'[11]eff all'!$AX$46:$AY$46</f>
        <v>7.321232191179923E-2</v>
      </c>
      <c r="AY46" s="698"/>
      <c r="AZ46" s="704">
        <f>+'[11]eff all'!$AZ$46:$BA$46</f>
        <v>932.75272152133323</v>
      </c>
      <c r="BA46" s="704"/>
      <c r="BB46" s="704">
        <f>+'[11]eff all'!$BB$46:$BC$46</f>
        <v>205.07134339976946</v>
      </c>
      <c r="BC46" s="789"/>
      <c r="BD46" s="695">
        <f>+'[11]eff all'!$BD$46:$BE$46</f>
        <v>0</v>
      </c>
      <c r="BE46" s="789"/>
      <c r="BF46" s="711">
        <f>+'[11]eff all'!$BF$46:$BG$46</f>
        <v>0.85694754288718977</v>
      </c>
      <c r="BG46" s="652"/>
      <c r="BH46" s="651">
        <f>+'[11]eff all'!$BH$46:$BI$46</f>
        <v>0.88509205317544382</v>
      </c>
      <c r="BI46" s="652"/>
      <c r="BJ46" s="694">
        <f>+'[11]eff all'!$BJ$46:$BK$46</f>
        <v>1241.78</v>
      </c>
      <c r="BK46" s="695"/>
      <c r="BL46" s="694">
        <f>+'[11]eff all'!$BL$46:$BM$46</f>
        <v>2.5784760585610975</v>
      </c>
      <c r="BM46" s="695"/>
      <c r="BN46" s="653">
        <f>+'[11]eff all'!$BN$46:$BO$46</f>
        <v>0</v>
      </c>
      <c r="BO46" s="654"/>
      <c r="BP46" s="694">
        <f>+'[11]eff all'!$BP$46:$BQ$46</f>
        <v>1074.7242034080921</v>
      </c>
      <c r="BQ46" s="695"/>
      <c r="BR46" s="653">
        <f>+'[11]eff all'!$BR$46:$BS$46</f>
        <v>0</v>
      </c>
      <c r="BS46" s="790"/>
      <c r="BT46" s="700">
        <f>+'[11]eff all'!$BT$46:$BU$46</f>
        <v>0.52741321849552625</v>
      </c>
      <c r="BU46" s="701"/>
      <c r="BV46" s="701">
        <f>+'[11]eff all'!$BV$46:$BW$46</f>
        <v>0.87317352495084033</v>
      </c>
      <c r="BW46" s="701"/>
      <c r="BX46" s="704">
        <f>+'[11]eff all'!$BX$46:$BY$46</f>
        <v>769.93799999999987</v>
      </c>
      <c r="BY46" s="704"/>
      <c r="BZ46" s="698">
        <f>+'[11]eff all'!$BZ$46:$CA$46</f>
        <v>79.808070660850817</v>
      </c>
      <c r="CA46" s="698"/>
      <c r="CB46" s="698">
        <f>+'[11]eff all'!$CB$46:$CC$46</f>
        <v>2.0515937646927416</v>
      </c>
      <c r="CC46" s="698"/>
      <c r="CD46" s="698">
        <f>+'[11]eff all'!$CD$46:$CE$46</f>
        <v>7.8512815317597004E-2</v>
      </c>
      <c r="CE46" s="698"/>
      <c r="CF46" s="704">
        <f>+'[11]eff all'!$CF$46:$CG$46</f>
        <v>1021.1664039077168</v>
      </c>
      <c r="CG46" s="704"/>
      <c r="CH46" s="704">
        <f>+'[11]eff all'!$CH$46:$CI$46</f>
        <v>210.64553249742193</v>
      </c>
      <c r="CI46" s="789"/>
      <c r="CJ46" s="695">
        <f>+'[11]eff all'!$CJ$46:$CK$46</f>
        <v>0</v>
      </c>
      <c r="CK46" s="789"/>
    </row>
    <row r="47" spans="1:89" ht="13.5" thickBot="1">
      <c r="A47" s="579" t="s">
        <v>229</v>
      </c>
      <c r="B47" s="798">
        <f>+'[12]eff all'!$B$47:$C$47</f>
        <v>0.83356468968646791</v>
      </c>
      <c r="C47" s="792"/>
      <c r="D47" s="791">
        <f>+'[12]eff all'!$D$47:$E$47</f>
        <v>0.83361178337123676</v>
      </c>
      <c r="E47" s="792"/>
      <c r="F47" s="793">
        <f>+'[12]eff all'!$F$47:$G$47</f>
        <v>1793.9010000000003</v>
      </c>
      <c r="G47" s="794"/>
      <c r="H47" s="795">
        <f>+'[12]eff all'!$H$47:$I$47</f>
        <v>2.2654867799282119</v>
      </c>
      <c r="I47" s="796"/>
      <c r="J47" s="793">
        <f>+'[12]eff all'!$J$47:$K$47</f>
        <v>869.87488161275269</v>
      </c>
      <c r="K47" s="799"/>
      <c r="L47" s="798">
        <f>+'[12]eff all'!$L$47:$M$47</f>
        <v>0.92571232966703221</v>
      </c>
      <c r="M47" s="792"/>
      <c r="N47" s="791">
        <f>+'[12]eff all'!$N$47:$O$47</f>
        <v>0.92998023945781472</v>
      </c>
      <c r="O47" s="792"/>
      <c r="P47" s="793">
        <f>+'[12]eff all'!$P$47:$Q$47</f>
        <v>1900.5750000000003</v>
      </c>
      <c r="Q47" s="794"/>
      <c r="R47" s="795">
        <f>+'[12]eff all'!$R$47:$S$47</f>
        <v>2.404628073083146</v>
      </c>
      <c r="S47" s="796"/>
      <c r="T47" s="795">
        <f>+'[12]eff all'!$T$47:$U$47</f>
        <v>0.23240335161727366</v>
      </c>
      <c r="U47" s="796"/>
      <c r="V47" s="793">
        <f>+'[12]eff all'!$V$47:$W$47</f>
        <v>527.49748365626192</v>
      </c>
      <c r="W47" s="794"/>
      <c r="X47" s="795">
        <f>+'[12]eff all'!$X$47:$Y$47</f>
        <v>446.15971482314541</v>
      </c>
      <c r="Y47" s="797"/>
      <c r="Z47" s="801">
        <f>+'[12]eff all'!$Z$47:$AA$47</f>
        <v>0.89180765054163103</v>
      </c>
      <c r="AA47" s="802"/>
      <c r="AB47" s="802">
        <f>+'[12]eff all'!$AB$47:$AC$47</f>
        <v>0.89180765054163103</v>
      </c>
      <c r="AC47" s="802"/>
      <c r="AD47" s="806">
        <f>+'[12]eff all'!$AD$47:$AE$47</f>
        <v>1235.4100000000003</v>
      </c>
      <c r="AE47" s="806"/>
      <c r="AF47" s="803">
        <f>+'[12]eff all'!$AF$47:$AG$47</f>
        <v>96.393123699060041</v>
      </c>
      <c r="AG47" s="803"/>
      <c r="AH47" s="806">
        <f>+'[12]eff all'!$AH$47:$AI$47</f>
        <v>1.4614581394031132</v>
      </c>
      <c r="AI47" s="806"/>
      <c r="AJ47" s="806">
        <f>+'[12]eff all'!$AJ$47:$AK$47</f>
        <v>901.21823524174181</v>
      </c>
      <c r="AK47" s="806"/>
      <c r="AL47" s="803">
        <f>+'[12]eff all'!$AL$47:$AM$47</f>
        <v>0</v>
      </c>
      <c r="AM47" s="793"/>
      <c r="AN47" s="801">
        <f>+'[12]eff all'!$AN$47:$AO$47</f>
        <v>0.65645764284355046</v>
      </c>
      <c r="AO47" s="802"/>
      <c r="AP47" s="802">
        <f>+'[12]eff all'!$AP$47:$AQ$47</f>
        <v>0.84659221514529037</v>
      </c>
      <c r="AQ47" s="802"/>
      <c r="AR47" s="805">
        <f>+'[12]eff all'!$AR$47:$AS$47</f>
        <v>1045.3910000000001</v>
      </c>
      <c r="AS47" s="805"/>
      <c r="AT47" s="803">
        <f>+'[12]eff all'!$AT$47:$AU$47</f>
        <v>0</v>
      </c>
      <c r="AU47" s="803"/>
      <c r="AV47" s="806">
        <f>+'[12]eff all'!$AV$47:$AW$47</f>
        <v>1.7690031768017898</v>
      </c>
      <c r="AW47" s="806"/>
      <c r="AX47" s="806">
        <f>+'[12]eff all'!$AX$47:$AY$47</f>
        <v>9.0148088131617746E-2</v>
      </c>
      <c r="AY47" s="806"/>
      <c r="AZ47" s="803">
        <f>+'[12]eff all'!$AZ$47:$BA$47</f>
        <v>1055.9628120004859</v>
      </c>
      <c r="BA47" s="803"/>
      <c r="BB47" s="803">
        <f>+'[12]eff all'!$BB$47:$BC$47</f>
        <v>340.1813292825363</v>
      </c>
      <c r="BC47" s="804"/>
      <c r="BD47" s="794">
        <f>+'[12]eff all'!$BD$47:$BE$47</f>
        <v>7.6095929656941745</v>
      </c>
      <c r="BE47" s="804"/>
      <c r="BF47" s="798">
        <f>+'[12]eff all'!$BF$47:$BG$47</f>
        <v>0.90491767701928916</v>
      </c>
      <c r="BG47" s="792"/>
      <c r="BH47" s="791">
        <f>+'[12]eff all'!$BH$47:$BI$47</f>
        <v>0.90491767701928916</v>
      </c>
      <c r="BI47" s="792"/>
      <c r="BJ47" s="793">
        <f>+'[12]eff all'!$BJ$47:$BK$47</f>
        <v>1444.9050000000002</v>
      </c>
      <c r="BK47" s="794"/>
      <c r="BL47" s="793">
        <f>+'[12]eff all'!$BL$47:$BM$47</f>
        <v>2.4918593263916997</v>
      </c>
      <c r="BM47" s="794"/>
      <c r="BN47" s="795">
        <f>+'[12]eff all'!$BN$47:$BO$47</f>
        <v>0</v>
      </c>
      <c r="BO47" s="796"/>
      <c r="BP47" s="793">
        <f>+'[12]eff all'!$BP$47:$BQ$47</f>
        <v>1021.2881687593227</v>
      </c>
      <c r="BQ47" s="794"/>
      <c r="BR47" s="795">
        <f>+'[12]eff all'!$BR$47:$BS$47</f>
        <v>0</v>
      </c>
      <c r="BS47" s="800"/>
      <c r="BT47" s="801">
        <f>+'[12]eff all'!$BT$47:$BU$47</f>
        <v>0.83316575545335458</v>
      </c>
      <c r="BU47" s="802"/>
      <c r="BV47" s="802">
        <f>+'[12]eff all'!$BV$47:$BW$47</f>
        <v>0.84218323358645453</v>
      </c>
      <c r="BW47" s="802"/>
      <c r="BX47" s="803">
        <f>+'[12]eff all'!$BX$47:$BY$47</f>
        <v>1301.6999999999998</v>
      </c>
      <c r="BY47" s="803"/>
      <c r="BZ47" s="806">
        <f>+'[12]eff all'!$BZ$47:$CA$47</f>
        <v>87.852276445978333</v>
      </c>
      <c r="CA47" s="806"/>
      <c r="CB47" s="806">
        <f>+'[12]eff all'!$CB$47:$CC$47</f>
        <v>1.9540600752861652</v>
      </c>
      <c r="CC47" s="806"/>
      <c r="CD47" s="806">
        <f>+'[12]eff all'!$CD$47:$CE$47</f>
        <v>9.0078359068909902E-2</v>
      </c>
      <c r="CE47" s="806"/>
      <c r="CF47" s="803">
        <f>+'[12]eff all'!$CF$47:$CG$47</f>
        <v>925.71845933687518</v>
      </c>
      <c r="CG47" s="803"/>
      <c r="CH47" s="803">
        <f>+'[12]eff all'!$CH$47:$CI$47</f>
        <v>294.56672044249837</v>
      </c>
      <c r="CI47" s="804"/>
      <c r="CJ47" s="794">
        <f>+'[12]eff all'!$CJ$47:$CK$47</f>
        <v>8.7308903741261457</v>
      </c>
      <c r="CK47" s="804"/>
    </row>
    <row r="49" spans="1:2">
      <c r="A49" s="592"/>
      <c r="B49" s="593"/>
    </row>
    <row r="50" spans="1:2">
      <c r="B50" s="593"/>
    </row>
  </sheetData>
  <mergeCells count="579">
    <mergeCell ref="CJ44:CK44"/>
    <mergeCell ref="CJ45:CK45"/>
    <mergeCell ref="CJ46:CK46"/>
    <mergeCell ref="CJ47:CK47"/>
    <mergeCell ref="BT1:CK1"/>
    <mergeCell ref="CJ2:CK2"/>
    <mergeCell ref="CJ36:CK36"/>
    <mergeCell ref="CJ37:CK37"/>
    <mergeCell ref="CJ38:CK38"/>
    <mergeCell ref="CJ39:CK39"/>
    <mergeCell ref="CJ40:CK40"/>
    <mergeCell ref="CJ41:CK41"/>
    <mergeCell ref="CJ42:CK42"/>
    <mergeCell ref="CJ43:CK43"/>
    <mergeCell ref="BZ47:CA47"/>
    <mergeCell ref="CB47:CC47"/>
    <mergeCell ref="CD47:CE47"/>
    <mergeCell ref="CF47:CG47"/>
    <mergeCell ref="CH47:CI47"/>
    <mergeCell ref="BX47:BY47"/>
    <mergeCell ref="BX46:BY46"/>
    <mergeCell ref="BZ46:CA46"/>
    <mergeCell ref="CB46:CC46"/>
    <mergeCell ref="CD46:CE46"/>
    <mergeCell ref="AL45:AM45"/>
    <mergeCell ref="AL46:AM46"/>
    <mergeCell ref="AL47:AM47"/>
    <mergeCell ref="Z1:AM1"/>
    <mergeCell ref="BD2:BE2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45:BE45"/>
    <mergeCell ref="BD46:BE46"/>
    <mergeCell ref="BD47:BE47"/>
    <mergeCell ref="AN1:BE1"/>
    <mergeCell ref="AF47:AG47"/>
    <mergeCell ref="AH47:AI47"/>
    <mergeCell ref="AJ47:AK47"/>
    <mergeCell ref="AP46:AQ46"/>
    <mergeCell ref="AR46:AS46"/>
    <mergeCell ref="AT46:AU46"/>
    <mergeCell ref="D40:E40"/>
    <mergeCell ref="N40:O40"/>
    <mergeCell ref="AB40:AC40"/>
    <mergeCell ref="T40:U40"/>
    <mergeCell ref="BN47:BO47"/>
    <mergeCell ref="BP47:BQ47"/>
    <mergeCell ref="BR47:BS47"/>
    <mergeCell ref="BT47:BU47"/>
    <mergeCell ref="BV47:BW47"/>
    <mergeCell ref="AZ47:BA47"/>
    <mergeCell ref="BB47:BC47"/>
    <mergeCell ref="BF47:BG47"/>
    <mergeCell ref="BH47:BI47"/>
    <mergeCell ref="BJ47:BK47"/>
    <mergeCell ref="BL47:BM47"/>
    <mergeCell ref="AN47:AO47"/>
    <mergeCell ref="AP47:AQ47"/>
    <mergeCell ref="AR47:AS47"/>
    <mergeCell ref="AT47:AU47"/>
    <mergeCell ref="AV47:AW47"/>
    <mergeCell ref="AX47:AY47"/>
    <mergeCell ref="Z47:AA47"/>
    <mergeCell ref="AB47:AC47"/>
    <mergeCell ref="AD47:AE47"/>
    <mergeCell ref="N47:O47"/>
    <mergeCell ref="P47:Q47"/>
    <mergeCell ref="R47:S47"/>
    <mergeCell ref="T47:U47"/>
    <mergeCell ref="V47:W47"/>
    <mergeCell ref="X47:Y47"/>
    <mergeCell ref="B47:C47"/>
    <mergeCell ref="D47:E47"/>
    <mergeCell ref="F47:G47"/>
    <mergeCell ref="H47:I47"/>
    <mergeCell ref="J47:K47"/>
    <mergeCell ref="L47:M47"/>
    <mergeCell ref="CH46:CI46"/>
    <mergeCell ref="BL46:BM46"/>
    <mergeCell ref="BN46:BO46"/>
    <mergeCell ref="BP46:BQ46"/>
    <mergeCell ref="BR46:BS46"/>
    <mergeCell ref="BT46:BU46"/>
    <mergeCell ref="BV46:BW46"/>
    <mergeCell ref="AX46:AY46"/>
    <mergeCell ref="AZ46:BA46"/>
    <mergeCell ref="BB46:BC46"/>
    <mergeCell ref="BF46:BG46"/>
    <mergeCell ref="BH46:BI46"/>
    <mergeCell ref="BJ46:BK46"/>
    <mergeCell ref="AF46:AG46"/>
    <mergeCell ref="AH46:AI46"/>
    <mergeCell ref="L46:M46"/>
    <mergeCell ref="N46:O46"/>
    <mergeCell ref="P46:Q46"/>
    <mergeCell ref="R46:S46"/>
    <mergeCell ref="T46:U46"/>
    <mergeCell ref="V46:W46"/>
    <mergeCell ref="CF46:CG46"/>
    <mergeCell ref="N45:O45"/>
    <mergeCell ref="P45:Q45"/>
    <mergeCell ref="R45:S45"/>
    <mergeCell ref="T45:U45"/>
    <mergeCell ref="V45:W45"/>
    <mergeCell ref="X45:Y45"/>
    <mergeCell ref="AJ46:AK46"/>
    <mergeCell ref="AN46:AO46"/>
    <mergeCell ref="CF45:CG45"/>
    <mergeCell ref="BZ45:CA45"/>
    <mergeCell ref="CB45:CC45"/>
    <mergeCell ref="CD45:CE45"/>
    <mergeCell ref="AX45:AY45"/>
    <mergeCell ref="Z45:AA45"/>
    <mergeCell ref="AB45:AC45"/>
    <mergeCell ref="AD45:AE45"/>
    <mergeCell ref="AF45:AG45"/>
    <mergeCell ref="AH45:AI45"/>
    <mergeCell ref="AJ45:AK45"/>
    <mergeCell ref="AV46:AW46"/>
    <mergeCell ref="X46:Y46"/>
    <mergeCell ref="Z46:AA46"/>
    <mergeCell ref="AB46:AC46"/>
    <mergeCell ref="AD46:AE46"/>
    <mergeCell ref="CH45:CI45"/>
    <mergeCell ref="B46:C46"/>
    <mergeCell ref="D46:E46"/>
    <mergeCell ref="F46:G46"/>
    <mergeCell ref="H46:I46"/>
    <mergeCell ref="J46:K46"/>
    <mergeCell ref="BN45:BO45"/>
    <mergeCell ref="BP45:BQ45"/>
    <mergeCell ref="BR45:BS45"/>
    <mergeCell ref="BT45:BU45"/>
    <mergeCell ref="BV45:BW45"/>
    <mergeCell ref="BX45:BY45"/>
    <mergeCell ref="AZ45:BA45"/>
    <mergeCell ref="BB45:BC45"/>
    <mergeCell ref="BF45:BG45"/>
    <mergeCell ref="BH45:BI45"/>
    <mergeCell ref="BJ45:BK45"/>
    <mergeCell ref="BL45:BM45"/>
    <mergeCell ref="AN45:AO45"/>
    <mergeCell ref="AP45:AQ45"/>
    <mergeCell ref="AR45:AS45"/>
    <mergeCell ref="AT45:AU45"/>
    <mergeCell ref="AV45:AW45"/>
    <mergeCell ref="B45:C45"/>
    <mergeCell ref="D45:E45"/>
    <mergeCell ref="F45:G45"/>
    <mergeCell ref="H45:I45"/>
    <mergeCell ref="J45:K45"/>
    <mergeCell ref="L45:M45"/>
    <mergeCell ref="BX44:BY44"/>
    <mergeCell ref="BZ44:CA44"/>
    <mergeCell ref="CB44:CC44"/>
    <mergeCell ref="AX44:AY44"/>
    <mergeCell ref="AZ44:BA44"/>
    <mergeCell ref="BB44:BC44"/>
    <mergeCell ref="BF44:BG44"/>
    <mergeCell ref="BH44:BI44"/>
    <mergeCell ref="BJ44:BK44"/>
    <mergeCell ref="AJ44:AK44"/>
    <mergeCell ref="AN44:AO44"/>
    <mergeCell ref="AP44:AQ44"/>
    <mergeCell ref="AR44:AS44"/>
    <mergeCell ref="AT44:AU44"/>
    <mergeCell ref="AV44:AW44"/>
    <mergeCell ref="Z44:AA44"/>
    <mergeCell ref="AB44:AC44"/>
    <mergeCell ref="AD44:AE44"/>
    <mergeCell ref="AF44:AG44"/>
    <mergeCell ref="N43:O43"/>
    <mergeCell ref="P43:Q43"/>
    <mergeCell ref="R43:S43"/>
    <mergeCell ref="T43:U43"/>
    <mergeCell ref="V43:W43"/>
    <mergeCell ref="X43:Y43"/>
    <mergeCell ref="CD44:CE44"/>
    <mergeCell ref="CF44:CG44"/>
    <mergeCell ref="CH44:CI44"/>
    <mergeCell ref="BL44:BM44"/>
    <mergeCell ref="BN44:BO44"/>
    <mergeCell ref="BP44:BQ44"/>
    <mergeCell ref="BR44:BS44"/>
    <mergeCell ref="BT44:BU44"/>
    <mergeCell ref="BV44:BW44"/>
    <mergeCell ref="AL43:AM43"/>
    <mergeCell ref="AL44:AM44"/>
    <mergeCell ref="R44:S44"/>
    <mergeCell ref="T44:U44"/>
    <mergeCell ref="V44:W44"/>
    <mergeCell ref="CB43:CC43"/>
    <mergeCell ref="AX43:AY43"/>
    <mergeCell ref="Z43:AA43"/>
    <mergeCell ref="AB43:AC43"/>
    <mergeCell ref="AD43:AE43"/>
    <mergeCell ref="AF43:AG43"/>
    <mergeCell ref="AH43:AI43"/>
    <mergeCell ref="AJ43:AK43"/>
    <mergeCell ref="BZ43:CA43"/>
    <mergeCell ref="B44:C44"/>
    <mergeCell ref="D44:E44"/>
    <mergeCell ref="F44:G44"/>
    <mergeCell ref="H44:I44"/>
    <mergeCell ref="J44:K44"/>
    <mergeCell ref="BN43:BO43"/>
    <mergeCell ref="BP43:BQ43"/>
    <mergeCell ref="BR43:BS43"/>
    <mergeCell ref="BT43:BU43"/>
    <mergeCell ref="AZ43:BA43"/>
    <mergeCell ref="BB43:BC43"/>
    <mergeCell ref="BF43:BG43"/>
    <mergeCell ref="BH43:BI43"/>
    <mergeCell ref="BJ43:BK43"/>
    <mergeCell ref="BL43:BM43"/>
    <mergeCell ref="AN43:AO43"/>
    <mergeCell ref="AP43:AQ43"/>
    <mergeCell ref="X44:Y44"/>
    <mergeCell ref="AV43:AW43"/>
    <mergeCell ref="AH44:AI44"/>
    <mergeCell ref="L44:M44"/>
    <mergeCell ref="N44:O44"/>
    <mergeCell ref="P44:Q44"/>
    <mergeCell ref="X42:Y42"/>
    <mergeCell ref="Z42:AA42"/>
    <mergeCell ref="AR43:AS43"/>
    <mergeCell ref="AT43:AU43"/>
    <mergeCell ref="CH42:CI42"/>
    <mergeCell ref="BV42:BW42"/>
    <mergeCell ref="BX42:BY42"/>
    <mergeCell ref="BZ42:CA42"/>
    <mergeCell ref="CB42:CC42"/>
    <mergeCell ref="CD42:CE42"/>
    <mergeCell ref="CF42:CG42"/>
    <mergeCell ref="AZ42:BA42"/>
    <mergeCell ref="AB42:AC42"/>
    <mergeCell ref="AD42:AE42"/>
    <mergeCell ref="AF42:AG42"/>
    <mergeCell ref="AH42:AI42"/>
    <mergeCell ref="AJ42:AK42"/>
    <mergeCell ref="AN42:AO42"/>
    <mergeCell ref="CD43:CE43"/>
    <mergeCell ref="CF43:CG43"/>
    <mergeCell ref="CH43:CI43"/>
    <mergeCell ref="BV43:BW43"/>
    <mergeCell ref="BX43:BY43"/>
    <mergeCell ref="AL42:AM42"/>
    <mergeCell ref="B43:C43"/>
    <mergeCell ref="D43:E43"/>
    <mergeCell ref="F43:G43"/>
    <mergeCell ref="H43:I43"/>
    <mergeCell ref="J43:K43"/>
    <mergeCell ref="L43:M43"/>
    <mergeCell ref="BP42:BQ42"/>
    <mergeCell ref="BR42:BS42"/>
    <mergeCell ref="BT42:BU42"/>
    <mergeCell ref="BB42:BC42"/>
    <mergeCell ref="BF42:BG42"/>
    <mergeCell ref="BH42:BI42"/>
    <mergeCell ref="BJ42:BK42"/>
    <mergeCell ref="BL42:BM42"/>
    <mergeCell ref="BN42:BO42"/>
    <mergeCell ref="AP42:AQ42"/>
    <mergeCell ref="AR42:AS42"/>
    <mergeCell ref="AT42:AU42"/>
    <mergeCell ref="AV42:AW42"/>
    <mergeCell ref="AX42:AY42"/>
    <mergeCell ref="P42:Q42"/>
    <mergeCell ref="R42:S42"/>
    <mergeCell ref="T42:U42"/>
    <mergeCell ref="V42:W42"/>
    <mergeCell ref="CD41:CE41"/>
    <mergeCell ref="CF41:CG41"/>
    <mergeCell ref="CH41:CI41"/>
    <mergeCell ref="B42:C42"/>
    <mergeCell ref="D42:E42"/>
    <mergeCell ref="F42:G42"/>
    <mergeCell ref="H42:I42"/>
    <mergeCell ref="J42:K42"/>
    <mergeCell ref="L42:M42"/>
    <mergeCell ref="N42:O42"/>
    <mergeCell ref="BR41:BS41"/>
    <mergeCell ref="BT41:BU41"/>
    <mergeCell ref="BV41:BW41"/>
    <mergeCell ref="BX41:BY41"/>
    <mergeCell ref="BZ41:CA41"/>
    <mergeCell ref="CB41:CC41"/>
    <mergeCell ref="BF41:BG41"/>
    <mergeCell ref="BH41:BI41"/>
    <mergeCell ref="BJ41:BK41"/>
    <mergeCell ref="BL41:BM41"/>
    <mergeCell ref="BN41:BO41"/>
    <mergeCell ref="BP41:BQ41"/>
    <mergeCell ref="AR41:AS41"/>
    <mergeCell ref="AT41:AU41"/>
    <mergeCell ref="AV41:AW41"/>
    <mergeCell ref="AX41:AY41"/>
    <mergeCell ref="AZ41:BA41"/>
    <mergeCell ref="BB41:BC41"/>
    <mergeCell ref="AD41:AE41"/>
    <mergeCell ref="AF41:AG41"/>
    <mergeCell ref="AH41:AI41"/>
    <mergeCell ref="AJ41:AK41"/>
    <mergeCell ref="AN41:AO41"/>
    <mergeCell ref="AP41:AQ41"/>
    <mergeCell ref="AL41:AM41"/>
    <mergeCell ref="R41:S41"/>
    <mergeCell ref="T41:U41"/>
    <mergeCell ref="V41:W41"/>
    <mergeCell ref="X41:Y41"/>
    <mergeCell ref="Z41:AA41"/>
    <mergeCell ref="AB41:AC41"/>
    <mergeCell ref="CF40:CG40"/>
    <mergeCell ref="CH40:CI40"/>
    <mergeCell ref="B41:C41"/>
    <mergeCell ref="D41:E41"/>
    <mergeCell ref="F41:G41"/>
    <mergeCell ref="H41:I41"/>
    <mergeCell ref="J41:K41"/>
    <mergeCell ref="L41:M41"/>
    <mergeCell ref="N41:O41"/>
    <mergeCell ref="P41:Q41"/>
    <mergeCell ref="BT40:BU40"/>
    <mergeCell ref="BV40:BW40"/>
    <mergeCell ref="BX40:BY40"/>
    <mergeCell ref="BZ40:CA40"/>
    <mergeCell ref="CB40:CC40"/>
    <mergeCell ref="CD40:CE40"/>
    <mergeCell ref="BH40:BI40"/>
    <mergeCell ref="BJ40:BK40"/>
    <mergeCell ref="R40:S40"/>
    <mergeCell ref="V40:W40"/>
    <mergeCell ref="X40:Y40"/>
    <mergeCell ref="Z40:AA40"/>
    <mergeCell ref="AD40:AE40"/>
    <mergeCell ref="BL40:BM40"/>
    <mergeCell ref="BN40:BO40"/>
    <mergeCell ref="BP40:BQ40"/>
    <mergeCell ref="BR40:BS40"/>
    <mergeCell ref="AT40:AU40"/>
    <mergeCell ref="AV40:AW40"/>
    <mergeCell ref="AX40:AY40"/>
    <mergeCell ref="AZ40:BA40"/>
    <mergeCell ref="BB40:BC40"/>
    <mergeCell ref="BF40:BG40"/>
    <mergeCell ref="AL40:AM40"/>
    <mergeCell ref="B40:C40"/>
    <mergeCell ref="F40:G40"/>
    <mergeCell ref="H40:I40"/>
    <mergeCell ref="J40:K40"/>
    <mergeCell ref="L40:M40"/>
    <mergeCell ref="BN39:BO39"/>
    <mergeCell ref="BP39:BQ39"/>
    <mergeCell ref="BR39:BS39"/>
    <mergeCell ref="BT39:BU39"/>
    <mergeCell ref="AZ39:BA39"/>
    <mergeCell ref="BB39:BC39"/>
    <mergeCell ref="BF39:BG39"/>
    <mergeCell ref="BH39:BI39"/>
    <mergeCell ref="BJ39:BK39"/>
    <mergeCell ref="BL39:BM39"/>
    <mergeCell ref="AN39:AO39"/>
    <mergeCell ref="AP39:AQ39"/>
    <mergeCell ref="AF40:AG40"/>
    <mergeCell ref="AH40:AI40"/>
    <mergeCell ref="AJ40:AK40"/>
    <mergeCell ref="AN40:AO40"/>
    <mergeCell ref="AP40:AQ40"/>
    <mergeCell ref="AR40:AS40"/>
    <mergeCell ref="P40:Q40"/>
    <mergeCell ref="AF39:AG39"/>
    <mergeCell ref="AH39:AI39"/>
    <mergeCell ref="AJ39:AK39"/>
    <mergeCell ref="AB39:AC39"/>
    <mergeCell ref="BZ39:CA39"/>
    <mergeCell ref="CB39:CC39"/>
    <mergeCell ref="CD39:CE39"/>
    <mergeCell ref="CF39:CG39"/>
    <mergeCell ref="CH39:CI39"/>
    <mergeCell ref="BV39:BW39"/>
    <mergeCell ref="BX39:BY39"/>
    <mergeCell ref="AL39:AM39"/>
    <mergeCell ref="B39:C39"/>
    <mergeCell ref="F39:G39"/>
    <mergeCell ref="H39:I39"/>
    <mergeCell ref="J39:K39"/>
    <mergeCell ref="L39:M39"/>
    <mergeCell ref="P39:Q39"/>
    <mergeCell ref="R39:S39"/>
    <mergeCell ref="V39:W39"/>
    <mergeCell ref="BT38:BU38"/>
    <mergeCell ref="BH38:BI38"/>
    <mergeCell ref="BJ38:BK38"/>
    <mergeCell ref="BL38:BM38"/>
    <mergeCell ref="BN38:BO38"/>
    <mergeCell ref="BP38:BQ38"/>
    <mergeCell ref="BR38:BS38"/>
    <mergeCell ref="AT38:AU38"/>
    <mergeCell ref="AV38:AW38"/>
    <mergeCell ref="AR39:AS39"/>
    <mergeCell ref="AT39:AU39"/>
    <mergeCell ref="AV39:AW39"/>
    <mergeCell ref="AX39:AY39"/>
    <mergeCell ref="X39:Y39"/>
    <mergeCell ref="Z39:AA39"/>
    <mergeCell ref="AD39:AE39"/>
    <mergeCell ref="B38:C38"/>
    <mergeCell ref="F38:G38"/>
    <mergeCell ref="H38:I38"/>
    <mergeCell ref="J38:K38"/>
    <mergeCell ref="L38:M38"/>
    <mergeCell ref="P38:Q38"/>
    <mergeCell ref="AX38:AY38"/>
    <mergeCell ref="AZ38:BA38"/>
    <mergeCell ref="BB38:BC38"/>
    <mergeCell ref="AF38:AG38"/>
    <mergeCell ref="AH38:AI38"/>
    <mergeCell ref="AJ38:AK38"/>
    <mergeCell ref="AN38:AO38"/>
    <mergeCell ref="AP38:AQ38"/>
    <mergeCell ref="AR38:AS38"/>
    <mergeCell ref="D38:E38"/>
    <mergeCell ref="N38:O38"/>
    <mergeCell ref="AB38:AC38"/>
    <mergeCell ref="AL38:AM38"/>
    <mergeCell ref="CH37:CI37"/>
    <mergeCell ref="BL37:BM37"/>
    <mergeCell ref="BN37:BO37"/>
    <mergeCell ref="BP37:BQ37"/>
    <mergeCell ref="BR37:BS37"/>
    <mergeCell ref="BT37:BU37"/>
    <mergeCell ref="BV37:BW37"/>
    <mergeCell ref="R38:S38"/>
    <mergeCell ref="T38:U38"/>
    <mergeCell ref="V38:W38"/>
    <mergeCell ref="X38:Y38"/>
    <mergeCell ref="Z38:AA38"/>
    <mergeCell ref="AD38:AE38"/>
    <mergeCell ref="BF38:BG38"/>
    <mergeCell ref="CF38:CG38"/>
    <mergeCell ref="CH38:CI38"/>
    <mergeCell ref="BV38:BW38"/>
    <mergeCell ref="BX38:BY38"/>
    <mergeCell ref="BZ38:CA38"/>
    <mergeCell ref="CB38:CC38"/>
    <mergeCell ref="CD38:CE38"/>
    <mergeCell ref="AL37:AM37"/>
    <mergeCell ref="V37:W37"/>
    <mergeCell ref="X37:Y37"/>
    <mergeCell ref="CB2:CC2"/>
    <mergeCell ref="CD2:CE2"/>
    <mergeCell ref="CF2:CG2"/>
    <mergeCell ref="AL2:AM2"/>
    <mergeCell ref="AL36:AM36"/>
    <mergeCell ref="CH36:CI36"/>
    <mergeCell ref="B37:C37"/>
    <mergeCell ref="F37:G37"/>
    <mergeCell ref="H37:I37"/>
    <mergeCell ref="J37:K37"/>
    <mergeCell ref="L37:M37"/>
    <mergeCell ref="P37:Q37"/>
    <mergeCell ref="R37:S37"/>
    <mergeCell ref="T37:U37"/>
    <mergeCell ref="BT36:BU36"/>
    <mergeCell ref="BV36:BW36"/>
    <mergeCell ref="BX36:BY36"/>
    <mergeCell ref="BZ36:CA36"/>
    <mergeCell ref="CB36:CC36"/>
    <mergeCell ref="CD36:CE36"/>
    <mergeCell ref="BH36:BI36"/>
    <mergeCell ref="BJ36:BK36"/>
    <mergeCell ref="AX37:AY37"/>
    <mergeCell ref="AZ37:BA37"/>
    <mergeCell ref="Z37:AA37"/>
    <mergeCell ref="AD37:AE37"/>
    <mergeCell ref="AF37:AG37"/>
    <mergeCell ref="AH37:AI37"/>
    <mergeCell ref="CF36:CG36"/>
    <mergeCell ref="AN37:AO37"/>
    <mergeCell ref="AP37:AQ37"/>
    <mergeCell ref="AR37:AS37"/>
    <mergeCell ref="AT37:AU37"/>
    <mergeCell ref="AV37:AW37"/>
    <mergeCell ref="BX37:BY37"/>
    <mergeCell ref="BZ37:CA37"/>
    <mergeCell ref="CB37:CC37"/>
    <mergeCell ref="CD37:CE37"/>
    <mergeCell ref="CF37:CG37"/>
    <mergeCell ref="BB37:BC37"/>
    <mergeCell ref="BF37:BG37"/>
    <mergeCell ref="BH37:BI37"/>
    <mergeCell ref="BJ37:BK37"/>
    <mergeCell ref="AJ37:AK37"/>
    <mergeCell ref="BR36:BS36"/>
    <mergeCell ref="AT36:AU36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AT2:AU2"/>
    <mergeCell ref="AV2:AW2"/>
    <mergeCell ref="AX2:AY2"/>
    <mergeCell ref="AZ2:BA2"/>
    <mergeCell ref="AB2:AC2"/>
    <mergeCell ref="AD2:AE2"/>
    <mergeCell ref="AF2:AG2"/>
    <mergeCell ref="BV2:BW2"/>
    <mergeCell ref="BX2:BY2"/>
    <mergeCell ref="BT2:BU2"/>
    <mergeCell ref="AP2:AQ2"/>
    <mergeCell ref="BZ2:CA2"/>
    <mergeCell ref="BB2:BC2"/>
    <mergeCell ref="BF2:BG2"/>
    <mergeCell ref="BH2:BI2"/>
    <mergeCell ref="BJ2:BK2"/>
    <mergeCell ref="CH2:CI2"/>
    <mergeCell ref="D39:E39"/>
    <mergeCell ref="N39:O39"/>
    <mergeCell ref="T39:U39"/>
    <mergeCell ref="AR2:AS2"/>
    <mergeCell ref="AF36:AG36"/>
    <mergeCell ref="AH36:AI36"/>
    <mergeCell ref="AJ36:AK36"/>
    <mergeCell ref="AN36:AO36"/>
    <mergeCell ref="AP36:AQ36"/>
    <mergeCell ref="AR36:AS36"/>
    <mergeCell ref="X36:Y36"/>
    <mergeCell ref="Z36:AA36"/>
    <mergeCell ref="AD36:AE36"/>
    <mergeCell ref="BL36:BM36"/>
    <mergeCell ref="BL2:BM2"/>
    <mergeCell ref="BN2:BO2"/>
    <mergeCell ref="BN36:BO36"/>
    <mergeCell ref="BP36:BQ36"/>
    <mergeCell ref="D37:E37"/>
    <mergeCell ref="N37:O37"/>
    <mergeCell ref="AB37:AC37"/>
    <mergeCell ref="A1:A3"/>
    <mergeCell ref="B1:K1"/>
    <mergeCell ref="L1:Y1"/>
    <mergeCell ref="BF1:BS1"/>
    <mergeCell ref="T2:U2"/>
    <mergeCell ref="V2:W2"/>
    <mergeCell ref="X2:Y2"/>
    <mergeCell ref="Z2:AA2"/>
    <mergeCell ref="AH2:AI2"/>
    <mergeCell ref="AJ2:AK2"/>
    <mergeCell ref="AN2:AO2"/>
    <mergeCell ref="B36:C36"/>
    <mergeCell ref="F36:G36"/>
    <mergeCell ref="H36:I36"/>
    <mergeCell ref="J36:K36"/>
    <mergeCell ref="L36:M36"/>
    <mergeCell ref="P36:Q36"/>
    <mergeCell ref="BP2:BQ2"/>
    <mergeCell ref="BR2:BS2"/>
    <mergeCell ref="R36:S36"/>
    <mergeCell ref="T36:U36"/>
    <mergeCell ref="V36:W36"/>
    <mergeCell ref="AV36:AW36"/>
    <mergeCell ref="AX36:AY36"/>
    <mergeCell ref="AZ36:BA36"/>
    <mergeCell ref="BB36:BC36"/>
    <mergeCell ref="BF36:BG36"/>
    <mergeCell ref="D36:E36"/>
    <mergeCell ref="N36:O36"/>
    <mergeCell ref="AB36:AC36"/>
  </mergeCells>
  <pageMargins left="0.7" right="0.7" top="0.75" bottom="0.75" header="0.3" footer="0.3"/>
  <pageSetup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5536"/>
  <sheetViews>
    <sheetView zoomScaleNormal="100" workbookViewId="0">
      <pane xSplit="3" ySplit="8" topLeftCell="P33" activePane="bottomRight" state="frozen"/>
      <selection pane="topRight" activeCell="E1" sqref="E1"/>
      <selection pane="bottomLeft" activeCell="A9" sqref="A9"/>
      <selection pane="bottomRight" activeCell="R9" sqref="R9:R39"/>
    </sheetView>
  </sheetViews>
  <sheetFormatPr defaultColWidth="9.140625" defaultRowHeight="12.75"/>
  <cols>
    <col min="1" max="1" width="7.5703125" style="292" customWidth="1"/>
    <col min="2" max="2" width="19.5703125" style="291" bestFit="1" customWidth="1"/>
    <col min="3" max="3" width="12.28515625" style="291" bestFit="1" customWidth="1"/>
    <col min="4" max="4" width="8.28515625" style="291" customWidth="1"/>
    <col min="5" max="5" width="8" style="291" customWidth="1"/>
    <col min="6" max="6" width="6.85546875" style="291" customWidth="1"/>
    <col min="7" max="11" width="8.7109375" style="291" customWidth="1"/>
    <col min="12" max="12" width="8.7109375" style="293" customWidth="1"/>
    <col min="13" max="15" width="8.7109375" style="294" customWidth="1"/>
    <col min="16" max="16" width="8.7109375" style="293" customWidth="1"/>
    <col min="17" max="17" width="8.7109375" style="294" customWidth="1"/>
    <col min="18" max="18" width="10.140625" style="293" bestFit="1" customWidth="1"/>
    <col min="19" max="19" width="8.7109375" style="295" customWidth="1"/>
    <col min="20" max="21" width="7.7109375" style="295" customWidth="1"/>
    <col min="22" max="23" width="7.7109375" style="296" customWidth="1"/>
    <col min="24" max="24" width="7.7109375" style="295" customWidth="1"/>
    <col min="25" max="25" width="7.7109375" style="296" customWidth="1"/>
    <col min="26" max="26" width="8.85546875" style="295" customWidth="1"/>
    <col min="27" max="27" width="11.140625" style="295" customWidth="1"/>
    <col min="28" max="28" width="7.5703125" style="296" customWidth="1"/>
    <col min="29" max="29" width="8.5703125" style="296" bestFit="1" customWidth="1"/>
    <col min="30" max="31" width="7.5703125" style="296" customWidth="1"/>
    <col min="32" max="32" width="11.140625" bestFit="1" customWidth="1"/>
    <col min="34" max="34" width="8.7109375" style="293" customWidth="1"/>
    <col min="35" max="35" width="8.7109375" style="294" customWidth="1"/>
    <col min="36" max="37" width="8.7109375" style="291" customWidth="1"/>
  </cols>
  <sheetData>
    <row r="1" spans="1:37" ht="12.75" customHeight="1">
      <c r="A1" s="290"/>
    </row>
    <row r="2" spans="1:37">
      <c r="A2" s="290"/>
    </row>
    <row r="3" spans="1:37" ht="12.75" customHeight="1">
      <c r="A3" s="825" t="s">
        <v>199</v>
      </c>
      <c r="B3" s="825"/>
      <c r="C3" s="825"/>
      <c r="D3" s="825"/>
      <c r="E3" s="825"/>
      <c r="F3" s="825"/>
      <c r="G3" s="825"/>
      <c r="H3" s="825"/>
      <c r="I3" s="825"/>
      <c r="J3" s="825"/>
      <c r="K3" s="825"/>
      <c r="L3" s="825"/>
      <c r="M3" s="825"/>
      <c r="N3" s="825"/>
      <c r="O3" s="825"/>
      <c r="P3" s="825"/>
      <c r="Q3" s="825"/>
      <c r="R3" s="825"/>
      <c r="S3" s="825"/>
      <c r="T3" s="825"/>
      <c r="U3" s="825"/>
      <c r="V3" s="825"/>
      <c r="W3" s="825"/>
      <c r="X3" s="825"/>
      <c r="Y3" s="825"/>
      <c r="Z3" s="825"/>
      <c r="AA3" s="825"/>
      <c r="AB3" s="825"/>
      <c r="AC3" s="825"/>
      <c r="AD3" s="825"/>
      <c r="AE3" s="825"/>
      <c r="AH3"/>
      <c r="AI3"/>
      <c r="AJ3"/>
      <c r="AK3"/>
    </row>
    <row r="4" spans="1:37" ht="12.75" customHeight="1">
      <c r="A4" s="825"/>
      <c r="B4" s="825"/>
      <c r="C4" s="825"/>
      <c r="D4" s="825"/>
      <c r="E4" s="825"/>
      <c r="F4" s="825"/>
      <c r="G4" s="825"/>
      <c r="H4" s="825"/>
      <c r="I4" s="825"/>
      <c r="J4" s="825"/>
      <c r="K4" s="825"/>
      <c r="L4" s="825"/>
      <c r="M4" s="825"/>
      <c r="N4" s="825"/>
      <c r="O4" s="825"/>
      <c r="P4" s="825"/>
      <c r="Q4" s="825"/>
      <c r="R4" s="825"/>
      <c r="S4" s="825"/>
      <c r="T4" s="825"/>
      <c r="U4" s="825"/>
      <c r="V4" s="825"/>
      <c r="W4" s="825"/>
      <c r="X4" s="825"/>
      <c r="Y4" s="825"/>
      <c r="Z4" s="825"/>
      <c r="AA4" s="825"/>
      <c r="AB4" s="825"/>
      <c r="AC4" s="825"/>
      <c r="AD4" s="825"/>
      <c r="AE4" s="825"/>
      <c r="AH4"/>
      <c r="AI4"/>
      <c r="AJ4"/>
      <c r="AK4"/>
    </row>
    <row r="5" spans="1:37">
      <c r="H5" s="293"/>
      <c r="I5" s="294"/>
      <c r="J5" s="294"/>
      <c r="K5" s="294"/>
      <c r="AJ5" s="294"/>
      <c r="AK5" s="294"/>
    </row>
    <row r="6" spans="1:37" ht="22.7" customHeight="1">
      <c r="A6" s="828" t="s">
        <v>8</v>
      </c>
      <c r="B6" s="827" t="s">
        <v>9</v>
      </c>
      <c r="C6" s="827" t="s">
        <v>5</v>
      </c>
      <c r="D6" s="827" t="s">
        <v>195</v>
      </c>
      <c r="E6" s="827" t="s">
        <v>196</v>
      </c>
      <c r="F6" s="827" t="s">
        <v>192</v>
      </c>
      <c r="G6" s="827" t="s">
        <v>191</v>
      </c>
      <c r="H6" s="827" t="s">
        <v>193</v>
      </c>
      <c r="I6" s="827" t="s">
        <v>194</v>
      </c>
      <c r="J6" s="831" t="s">
        <v>198</v>
      </c>
      <c r="K6" s="832"/>
      <c r="L6" s="820" t="s">
        <v>197</v>
      </c>
      <c r="M6" s="820"/>
      <c r="N6" s="820" t="s">
        <v>200</v>
      </c>
      <c r="O6" s="820"/>
      <c r="P6" s="838" t="s">
        <v>31</v>
      </c>
      <c r="Q6" s="838"/>
      <c r="R6" s="826" t="s">
        <v>23</v>
      </c>
      <c r="S6" s="826"/>
      <c r="T6" s="826" t="s">
        <v>32</v>
      </c>
      <c r="U6" s="826"/>
      <c r="V6" s="826"/>
      <c r="W6" s="826"/>
      <c r="X6" s="826"/>
      <c r="Y6" s="826"/>
      <c r="Z6" s="826" t="s">
        <v>33</v>
      </c>
      <c r="AA6" s="826"/>
      <c r="AB6" s="826"/>
      <c r="AC6" s="826"/>
      <c r="AD6" s="826"/>
      <c r="AE6" s="826"/>
      <c r="AF6" s="833" t="s">
        <v>312</v>
      </c>
      <c r="AG6" s="834"/>
      <c r="AH6" s="820" t="s">
        <v>405</v>
      </c>
      <c r="AI6" s="820"/>
      <c r="AJ6" s="821" t="s">
        <v>406</v>
      </c>
      <c r="AK6" s="822"/>
    </row>
    <row r="7" spans="1:37" ht="22.7" customHeight="1">
      <c r="A7" s="829"/>
      <c r="B7" s="827"/>
      <c r="C7" s="827"/>
      <c r="D7" s="827"/>
      <c r="E7" s="827"/>
      <c r="F7" s="827"/>
      <c r="G7" s="827"/>
      <c r="H7" s="827"/>
      <c r="I7" s="827"/>
      <c r="J7" s="823"/>
      <c r="K7" s="824"/>
      <c r="L7" s="820"/>
      <c r="M7" s="820"/>
      <c r="N7" s="820"/>
      <c r="O7" s="820"/>
      <c r="P7" s="838"/>
      <c r="Q7" s="838"/>
      <c r="R7" s="826"/>
      <c r="S7" s="826"/>
      <c r="T7" s="826" t="s">
        <v>36</v>
      </c>
      <c r="U7" s="826"/>
      <c r="V7" s="837" t="s">
        <v>34</v>
      </c>
      <c r="W7" s="837"/>
      <c r="X7" s="826" t="s">
        <v>35</v>
      </c>
      <c r="Y7" s="826"/>
      <c r="Z7" s="826" t="s">
        <v>36</v>
      </c>
      <c r="AA7" s="826"/>
      <c r="AB7" s="826" t="s">
        <v>26</v>
      </c>
      <c r="AC7" s="826"/>
      <c r="AD7" s="826" t="s">
        <v>27</v>
      </c>
      <c r="AE7" s="826"/>
      <c r="AF7" s="835"/>
      <c r="AG7" s="836"/>
      <c r="AH7" s="820"/>
      <c r="AI7" s="820"/>
      <c r="AJ7" s="823"/>
      <c r="AK7" s="824"/>
    </row>
    <row r="8" spans="1:37" s="1" customFormat="1">
      <c r="A8" s="830"/>
      <c r="B8" s="827"/>
      <c r="C8" s="827"/>
      <c r="D8" s="827"/>
      <c r="E8" s="827"/>
      <c r="F8" s="827"/>
      <c r="G8" s="827"/>
      <c r="H8" s="827"/>
      <c r="I8" s="827"/>
      <c r="J8" s="454" t="s">
        <v>37</v>
      </c>
      <c r="K8" s="452" t="s">
        <v>38</v>
      </c>
      <c r="L8" s="297" t="s">
        <v>37</v>
      </c>
      <c r="M8" s="298" t="s">
        <v>38</v>
      </c>
      <c r="N8" s="297" t="s">
        <v>37</v>
      </c>
      <c r="O8" s="298" t="s">
        <v>38</v>
      </c>
      <c r="P8" s="297" t="s">
        <v>37</v>
      </c>
      <c r="Q8" s="298" t="s">
        <v>38</v>
      </c>
      <c r="R8" s="297" t="s">
        <v>37</v>
      </c>
      <c r="S8" s="299" t="s">
        <v>38</v>
      </c>
      <c r="T8" s="300" t="s">
        <v>37</v>
      </c>
      <c r="U8" s="299" t="s">
        <v>38</v>
      </c>
      <c r="V8" s="301" t="s">
        <v>37</v>
      </c>
      <c r="W8" s="302" t="s">
        <v>38</v>
      </c>
      <c r="X8" s="300" t="s">
        <v>37</v>
      </c>
      <c r="Y8" s="302" t="s">
        <v>38</v>
      </c>
      <c r="Z8" s="300" t="s">
        <v>37</v>
      </c>
      <c r="AA8" s="299" t="s">
        <v>38</v>
      </c>
      <c r="AB8" s="301" t="s">
        <v>37</v>
      </c>
      <c r="AC8" s="302" t="s">
        <v>38</v>
      </c>
      <c r="AD8" s="301" t="s">
        <v>37</v>
      </c>
      <c r="AE8" s="302" t="s">
        <v>38</v>
      </c>
      <c r="AF8" s="523" t="s">
        <v>331</v>
      </c>
      <c r="AG8" s="523" t="s">
        <v>332</v>
      </c>
      <c r="AH8" s="297" t="s">
        <v>37</v>
      </c>
      <c r="AI8" s="298" t="s">
        <v>38</v>
      </c>
      <c r="AJ8" s="454" t="s">
        <v>37</v>
      </c>
      <c r="AK8" s="452" t="s">
        <v>38</v>
      </c>
    </row>
    <row r="9" spans="1:37" s="427" customFormat="1" ht="12.75" customHeight="1">
      <c r="A9" s="441">
        <v>45870</v>
      </c>
      <c r="B9" s="451" t="s">
        <v>7</v>
      </c>
      <c r="C9" s="503" t="s">
        <v>452</v>
      </c>
      <c r="D9" s="421">
        <f>+'1'!F42</f>
        <v>1161.1428571428571</v>
      </c>
      <c r="E9" s="421">
        <f>+'1'!G42</f>
        <v>882.46857142857141</v>
      </c>
      <c r="F9" s="50">
        <f t="shared" ref="F9:F39" si="0">1-(E9/D9)</f>
        <v>0.24</v>
      </c>
      <c r="G9" s="447">
        <f>+P9/N9</f>
        <v>0.21965168793880788</v>
      </c>
      <c r="H9" s="442">
        <f>+P9/L9</f>
        <v>0.15000918217467998</v>
      </c>
      <c r="I9" s="442">
        <f>+R9/P9</f>
        <v>0.77001397484527845</v>
      </c>
      <c r="J9" s="448">
        <f>+R9/L9</f>
        <v>0.11550916662961484</v>
      </c>
      <c r="K9" s="448">
        <f>+S9/M9</f>
        <v>0.11550916662961484</v>
      </c>
      <c r="L9" s="422">
        <f>+Efficiency1!K6</f>
        <v>66.78257860465115</v>
      </c>
      <c r="M9" s="423">
        <f>L9</f>
        <v>66.78257860465115</v>
      </c>
      <c r="N9" s="422">
        <f>+Efficiency1!C6</f>
        <v>45.608572799999997</v>
      </c>
      <c r="O9" s="423">
        <f>N9</f>
        <v>45.608572799999997</v>
      </c>
      <c r="P9" s="589">
        <f>'1'!I38</f>
        <v>10.018000000000001</v>
      </c>
      <c r="Q9" s="423">
        <f>P9</f>
        <v>10.018000000000001</v>
      </c>
      <c r="R9" s="14">
        <f>'1'!I40</f>
        <v>7.7140000000000004</v>
      </c>
      <c r="S9" s="423">
        <f>R9</f>
        <v>7.7140000000000004</v>
      </c>
      <c r="T9" s="580">
        <f t="shared" ref="T9:T39" si="1">+AF9+AG9</f>
        <v>35.787000000000006</v>
      </c>
      <c r="U9" s="425">
        <f>T9</f>
        <v>35.787000000000006</v>
      </c>
      <c r="V9" s="426">
        <f t="shared" ref="V9:V39" si="2">T9/(P9)</f>
        <v>3.5722699141545222</v>
      </c>
      <c r="W9" s="426">
        <f t="shared" ref="W9:W39" si="3">U9/(Q9)</f>
        <v>3.5722699141545222</v>
      </c>
      <c r="X9" s="422">
        <f t="shared" ref="X9:X39" si="4">IF(AND(R9&gt;0,T9&gt;0),T9/(R9),0)</f>
        <v>4.6392273787918077</v>
      </c>
      <c r="Y9" s="426">
        <f t="shared" ref="Y9:Y39" si="5">IF(AND(S9&gt;0,U9&gt;0),U9/(S9),0)</f>
        <v>4.6392273787918077</v>
      </c>
      <c r="Z9" s="425">
        <f>'1'!I46</f>
        <v>15116.019999997832</v>
      </c>
      <c r="AA9" s="425">
        <f>Z9</f>
        <v>15116.019999997832</v>
      </c>
      <c r="AB9" s="426">
        <f t="shared" ref="AB9:AB39" si="6">IF(AND(L9&gt;0,Z9&gt;0),(Z9/(P9*1000)*1000),0)</f>
        <v>1508.8860051904405</v>
      </c>
      <c r="AC9" s="426">
        <f t="shared" ref="AC9:AC39" si="7">IF(AND(M9&gt;0,AA9&gt;0),(AA9/(Q9*1000)*1000),0)</f>
        <v>1508.8860051904405</v>
      </c>
      <c r="AD9" s="426">
        <f t="shared" ref="AD9:AD39" si="8">IF(AND(R9&gt;0,Z9&gt;0),(Z9/(R9*1000)*1000),0)</f>
        <v>1959.5566502460244</v>
      </c>
      <c r="AE9" s="426">
        <f t="shared" ref="AE9:AE39" si="9">IF(AND(S9&gt;0,AA9&gt;0),(AA9/(S9*1000)*1000),0)</f>
        <v>1959.5566502460244</v>
      </c>
      <c r="AF9" s="505">
        <v>0.83099999999999996</v>
      </c>
      <c r="AG9" s="524">
        <v>34.956000000000003</v>
      </c>
      <c r="AH9" s="422">
        <f>+Efficiency2!K6</f>
        <v>66.78257860465115</v>
      </c>
      <c r="AI9" s="423">
        <f>AH9</f>
        <v>66.78257860465115</v>
      </c>
      <c r="AJ9" s="448">
        <f>+R9/AH9</f>
        <v>0.11550916662961484</v>
      </c>
      <c r="AK9" s="448">
        <f>+S9/AI9</f>
        <v>0.11550916662961484</v>
      </c>
    </row>
    <row r="10" spans="1:37" s="427" customFormat="1" ht="12.75" customHeight="1">
      <c r="A10" s="441">
        <f t="shared" ref="A10:A38" si="10">A9+1</f>
        <v>45871</v>
      </c>
      <c r="B10" s="451" t="s">
        <v>7</v>
      </c>
      <c r="C10" s="503" t="s">
        <v>452</v>
      </c>
      <c r="D10" s="421">
        <f>+'2'!F42</f>
        <v>1263.3333333333333</v>
      </c>
      <c r="E10" s="421">
        <f>+'2'!G42</f>
        <v>960.13333333333333</v>
      </c>
      <c r="F10" s="50">
        <f t="shared" si="0"/>
        <v>0.24</v>
      </c>
      <c r="G10" s="447">
        <f t="shared" ref="G10:G41" si="11">+P10/N10</f>
        <v>0.94387847189991425</v>
      </c>
      <c r="H10" s="442">
        <f t="shared" ref="H10:H41" si="12">+P10/L10</f>
        <v>0.70124618235858327</v>
      </c>
      <c r="I10" s="442">
        <f t="shared" ref="I10:I41" si="13">+R10/P10</f>
        <v>0.94416936998463397</v>
      </c>
      <c r="J10" s="448">
        <f t="shared" ref="J10:J41" si="14">+R10/L10</f>
        <v>0.66209516620163322</v>
      </c>
      <c r="K10" s="448">
        <f t="shared" ref="K10:K39" si="15">+S10/M10</f>
        <v>0.38887501099624505</v>
      </c>
      <c r="L10" s="422">
        <f>+Efficiency1!K11</f>
        <v>66.818189073634215</v>
      </c>
      <c r="M10" s="423">
        <f t="shared" ref="M10:O38" si="16">M9+L10</f>
        <v>133.60076767828537</v>
      </c>
      <c r="N10" s="422">
        <f>+Efficiency1!C11</f>
        <v>49.641984000000001</v>
      </c>
      <c r="O10" s="423">
        <f t="shared" si="16"/>
        <v>95.250556799999998</v>
      </c>
      <c r="P10" s="589">
        <f>'2'!I38</f>
        <v>46.855999999999995</v>
      </c>
      <c r="Q10" s="423">
        <f t="shared" ref="Q10:Q38" si="17">Q9+P10</f>
        <v>56.873999999999995</v>
      </c>
      <c r="R10" s="14">
        <f>'2'!I40</f>
        <v>44.24</v>
      </c>
      <c r="S10" s="423">
        <f t="shared" ref="S10:S38" si="18">S9+R10</f>
        <v>51.954000000000001</v>
      </c>
      <c r="T10" s="580">
        <f t="shared" si="1"/>
        <v>125.154</v>
      </c>
      <c r="U10" s="424">
        <f t="shared" ref="U10:U38" si="19">T10+U9</f>
        <v>160.941</v>
      </c>
      <c r="V10" s="426">
        <f t="shared" si="2"/>
        <v>2.6710346593819363</v>
      </c>
      <c r="W10" s="426">
        <f t="shared" si="3"/>
        <v>2.8297816225340227</v>
      </c>
      <c r="X10" s="422">
        <f t="shared" si="4"/>
        <v>2.8289783001808315</v>
      </c>
      <c r="Y10" s="426">
        <f t="shared" si="5"/>
        <v>3.0977595565307774</v>
      </c>
      <c r="Z10" s="425">
        <f>'2'!I46</f>
        <v>45471.460000000421</v>
      </c>
      <c r="AA10" s="424">
        <f t="shared" ref="AA10:AA38" si="20">Z10+AA9</f>
        <v>60587.47999999825</v>
      </c>
      <c r="AB10" s="426">
        <f t="shared" si="6"/>
        <v>970.45116954072967</v>
      </c>
      <c r="AC10" s="426">
        <f t="shared" si="7"/>
        <v>1065.2931040545461</v>
      </c>
      <c r="AD10" s="426">
        <f t="shared" si="8"/>
        <v>1027.8358951175501</v>
      </c>
      <c r="AE10" s="426">
        <f t="shared" si="9"/>
        <v>1166.1754629094632</v>
      </c>
      <c r="AF10" s="505">
        <v>0.64</v>
      </c>
      <c r="AG10" s="524">
        <v>124.514</v>
      </c>
      <c r="AH10" s="422">
        <f>+Efficiency2!K11</f>
        <v>66.818189073634215</v>
      </c>
      <c r="AI10" s="423">
        <f t="shared" ref="AI10:AI38" si="21">AI9+AH10</f>
        <v>133.60076767828537</v>
      </c>
      <c r="AJ10" s="448">
        <f t="shared" ref="AJ10:AJ41" si="22">+R10/AH10</f>
        <v>0.66209516620163322</v>
      </c>
      <c r="AK10" s="448">
        <f t="shared" ref="AK10:AK39" si="23">+S10/AI10</f>
        <v>0.38887501099624505</v>
      </c>
    </row>
    <row r="11" spans="1:37" s="427" customFormat="1" ht="12.75" customHeight="1">
      <c r="A11" s="441">
        <f t="shared" si="10"/>
        <v>45872</v>
      </c>
      <c r="B11" s="451" t="s">
        <v>7</v>
      </c>
      <c r="C11" s="503" t="s">
        <v>525</v>
      </c>
      <c r="D11" s="421">
        <f>+'3'!F42</f>
        <v>1460</v>
      </c>
      <c r="E11" s="421">
        <f>+'3'!G42</f>
        <v>1109.5999999999999</v>
      </c>
      <c r="F11" s="50">
        <f t="shared" si="0"/>
        <v>0.2400000000000001</v>
      </c>
      <c r="G11" s="447">
        <f t="shared" si="11"/>
        <v>0.93964068131887968</v>
      </c>
      <c r="H11" s="442">
        <f>+P11/L11</f>
        <v>0.8062238691963749</v>
      </c>
      <c r="I11" s="442">
        <f t="shared" si="13"/>
        <v>0.96815633028899339</v>
      </c>
      <c r="J11" s="448">
        <f t="shared" si="14"/>
        <v>0.78055074259255575</v>
      </c>
      <c r="K11" s="448">
        <f t="shared" si="15"/>
        <v>0.51856922936571559</v>
      </c>
      <c r="L11" s="422">
        <f>+SUM(Efficiency1!K17:K18)</f>
        <v>66.139197854748616</v>
      </c>
      <c r="M11" s="423">
        <f t="shared" si="16"/>
        <v>199.73996553303397</v>
      </c>
      <c r="N11" s="422">
        <f>+SUM(Efficiency1!C17:C18)</f>
        <v>56.748288000000002</v>
      </c>
      <c r="O11" s="423">
        <f t="shared" si="16"/>
        <v>151.9988448</v>
      </c>
      <c r="P11" s="589">
        <f>'3'!I38</f>
        <v>53.323000000000008</v>
      </c>
      <c r="Q11" s="423">
        <f t="shared" si="17"/>
        <v>110.197</v>
      </c>
      <c r="R11" s="14">
        <f>'3'!I40</f>
        <v>51.625</v>
      </c>
      <c r="S11" s="423">
        <f t="shared" si="18"/>
        <v>103.57900000000001</v>
      </c>
      <c r="T11" s="580">
        <f t="shared" si="1"/>
        <v>134.80500000000001</v>
      </c>
      <c r="U11" s="424">
        <f t="shared" si="19"/>
        <v>295.74599999999998</v>
      </c>
      <c r="V11" s="426">
        <f t="shared" si="2"/>
        <v>2.5280835661909493</v>
      </c>
      <c r="W11" s="426">
        <f t="shared" si="3"/>
        <v>2.6837935696979045</v>
      </c>
      <c r="X11" s="422">
        <f t="shared" si="4"/>
        <v>2.6112348668280871</v>
      </c>
      <c r="Y11" s="426">
        <f t="shared" si="5"/>
        <v>2.8552698906148928</v>
      </c>
      <c r="Z11" s="425">
        <f>'3'!I46</f>
        <v>48853.499999998072</v>
      </c>
      <c r="AA11" s="424">
        <f t="shared" si="20"/>
        <v>109440.97999999631</v>
      </c>
      <c r="AB11" s="426">
        <f t="shared" si="6"/>
        <v>916.18063499799462</v>
      </c>
      <c r="AC11" s="426">
        <f t="shared" si="7"/>
        <v>993.13937765997537</v>
      </c>
      <c r="AD11" s="426">
        <f t="shared" si="8"/>
        <v>946.31476997574964</v>
      </c>
      <c r="AE11" s="426">
        <f t="shared" si="9"/>
        <v>1056.594290348394</v>
      </c>
      <c r="AF11" s="505">
        <v>1.9890000000000001</v>
      </c>
      <c r="AG11" s="524">
        <v>132.816</v>
      </c>
      <c r="AH11" s="422">
        <f>+SUM(Efficiency2!K17:K18)</f>
        <v>66.139197854748616</v>
      </c>
      <c r="AI11" s="423">
        <f t="shared" si="21"/>
        <v>199.73996553303397</v>
      </c>
      <c r="AJ11" s="448">
        <f t="shared" si="22"/>
        <v>0.78055074259255575</v>
      </c>
      <c r="AK11" s="448">
        <f t="shared" si="23"/>
        <v>0.51856922936571559</v>
      </c>
    </row>
    <row r="12" spans="1:37" s="427" customFormat="1" ht="12.75" customHeight="1">
      <c r="A12" s="441">
        <f t="shared" si="10"/>
        <v>45873</v>
      </c>
      <c r="B12" s="451" t="s">
        <v>7</v>
      </c>
      <c r="C12" s="503" t="s">
        <v>526</v>
      </c>
      <c r="D12" s="421">
        <f>+'4'!F42</f>
        <v>1566.6666666666667</v>
      </c>
      <c r="E12" s="421">
        <f>+'4'!G42</f>
        <v>1190.6666666666667</v>
      </c>
      <c r="F12" s="50">
        <f t="shared" si="0"/>
        <v>0.24</v>
      </c>
      <c r="G12" s="447">
        <f t="shared" si="11"/>
        <v>0.90708437704576728</v>
      </c>
      <c r="H12" s="442">
        <f t="shared" si="12"/>
        <v>0.8355847849727478</v>
      </c>
      <c r="I12" s="442">
        <f t="shared" si="13"/>
        <v>0.81910318261715098</v>
      </c>
      <c r="J12" s="448">
        <f t="shared" si="14"/>
        <v>0.68443015671764551</v>
      </c>
      <c r="K12" s="448">
        <f t="shared" si="15"/>
        <v>0.55881790984855062</v>
      </c>
      <c r="L12" s="422">
        <f>+Efficiency1!K21</f>
        <v>64.000686658917758</v>
      </c>
      <c r="M12" s="423">
        <f t="shared" si="16"/>
        <v>263.74065219195171</v>
      </c>
      <c r="N12" s="422">
        <f>+Efficiency1!C21</f>
        <v>58.955926651685402</v>
      </c>
      <c r="O12" s="423">
        <f t="shared" si="16"/>
        <v>210.95477145168542</v>
      </c>
      <c r="P12" s="589">
        <f>'4'!I38</f>
        <v>53.478000000000002</v>
      </c>
      <c r="Q12" s="423">
        <f t="shared" si="17"/>
        <v>163.67500000000001</v>
      </c>
      <c r="R12" s="14">
        <f>'4'!I40</f>
        <v>43.804000000000002</v>
      </c>
      <c r="S12" s="423">
        <f t="shared" si="18"/>
        <v>147.38300000000001</v>
      </c>
      <c r="T12" s="580">
        <f t="shared" si="1"/>
        <v>129.709</v>
      </c>
      <c r="U12" s="424">
        <f t="shared" si="19"/>
        <v>425.45499999999998</v>
      </c>
      <c r="V12" s="426">
        <f t="shared" si="2"/>
        <v>2.4254646770634651</v>
      </c>
      <c r="W12" s="426">
        <f t="shared" si="3"/>
        <v>2.5993890331449516</v>
      </c>
      <c r="X12" s="422">
        <f t="shared" si="4"/>
        <v>2.9611222719386356</v>
      </c>
      <c r="Y12" s="426">
        <f t="shared" si="5"/>
        <v>2.886730491304967</v>
      </c>
      <c r="Z12" s="425">
        <f>'4'!I46</f>
        <v>52564.460000001411</v>
      </c>
      <c r="AA12" s="424">
        <f t="shared" si="20"/>
        <v>162005.43999999773</v>
      </c>
      <c r="AB12" s="426">
        <f t="shared" si="6"/>
        <v>982.91746138601684</v>
      </c>
      <c r="AC12" s="426">
        <f t="shared" si="7"/>
        <v>989.7995417748449</v>
      </c>
      <c r="AD12" s="426">
        <f t="shared" si="8"/>
        <v>1199.992238151799</v>
      </c>
      <c r="AE12" s="426">
        <f t="shared" si="9"/>
        <v>1099.2138849120843</v>
      </c>
      <c r="AF12" s="505">
        <v>1.37</v>
      </c>
      <c r="AG12" s="524">
        <v>128.339</v>
      </c>
      <c r="AH12" s="422">
        <f>+Efficiency2!K21</f>
        <v>64.000686658917758</v>
      </c>
      <c r="AI12" s="423">
        <f t="shared" si="21"/>
        <v>263.74065219195171</v>
      </c>
      <c r="AJ12" s="448">
        <f t="shared" si="22"/>
        <v>0.68443015671764551</v>
      </c>
      <c r="AK12" s="448">
        <f t="shared" si="23"/>
        <v>0.55881790984855062</v>
      </c>
    </row>
    <row r="13" spans="1:37" s="427" customFormat="1" ht="12.75" customHeight="1">
      <c r="A13" s="441">
        <f t="shared" si="10"/>
        <v>45874</v>
      </c>
      <c r="B13" s="451" t="s">
        <v>573</v>
      </c>
      <c r="C13" s="503" t="s">
        <v>542</v>
      </c>
      <c r="D13" s="421">
        <f>+'5'!F42</f>
        <v>1359.6840277777778</v>
      </c>
      <c r="E13" s="421">
        <f>+'5'!G42</f>
        <v>1033.3598611111111</v>
      </c>
      <c r="F13" s="50">
        <f t="shared" si="0"/>
        <v>0.2400000000000001</v>
      </c>
      <c r="G13" s="447">
        <f t="shared" si="11"/>
        <v>0.94812826605311296</v>
      </c>
      <c r="H13" s="442">
        <f t="shared" si="12"/>
        <v>0.92371028631828866</v>
      </c>
      <c r="I13" s="442">
        <f t="shared" si="13"/>
        <v>0.82929496151154658</v>
      </c>
      <c r="J13" s="448">
        <f t="shared" si="14"/>
        <v>0.76602828634014486</v>
      </c>
      <c r="K13" s="448">
        <f t="shared" si="15"/>
        <v>0.60434138834387341</v>
      </c>
      <c r="L13" s="422">
        <f>+SUM(Efficiency1!K25:K27)</f>
        <v>74.257049007641797</v>
      </c>
      <c r="M13" s="423">
        <f t="shared" si="16"/>
        <v>337.99770119959351</v>
      </c>
      <c r="N13" s="422">
        <f>+SUM(Efficiency1!C25:C27)</f>
        <v>72.344642023527186</v>
      </c>
      <c r="O13" s="423">
        <f t="shared" si="16"/>
        <v>283.29941347521259</v>
      </c>
      <c r="P13" s="589">
        <f>'5'!I38</f>
        <v>68.591999999999999</v>
      </c>
      <c r="Q13" s="423">
        <f t="shared" si="17"/>
        <v>232.267</v>
      </c>
      <c r="R13" s="14">
        <f>'5'!I40</f>
        <v>56.883000000000003</v>
      </c>
      <c r="S13" s="423">
        <f t="shared" si="18"/>
        <v>204.26600000000002</v>
      </c>
      <c r="T13" s="580">
        <f t="shared" si="1"/>
        <v>151.25399999999999</v>
      </c>
      <c r="U13" s="424">
        <f t="shared" si="19"/>
        <v>576.70899999999995</v>
      </c>
      <c r="V13" s="426">
        <f t="shared" si="2"/>
        <v>2.2051259622113366</v>
      </c>
      <c r="W13" s="426">
        <f t="shared" si="3"/>
        <v>2.4829571140110303</v>
      </c>
      <c r="X13" s="422">
        <f t="shared" si="4"/>
        <v>2.6590369706239119</v>
      </c>
      <c r="Y13" s="426">
        <f t="shared" si="5"/>
        <v>2.8233235095414795</v>
      </c>
      <c r="Z13" s="425">
        <f>'5'!I46</f>
        <v>56307.900000002257</v>
      </c>
      <c r="AA13" s="424">
        <f t="shared" si="20"/>
        <v>218313.34</v>
      </c>
      <c r="AB13" s="426">
        <f t="shared" si="6"/>
        <v>820.91060181948706</v>
      </c>
      <c r="AC13" s="426">
        <f t="shared" si="7"/>
        <v>939.92405292185288</v>
      </c>
      <c r="AD13" s="426">
        <f t="shared" si="8"/>
        <v>989.88977374615013</v>
      </c>
      <c r="AE13" s="426">
        <f t="shared" si="9"/>
        <v>1068.7698393271517</v>
      </c>
      <c r="AF13" s="505">
        <v>5.0419999999999998</v>
      </c>
      <c r="AG13" s="524">
        <v>146.21199999999999</v>
      </c>
      <c r="AH13" s="422">
        <f>+SUM(Efficiency2!K25:K27)</f>
        <v>74.257049007641797</v>
      </c>
      <c r="AI13" s="423">
        <f t="shared" si="21"/>
        <v>337.99770119959351</v>
      </c>
      <c r="AJ13" s="448">
        <f t="shared" si="22"/>
        <v>0.76602828634014486</v>
      </c>
      <c r="AK13" s="448">
        <f t="shared" si="23"/>
        <v>0.60434138834387341</v>
      </c>
    </row>
    <row r="14" spans="1:37" s="427" customFormat="1" ht="12.75" customHeight="1">
      <c r="A14" s="441">
        <f t="shared" si="10"/>
        <v>45875</v>
      </c>
      <c r="B14" s="428" t="s">
        <v>231</v>
      </c>
      <c r="C14" s="503" t="s">
        <v>553</v>
      </c>
      <c r="D14" s="421">
        <f>+'6'!F42</f>
        <v>1260</v>
      </c>
      <c r="E14" s="421">
        <f>+'6'!G42</f>
        <v>1255.5899999999999</v>
      </c>
      <c r="F14" s="50">
        <f t="shared" si="0"/>
        <v>3.5000000000000586E-3</v>
      </c>
      <c r="G14" s="447">
        <f t="shared" si="11"/>
        <v>0.98016980267388021</v>
      </c>
      <c r="H14" s="442">
        <f t="shared" si="12"/>
        <v>0.97673920836452177</v>
      </c>
      <c r="I14" s="442">
        <f t="shared" si="13"/>
        <v>0.94252667443737115</v>
      </c>
      <c r="J14" s="448">
        <f t="shared" si="14"/>
        <v>0.9206027578524032</v>
      </c>
      <c r="K14" s="448">
        <f t="shared" si="15"/>
        <v>0.66482752685688695</v>
      </c>
      <c r="L14" s="422">
        <f>+Efficiency1!K30</f>
        <v>79.930240673684196</v>
      </c>
      <c r="M14" s="423">
        <f t="shared" si="16"/>
        <v>417.92794187327769</v>
      </c>
      <c r="N14" s="422">
        <f>+Efficiency1!C30</f>
        <v>79.65048483132631</v>
      </c>
      <c r="O14" s="423">
        <f t="shared" si="16"/>
        <v>362.9498983065389</v>
      </c>
      <c r="P14" s="589">
        <f>'6'!I38</f>
        <v>78.070999999999998</v>
      </c>
      <c r="Q14" s="423">
        <f t="shared" si="17"/>
        <v>310.33799999999997</v>
      </c>
      <c r="R14" s="14">
        <f>'6'!I40</f>
        <v>73.584000000000003</v>
      </c>
      <c r="S14" s="423">
        <f t="shared" si="18"/>
        <v>277.85000000000002</v>
      </c>
      <c r="T14" s="580">
        <f t="shared" si="1"/>
        <v>165.83600000000001</v>
      </c>
      <c r="U14" s="424">
        <f t="shared" si="19"/>
        <v>742.54499999999996</v>
      </c>
      <c r="V14" s="426">
        <f t="shared" si="2"/>
        <v>2.1241690256305161</v>
      </c>
      <c r="W14" s="426">
        <f t="shared" si="3"/>
        <v>2.3926976393480657</v>
      </c>
      <c r="X14" s="422">
        <f t="shared" si="4"/>
        <v>2.2536964557512502</v>
      </c>
      <c r="Y14" s="426">
        <f t="shared" si="5"/>
        <v>2.6724671585387796</v>
      </c>
      <c r="Z14" s="425">
        <f>'6'!I46</f>
        <v>57108.979999996671</v>
      </c>
      <c r="AA14" s="424">
        <f t="shared" si="20"/>
        <v>275422.31999999669</v>
      </c>
      <c r="AB14" s="426">
        <f t="shared" si="6"/>
        <v>731.50055718508372</v>
      </c>
      <c r="AC14" s="426">
        <f t="shared" si="7"/>
        <v>887.4914448117753</v>
      </c>
      <c r="AD14" s="426">
        <f t="shared" si="8"/>
        <v>776.10594694494284</v>
      </c>
      <c r="AE14" s="426">
        <f t="shared" si="9"/>
        <v>991.2626237178215</v>
      </c>
      <c r="AF14" s="505">
        <v>14.484</v>
      </c>
      <c r="AG14" s="524">
        <v>151.352</v>
      </c>
      <c r="AH14" s="422">
        <f>+Efficiency2!K30</f>
        <v>79.930240673684196</v>
      </c>
      <c r="AI14" s="423">
        <f t="shared" si="21"/>
        <v>417.92794187327769</v>
      </c>
      <c r="AJ14" s="448">
        <f t="shared" si="22"/>
        <v>0.9206027578524032</v>
      </c>
      <c r="AK14" s="448">
        <f t="shared" si="23"/>
        <v>0.66482752685688695</v>
      </c>
    </row>
    <row r="15" spans="1:37" s="427" customFormat="1" ht="12.75" customHeight="1">
      <c r="A15" s="441">
        <f t="shared" si="10"/>
        <v>45876</v>
      </c>
      <c r="B15" s="428" t="s">
        <v>231</v>
      </c>
      <c r="C15" s="428" t="s">
        <v>574</v>
      </c>
      <c r="D15" s="421">
        <f>+'7'!F42</f>
        <v>1320.4444444444443</v>
      </c>
      <c r="E15" s="421">
        <f>+'7'!G42</f>
        <v>1315.8228888888889</v>
      </c>
      <c r="F15" s="50">
        <f t="shared" si="0"/>
        <v>3.4999999999999476E-3</v>
      </c>
      <c r="G15" s="447">
        <f t="shared" si="11"/>
        <v>0.89097520413977793</v>
      </c>
      <c r="H15" s="442">
        <f t="shared" si="12"/>
        <v>0.88770914418127966</v>
      </c>
      <c r="I15" s="442">
        <f t="shared" si="13"/>
        <v>1.0529643307649053</v>
      </c>
      <c r="J15" s="448">
        <f t="shared" si="14"/>
        <v>0.93472606491672794</v>
      </c>
      <c r="K15" s="448">
        <f t="shared" si="15"/>
        <v>0.70548493838188719</v>
      </c>
      <c r="L15" s="422">
        <f>+SUM(Efficiency1!K34:K35)</f>
        <v>74.122251000000006</v>
      </c>
      <c r="M15" s="423">
        <f t="shared" si="16"/>
        <v>492.05019287327769</v>
      </c>
      <c r="N15" s="422">
        <f>+SUM(Efficiency1!C34:C35)</f>
        <v>73.850540053499998</v>
      </c>
      <c r="O15" s="423">
        <f t="shared" si="16"/>
        <v>436.80043836003892</v>
      </c>
      <c r="P15" s="589">
        <f>'7'!I38</f>
        <v>65.799000000000007</v>
      </c>
      <c r="Q15" s="423">
        <f t="shared" si="17"/>
        <v>376.13699999999994</v>
      </c>
      <c r="R15" s="14">
        <f>'7'!I40</f>
        <v>69.284000000000006</v>
      </c>
      <c r="S15" s="423">
        <f t="shared" si="18"/>
        <v>347.13400000000001</v>
      </c>
      <c r="T15" s="580">
        <f t="shared" si="1"/>
        <v>143.38600000000002</v>
      </c>
      <c r="U15" s="424">
        <f t="shared" si="19"/>
        <v>885.93100000000004</v>
      </c>
      <c r="V15" s="426">
        <f t="shared" si="2"/>
        <v>2.1791516588398001</v>
      </c>
      <c r="W15" s="426">
        <f t="shared" si="3"/>
        <v>2.355341271930175</v>
      </c>
      <c r="X15" s="422">
        <f t="shared" si="4"/>
        <v>2.0695398649038741</v>
      </c>
      <c r="Y15" s="426">
        <f t="shared" si="5"/>
        <v>2.5521297251205586</v>
      </c>
      <c r="Z15" s="425">
        <f>'7'!I46</f>
        <v>54619.340000003336</v>
      </c>
      <c r="AA15" s="424">
        <f t="shared" si="20"/>
        <v>330041.66000000003</v>
      </c>
      <c r="AB15" s="426">
        <f t="shared" si="6"/>
        <v>830.09377042209348</v>
      </c>
      <c r="AC15" s="426">
        <f t="shared" si="7"/>
        <v>877.45066292334991</v>
      </c>
      <c r="AD15" s="426">
        <f t="shared" si="8"/>
        <v>788.3398764505996</v>
      </c>
      <c r="AE15" s="426">
        <f t="shared" si="9"/>
        <v>950.76155029469896</v>
      </c>
      <c r="AF15" s="505">
        <v>5.0259999999999998</v>
      </c>
      <c r="AG15" s="524">
        <v>138.36000000000001</v>
      </c>
      <c r="AH15" s="422">
        <f>+SUM(Efficiency2!K34:K35)</f>
        <v>74.122251000000006</v>
      </c>
      <c r="AI15" s="423">
        <f t="shared" si="21"/>
        <v>492.05019287327769</v>
      </c>
      <c r="AJ15" s="448">
        <f t="shared" si="22"/>
        <v>0.93472606491672794</v>
      </c>
      <c r="AK15" s="448">
        <f t="shared" si="23"/>
        <v>0.70548493838188719</v>
      </c>
    </row>
    <row r="16" spans="1:37" s="427" customFormat="1" ht="12.75" customHeight="1">
      <c r="A16" s="441">
        <f t="shared" si="10"/>
        <v>45877</v>
      </c>
      <c r="B16" s="428" t="s">
        <v>231</v>
      </c>
      <c r="C16" s="428" t="s">
        <v>579</v>
      </c>
      <c r="D16" s="421">
        <f>+'8'!F42</f>
        <v>1340</v>
      </c>
      <c r="E16" s="421">
        <f>+'8'!G42</f>
        <v>1335.31</v>
      </c>
      <c r="F16" s="50">
        <f t="shared" si="0"/>
        <v>3.5000000000000586E-3</v>
      </c>
      <c r="G16" s="447">
        <f t="shared" si="11"/>
        <v>0.95248615795263958</v>
      </c>
      <c r="H16" s="442">
        <f t="shared" si="12"/>
        <v>0.94893210512445803</v>
      </c>
      <c r="I16" s="442">
        <f t="shared" si="13"/>
        <v>1.0236832493242749</v>
      </c>
      <c r="J16" s="448">
        <f t="shared" si="14"/>
        <v>0.97140590076192956</v>
      </c>
      <c r="K16" s="448">
        <f t="shared" si="15"/>
        <v>0.73948208913798441</v>
      </c>
      <c r="L16" s="422">
        <f>+Efficiency1!K40</f>
        <v>72.128448000000006</v>
      </c>
      <c r="M16" s="423">
        <f t="shared" si="16"/>
        <v>564.17864087327769</v>
      </c>
      <c r="N16" s="422">
        <f>+Efficiency1!C40</f>
        <v>71.859312000000003</v>
      </c>
      <c r="O16" s="423">
        <f t="shared" si="16"/>
        <v>508.65975036003891</v>
      </c>
      <c r="P16" s="589">
        <f>'8'!I38</f>
        <v>68.445000000000007</v>
      </c>
      <c r="Q16" s="423">
        <f t="shared" si="17"/>
        <v>444.58199999999994</v>
      </c>
      <c r="R16" s="14">
        <f>'8'!I40</f>
        <v>70.066000000000003</v>
      </c>
      <c r="S16" s="423">
        <f t="shared" si="18"/>
        <v>417.20000000000005</v>
      </c>
      <c r="T16" s="580">
        <f t="shared" si="1"/>
        <v>150.346</v>
      </c>
      <c r="U16" s="424">
        <f t="shared" si="19"/>
        <v>1036.277</v>
      </c>
      <c r="V16" s="426">
        <f t="shared" si="2"/>
        <v>2.1965958068522169</v>
      </c>
      <c r="W16" s="426">
        <f t="shared" si="3"/>
        <v>2.3309018358817952</v>
      </c>
      <c r="X16" s="422">
        <f t="shared" si="4"/>
        <v>2.1457768389803897</v>
      </c>
      <c r="Y16" s="426">
        <f t="shared" si="5"/>
        <v>2.4838854266538828</v>
      </c>
      <c r="Z16" s="425">
        <f>'8'!I46</f>
        <v>58000.539999995548</v>
      </c>
      <c r="AA16" s="424">
        <f t="shared" si="20"/>
        <v>388042.19999999559</v>
      </c>
      <c r="AB16" s="426">
        <f t="shared" si="6"/>
        <v>847.40360873687678</v>
      </c>
      <c r="AC16" s="426">
        <f t="shared" si="7"/>
        <v>872.82481072107203</v>
      </c>
      <c r="AD16" s="426">
        <f t="shared" si="8"/>
        <v>827.7986469899173</v>
      </c>
      <c r="AE16" s="426">
        <f t="shared" si="9"/>
        <v>930.11073825502285</v>
      </c>
      <c r="AF16" s="505">
        <v>2.4900000000000002</v>
      </c>
      <c r="AG16" s="524">
        <v>147.85599999999999</v>
      </c>
      <c r="AH16" s="422">
        <f>+Efficiency2!K40</f>
        <v>72.128448000000006</v>
      </c>
      <c r="AI16" s="423">
        <f t="shared" si="21"/>
        <v>564.17864087327769</v>
      </c>
      <c r="AJ16" s="448">
        <f t="shared" si="22"/>
        <v>0.97140590076192956</v>
      </c>
      <c r="AK16" s="448">
        <f t="shared" si="23"/>
        <v>0.73948208913798441</v>
      </c>
    </row>
    <row r="17" spans="1:37" s="427" customFormat="1" ht="12.75" customHeight="1">
      <c r="A17" s="441">
        <f t="shared" si="10"/>
        <v>45878</v>
      </c>
      <c r="B17" s="428" t="s">
        <v>231</v>
      </c>
      <c r="C17" s="428" t="s">
        <v>594</v>
      </c>
      <c r="D17" s="421">
        <f>+'9'!F42</f>
        <v>1296.25</v>
      </c>
      <c r="E17" s="421">
        <f>+'9'!G42</f>
        <v>1291.713125</v>
      </c>
      <c r="F17" s="50">
        <f t="shared" si="0"/>
        <v>3.5000000000000586E-3</v>
      </c>
      <c r="G17" s="447">
        <f t="shared" si="11"/>
        <v>0.96770355365933425</v>
      </c>
      <c r="H17" s="442">
        <f t="shared" si="12"/>
        <v>0.96431659122152658</v>
      </c>
      <c r="I17" s="442">
        <f t="shared" si="13"/>
        <v>1.0257325578190037</v>
      </c>
      <c r="J17" s="448">
        <f t="shared" si="14"/>
        <v>0.98913092366095912</v>
      </c>
      <c r="K17" s="448">
        <f t="shared" si="15"/>
        <v>0.76885769299811146</v>
      </c>
      <c r="L17" s="422">
        <f>+SUM(Efficiency1!K44:K45)</f>
        <v>75.238776000000001</v>
      </c>
      <c r="M17" s="423">
        <f t="shared" si="16"/>
        <v>639.41741687327772</v>
      </c>
      <c r="N17" s="422">
        <f>+SUM(Efficiency1!C44:C45)</f>
        <v>74.975440284000001</v>
      </c>
      <c r="O17" s="423">
        <f t="shared" si="16"/>
        <v>583.63519064403886</v>
      </c>
      <c r="P17" s="589">
        <f>'9'!I38</f>
        <v>72.554000000000002</v>
      </c>
      <c r="Q17" s="423">
        <f t="shared" si="17"/>
        <v>517.13599999999997</v>
      </c>
      <c r="R17" s="14">
        <f>'9'!I40</f>
        <v>74.421000000000006</v>
      </c>
      <c r="S17" s="423">
        <f t="shared" si="18"/>
        <v>491.62100000000004</v>
      </c>
      <c r="T17" s="580">
        <f t="shared" si="1"/>
        <v>158.911</v>
      </c>
      <c r="U17" s="424">
        <f t="shared" si="19"/>
        <v>1195.1880000000001</v>
      </c>
      <c r="V17" s="426">
        <f t="shared" si="2"/>
        <v>2.1902445075392123</v>
      </c>
      <c r="W17" s="426">
        <f t="shared" si="3"/>
        <v>2.3111676618916497</v>
      </c>
      <c r="X17" s="422">
        <f t="shared" si="4"/>
        <v>2.135297832601013</v>
      </c>
      <c r="Y17" s="426">
        <f t="shared" si="5"/>
        <v>2.4311166528687749</v>
      </c>
      <c r="Z17" s="425">
        <f>'9'!I46</f>
        <v>57853.420000003134</v>
      </c>
      <c r="AA17" s="424">
        <f t="shared" si="20"/>
        <v>445895.61999999871</v>
      </c>
      <c r="AB17" s="426">
        <f t="shared" si="6"/>
        <v>797.38429307830211</v>
      </c>
      <c r="AC17" s="426">
        <f t="shared" si="7"/>
        <v>862.24053247114637</v>
      </c>
      <c r="AD17" s="426">
        <f t="shared" si="8"/>
        <v>777.38030932133586</v>
      </c>
      <c r="AE17" s="426">
        <f t="shared" si="9"/>
        <v>906.9905882783662</v>
      </c>
      <c r="AF17" s="505">
        <v>7.3490000000000002</v>
      </c>
      <c r="AG17" s="524">
        <v>151.56200000000001</v>
      </c>
      <c r="AH17" s="422">
        <f>+SUM(Efficiency2!K44:K45)</f>
        <v>75.238776000000001</v>
      </c>
      <c r="AI17" s="423">
        <f t="shared" si="21"/>
        <v>639.41741687327772</v>
      </c>
      <c r="AJ17" s="448">
        <f t="shared" si="22"/>
        <v>0.98913092366095912</v>
      </c>
      <c r="AK17" s="448">
        <f t="shared" si="23"/>
        <v>0.76885769299811146</v>
      </c>
    </row>
    <row r="18" spans="1:37" s="427" customFormat="1" ht="12.75" customHeight="1">
      <c r="A18" s="441">
        <f t="shared" si="10"/>
        <v>45879</v>
      </c>
      <c r="B18" s="428" t="s">
        <v>231</v>
      </c>
      <c r="C18" s="428" t="s">
        <v>595</v>
      </c>
      <c r="D18" s="421">
        <f>+'10'!F42</f>
        <v>1260</v>
      </c>
      <c r="E18" s="421">
        <f>+'10'!G42</f>
        <v>1255.5899999999999</v>
      </c>
      <c r="F18" s="50">
        <f t="shared" si="0"/>
        <v>3.5000000000000586E-3</v>
      </c>
      <c r="G18" s="447">
        <f t="shared" si="11"/>
        <v>0.9745508082825951</v>
      </c>
      <c r="H18" s="442">
        <f t="shared" si="12"/>
        <v>0.97113988045360611</v>
      </c>
      <c r="I18" s="442">
        <f>+R18/P18</f>
        <v>1.0496520376980558</v>
      </c>
      <c r="J18" s="448">
        <f t="shared" si="14"/>
        <v>1.019358954407974</v>
      </c>
      <c r="K18" s="448">
        <f t="shared" si="15"/>
        <v>0.79677449600583394</v>
      </c>
      <c r="L18" s="422">
        <f>+Efficiency1!K49</f>
        <v>80.196479999999994</v>
      </c>
      <c r="M18" s="423">
        <f t="shared" si="16"/>
        <v>719.61389687327767</v>
      </c>
      <c r="N18" s="422">
        <f>+Efficiency1!C49</f>
        <v>79.915792319999994</v>
      </c>
      <c r="O18" s="423">
        <f t="shared" si="16"/>
        <v>663.55098296403889</v>
      </c>
      <c r="P18" s="589">
        <f>'10'!I38</f>
        <v>77.882000000000005</v>
      </c>
      <c r="Q18" s="423">
        <f t="shared" si="17"/>
        <v>595.01800000000003</v>
      </c>
      <c r="R18" s="14">
        <f>'10'!I40</f>
        <v>81.748999999999995</v>
      </c>
      <c r="S18" s="423">
        <f t="shared" si="18"/>
        <v>573.37</v>
      </c>
      <c r="T18" s="580">
        <f t="shared" si="1"/>
        <v>171.869</v>
      </c>
      <c r="U18" s="424">
        <f t="shared" si="19"/>
        <v>1367.057</v>
      </c>
      <c r="V18" s="426">
        <f t="shared" si="2"/>
        <v>2.2067871908785084</v>
      </c>
      <c r="W18" s="426">
        <f t="shared" si="3"/>
        <v>2.2975052855543865</v>
      </c>
      <c r="X18" s="422">
        <f t="shared" si="4"/>
        <v>2.1023988061016037</v>
      </c>
      <c r="Y18" s="426">
        <f t="shared" si="5"/>
        <v>2.3842492631285208</v>
      </c>
      <c r="Z18" s="425">
        <f>'10'!I46</f>
        <v>55182.540000000285</v>
      </c>
      <c r="AA18" s="424">
        <f t="shared" si="20"/>
        <v>501078.15999999898</v>
      </c>
      <c r="AB18" s="426">
        <f t="shared" si="6"/>
        <v>708.54035592306673</v>
      </c>
      <c r="AC18" s="426">
        <f t="shared" si="7"/>
        <v>842.12269208662428</v>
      </c>
      <c r="AD18" s="426">
        <f t="shared" si="8"/>
        <v>675.02403699128172</v>
      </c>
      <c r="AE18" s="426">
        <f t="shared" si="9"/>
        <v>873.91764480178415</v>
      </c>
      <c r="AF18" s="505">
        <v>17.326000000000001</v>
      </c>
      <c r="AG18" s="524">
        <v>154.54300000000001</v>
      </c>
      <c r="AH18" s="422">
        <f>+Efficiency2!K49</f>
        <v>80.196479999999994</v>
      </c>
      <c r="AI18" s="423">
        <f t="shared" si="21"/>
        <v>719.61389687327767</v>
      </c>
      <c r="AJ18" s="448">
        <f t="shared" si="22"/>
        <v>1.019358954407974</v>
      </c>
      <c r="AK18" s="448">
        <f t="shared" si="23"/>
        <v>0.79677449600583394</v>
      </c>
    </row>
    <row r="19" spans="1:37" s="427" customFormat="1" ht="12.75" customHeight="1">
      <c r="A19" s="441">
        <f t="shared" si="10"/>
        <v>45880</v>
      </c>
      <c r="B19" s="428" t="s">
        <v>231</v>
      </c>
      <c r="C19" s="428" t="s">
        <v>619</v>
      </c>
      <c r="D19" s="421">
        <f>+'11'!F42</f>
        <v>1183.4722222222222</v>
      </c>
      <c r="E19" s="421">
        <f>+'11'!G42</f>
        <v>1179.3300694444445</v>
      </c>
      <c r="F19" s="50">
        <f t="shared" si="0"/>
        <v>3.4999999999999476E-3</v>
      </c>
      <c r="G19" s="447">
        <f t="shared" si="11"/>
        <v>0.93059852066570992</v>
      </c>
      <c r="H19" s="442">
        <f t="shared" si="12"/>
        <v>0.92734142584338008</v>
      </c>
      <c r="I19" s="442">
        <f t="shared" si="13"/>
        <v>0.7869228785143153</v>
      </c>
      <c r="J19" s="448">
        <f t="shared" si="14"/>
        <v>0.72974618419024206</v>
      </c>
      <c r="K19" s="448">
        <f t="shared" si="15"/>
        <v>0.78979691494059368</v>
      </c>
      <c r="L19" s="422">
        <f>+SUM(Efficiency1!K54:K56)</f>
        <v>83.615373840848804</v>
      </c>
      <c r="M19" s="423">
        <f t="shared" si="16"/>
        <v>803.22927071412641</v>
      </c>
      <c r="N19" s="422">
        <f>+SUM(Efficiency1!C54:C56)</f>
        <v>83.32272003240584</v>
      </c>
      <c r="O19" s="423">
        <f t="shared" si="16"/>
        <v>746.87370299644476</v>
      </c>
      <c r="P19" s="589">
        <f>'11'!I38</f>
        <v>77.539999999999992</v>
      </c>
      <c r="Q19" s="423">
        <f t="shared" si="17"/>
        <v>672.55799999999999</v>
      </c>
      <c r="R19" s="14">
        <f>'11'!I40</f>
        <v>61.018000000000001</v>
      </c>
      <c r="S19" s="423">
        <f t="shared" si="18"/>
        <v>634.38800000000003</v>
      </c>
      <c r="T19" s="580">
        <f t="shared" si="1"/>
        <v>172.48099999999999</v>
      </c>
      <c r="U19" s="424">
        <f t="shared" si="19"/>
        <v>1539.538</v>
      </c>
      <c r="V19" s="426">
        <f t="shared" si="2"/>
        <v>2.2244132060871808</v>
      </c>
      <c r="W19" s="426">
        <f t="shared" si="3"/>
        <v>2.289078414054996</v>
      </c>
      <c r="X19" s="422">
        <f t="shared" si="4"/>
        <v>2.8267232619882656</v>
      </c>
      <c r="Y19" s="426">
        <f t="shared" si="5"/>
        <v>2.4268081993984754</v>
      </c>
      <c r="Z19" s="425">
        <f>'11'!I46</f>
        <v>55808.219999998531</v>
      </c>
      <c r="AA19" s="424">
        <f t="shared" si="20"/>
        <v>556886.37999999756</v>
      </c>
      <c r="AB19" s="426">
        <f t="shared" si="6"/>
        <v>719.73458859941377</v>
      </c>
      <c r="AC19" s="426">
        <f t="shared" si="7"/>
        <v>828.01242420727658</v>
      </c>
      <c r="AD19" s="426">
        <f t="shared" si="8"/>
        <v>914.61896489558046</v>
      </c>
      <c r="AE19" s="426">
        <f t="shared" si="9"/>
        <v>877.83246215249585</v>
      </c>
      <c r="AF19" s="588">
        <v>19.387</v>
      </c>
      <c r="AG19" s="524">
        <v>153.09399999999999</v>
      </c>
      <c r="AH19" s="422">
        <f>+SUM(Efficiency2!K54:K56)</f>
        <v>83.615373840848804</v>
      </c>
      <c r="AI19" s="423">
        <f t="shared" si="21"/>
        <v>803.22927071412641</v>
      </c>
      <c r="AJ19" s="448">
        <f t="shared" si="22"/>
        <v>0.72974618419024206</v>
      </c>
      <c r="AK19" s="448">
        <f t="shared" si="23"/>
        <v>0.78979691494059368</v>
      </c>
    </row>
    <row r="20" spans="1:37" s="427" customFormat="1" ht="12.75" customHeight="1">
      <c r="A20" s="441">
        <f t="shared" si="10"/>
        <v>45881</v>
      </c>
      <c r="B20" s="428" t="s">
        <v>231</v>
      </c>
      <c r="C20" s="428" t="s">
        <v>636</v>
      </c>
      <c r="D20" s="421">
        <f>+'12'!F42</f>
        <v>1041.3819444444443</v>
      </c>
      <c r="E20" s="421">
        <f>+'12'!G42</f>
        <v>1037.7371076388888</v>
      </c>
      <c r="F20" s="50">
        <f t="shared" si="0"/>
        <v>3.4999999999999476E-3</v>
      </c>
      <c r="G20" s="447">
        <f t="shared" si="11"/>
        <v>0.95427395386306624</v>
      </c>
      <c r="H20" s="442">
        <f t="shared" si="12"/>
        <v>0.95093399502454534</v>
      </c>
      <c r="I20" s="442">
        <f t="shared" si="13"/>
        <v>1.0741126024408192</v>
      </c>
      <c r="J20" s="448">
        <f t="shared" si="14"/>
        <v>1.0214101881452593</v>
      </c>
      <c r="K20" s="448">
        <f t="shared" si="15"/>
        <v>0.81146341639911712</v>
      </c>
      <c r="L20" s="422">
        <f>+SUM(Efficiency1!K60:K62)</f>
        <v>82.893240132786872</v>
      </c>
      <c r="M20" s="423">
        <f t="shared" si="16"/>
        <v>886.12251084691331</v>
      </c>
      <c r="N20" s="422">
        <f>+SUM(Efficiency1!C60:C62)</f>
        <v>82.603113792322105</v>
      </c>
      <c r="O20" s="423">
        <f t="shared" si="16"/>
        <v>829.47681678876688</v>
      </c>
      <c r="P20" s="589">
        <f>'12'!I38</f>
        <v>78.825999999999993</v>
      </c>
      <c r="Q20" s="423">
        <f t="shared" si="17"/>
        <v>751.38400000000001</v>
      </c>
      <c r="R20" s="14">
        <f>'12'!I40</f>
        <v>84.668000000000006</v>
      </c>
      <c r="S20" s="423">
        <f t="shared" si="18"/>
        <v>719.05600000000004</v>
      </c>
      <c r="T20" s="580">
        <f t="shared" si="1"/>
        <v>170.58199999999999</v>
      </c>
      <c r="U20" s="424">
        <f t="shared" si="19"/>
        <v>1710.12</v>
      </c>
      <c r="V20" s="426">
        <f t="shared" si="2"/>
        <v>2.1640321721259483</v>
      </c>
      <c r="W20" s="426">
        <f t="shared" si="3"/>
        <v>2.2759600949714125</v>
      </c>
      <c r="X20" s="422">
        <f t="shared" si="4"/>
        <v>2.0147163036802569</v>
      </c>
      <c r="Y20" s="426">
        <f t="shared" si="5"/>
        <v>2.3782848623751138</v>
      </c>
      <c r="Z20" s="425">
        <f>'12'!I46</f>
        <v>53203.519999999888</v>
      </c>
      <c r="AA20" s="424">
        <f t="shared" si="20"/>
        <v>610089.89999999746</v>
      </c>
      <c r="AB20" s="426">
        <f t="shared" si="6"/>
        <v>674.94887473676056</v>
      </c>
      <c r="AC20" s="426">
        <f t="shared" si="7"/>
        <v>811.95487260840991</v>
      </c>
      <c r="AD20" s="426">
        <f t="shared" si="8"/>
        <v>628.37813577738802</v>
      </c>
      <c r="AE20" s="426">
        <f t="shared" si="9"/>
        <v>848.45950802162486</v>
      </c>
      <c r="AF20" s="588">
        <v>19.001000000000001</v>
      </c>
      <c r="AG20" s="524">
        <v>151.58099999999999</v>
      </c>
      <c r="AH20" s="422">
        <f>+SUM(Efficiency2!K60:K62)</f>
        <v>82.893240132786872</v>
      </c>
      <c r="AI20" s="423">
        <f t="shared" si="21"/>
        <v>886.12251084691331</v>
      </c>
      <c r="AJ20" s="448">
        <f t="shared" si="22"/>
        <v>1.0214101881452593</v>
      </c>
      <c r="AK20" s="448">
        <f t="shared" si="23"/>
        <v>0.81146341639911712</v>
      </c>
    </row>
    <row r="21" spans="1:37" s="427" customFormat="1" ht="12.75" customHeight="1">
      <c r="A21" s="441">
        <f t="shared" si="10"/>
        <v>45882</v>
      </c>
      <c r="B21" s="428" t="s">
        <v>231</v>
      </c>
      <c r="C21" s="428" t="s">
        <v>651</v>
      </c>
      <c r="D21" s="421">
        <f>+'13'!F42</f>
        <v>1174.0625</v>
      </c>
      <c r="E21" s="421">
        <f>+'13'!G42</f>
        <v>1169.9532812499999</v>
      </c>
      <c r="F21" s="50">
        <f t="shared" si="0"/>
        <v>3.5000000000000586E-3</v>
      </c>
      <c r="G21" s="447">
        <f t="shared" si="11"/>
        <v>1.0181362664036437</v>
      </c>
      <c r="H21" s="442">
        <f t="shared" si="12"/>
        <v>1.0145727894712309</v>
      </c>
      <c r="I21" s="442">
        <f t="shared" si="13"/>
        <v>0.95206630222177646</v>
      </c>
      <c r="J21" s="448">
        <f t="shared" si="14"/>
        <v>0.96594056400670769</v>
      </c>
      <c r="K21" s="448">
        <f t="shared" si="15"/>
        <v>0.82405085280809742</v>
      </c>
      <c r="L21" s="422">
        <f>+SUM(Efficiency1!K66:K68)</f>
        <v>78.610426799999999</v>
      </c>
      <c r="M21" s="423">
        <f t="shared" si="16"/>
        <v>964.73293764691334</v>
      </c>
      <c r="N21" s="422">
        <f>+SUM(Efficiency1!C66:C68)</f>
        <v>78.335290306199994</v>
      </c>
      <c r="O21" s="423">
        <f t="shared" si="16"/>
        <v>907.8121070949669</v>
      </c>
      <c r="P21" s="589">
        <f>'13'!I38</f>
        <v>79.756</v>
      </c>
      <c r="Q21" s="423">
        <f t="shared" si="17"/>
        <v>831.14</v>
      </c>
      <c r="R21" s="14">
        <f>'13'!I40</f>
        <v>75.933000000000007</v>
      </c>
      <c r="S21" s="423">
        <f t="shared" si="18"/>
        <v>794.98900000000003</v>
      </c>
      <c r="T21" s="580">
        <f t="shared" si="1"/>
        <v>164.047</v>
      </c>
      <c r="U21" s="424">
        <f t="shared" si="19"/>
        <v>1874.1669999999999</v>
      </c>
      <c r="V21" s="426">
        <f t="shared" si="2"/>
        <v>2.0568609258237625</v>
      </c>
      <c r="W21" s="426">
        <f t="shared" si="3"/>
        <v>2.2549353899463389</v>
      </c>
      <c r="X21" s="422">
        <f t="shared" si="4"/>
        <v>2.160417736688923</v>
      </c>
      <c r="Y21" s="426">
        <f t="shared" si="5"/>
        <v>2.3574753864518878</v>
      </c>
      <c r="Z21" s="425">
        <f>'13'!I46</f>
        <v>55834.300000000083</v>
      </c>
      <c r="AA21" s="424">
        <f t="shared" si="20"/>
        <v>665924.19999999751</v>
      </c>
      <c r="AB21" s="426">
        <f t="shared" si="6"/>
        <v>700.06394503234969</v>
      </c>
      <c r="AC21" s="426">
        <f t="shared" si="7"/>
        <v>801.21784536900816</v>
      </c>
      <c r="AD21" s="426">
        <f t="shared" si="8"/>
        <v>735.3100759880432</v>
      </c>
      <c r="AE21" s="426">
        <f t="shared" si="9"/>
        <v>837.65209329940103</v>
      </c>
      <c r="AF21" s="588">
        <v>15.845000000000001</v>
      </c>
      <c r="AG21" s="524">
        <v>148.202</v>
      </c>
      <c r="AH21" s="422">
        <f>+SUM(Efficiency2!K66:K68)</f>
        <v>78.610426799999999</v>
      </c>
      <c r="AI21" s="423">
        <f t="shared" si="21"/>
        <v>964.73293764691334</v>
      </c>
      <c r="AJ21" s="448">
        <f t="shared" si="22"/>
        <v>0.96594056400670769</v>
      </c>
      <c r="AK21" s="448">
        <f t="shared" si="23"/>
        <v>0.82405085280809742</v>
      </c>
    </row>
    <row r="22" spans="1:37" s="427" customFormat="1" ht="12.75" customHeight="1">
      <c r="A22" s="441">
        <f t="shared" si="10"/>
        <v>45883</v>
      </c>
      <c r="B22" s="428" t="s">
        <v>231</v>
      </c>
      <c r="C22" s="428" t="s">
        <v>655</v>
      </c>
      <c r="D22" s="421">
        <f>+'14'!F42</f>
        <v>1260</v>
      </c>
      <c r="E22" s="421">
        <f>+'14'!G42</f>
        <v>1255.5899999999999</v>
      </c>
      <c r="F22" s="50">
        <f t="shared" si="0"/>
        <v>3.5000000000000586E-3</v>
      </c>
      <c r="G22" s="447">
        <f t="shared" si="11"/>
        <v>0.95338061128610851</v>
      </c>
      <c r="H22" s="442">
        <f t="shared" si="12"/>
        <v>0.95004377914660709</v>
      </c>
      <c r="I22" s="442">
        <f t="shared" si="13"/>
        <v>1.0925311753780844</v>
      </c>
      <c r="J22" s="448">
        <f t="shared" si="14"/>
        <v>1.0379524466916799</v>
      </c>
      <c r="K22" s="448">
        <f t="shared" si="15"/>
        <v>0.8403061214870583</v>
      </c>
      <c r="L22" s="422">
        <f>+SUM(Efficiency1!K71:K72)</f>
        <v>79.343711999999996</v>
      </c>
      <c r="M22" s="423">
        <f t="shared" si="16"/>
        <v>1044.0766496469134</v>
      </c>
      <c r="N22" s="422">
        <f>+SUM(Efficiency1!C71:C72)</f>
        <v>79.066009007999995</v>
      </c>
      <c r="O22" s="423">
        <f t="shared" si="16"/>
        <v>986.87811610296694</v>
      </c>
      <c r="P22" s="589">
        <f>'14'!I38</f>
        <v>75.38</v>
      </c>
      <c r="Q22" s="423">
        <f t="shared" si="17"/>
        <v>906.52</v>
      </c>
      <c r="R22" s="14">
        <f>'14'!I40</f>
        <v>82.355000000000004</v>
      </c>
      <c r="S22" s="423">
        <f t="shared" si="18"/>
        <v>877.34400000000005</v>
      </c>
      <c r="T22" s="580">
        <f t="shared" si="1"/>
        <v>156.898</v>
      </c>
      <c r="U22" s="424">
        <f t="shared" si="19"/>
        <v>2031.0649999999998</v>
      </c>
      <c r="V22" s="426">
        <f t="shared" si="2"/>
        <v>2.0814274343327144</v>
      </c>
      <c r="W22" s="426">
        <f t="shared" si="3"/>
        <v>2.2405076556501786</v>
      </c>
      <c r="X22" s="422">
        <f t="shared" si="4"/>
        <v>1.9051423714407139</v>
      </c>
      <c r="Y22" s="426">
        <f t="shared" si="5"/>
        <v>2.3150155469234415</v>
      </c>
      <c r="Z22" s="425">
        <f>'14'!I46</f>
        <v>55931.680000001128</v>
      </c>
      <c r="AA22" s="424">
        <f t="shared" si="20"/>
        <v>721855.87999999861</v>
      </c>
      <c r="AB22" s="426">
        <f t="shared" si="6"/>
        <v>741.99628548688145</v>
      </c>
      <c r="AC22" s="426">
        <f t="shared" si="7"/>
        <v>796.29338569474317</v>
      </c>
      <c r="AD22" s="426">
        <f t="shared" si="8"/>
        <v>679.1534211644846</v>
      </c>
      <c r="AE22" s="426">
        <f t="shared" si="9"/>
        <v>822.77405441878966</v>
      </c>
      <c r="AF22" s="588">
        <v>15.506</v>
      </c>
      <c r="AG22" s="524">
        <v>141.392</v>
      </c>
      <c r="AH22" s="422">
        <f>+SUM(Efficiency2!K71:K72)</f>
        <v>79.343711999999996</v>
      </c>
      <c r="AI22" s="423">
        <f t="shared" si="21"/>
        <v>1044.0766496469134</v>
      </c>
      <c r="AJ22" s="448">
        <f t="shared" si="22"/>
        <v>1.0379524466916799</v>
      </c>
      <c r="AK22" s="448">
        <f t="shared" si="23"/>
        <v>0.8403061214870583</v>
      </c>
    </row>
    <row r="23" spans="1:37" s="427" customFormat="1" ht="12.75" customHeight="1">
      <c r="A23" s="441">
        <f t="shared" si="10"/>
        <v>45884</v>
      </c>
      <c r="B23" s="428" t="s">
        <v>231</v>
      </c>
      <c r="C23" s="428" t="s">
        <v>658</v>
      </c>
      <c r="D23" s="421">
        <f>+'15'!F42</f>
        <v>1260</v>
      </c>
      <c r="E23" s="421">
        <f>+'15'!G42</f>
        <v>1255.5899999999999</v>
      </c>
      <c r="F23" s="50">
        <f t="shared" si="0"/>
        <v>3.5000000000000586E-3</v>
      </c>
      <c r="G23" s="447">
        <f t="shared" si="11"/>
        <v>1.02743425613308</v>
      </c>
      <c r="H23" s="442">
        <f t="shared" si="12"/>
        <v>1.0238382362366143</v>
      </c>
      <c r="I23" s="442">
        <f t="shared" si="13"/>
        <v>0.94709155778527354</v>
      </c>
      <c r="J23" s="448">
        <f t="shared" si="14"/>
        <v>0.96966855007746189</v>
      </c>
      <c r="K23" s="448">
        <f t="shared" si="15"/>
        <v>0.84953532483850758</v>
      </c>
      <c r="L23" s="422">
        <f>+SUM(Efficiency1!K75:K76)</f>
        <v>80.210913300000001</v>
      </c>
      <c r="M23" s="423">
        <f t="shared" si="16"/>
        <v>1124.2875629469133</v>
      </c>
      <c r="N23" s="422">
        <f>+SUM(Efficiency1!C75:C76)</f>
        <v>79.930175103449997</v>
      </c>
      <c r="O23" s="423">
        <f t="shared" si="16"/>
        <v>1066.8082912064169</v>
      </c>
      <c r="P23" s="589">
        <f>'15'!I38</f>
        <v>82.12299999999999</v>
      </c>
      <c r="Q23" s="423">
        <f t="shared" si="17"/>
        <v>988.64300000000003</v>
      </c>
      <c r="R23" s="14">
        <f>'15'!I40</f>
        <v>77.778000000000006</v>
      </c>
      <c r="S23" s="423">
        <f t="shared" si="18"/>
        <v>955.12200000000007</v>
      </c>
      <c r="T23" s="580">
        <f t="shared" si="1"/>
        <v>170.072</v>
      </c>
      <c r="U23" s="424">
        <f t="shared" si="19"/>
        <v>2201.1369999999997</v>
      </c>
      <c r="V23" s="426">
        <f t="shared" si="2"/>
        <v>2.0709423669373992</v>
      </c>
      <c r="W23" s="426">
        <f t="shared" si="3"/>
        <v>2.22642248010657</v>
      </c>
      <c r="X23" s="422">
        <f t="shared" si="4"/>
        <v>2.1866337524749926</v>
      </c>
      <c r="Y23" s="426">
        <f t="shared" si="5"/>
        <v>2.304561092719045</v>
      </c>
      <c r="Z23" s="425">
        <f>'15'!I46</f>
        <v>57588.459999998078</v>
      </c>
      <c r="AA23" s="424">
        <f t="shared" si="20"/>
        <v>779444.33999999671</v>
      </c>
      <c r="AB23" s="426">
        <f t="shared" si="6"/>
        <v>701.24642304833105</v>
      </c>
      <c r="AC23" s="426">
        <f t="shared" si="7"/>
        <v>788.3981781087781</v>
      </c>
      <c r="AD23" s="426">
        <f t="shared" si="8"/>
        <v>740.42094165442768</v>
      </c>
      <c r="AE23" s="426">
        <f t="shared" si="9"/>
        <v>816.06783217222153</v>
      </c>
      <c r="AF23" s="588">
        <v>19.442</v>
      </c>
      <c r="AG23" s="524">
        <v>150.63</v>
      </c>
      <c r="AH23" s="422">
        <f>+SUM(Efficiency2!K75:K76)</f>
        <v>80.210913300000001</v>
      </c>
      <c r="AI23" s="423">
        <f t="shared" si="21"/>
        <v>1124.2875629469133</v>
      </c>
      <c r="AJ23" s="448">
        <f t="shared" si="22"/>
        <v>0.96966855007746189</v>
      </c>
      <c r="AK23" s="448">
        <f t="shared" si="23"/>
        <v>0.84953532483850758</v>
      </c>
    </row>
    <row r="24" spans="1:37" s="427" customFormat="1" ht="12.75" customHeight="1">
      <c r="A24" s="441">
        <f t="shared" si="10"/>
        <v>45885</v>
      </c>
      <c r="B24" s="428" t="s">
        <v>231</v>
      </c>
      <c r="C24" s="428" t="s">
        <v>670</v>
      </c>
      <c r="D24" s="421">
        <f>+'16'!F42</f>
        <v>1260</v>
      </c>
      <c r="E24" s="421">
        <f>+'16'!G42</f>
        <v>1255.5899999999999</v>
      </c>
      <c r="F24" s="50">
        <f t="shared" si="0"/>
        <v>3.5000000000000586E-3</v>
      </c>
      <c r="G24" s="447">
        <f t="shared" si="11"/>
        <v>0.96959559244222249</v>
      </c>
      <c r="H24" s="442">
        <f t="shared" si="12"/>
        <v>0.9662020078686745</v>
      </c>
      <c r="I24" s="442">
        <f t="shared" si="13"/>
        <v>1.0371938156570217</v>
      </c>
      <c r="J24" s="448">
        <f t="shared" si="14"/>
        <v>1.0021387472367862</v>
      </c>
      <c r="K24" s="448">
        <f t="shared" si="15"/>
        <v>0.85969590553192432</v>
      </c>
      <c r="L24" s="422">
        <f>+SUM(Efficiency1!K80:K81)</f>
        <v>80.196480000000008</v>
      </c>
      <c r="M24" s="423">
        <f t="shared" si="16"/>
        <v>1204.4840429469134</v>
      </c>
      <c r="N24" s="422">
        <f>+SUM(Efficiency1!C80:C81)</f>
        <v>79.915792319999994</v>
      </c>
      <c r="O24" s="423">
        <f t="shared" si="16"/>
        <v>1146.724083526417</v>
      </c>
      <c r="P24" s="589">
        <f>'16'!I38</f>
        <v>77.486000000000004</v>
      </c>
      <c r="Q24" s="423">
        <f t="shared" si="17"/>
        <v>1066.1290000000001</v>
      </c>
      <c r="R24" s="14">
        <f>'16'!I40</f>
        <v>80.367999999999995</v>
      </c>
      <c r="S24" s="423">
        <f t="shared" si="18"/>
        <v>1035.49</v>
      </c>
      <c r="T24" s="580">
        <f t="shared" si="1"/>
        <v>165.26299999999998</v>
      </c>
      <c r="U24" s="424">
        <f t="shared" si="19"/>
        <v>2366.3999999999996</v>
      </c>
      <c r="V24" s="426">
        <f t="shared" si="2"/>
        <v>2.1328110884546883</v>
      </c>
      <c r="W24" s="426">
        <f t="shared" si="3"/>
        <v>2.21961882661479</v>
      </c>
      <c r="X24" s="422">
        <f t="shared" si="4"/>
        <v>2.0563283894087196</v>
      </c>
      <c r="Y24" s="426">
        <f t="shared" si="5"/>
        <v>2.2852948845474121</v>
      </c>
      <c r="Z24" s="425">
        <f>'16'!I46</f>
        <v>58306.800000000199</v>
      </c>
      <c r="AA24" s="424">
        <f t="shared" si="20"/>
        <v>837751.13999999687</v>
      </c>
      <c r="AB24" s="426">
        <f t="shared" si="6"/>
        <v>752.48173863665954</v>
      </c>
      <c r="AC24" s="426">
        <f t="shared" si="7"/>
        <v>785.78777990280412</v>
      </c>
      <c r="AD24" s="426">
        <f t="shared" si="8"/>
        <v>725.49771053155735</v>
      </c>
      <c r="AE24" s="426">
        <f t="shared" si="9"/>
        <v>809.03836830872035</v>
      </c>
      <c r="AF24" s="588">
        <v>13.134</v>
      </c>
      <c r="AG24" s="524">
        <v>152.12899999999999</v>
      </c>
      <c r="AH24" s="422">
        <f>+SUM(Efficiency2!K80:K81)</f>
        <v>80.196480000000008</v>
      </c>
      <c r="AI24" s="423">
        <f t="shared" si="21"/>
        <v>1204.4840429469134</v>
      </c>
      <c r="AJ24" s="448">
        <f t="shared" si="22"/>
        <v>1.0021387472367862</v>
      </c>
      <c r="AK24" s="448">
        <f t="shared" si="23"/>
        <v>0.85969590553192432</v>
      </c>
    </row>
    <row r="25" spans="1:37" s="427" customFormat="1" ht="12.75" customHeight="1">
      <c r="A25" s="441">
        <f t="shared" si="10"/>
        <v>45886</v>
      </c>
      <c r="B25" s="428" t="s">
        <v>672</v>
      </c>
      <c r="C25" s="466" t="s">
        <v>671</v>
      </c>
      <c r="D25" s="421">
        <f>+'17'!F42</f>
        <v>1417.2083333333333</v>
      </c>
      <c r="E25" s="421">
        <f>+'17'!G42</f>
        <v>1313.8356874999999</v>
      </c>
      <c r="F25" s="50">
        <f t="shared" si="0"/>
        <v>7.2941037250463081E-2</v>
      </c>
      <c r="G25" s="447">
        <f t="shared" si="11"/>
        <v>1.0266734622481828</v>
      </c>
      <c r="H25" s="442">
        <f t="shared" si="12"/>
        <v>1.0154361541879835</v>
      </c>
      <c r="I25" s="442">
        <f t="shared" si="13"/>
        <v>0.98434368569007491</v>
      </c>
      <c r="J25" s="448">
        <f t="shared" si="14"/>
        <v>0.99953816659635486</v>
      </c>
      <c r="K25" s="448">
        <f t="shared" si="15"/>
        <v>0.86770936561385437</v>
      </c>
      <c r="L25" s="422">
        <f>+SUM(Efficiency1!K85:K87)</f>
        <v>73.216813970400011</v>
      </c>
      <c r="M25" s="423">
        <f t="shared" si="16"/>
        <v>1277.7008569173133</v>
      </c>
      <c r="N25" s="422">
        <f>+SUM(Efficiency1!C85:C87)</f>
        <v>72.415429767899994</v>
      </c>
      <c r="O25" s="423">
        <f t="shared" si="16"/>
        <v>1219.1395132943169</v>
      </c>
      <c r="P25" s="589">
        <f>'17'!I38</f>
        <v>74.347000000000008</v>
      </c>
      <c r="Q25" s="423">
        <f t="shared" si="17"/>
        <v>1140.4760000000001</v>
      </c>
      <c r="R25" s="14">
        <f>'17'!I40</f>
        <v>73.183000000000007</v>
      </c>
      <c r="S25" s="423">
        <f t="shared" si="18"/>
        <v>1108.673</v>
      </c>
      <c r="T25" s="580">
        <f t="shared" si="1"/>
        <v>148.76500000000001</v>
      </c>
      <c r="U25" s="424">
        <f t="shared" si="19"/>
        <v>2515.1649999999995</v>
      </c>
      <c r="V25" s="426">
        <f t="shared" si="2"/>
        <v>2.0009549813711378</v>
      </c>
      <c r="W25" s="426">
        <f t="shared" si="3"/>
        <v>2.2053642514178282</v>
      </c>
      <c r="X25" s="422">
        <f t="shared" si="4"/>
        <v>2.0327808370796498</v>
      </c>
      <c r="Y25" s="426">
        <f t="shared" si="5"/>
        <v>2.2686265472325919</v>
      </c>
      <c r="Z25" s="425">
        <f>'17'!I46</f>
        <v>57599.540000001376</v>
      </c>
      <c r="AA25" s="424">
        <f t="shared" si="20"/>
        <v>895350.6799999983</v>
      </c>
      <c r="AB25" s="426">
        <f t="shared" si="6"/>
        <v>774.73926318481404</v>
      </c>
      <c r="AC25" s="426">
        <f t="shared" si="7"/>
        <v>785.06753320543203</v>
      </c>
      <c r="AD25" s="426">
        <f t="shared" si="8"/>
        <v>787.06174931338387</v>
      </c>
      <c r="AE25" s="426">
        <f t="shared" si="9"/>
        <v>807.58770169382524</v>
      </c>
      <c r="AF25" s="588">
        <v>6.6689999999999996</v>
      </c>
      <c r="AG25" s="524">
        <v>142.096</v>
      </c>
      <c r="AH25" s="422">
        <f>+SUM(Efficiency2!K85:K87)</f>
        <v>73.216813970400011</v>
      </c>
      <c r="AI25" s="423">
        <f t="shared" si="21"/>
        <v>1277.7008569173133</v>
      </c>
      <c r="AJ25" s="448">
        <f t="shared" si="22"/>
        <v>0.99953816659635486</v>
      </c>
      <c r="AK25" s="448">
        <f t="shared" si="23"/>
        <v>0.86770936561385437</v>
      </c>
    </row>
    <row r="26" spans="1:37" s="427" customFormat="1" ht="12.75" customHeight="1">
      <c r="A26" s="441">
        <f t="shared" si="10"/>
        <v>45887</v>
      </c>
      <c r="B26" s="428" t="s">
        <v>7</v>
      </c>
      <c r="C26" s="607" t="s">
        <v>686</v>
      </c>
      <c r="D26" s="421">
        <f>+'18'!F42</f>
        <v>1726.6666666666667</v>
      </c>
      <c r="E26" s="421">
        <f>+'18'!G42</f>
        <v>1450.4</v>
      </c>
      <c r="F26" s="50">
        <f t="shared" si="0"/>
        <v>0.16000000000000003</v>
      </c>
      <c r="G26" s="447">
        <f t="shared" si="11"/>
        <v>0.93658463208378195</v>
      </c>
      <c r="H26" s="442">
        <f t="shared" si="12"/>
        <v>0.93478003741695392</v>
      </c>
      <c r="I26" s="442">
        <f t="shared" si="13"/>
        <v>1.0555099451431131</v>
      </c>
      <c r="J26" s="448">
        <f t="shared" si="14"/>
        <v>0.9866696260148462</v>
      </c>
      <c r="K26" s="448">
        <f t="shared" si="15"/>
        <v>0.87281813477930881</v>
      </c>
      <c r="L26" s="422">
        <f>+Efficiency1!K90</f>
        <v>57.333273984000009</v>
      </c>
      <c r="M26" s="423">
        <f t="shared" si="16"/>
        <v>1335.0341309013133</v>
      </c>
      <c r="N26" s="422">
        <f>+Efficiency1!C90</f>
        <v>57.222805248000014</v>
      </c>
      <c r="O26" s="423">
        <f t="shared" si="16"/>
        <v>1276.3623185423169</v>
      </c>
      <c r="P26" s="589">
        <f>'18'!I38</f>
        <v>53.594000000000001</v>
      </c>
      <c r="Q26" s="423">
        <f t="shared" si="17"/>
        <v>1194.0700000000002</v>
      </c>
      <c r="R26" s="14">
        <f>'18'!I40</f>
        <v>56.569000000000003</v>
      </c>
      <c r="S26" s="423">
        <f t="shared" si="18"/>
        <v>1165.242</v>
      </c>
      <c r="T26" s="580">
        <f t="shared" si="1"/>
        <v>127.57599999999999</v>
      </c>
      <c r="U26" s="424">
        <f t="shared" si="19"/>
        <v>2642.7409999999995</v>
      </c>
      <c r="V26" s="426">
        <f t="shared" si="2"/>
        <v>2.3804157181774079</v>
      </c>
      <c r="W26" s="426">
        <f t="shared" si="3"/>
        <v>2.2132211679382272</v>
      </c>
      <c r="X26" s="422">
        <f t="shared" si="4"/>
        <v>2.2552281284802627</v>
      </c>
      <c r="Y26" s="426">
        <f t="shared" si="5"/>
        <v>2.2679760942362184</v>
      </c>
      <c r="Z26" s="425">
        <f>'18'!I46</f>
        <v>60628.580000000635</v>
      </c>
      <c r="AA26" s="424">
        <f t="shared" si="20"/>
        <v>955979.25999999896</v>
      </c>
      <c r="AB26" s="426">
        <f t="shared" si="6"/>
        <v>1131.2568571108825</v>
      </c>
      <c r="AC26" s="426">
        <f t="shared" si="7"/>
        <v>800.60570988300412</v>
      </c>
      <c r="AD26" s="426">
        <f t="shared" si="8"/>
        <v>1071.7633332744194</v>
      </c>
      <c r="AE26" s="426">
        <f t="shared" si="9"/>
        <v>820.41263531523839</v>
      </c>
      <c r="AF26" s="588">
        <v>9.5000000000000001E-2</v>
      </c>
      <c r="AG26" s="524">
        <v>127.48099999999999</v>
      </c>
      <c r="AH26" s="422">
        <f>+Efficiency2!K90</f>
        <v>57.333273984000009</v>
      </c>
      <c r="AI26" s="423">
        <f t="shared" si="21"/>
        <v>1335.0341309013133</v>
      </c>
      <c r="AJ26" s="448">
        <f t="shared" si="22"/>
        <v>0.9866696260148462</v>
      </c>
      <c r="AK26" s="448">
        <f t="shared" si="23"/>
        <v>0.87281813477930881</v>
      </c>
    </row>
    <row r="27" spans="1:37" s="427" customFormat="1" ht="12.75" customHeight="1">
      <c r="A27" s="441">
        <f t="shared" si="10"/>
        <v>45888</v>
      </c>
      <c r="B27" s="428" t="s">
        <v>7</v>
      </c>
      <c r="C27" s="607" t="s">
        <v>686</v>
      </c>
      <c r="D27" s="421">
        <f>+'19'!F42</f>
        <v>1730</v>
      </c>
      <c r="E27" s="421">
        <f>+'19'!G42</f>
        <v>1449.0191666666667</v>
      </c>
      <c r="F27" s="50">
        <f t="shared" si="0"/>
        <v>0.16241666666666665</v>
      </c>
      <c r="G27" s="447">
        <f t="shared" si="11"/>
        <v>0.96714392109688763</v>
      </c>
      <c r="H27" s="442">
        <f t="shared" si="12"/>
        <v>0.96714392109688763</v>
      </c>
      <c r="I27" s="442">
        <f t="shared" si="13"/>
        <v>0.99779345270392472</v>
      </c>
      <c r="J27" s="448">
        <f t="shared" si="14"/>
        <v>0.96500987229287571</v>
      </c>
      <c r="K27" s="448">
        <f t="shared" si="15"/>
        <v>0.87660382512390667</v>
      </c>
      <c r="L27" s="422">
        <f>+Efficiency1!K94</f>
        <v>57.168327064800003</v>
      </c>
      <c r="M27" s="423">
        <f t="shared" si="16"/>
        <v>1392.2024579661133</v>
      </c>
      <c r="N27" s="422">
        <f>+Efficiency1!C94</f>
        <v>57.168327064800003</v>
      </c>
      <c r="O27" s="423">
        <f t="shared" si="16"/>
        <v>1333.5306456071169</v>
      </c>
      <c r="P27" s="589">
        <f>'19'!I38</f>
        <v>55.29</v>
      </c>
      <c r="Q27" s="423">
        <f t="shared" si="17"/>
        <v>1249.3600000000001</v>
      </c>
      <c r="R27" s="14">
        <f>'19'!I40</f>
        <v>55.167999999999999</v>
      </c>
      <c r="S27" s="423">
        <f t="shared" si="18"/>
        <v>1220.4099999999999</v>
      </c>
      <c r="T27" s="580">
        <f t="shared" si="1"/>
        <v>119.36</v>
      </c>
      <c r="U27" s="424">
        <f t="shared" si="19"/>
        <v>2762.1009999999997</v>
      </c>
      <c r="V27" s="426">
        <f t="shared" si="2"/>
        <v>2.1587990595044313</v>
      </c>
      <c r="W27" s="426">
        <f t="shared" si="3"/>
        <v>2.2108127361208934</v>
      </c>
      <c r="X27" s="422">
        <f t="shared" si="4"/>
        <v>2.1635730858468678</v>
      </c>
      <c r="Y27" s="426">
        <f t="shared" si="5"/>
        <v>2.2632566104833622</v>
      </c>
      <c r="Z27" s="425">
        <f>'19'!I46</f>
        <v>58806.459999997503</v>
      </c>
      <c r="AA27" s="424">
        <f t="shared" si="20"/>
        <v>1014785.7199999965</v>
      </c>
      <c r="AB27" s="426">
        <f t="shared" si="6"/>
        <v>1063.6002893832069</v>
      </c>
      <c r="AC27" s="426">
        <f t="shared" si="7"/>
        <v>812.24444515591688</v>
      </c>
      <c r="AD27" s="426">
        <f t="shared" si="8"/>
        <v>1065.9523636890499</v>
      </c>
      <c r="AE27" s="426">
        <f t="shared" si="9"/>
        <v>831.51213116903068</v>
      </c>
      <c r="AF27" s="588">
        <v>8.5000000000000006E-2</v>
      </c>
      <c r="AG27" s="524">
        <v>119.27500000000001</v>
      </c>
      <c r="AH27" s="422">
        <f>+Efficiency2!K94</f>
        <v>57.168327064800003</v>
      </c>
      <c r="AI27" s="423">
        <f t="shared" si="21"/>
        <v>1392.2024579661133</v>
      </c>
      <c r="AJ27" s="448">
        <f t="shared" si="22"/>
        <v>0.96500987229287571</v>
      </c>
      <c r="AK27" s="448">
        <f t="shared" si="23"/>
        <v>0.87660382512390667</v>
      </c>
    </row>
    <row r="28" spans="1:37" s="427" customFormat="1" ht="12.75" customHeight="1">
      <c r="A28" s="441">
        <f t="shared" si="10"/>
        <v>45889</v>
      </c>
      <c r="B28" s="428" t="s">
        <v>7</v>
      </c>
      <c r="C28" s="607" t="s">
        <v>686</v>
      </c>
      <c r="D28" s="421">
        <f>+'20'!F42</f>
        <v>1716.6666666666667</v>
      </c>
      <c r="E28" s="421">
        <f>+'20'!G42</f>
        <v>1373.3333333333333</v>
      </c>
      <c r="F28" s="50">
        <f t="shared" si="0"/>
        <v>0.20000000000000007</v>
      </c>
      <c r="G28" s="447">
        <f t="shared" si="11"/>
        <v>0.95340598540423838</v>
      </c>
      <c r="H28" s="442">
        <f t="shared" si="12"/>
        <v>0.94605796239534257</v>
      </c>
      <c r="I28" s="442">
        <f t="shared" si="13"/>
        <v>1.0352666479872981</v>
      </c>
      <c r="J28" s="448">
        <f t="shared" si="14"/>
        <v>0.97942225553071971</v>
      </c>
      <c r="K28" s="448">
        <f t="shared" si="15"/>
        <v>0.88061975038636775</v>
      </c>
      <c r="L28" s="422">
        <f>+Efficiency1!K98</f>
        <v>56.587441920000003</v>
      </c>
      <c r="M28" s="423">
        <f t="shared" si="16"/>
        <v>1448.7898998861133</v>
      </c>
      <c r="N28" s="422">
        <f>+Efficiency1!C98</f>
        <v>56.151315200000006</v>
      </c>
      <c r="O28" s="423">
        <f t="shared" si="16"/>
        <v>1389.6819608071169</v>
      </c>
      <c r="P28" s="589">
        <f>'20'!I38</f>
        <v>53.534999999999997</v>
      </c>
      <c r="Q28" s="423">
        <f t="shared" si="17"/>
        <v>1302.8950000000002</v>
      </c>
      <c r="R28" s="14">
        <f>'20'!I40</f>
        <v>55.423000000000002</v>
      </c>
      <c r="S28" s="423">
        <f t="shared" si="18"/>
        <v>1275.8329999999999</v>
      </c>
      <c r="T28" s="580">
        <f t="shared" si="1"/>
        <v>122.39699999999999</v>
      </c>
      <c r="U28" s="424">
        <f t="shared" si="19"/>
        <v>2884.4979999999996</v>
      </c>
      <c r="V28" s="426">
        <f t="shared" si="2"/>
        <v>2.2862986831045111</v>
      </c>
      <c r="W28" s="426">
        <f t="shared" si="3"/>
        <v>2.2139143983206622</v>
      </c>
      <c r="X28" s="422">
        <f t="shared" si="4"/>
        <v>2.2084152788553486</v>
      </c>
      <c r="Y28" s="426">
        <f t="shared" si="5"/>
        <v>2.2608742680272416</v>
      </c>
      <c r="Z28" s="425">
        <f>'20'!I46</f>
        <v>58276.800000003423</v>
      </c>
      <c r="AA28" s="424">
        <f t="shared" si="20"/>
        <v>1073062.52</v>
      </c>
      <c r="AB28" s="426">
        <f t="shared" si="6"/>
        <v>1088.5738302046032</v>
      </c>
      <c r="AC28" s="426">
        <f t="shared" si="7"/>
        <v>823.59861692615277</v>
      </c>
      <c r="AD28" s="426">
        <f t="shared" si="8"/>
        <v>1051.4912581419885</v>
      </c>
      <c r="AE28" s="426">
        <f t="shared" si="9"/>
        <v>841.06816487737831</v>
      </c>
      <c r="AF28" s="588">
        <v>7.9000000000000001E-2</v>
      </c>
      <c r="AG28" s="524">
        <v>122.318</v>
      </c>
      <c r="AH28" s="422">
        <f>+Efficiency2!K98</f>
        <v>56.587441920000003</v>
      </c>
      <c r="AI28" s="423">
        <f t="shared" si="21"/>
        <v>1448.7898998861133</v>
      </c>
      <c r="AJ28" s="448">
        <f t="shared" si="22"/>
        <v>0.97942225553071971</v>
      </c>
      <c r="AK28" s="448">
        <f t="shared" si="23"/>
        <v>0.88061975038636775</v>
      </c>
    </row>
    <row r="29" spans="1:37" s="427" customFormat="1" ht="12.75" customHeight="1">
      <c r="A29" s="441">
        <f t="shared" si="10"/>
        <v>45890</v>
      </c>
      <c r="B29" s="428" t="s">
        <v>7</v>
      </c>
      <c r="C29" s="607" t="s">
        <v>686</v>
      </c>
      <c r="D29" s="421">
        <f>+'21'!F42</f>
        <v>1710</v>
      </c>
      <c r="E29" s="421">
        <f>+'21'!G42</f>
        <v>1368</v>
      </c>
      <c r="F29" s="50">
        <f t="shared" si="0"/>
        <v>0.19999999999999996</v>
      </c>
      <c r="G29" s="447">
        <f t="shared" si="11"/>
        <v>1.0014983417259919</v>
      </c>
      <c r="H29" s="442">
        <f t="shared" si="12"/>
        <v>0.9899203262147086</v>
      </c>
      <c r="I29" s="442">
        <f t="shared" si="13"/>
        <v>1.0058271745309835</v>
      </c>
      <c r="J29" s="448">
        <f t="shared" si="14"/>
        <v>0.99568876472732981</v>
      </c>
      <c r="K29" s="448">
        <f t="shared" si="15"/>
        <v>0.88496534930381121</v>
      </c>
      <c r="L29" s="422">
        <f>+Efficiency1!K102</f>
        <v>56.86114176000001</v>
      </c>
      <c r="M29" s="423">
        <f t="shared" si="16"/>
        <v>1505.6510416461133</v>
      </c>
      <c r="N29" s="422">
        <f>+Efficiency1!C102</f>
        <v>56.203787519999999</v>
      </c>
      <c r="O29" s="423">
        <f t="shared" si="16"/>
        <v>1445.885748327117</v>
      </c>
      <c r="P29" s="589">
        <f>'21'!I38</f>
        <v>56.287999999999997</v>
      </c>
      <c r="Q29" s="423">
        <f t="shared" si="17"/>
        <v>1359.1830000000002</v>
      </c>
      <c r="R29" s="14">
        <f>'21'!I40</f>
        <v>56.616</v>
      </c>
      <c r="S29" s="423">
        <f t="shared" si="18"/>
        <v>1332.4489999999998</v>
      </c>
      <c r="T29" s="580">
        <f t="shared" si="1"/>
        <v>128.596</v>
      </c>
      <c r="U29" s="424">
        <f t="shared" si="19"/>
        <v>3013.0939999999996</v>
      </c>
      <c r="V29" s="426">
        <f t="shared" si="2"/>
        <v>2.2846077316657194</v>
      </c>
      <c r="W29" s="426">
        <f t="shared" si="3"/>
        <v>2.2168420293661701</v>
      </c>
      <c r="X29" s="422">
        <f t="shared" si="4"/>
        <v>2.2713720503038011</v>
      </c>
      <c r="Y29" s="426">
        <f t="shared" si="5"/>
        <v>2.2613203207027062</v>
      </c>
      <c r="Z29" s="425">
        <f>'21'!I46</f>
        <v>55241.899999999565</v>
      </c>
      <c r="AA29" s="424">
        <f t="shared" si="20"/>
        <v>1128304.4199999997</v>
      </c>
      <c r="AB29" s="426">
        <f t="shared" si="6"/>
        <v>981.41522171687689</v>
      </c>
      <c r="AC29" s="426">
        <f t="shared" si="7"/>
        <v>830.13429391038551</v>
      </c>
      <c r="AD29" s="426">
        <f t="shared" si="8"/>
        <v>975.72947576656009</v>
      </c>
      <c r="AE29" s="426">
        <f t="shared" si="9"/>
        <v>846.78994843329838</v>
      </c>
      <c r="AF29" s="588">
        <v>7.1999999999999995E-2</v>
      </c>
      <c r="AG29" s="524">
        <v>128.524</v>
      </c>
      <c r="AH29" s="422">
        <f>+Efficiency2!K102</f>
        <v>56.86114176000001</v>
      </c>
      <c r="AI29" s="423">
        <f t="shared" si="21"/>
        <v>1505.6510416461133</v>
      </c>
      <c r="AJ29" s="448">
        <f t="shared" si="22"/>
        <v>0.99568876472732981</v>
      </c>
      <c r="AK29" s="448">
        <f t="shared" si="23"/>
        <v>0.88496534930381121</v>
      </c>
    </row>
    <row r="30" spans="1:37" s="427" customFormat="1" ht="12.75" customHeight="1">
      <c r="A30" s="441">
        <f t="shared" si="10"/>
        <v>45891</v>
      </c>
      <c r="B30" s="428" t="s">
        <v>7</v>
      </c>
      <c r="C30" s="607" t="s">
        <v>686</v>
      </c>
      <c r="D30" s="421">
        <f>+'22'!F42</f>
        <v>1693.6111111111111</v>
      </c>
      <c r="E30" s="421">
        <f>+'22'!G42</f>
        <v>1354.8888888888889</v>
      </c>
      <c r="F30" s="50">
        <f t="shared" si="0"/>
        <v>0.19999999999999996</v>
      </c>
      <c r="G30" s="447">
        <f t="shared" si="11"/>
        <v>0.98969455673157269</v>
      </c>
      <c r="H30" s="442">
        <f t="shared" si="12"/>
        <v>0.96887728201547851</v>
      </c>
      <c r="I30" s="442">
        <f t="shared" si="13"/>
        <v>1.0117114816301216</v>
      </c>
      <c r="J30" s="448">
        <f t="shared" si="14"/>
        <v>0.98022427050564487</v>
      </c>
      <c r="K30" s="448">
        <f t="shared" si="15"/>
        <v>0.88841531771425353</v>
      </c>
      <c r="L30" s="422">
        <f>+Efficiency1!K106</f>
        <v>56.578888800000001</v>
      </c>
      <c r="M30" s="423">
        <f t="shared" si="16"/>
        <v>1562.2299304461133</v>
      </c>
      <c r="N30" s="423">
        <f>+Efficiency1!C106</f>
        <v>55.388806200000012</v>
      </c>
      <c r="O30" s="423">
        <f t="shared" si="16"/>
        <v>1501.2745545271171</v>
      </c>
      <c r="P30" s="589">
        <f>'22'!I38</f>
        <v>54.817999999999998</v>
      </c>
      <c r="Q30" s="423">
        <f t="shared" si="17"/>
        <v>1414.0010000000002</v>
      </c>
      <c r="R30" s="14">
        <f>'22'!I40</f>
        <v>55.46</v>
      </c>
      <c r="S30" s="423">
        <f t="shared" si="18"/>
        <v>1387.9089999999999</v>
      </c>
      <c r="T30" s="580">
        <f t="shared" si="1"/>
        <v>129.59800000000001</v>
      </c>
      <c r="U30" s="424">
        <f t="shared" si="19"/>
        <v>3142.6919999999996</v>
      </c>
      <c r="V30" s="426">
        <f t="shared" si="2"/>
        <v>2.364150461527236</v>
      </c>
      <c r="W30" s="426">
        <f t="shared" si="3"/>
        <v>2.2225528836259656</v>
      </c>
      <c r="X30" s="422">
        <f t="shared" si="4"/>
        <v>2.336783267219618</v>
      </c>
      <c r="Y30" s="426">
        <f t="shared" si="5"/>
        <v>2.2643357741753962</v>
      </c>
      <c r="Z30" s="425">
        <f>'22'!I46</f>
        <v>55355.120000000061</v>
      </c>
      <c r="AA30" s="424">
        <f t="shared" si="20"/>
        <v>1183659.5399999998</v>
      </c>
      <c r="AB30" s="426">
        <f t="shared" si="6"/>
        <v>1009.7982414535383</v>
      </c>
      <c r="AC30" s="426">
        <f t="shared" si="7"/>
        <v>837.09950700176284</v>
      </c>
      <c r="AD30" s="426">
        <f t="shared" si="8"/>
        <v>998.10890732059249</v>
      </c>
      <c r="AE30" s="426">
        <f t="shared" si="9"/>
        <v>852.8365620512584</v>
      </c>
      <c r="AF30" s="588">
        <v>7.8E-2</v>
      </c>
      <c r="AG30" s="524">
        <v>129.52000000000001</v>
      </c>
      <c r="AH30" s="422">
        <f>+Efficiency2!K106</f>
        <v>56.578888800000001</v>
      </c>
      <c r="AI30" s="423">
        <f t="shared" si="21"/>
        <v>1562.2299304461133</v>
      </c>
      <c r="AJ30" s="448">
        <f t="shared" si="22"/>
        <v>0.98022427050564487</v>
      </c>
      <c r="AK30" s="448">
        <f t="shared" si="23"/>
        <v>0.88841531771425353</v>
      </c>
    </row>
    <row r="31" spans="1:37" s="427" customFormat="1" ht="12.75" customHeight="1">
      <c r="A31" s="441">
        <f t="shared" si="10"/>
        <v>45892</v>
      </c>
      <c r="B31" s="428" t="s">
        <v>725</v>
      </c>
      <c r="C31" s="607" t="s">
        <v>724</v>
      </c>
      <c r="D31" s="421">
        <f>+'23'!F42</f>
        <v>1339.7569444444443</v>
      </c>
      <c r="E31" s="421">
        <f>+'23'!G42</f>
        <v>1061.1111111111111</v>
      </c>
      <c r="F31" s="50">
        <f t="shared" si="0"/>
        <v>0.20798237657120644</v>
      </c>
      <c r="G31" s="447">
        <f t="shared" si="11"/>
        <v>1.0707646921902003</v>
      </c>
      <c r="H31" s="442">
        <f t="shared" si="12"/>
        <v>1.0691522845383405</v>
      </c>
      <c r="I31" s="442">
        <f t="shared" si="13"/>
        <v>0.75097612321643847</v>
      </c>
      <c r="J31" s="448">
        <f t="shared" si="14"/>
        <v>0.80290783777060148</v>
      </c>
      <c r="K31" s="448">
        <f t="shared" si="15"/>
        <v>0.885661729435536</v>
      </c>
      <c r="L31" s="422">
        <f>+SUM(Efficiency1!K111:K112)</f>
        <v>51.982304863145032</v>
      </c>
      <c r="M31" s="423">
        <f t="shared" si="16"/>
        <v>1614.2122353092582</v>
      </c>
      <c r="N31" s="422">
        <f>+SUM(Efficiency1!C111:C112)</f>
        <v>51.904027472478361</v>
      </c>
      <c r="O31" s="423">
        <f t="shared" si="16"/>
        <v>1553.1785819995955</v>
      </c>
      <c r="P31" s="589">
        <f>'23'!I38</f>
        <v>55.576999999999998</v>
      </c>
      <c r="Q31" s="423">
        <f t="shared" si="17"/>
        <v>1469.5780000000002</v>
      </c>
      <c r="R31" s="14">
        <f>'23'!I40</f>
        <v>41.737000000000002</v>
      </c>
      <c r="S31" s="423">
        <f t="shared" si="18"/>
        <v>1429.646</v>
      </c>
      <c r="T31" s="580">
        <f t="shared" si="1"/>
        <v>125.736</v>
      </c>
      <c r="U31" s="424">
        <f t="shared" si="19"/>
        <v>3268.4279999999994</v>
      </c>
      <c r="V31" s="426">
        <f t="shared" si="2"/>
        <v>2.2623747233567846</v>
      </c>
      <c r="W31" s="426">
        <f t="shared" si="3"/>
        <v>2.2240588794878522</v>
      </c>
      <c r="X31" s="422">
        <f t="shared" si="4"/>
        <v>3.0125787670412345</v>
      </c>
      <c r="Y31" s="426">
        <f t="shared" si="5"/>
        <v>2.286179935452552</v>
      </c>
      <c r="Z31" s="425">
        <f>'23'!I46</f>
        <v>53109.539999999906</v>
      </c>
      <c r="AA31" s="424">
        <f t="shared" si="20"/>
        <v>1236769.0799999996</v>
      </c>
      <c r="AB31" s="426">
        <f t="shared" si="6"/>
        <v>955.60285729708164</v>
      </c>
      <c r="AC31" s="426">
        <f t="shared" si="7"/>
        <v>841.58110695723497</v>
      </c>
      <c r="AD31" s="426">
        <f t="shared" si="8"/>
        <v>1272.4810120516545</v>
      </c>
      <c r="AE31" s="426">
        <f t="shared" si="9"/>
        <v>865.08763707938863</v>
      </c>
      <c r="AF31" s="588">
        <v>8.1000000000000003E-2</v>
      </c>
      <c r="AG31" s="524">
        <v>125.655</v>
      </c>
      <c r="AH31" s="422">
        <f>+SUM(Efficiency2!K111:K112)</f>
        <v>51.982304863145032</v>
      </c>
      <c r="AI31" s="423">
        <f t="shared" si="21"/>
        <v>1614.2122353092582</v>
      </c>
      <c r="AJ31" s="448">
        <f t="shared" si="22"/>
        <v>0.80290783777060148</v>
      </c>
      <c r="AK31" s="448">
        <f t="shared" si="23"/>
        <v>0.885661729435536</v>
      </c>
    </row>
    <row r="32" spans="1:37" s="427" customFormat="1" ht="12.75" customHeight="1">
      <c r="A32" s="441">
        <f t="shared" si="10"/>
        <v>45893</v>
      </c>
      <c r="B32" s="428" t="s">
        <v>721</v>
      </c>
      <c r="C32" s="607" t="s">
        <v>526</v>
      </c>
      <c r="D32" s="421">
        <f>+'24'!F42</f>
        <v>1300</v>
      </c>
      <c r="E32" s="421">
        <f>+'24'!G42</f>
        <v>1040</v>
      </c>
      <c r="F32" s="50">
        <f t="shared" si="0"/>
        <v>0.19999999999999996</v>
      </c>
      <c r="G32" s="447">
        <f t="shared" si="11"/>
        <v>0.978976522978937</v>
      </c>
      <c r="H32" s="442">
        <f t="shared" si="12"/>
        <v>0.978976522978937</v>
      </c>
      <c r="I32" s="442">
        <f t="shared" si="13"/>
        <v>0.89771068679396193</v>
      </c>
      <c r="J32" s="448">
        <f t="shared" si="14"/>
        <v>0.87883768679858632</v>
      </c>
      <c r="K32" s="448">
        <f t="shared" si="15"/>
        <v>0.88545237753621198</v>
      </c>
      <c r="L32" s="422">
        <f>+Efficiency1!K116</f>
        <v>51.089069886792458</v>
      </c>
      <c r="M32" s="423">
        <f t="shared" si="16"/>
        <v>1665.3013051960506</v>
      </c>
      <c r="N32" s="422">
        <f>+Efficiency1!C116</f>
        <v>51.089069886792458</v>
      </c>
      <c r="O32" s="423">
        <f t="shared" si="16"/>
        <v>1604.267651886388</v>
      </c>
      <c r="P32" s="589">
        <f>'24'!I38</f>
        <v>50.014999999999993</v>
      </c>
      <c r="Q32" s="423">
        <f t="shared" si="17"/>
        <v>1519.5930000000003</v>
      </c>
      <c r="R32" s="14">
        <f>'24'!I40</f>
        <v>44.899000000000001</v>
      </c>
      <c r="S32" s="423">
        <f t="shared" si="18"/>
        <v>1474.5450000000001</v>
      </c>
      <c r="T32" s="580">
        <f t="shared" si="1"/>
        <v>123.596</v>
      </c>
      <c r="U32" s="424">
        <f t="shared" si="19"/>
        <v>3392.0239999999994</v>
      </c>
      <c r="V32" s="426">
        <f t="shared" si="2"/>
        <v>2.4711786464060785</v>
      </c>
      <c r="W32" s="426">
        <f t="shared" si="3"/>
        <v>2.2321924357377263</v>
      </c>
      <c r="X32" s="422">
        <f t="shared" si="4"/>
        <v>2.7527561861065948</v>
      </c>
      <c r="Y32" s="426">
        <f t="shared" si="5"/>
        <v>2.3003868990095246</v>
      </c>
      <c r="Z32" s="425">
        <f>+'24'!I46</f>
        <v>56153.11999999758</v>
      </c>
      <c r="AA32" s="424">
        <f t="shared" si="20"/>
        <v>1292922.1999999972</v>
      </c>
      <c r="AB32" s="426">
        <f t="shared" si="6"/>
        <v>1122.7255823252542</v>
      </c>
      <c r="AC32" s="426">
        <f t="shared" si="7"/>
        <v>850.83453266762672</v>
      </c>
      <c r="AD32" s="426">
        <f t="shared" si="8"/>
        <v>1250.6541348359112</v>
      </c>
      <c r="AE32" s="426">
        <f t="shared" si="9"/>
        <v>876.8279028446043</v>
      </c>
      <c r="AF32" s="588">
        <v>0.17199999999999999</v>
      </c>
      <c r="AG32" s="524">
        <v>123.42400000000001</v>
      </c>
      <c r="AH32" s="422">
        <f>+Efficiency2!K116</f>
        <v>51.089069886792458</v>
      </c>
      <c r="AI32" s="423">
        <f t="shared" si="21"/>
        <v>1665.3013051960506</v>
      </c>
      <c r="AJ32" s="448">
        <f t="shared" si="22"/>
        <v>0.87883768679858632</v>
      </c>
      <c r="AK32" s="448">
        <f t="shared" si="23"/>
        <v>0.88545237753621198</v>
      </c>
    </row>
    <row r="33" spans="1:37" s="427" customFormat="1" ht="12.75" customHeight="1">
      <c r="A33" s="441">
        <f t="shared" si="10"/>
        <v>45894</v>
      </c>
      <c r="B33" s="428" t="s">
        <v>721</v>
      </c>
      <c r="C33" s="607" t="s">
        <v>733</v>
      </c>
      <c r="D33" s="421">
        <f>+'25'!F42</f>
        <v>1300</v>
      </c>
      <c r="E33" s="421">
        <f>+'25'!G42</f>
        <v>1040</v>
      </c>
      <c r="F33" s="50">
        <f t="shared" si="0"/>
        <v>0.19999999999999996</v>
      </c>
      <c r="G33" s="447">
        <f t="shared" si="11"/>
        <v>1.0063553574932513</v>
      </c>
      <c r="H33" s="442">
        <f t="shared" si="12"/>
        <v>1.0063553574932513</v>
      </c>
      <c r="I33" s="442">
        <f t="shared" si="13"/>
        <v>0.77009726654107868</v>
      </c>
      <c r="J33" s="448">
        <f t="shared" si="14"/>
        <v>0.77499150997452282</v>
      </c>
      <c r="K33" s="448">
        <f t="shared" si="15"/>
        <v>0.88212673812562148</v>
      </c>
      <c r="L33" s="422">
        <f>+SUM(Efficiency1!K120:K121)</f>
        <v>51.693469521126758</v>
      </c>
      <c r="M33" s="423">
        <f t="shared" si="16"/>
        <v>1716.9947747171773</v>
      </c>
      <c r="N33" s="422">
        <f>+SUM(Efficiency1!C120:C121)</f>
        <v>51.693469521126758</v>
      </c>
      <c r="O33" s="423">
        <f t="shared" si="16"/>
        <v>1655.9611214075148</v>
      </c>
      <c r="P33" s="589">
        <f>'25'!I38</f>
        <v>52.022000000000006</v>
      </c>
      <c r="Q33" s="423">
        <f t="shared" si="17"/>
        <v>1571.6150000000002</v>
      </c>
      <c r="R33" s="14">
        <f>'25'!I40</f>
        <v>40.061999999999998</v>
      </c>
      <c r="S33" s="423">
        <f t="shared" si="18"/>
        <v>1514.607</v>
      </c>
      <c r="T33" s="580">
        <f t="shared" si="1"/>
        <v>129.56200000000001</v>
      </c>
      <c r="U33" s="424">
        <f t="shared" si="19"/>
        <v>3521.5859999999993</v>
      </c>
      <c r="V33" s="426">
        <f t="shared" si="2"/>
        <v>2.4905232401676214</v>
      </c>
      <c r="W33" s="426">
        <f t="shared" si="3"/>
        <v>2.2407434390738183</v>
      </c>
      <c r="X33" s="422">
        <f t="shared" si="4"/>
        <v>3.234037242274475</v>
      </c>
      <c r="Y33" s="426">
        <f t="shared" si="5"/>
        <v>2.3250823480942575</v>
      </c>
      <c r="Z33" s="425">
        <f>+'25'!I46</f>
        <v>56189.180000002219</v>
      </c>
      <c r="AA33" s="424">
        <f t="shared" si="20"/>
        <v>1349111.3799999994</v>
      </c>
      <c r="AB33" s="426">
        <f t="shared" si="6"/>
        <v>1080.104186690289</v>
      </c>
      <c r="AC33" s="426">
        <f t="shared" si="7"/>
        <v>858.42358338397071</v>
      </c>
      <c r="AD33" s="426">
        <f t="shared" si="8"/>
        <v>1402.5555389147378</v>
      </c>
      <c r="AE33" s="426">
        <f t="shared" si="9"/>
        <v>890.73362264930734</v>
      </c>
      <c r="AF33" s="588">
        <f>0.592</f>
        <v>0.59199999999999997</v>
      </c>
      <c r="AG33" s="524">
        <v>128.97</v>
      </c>
      <c r="AH33" s="422">
        <f>+SUM(Efficiency2!K120:K121)</f>
        <v>51.693469521126758</v>
      </c>
      <c r="AI33" s="423">
        <f t="shared" si="21"/>
        <v>1716.9947747171773</v>
      </c>
      <c r="AJ33" s="448">
        <f t="shared" si="22"/>
        <v>0.77499150997452282</v>
      </c>
      <c r="AK33" s="448">
        <f t="shared" si="23"/>
        <v>0.88212673812562148</v>
      </c>
    </row>
    <row r="34" spans="1:37" s="427" customFormat="1" ht="12.75" customHeight="1">
      <c r="A34" s="441">
        <f t="shared" si="10"/>
        <v>45895</v>
      </c>
      <c r="B34" s="428" t="s">
        <v>721</v>
      </c>
      <c r="C34" s="428" t="s">
        <v>756</v>
      </c>
      <c r="D34" s="421">
        <f>+'26'!F42</f>
        <v>1300</v>
      </c>
      <c r="E34" s="421">
        <f>+'26'!G42</f>
        <v>1040</v>
      </c>
      <c r="F34" s="50">
        <f t="shared" si="0"/>
        <v>0.19999999999999996</v>
      </c>
      <c r="G34" s="447">
        <f t="shared" si="11"/>
        <v>1.0064334389530383</v>
      </c>
      <c r="H34" s="442">
        <f t="shared" si="12"/>
        <v>1.0064334389530383</v>
      </c>
      <c r="I34" s="442">
        <f t="shared" si="13"/>
        <v>0.85032149075175412</v>
      </c>
      <c r="J34" s="448">
        <f t="shared" si="14"/>
        <v>0.85579198215296204</v>
      </c>
      <c r="K34" s="448">
        <f t="shared" si="15"/>
        <v>0.881271384772779</v>
      </c>
      <c r="L34" s="422">
        <f>+SUM(Efficiency1!K124:K125)</f>
        <v>57.640175450000001</v>
      </c>
      <c r="M34" s="423">
        <f t="shared" si="16"/>
        <v>1774.6349501671773</v>
      </c>
      <c r="N34" s="422">
        <f>+SUM(Efficiency1!C124:C125)</f>
        <v>57.640175450000001</v>
      </c>
      <c r="O34" s="423">
        <f t="shared" si="16"/>
        <v>1713.6012968575149</v>
      </c>
      <c r="P34" s="589">
        <f>'26'!I38</f>
        <v>58.010999999999996</v>
      </c>
      <c r="Q34" s="423">
        <f t="shared" si="17"/>
        <v>1629.6260000000002</v>
      </c>
      <c r="R34" s="14">
        <f>'26'!I40</f>
        <v>49.328000000000003</v>
      </c>
      <c r="S34" s="423">
        <f t="shared" si="18"/>
        <v>1563.9349999999999</v>
      </c>
      <c r="T34" s="580">
        <f t="shared" si="1"/>
        <v>134.86799999999999</v>
      </c>
      <c r="U34" s="424">
        <f t="shared" si="19"/>
        <v>3656.4539999999993</v>
      </c>
      <c r="V34" s="426">
        <f t="shared" si="2"/>
        <v>2.324869421316647</v>
      </c>
      <c r="W34" s="426">
        <f t="shared" si="3"/>
        <v>2.2437381337803881</v>
      </c>
      <c r="X34" s="422">
        <f t="shared" si="4"/>
        <v>2.7341063898799867</v>
      </c>
      <c r="Y34" s="426">
        <f t="shared" si="5"/>
        <v>2.3379833560857706</v>
      </c>
      <c r="Z34" s="425">
        <f>'26'!I46</f>
        <v>58973.059999998324</v>
      </c>
      <c r="AA34" s="424">
        <f t="shared" si="20"/>
        <v>1408084.4399999978</v>
      </c>
      <c r="AB34" s="426">
        <f t="shared" si="6"/>
        <v>1016.5840961196726</v>
      </c>
      <c r="AC34" s="426">
        <f t="shared" si="7"/>
        <v>864.05373993787384</v>
      </c>
      <c r="AD34" s="426">
        <f t="shared" si="8"/>
        <v>1195.5291112552368</v>
      </c>
      <c r="AE34" s="426">
        <f t="shared" si="9"/>
        <v>900.34716276571453</v>
      </c>
      <c r="AF34" s="588">
        <f>1.772</f>
        <v>1.772</v>
      </c>
      <c r="AG34" s="524">
        <v>133.096</v>
      </c>
      <c r="AH34" s="422">
        <f>+SUM(Efficiency2!K124:K125)</f>
        <v>57.640175450000001</v>
      </c>
      <c r="AI34" s="423">
        <f t="shared" si="21"/>
        <v>1774.6349501671773</v>
      </c>
      <c r="AJ34" s="448">
        <f t="shared" si="22"/>
        <v>0.85579198215296204</v>
      </c>
      <c r="AK34" s="448">
        <f t="shared" si="23"/>
        <v>0.881271384772779</v>
      </c>
    </row>
    <row r="35" spans="1:37" s="427" customFormat="1" ht="12.75" customHeight="1">
      <c r="A35" s="441">
        <f t="shared" si="10"/>
        <v>45896</v>
      </c>
      <c r="B35" s="428" t="s">
        <v>721</v>
      </c>
      <c r="C35" s="428" t="s">
        <v>755</v>
      </c>
      <c r="D35" s="421">
        <f>+'27'!F42</f>
        <v>1300</v>
      </c>
      <c r="E35" s="421">
        <f>+'27'!G42</f>
        <v>1040</v>
      </c>
      <c r="F35" s="50">
        <f t="shared" si="0"/>
        <v>0.19999999999999996</v>
      </c>
      <c r="G35" s="447">
        <f t="shared" si="11"/>
        <v>0.98261919266238906</v>
      </c>
      <c r="H35" s="442">
        <f t="shared" si="12"/>
        <v>0.98261919266238906</v>
      </c>
      <c r="I35" s="442">
        <f t="shared" si="13"/>
        <v>0.95397286009024285</v>
      </c>
      <c r="J35" s="448">
        <f t="shared" si="14"/>
        <v>0.9373920416037046</v>
      </c>
      <c r="K35" s="448">
        <f t="shared" si="15"/>
        <v>0.88312662018369126</v>
      </c>
      <c r="L35" s="422">
        <f>+Efficiency1!K128</f>
        <v>60.671520000000001</v>
      </c>
      <c r="M35" s="423">
        <f t="shared" si="16"/>
        <v>1835.3064701671774</v>
      </c>
      <c r="N35" s="422">
        <f>+Efficiency1!C128</f>
        <v>60.671520000000001</v>
      </c>
      <c r="O35" s="423">
        <f t="shared" si="16"/>
        <v>1774.272816857515</v>
      </c>
      <c r="P35" s="589">
        <f>'27'!I38</f>
        <v>59.61699999999999</v>
      </c>
      <c r="Q35" s="423">
        <f t="shared" si="17"/>
        <v>1689.2430000000002</v>
      </c>
      <c r="R35" s="14">
        <f>'27'!I40</f>
        <v>56.872999999999998</v>
      </c>
      <c r="S35" s="423">
        <f t="shared" si="18"/>
        <v>1620.808</v>
      </c>
      <c r="T35" s="580">
        <f t="shared" si="1"/>
        <v>137.05000000000001</v>
      </c>
      <c r="U35" s="424">
        <f t="shared" si="19"/>
        <v>3793.5039999999995</v>
      </c>
      <c r="V35" s="426">
        <f t="shared" si="2"/>
        <v>2.2988409346327394</v>
      </c>
      <c r="W35" s="426">
        <f t="shared" si="3"/>
        <v>2.245682829527782</v>
      </c>
      <c r="X35" s="422">
        <f t="shared" si="4"/>
        <v>2.4097550683100946</v>
      </c>
      <c r="Y35" s="426">
        <f t="shared" si="5"/>
        <v>2.3405017744236205</v>
      </c>
      <c r="Z35" s="425">
        <f>'27'!I46</f>
        <v>54980.620000001312</v>
      </c>
      <c r="AA35" s="424">
        <f t="shared" si="20"/>
        <v>1463065.0599999991</v>
      </c>
      <c r="AB35" s="426">
        <f t="shared" si="6"/>
        <v>922.23057181678575</v>
      </c>
      <c r="AC35" s="426">
        <f t="shared" si="7"/>
        <v>866.10692481780234</v>
      </c>
      <c r="AD35" s="426">
        <f t="shared" si="8"/>
        <v>966.72621454822695</v>
      </c>
      <c r="AE35" s="426">
        <f t="shared" si="9"/>
        <v>902.67635648392593</v>
      </c>
      <c r="AF35" s="588">
        <f>4.175</f>
        <v>4.1749999999999998</v>
      </c>
      <c r="AG35" s="524">
        <v>132.875</v>
      </c>
      <c r="AH35" s="422">
        <f>+Efficiency2!K128</f>
        <v>60.671520000000001</v>
      </c>
      <c r="AI35" s="423">
        <f t="shared" si="21"/>
        <v>1835.3064701671774</v>
      </c>
      <c r="AJ35" s="448">
        <f t="shared" si="22"/>
        <v>0.9373920416037046</v>
      </c>
      <c r="AK35" s="448">
        <f t="shared" si="23"/>
        <v>0.88312662018369126</v>
      </c>
    </row>
    <row r="36" spans="1:37" s="427" customFormat="1" ht="12.75" customHeight="1">
      <c r="A36" s="441">
        <f t="shared" si="10"/>
        <v>45897</v>
      </c>
      <c r="B36" s="428" t="s">
        <v>767</v>
      </c>
      <c r="C36" s="428" t="s">
        <v>766</v>
      </c>
      <c r="D36" s="421">
        <f>+'28'!F42</f>
        <v>1469.8958333333333</v>
      </c>
      <c r="E36" s="421">
        <f>+'28'!G42</f>
        <v>1143.8791666666666</v>
      </c>
      <c r="F36" s="50">
        <f t="shared" si="0"/>
        <v>0.22179576217135566</v>
      </c>
      <c r="G36" s="447">
        <f t="shared" si="11"/>
        <v>1.0431103507556578</v>
      </c>
      <c r="H36" s="442">
        <f t="shared" si="12"/>
        <v>1.0283703217396301</v>
      </c>
      <c r="I36" s="442">
        <f t="shared" si="13"/>
        <v>0.9128995288424806</v>
      </c>
      <c r="J36" s="448">
        <f t="shared" si="14"/>
        <v>0.93879878219169843</v>
      </c>
      <c r="K36" s="448">
        <f t="shared" si="15"/>
        <v>0.88492005174358068</v>
      </c>
      <c r="L36" s="422">
        <f>+SUM(Efficiency1!K132:K134)</f>
        <v>61.090833401069517</v>
      </c>
      <c r="M36" s="423">
        <f t="shared" si="16"/>
        <v>1896.397303568247</v>
      </c>
      <c r="N36" s="422">
        <f>+SUM(Efficiency1!C132:C134)</f>
        <v>60.227568401069519</v>
      </c>
      <c r="O36" s="423">
        <f t="shared" si="16"/>
        <v>1834.5003852585844</v>
      </c>
      <c r="P36" s="589">
        <f>'28'!I38</f>
        <v>62.823999999999998</v>
      </c>
      <c r="Q36" s="423">
        <f t="shared" si="17"/>
        <v>1752.0670000000002</v>
      </c>
      <c r="R36" s="14">
        <f>'28'!I40</f>
        <v>57.351999999999997</v>
      </c>
      <c r="S36" s="423">
        <f t="shared" si="18"/>
        <v>1678.16</v>
      </c>
      <c r="T36" s="580">
        <f t="shared" si="1"/>
        <v>129.11500000000001</v>
      </c>
      <c r="U36" s="424">
        <f t="shared" si="19"/>
        <v>3922.6189999999997</v>
      </c>
      <c r="V36" s="426">
        <f t="shared" si="2"/>
        <v>2.0551859162103656</v>
      </c>
      <c r="W36" s="426">
        <f t="shared" si="3"/>
        <v>2.2388521671831039</v>
      </c>
      <c r="X36" s="422">
        <f t="shared" si="4"/>
        <v>2.2512728414004743</v>
      </c>
      <c r="Y36" s="426">
        <f t="shared" si="5"/>
        <v>2.3374523287410018</v>
      </c>
      <c r="Z36" s="425">
        <f>'28'!I46</f>
        <v>56814.600000000108</v>
      </c>
      <c r="AA36" s="424">
        <f t="shared" si="20"/>
        <v>1519879.6599999992</v>
      </c>
      <c r="AB36" s="426">
        <f t="shared" si="6"/>
        <v>904.3454730676192</v>
      </c>
      <c r="AC36" s="426">
        <f t="shared" si="7"/>
        <v>867.47804735777743</v>
      </c>
      <c r="AD36" s="426">
        <f t="shared" si="8"/>
        <v>990.62979495048307</v>
      </c>
      <c r="AE36" s="426">
        <f t="shared" si="9"/>
        <v>905.68221146970438</v>
      </c>
      <c r="AF36" s="588">
        <f>1.668</f>
        <v>1.6679999999999999</v>
      </c>
      <c r="AG36" s="524">
        <v>127.447</v>
      </c>
      <c r="AH36" s="422">
        <f>+SUM(Efficiency2!K132:K134)</f>
        <v>60.605049401069522</v>
      </c>
      <c r="AI36" s="423">
        <f t="shared" si="21"/>
        <v>1895.9115195682468</v>
      </c>
      <c r="AJ36" s="448">
        <f t="shared" si="22"/>
        <v>0.94632378930109218</v>
      </c>
      <c r="AK36" s="448">
        <f t="shared" si="23"/>
        <v>0.88514679228393789</v>
      </c>
    </row>
    <row r="37" spans="1:37" s="427" customFormat="1" ht="12.75" customHeight="1">
      <c r="A37" s="441">
        <f t="shared" si="10"/>
        <v>45898</v>
      </c>
      <c r="B37" s="451" t="s">
        <v>7</v>
      </c>
      <c r="C37" s="428" t="s">
        <v>780</v>
      </c>
      <c r="D37" s="421">
        <f>+'29'!F42</f>
        <v>1650</v>
      </c>
      <c r="E37" s="421">
        <f>+'29'!G42</f>
        <v>1289.75</v>
      </c>
      <c r="F37" s="50">
        <f t="shared" si="0"/>
        <v>0.21833333333333338</v>
      </c>
      <c r="G37" s="447">
        <f t="shared" si="11"/>
        <v>0.96485669663621243</v>
      </c>
      <c r="H37" s="442">
        <f t="shared" si="12"/>
        <v>0.93220200123541019</v>
      </c>
      <c r="I37" s="442">
        <f t="shared" si="13"/>
        <v>1.3949420178158551</v>
      </c>
      <c r="J37" s="448">
        <f t="shared" si="14"/>
        <v>1.3003677406153014</v>
      </c>
      <c r="K37" s="448">
        <f t="shared" si="15"/>
        <v>0.89763053623653799</v>
      </c>
      <c r="L37" s="422">
        <f>+SUM(Efficiency1!K136:K137)</f>
        <v>59.85076188</v>
      </c>
      <c r="M37" s="423">
        <f t="shared" si="16"/>
        <v>1956.248065448247</v>
      </c>
      <c r="N37" s="422">
        <f>+SUM(Efficiency1!C136:C137)</f>
        <v>57.825167399999998</v>
      </c>
      <c r="O37" s="423">
        <f t="shared" si="16"/>
        <v>1892.3255526585845</v>
      </c>
      <c r="P37" s="589">
        <f>'29'!I38</f>
        <v>55.792999999999999</v>
      </c>
      <c r="Q37" s="423">
        <f t="shared" si="17"/>
        <v>1807.8600000000001</v>
      </c>
      <c r="R37" s="14">
        <f>'29'!I40</f>
        <v>77.828000000000003</v>
      </c>
      <c r="S37" s="423">
        <f t="shared" si="18"/>
        <v>1755.9880000000001</v>
      </c>
      <c r="T37" s="580">
        <f t="shared" si="1"/>
        <v>122.16300000000001</v>
      </c>
      <c r="U37" s="424">
        <f t="shared" si="19"/>
        <v>4044.7819999999997</v>
      </c>
      <c r="V37" s="426">
        <f t="shared" si="2"/>
        <v>2.1895757532306921</v>
      </c>
      <c r="W37" s="426">
        <f t="shared" si="3"/>
        <v>2.2373314305311247</v>
      </c>
      <c r="X37" s="422">
        <f t="shared" si="4"/>
        <v>1.5696535951071595</v>
      </c>
      <c r="Y37" s="426">
        <f t="shared" si="5"/>
        <v>2.3034223468497506</v>
      </c>
      <c r="Z37" s="425">
        <f>'29'!I46</f>
        <v>60530.679999999818</v>
      </c>
      <c r="AA37" s="424">
        <f t="shared" si="20"/>
        <v>1580410.3399999989</v>
      </c>
      <c r="AB37" s="426">
        <f t="shared" si="6"/>
        <v>1084.9153119566938</v>
      </c>
      <c r="AC37" s="426">
        <f t="shared" si="7"/>
        <v>874.18845485822953</v>
      </c>
      <c r="AD37" s="426">
        <f t="shared" si="8"/>
        <v>777.74939610422757</v>
      </c>
      <c r="AE37" s="426">
        <f t="shared" si="9"/>
        <v>900.01203880664275</v>
      </c>
      <c r="AF37" s="588">
        <f>0.257</f>
        <v>0.25700000000000001</v>
      </c>
      <c r="AG37" s="524">
        <v>121.90600000000001</v>
      </c>
      <c r="AH37" s="422">
        <f>+SUM(Efficiency2!K136:K137)</f>
        <v>59.85076188</v>
      </c>
      <c r="AI37" s="423">
        <f t="shared" si="21"/>
        <v>1955.7622814482468</v>
      </c>
      <c r="AJ37" s="448">
        <f t="shared" si="22"/>
        <v>1.3003677406153014</v>
      </c>
      <c r="AK37" s="448">
        <f t="shared" si="23"/>
        <v>0.89785349510866252</v>
      </c>
    </row>
    <row r="38" spans="1:37" s="427" customFormat="1" ht="12.75" customHeight="1">
      <c r="A38" s="441">
        <f t="shared" si="10"/>
        <v>45899</v>
      </c>
      <c r="B38" s="451" t="s">
        <v>7</v>
      </c>
      <c r="C38" s="445" t="s">
        <v>686</v>
      </c>
      <c r="D38" s="421">
        <f>+'30'!F42</f>
        <v>1670.6666666666667</v>
      </c>
      <c r="E38" s="421">
        <f>+'30'!G42</f>
        <v>1403.36</v>
      </c>
      <c r="F38" s="50">
        <f t="shared" si="0"/>
        <v>0.16000000000000014</v>
      </c>
      <c r="G38" s="447">
        <f t="shared" si="11"/>
        <v>1.0371724678838055</v>
      </c>
      <c r="H38" s="442">
        <f t="shared" si="12"/>
        <v>1.0016008495247848</v>
      </c>
      <c r="I38" s="442">
        <f t="shared" si="13"/>
        <v>1.0570639032815199</v>
      </c>
      <c r="J38" s="448">
        <f t="shared" si="14"/>
        <v>1.0587561035287552</v>
      </c>
      <c r="K38" s="448">
        <f t="shared" si="15"/>
        <v>0.90225516525260618</v>
      </c>
      <c r="L38" s="422">
        <f>+Efficiency1!K141</f>
        <v>57.807458956799991</v>
      </c>
      <c r="M38" s="423">
        <f t="shared" si="16"/>
        <v>2014.055524405047</v>
      </c>
      <c r="N38" s="422">
        <f>+Efficiency1!C141</f>
        <v>55.824852464639996</v>
      </c>
      <c r="O38" s="423">
        <f t="shared" si="16"/>
        <v>1948.1504051232243</v>
      </c>
      <c r="P38" s="589">
        <f>'30'!I38</f>
        <v>57.9</v>
      </c>
      <c r="Q38" s="423">
        <f t="shared" si="17"/>
        <v>1865.7600000000002</v>
      </c>
      <c r="R38" s="14">
        <f>'30'!I40</f>
        <v>61.204000000000001</v>
      </c>
      <c r="S38" s="423">
        <f t="shared" si="18"/>
        <v>1817.192</v>
      </c>
      <c r="T38" s="580">
        <f t="shared" si="1"/>
        <v>120.238</v>
      </c>
      <c r="U38" s="424">
        <f t="shared" si="19"/>
        <v>4165.0199999999995</v>
      </c>
      <c r="V38" s="426">
        <f t="shared" si="2"/>
        <v>2.0766493955094991</v>
      </c>
      <c r="W38" s="426">
        <f t="shared" si="3"/>
        <v>2.232344996140982</v>
      </c>
      <c r="X38" s="422">
        <f t="shared" si="4"/>
        <v>1.964544800993399</v>
      </c>
      <c r="Y38" s="426">
        <f t="shared" si="5"/>
        <v>2.292008769574156</v>
      </c>
      <c r="Z38" s="425">
        <f>'30'!I46</f>
        <v>58714.940000000614</v>
      </c>
      <c r="AA38" s="424">
        <f t="shared" si="20"/>
        <v>1639125.2799999996</v>
      </c>
      <c r="AB38" s="426">
        <f t="shared" si="6"/>
        <v>1014.0749568221177</v>
      </c>
      <c r="AC38" s="426">
        <f t="shared" si="7"/>
        <v>878.52954292084701</v>
      </c>
      <c r="AD38" s="426">
        <f t="shared" si="8"/>
        <v>959.3317430233418</v>
      </c>
      <c r="AE38" s="426">
        <f t="shared" si="9"/>
        <v>902.00995822125537</v>
      </c>
      <c r="AF38" s="505">
        <f>0.065</f>
        <v>6.5000000000000002E-2</v>
      </c>
      <c r="AG38" s="524">
        <v>120.173</v>
      </c>
      <c r="AH38" s="422">
        <f>+Efficiency2!K141</f>
        <v>57.807458956799991</v>
      </c>
      <c r="AI38" s="423">
        <f t="shared" si="21"/>
        <v>2013.5697404050468</v>
      </c>
      <c r="AJ38" s="448">
        <f t="shared" si="22"/>
        <v>1.0587561035287552</v>
      </c>
      <c r="AK38" s="448">
        <f t="shared" si="23"/>
        <v>0.90247283892658037</v>
      </c>
    </row>
    <row r="39" spans="1:37" s="427" customFormat="1" ht="12.75" customHeight="1">
      <c r="A39" s="441">
        <f>A38+1</f>
        <v>45900</v>
      </c>
      <c r="B39" s="451" t="s">
        <v>7</v>
      </c>
      <c r="C39" s="445" t="s">
        <v>791</v>
      </c>
      <c r="D39" s="421">
        <f>+'31'!F42</f>
        <v>1680</v>
      </c>
      <c r="E39" s="421">
        <f>+'31'!G42</f>
        <v>1390.4333333333334</v>
      </c>
      <c r="F39" s="50">
        <f t="shared" si="0"/>
        <v>0.17236111111111108</v>
      </c>
      <c r="G39" s="447">
        <f t="shared" si="11"/>
        <v>0.98660636607630881</v>
      </c>
      <c r="H39" s="442">
        <f t="shared" si="12"/>
        <v>0.96362314546435313</v>
      </c>
      <c r="I39" s="442">
        <f t="shared" si="13"/>
        <v>0.84929701230228483</v>
      </c>
      <c r="J39" s="448">
        <f t="shared" si="14"/>
        <v>0.81840225842820513</v>
      </c>
      <c r="K39" s="448">
        <f t="shared" si="15"/>
        <v>0.89986679210292397</v>
      </c>
      <c r="L39" s="422">
        <f>+SUM(Efficiency1!K145:K146)</f>
        <v>59.047979770744178</v>
      </c>
      <c r="M39" s="423">
        <f>M38+L39</f>
        <v>2073.1035041757914</v>
      </c>
      <c r="N39" s="422">
        <f>+SUM(Efficiency1!C145:C146)</f>
        <v>57.672443597023253</v>
      </c>
      <c r="O39" s="423">
        <f>O38+N39</f>
        <v>2005.8228487202475</v>
      </c>
      <c r="P39" s="589">
        <f>'31'!I38</f>
        <v>56.9</v>
      </c>
      <c r="Q39" s="423">
        <f>Q38+P39</f>
        <v>1922.6600000000003</v>
      </c>
      <c r="R39" s="14">
        <f>'31'!I40</f>
        <v>48.325000000000003</v>
      </c>
      <c r="S39" s="423">
        <f>S38+R39</f>
        <v>1865.5170000000001</v>
      </c>
      <c r="T39" s="580">
        <f t="shared" si="1"/>
        <v>122.824</v>
      </c>
      <c r="U39" s="424">
        <f>T39+U38</f>
        <v>4287.8439999999991</v>
      </c>
      <c r="V39" s="426">
        <f t="shared" si="2"/>
        <v>2.1585940246045694</v>
      </c>
      <c r="W39" s="426">
        <f t="shared" si="3"/>
        <v>2.2301623792038106</v>
      </c>
      <c r="X39" s="422">
        <f t="shared" si="4"/>
        <v>2.5416244180031038</v>
      </c>
      <c r="Y39" s="426">
        <f t="shared" si="5"/>
        <v>2.2984748999875095</v>
      </c>
      <c r="Z39" s="425">
        <f>'31'!I46</f>
        <v>58713.139999997198</v>
      </c>
      <c r="AA39" s="424">
        <f>Z39+AA38</f>
        <v>1697838.4199999967</v>
      </c>
      <c r="AB39" s="426">
        <f t="shared" si="6"/>
        <v>1031.8653778558382</v>
      </c>
      <c r="AC39" s="426">
        <f t="shared" si="7"/>
        <v>883.06742741826235</v>
      </c>
      <c r="AD39" s="426">
        <f t="shared" si="8"/>
        <v>1214.9640972580899</v>
      </c>
      <c r="AE39" s="426">
        <f t="shared" si="9"/>
        <v>910.11683088387656</v>
      </c>
      <c r="AF39" s="505">
        <f>0.106</f>
        <v>0.106</v>
      </c>
      <c r="AG39" s="524">
        <v>122.718</v>
      </c>
      <c r="AH39" s="422">
        <f>+SUM(Efficiency2!K145:K146)</f>
        <v>59.047979770744178</v>
      </c>
      <c r="AI39" s="423">
        <f>AI38+AH39</f>
        <v>2072.617720175791</v>
      </c>
      <c r="AJ39" s="448">
        <f t="shared" si="22"/>
        <v>0.81840225842820513</v>
      </c>
      <c r="AK39" s="448">
        <f t="shared" si="23"/>
        <v>0.90007770455700553</v>
      </c>
    </row>
    <row r="40" spans="1:37" s="427" customFormat="1" ht="12.75" customHeight="1" thickBot="1">
      <c r="A40" s="441"/>
      <c r="B40" s="429"/>
      <c r="C40" s="429"/>
      <c r="D40" s="429"/>
      <c r="E40" s="429"/>
      <c r="F40" s="443"/>
      <c r="G40" s="447"/>
      <c r="H40" s="442"/>
      <c r="I40" s="442"/>
      <c r="J40" s="448"/>
      <c r="K40" s="453"/>
      <c r="L40" s="430"/>
      <c r="M40" s="431"/>
      <c r="N40" s="431"/>
      <c r="O40" s="431"/>
      <c r="P40" s="431"/>
      <c r="Q40" s="431"/>
      <c r="R40" s="614"/>
      <c r="S40" s="431"/>
      <c r="T40" s="432"/>
      <c r="U40" s="432"/>
      <c r="V40" s="433"/>
      <c r="W40" s="433"/>
      <c r="X40" s="430"/>
      <c r="Y40" s="433"/>
      <c r="Z40" s="432"/>
      <c r="AA40" s="432"/>
      <c r="AB40" s="433"/>
      <c r="AC40" s="433"/>
      <c r="AD40" s="433"/>
      <c r="AE40" s="433"/>
      <c r="AF40" s="505"/>
      <c r="AG40" s="524"/>
      <c r="AH40" s="430"/>
      <c r="AI40" s="431"/>
      <c r="AJ40" s="448"/>
      <c r="AK40" s="453"/>
    </row>
    <row r="41" spans="1:37" s="427" customFormat="1" ht="12.75" customHeight="1" thickTop="1" thickBot="1">
      <c r="A41" s="434"/>
      <c r="B41" s="435"/>
      <c r="C41" s="435"/>
      <c r="D41" s="435"/>
      <c r="E41" s="435"/>
      <c r="F41" s="444"/>
      <c r="G41" s="447">
        <f t="shared" si="11"/>
        <v>0.95853928537442545</v>
      </c>
      <c r="H41" s="442">
        <f t="shared" si="12"/>
        <v>0.92743078004896662</v>
      </c>
      <c r="I41" s="442">
        <f t="shared" si="13"/>
        <v>0.97027919652980754</v>
      </c>
      <c r="J41" s="448">
        <f t="shared" si="14"/>
        <v>0.89986679210292397</v>
      </c>
      <c r="K41" s="453"/>
      <c r="L41" s="436">
        <f>SUM(L9:L39)</f>
        <v>2073.1035041757914</v>
      </c>
      <c r="M41" s="437"/>
      <c r="N41" s="436">
        <f>SUM(N9:N39)</f>
        <v>2005.8228487202475</v>
      </c>
      <c r="O41" s="437"/>
      <c r="P41" s="436">
        <f>SUM(P9:P39)</f>
        <v>1922.6600000000003</v>
      </c>
      <c r="Q41" s="437"/>
      <c r="R41" s="437">
        <f>SUM(R9:R39)</f>
        <v>1865.5170000000001</v>
      </c>
      <c r="S41" s="437"/>
      <c r="T41" s="438">
        <f>SUM(T9:T40)</f>
        <v>4287.8439999999991</v>
      </c>
      <c r="U41" s="438"/>
      <c r="V41" s="439">
        <f>T41/P41</f>
        <v>2.2301623792038106</v>
      </c>
      <c r="W41" s="439"/>
      <c r="X41" s="440">
        <f>T41/R41</f>
        <v>2.2984748999875095</v>
      </c>
      <c r="Y41" s="439"/>
      <c r="Z41" s="438">
        <f>SUM(Z9:Z39)</f>
        <v>1697838.4199999967</v>
      </c>
      <c r="AA41" s="438"/>
      <c r="AB41" s="439">
        <f>Z41/P41</f>
        <v>883.06742741826235</v>
      </c>
      <c r="AC41" s="439"/>
      <c r="AD41" s="439">
        <f>Z41/R41</f>
        <v>910.11683088387645</v>
      </c>
      <c r="AE41" s="439"/>
      <c r="AF41" s="505"/>
      <c r="AG41" s="524"/>
      <c r="AH41" s="436">
        <f>SUM(AH9:AH39)</f>
        <v>2072.617720175791</v>
      </c>
      <c r="AI41" s="437"/>
      <c r="AJ41" s="448">
        <f t="shared" si="22"/>
        <v>0.90007770455700553</v>
      </c>
      <c r="AK41" s="453"/>
    </row>
    <row r="42" spans="1:37" ht="12.75" customHeight="1" thickTop="1">
      <c r="S42" s="294"/>
      <c r="T42" s="294"/>
      <c r="U42" s="294"/>
      <c r="X42" s="294"/>
      <c r="Z42" s="294"/>
      <c r="AA42" s="294"/>
    </row>
    <row r="43" spans="1:37" ht="12.75" customHeight="1">
      <c r="S43" s="294"/>
      <c r="T43" s="294"/>
      <c r="U43" s="294"/>
      <c r="X43" s="294"/>
      <c r="Z43" s="294"/>
      <c r="AA43" s="294"/>
    </row>
    <row r="44" spans="1:37">
      <c r="S44" s="294"/>
      <c r="T44" s="294"/>
      <c r="U44" s="294"/>
      <c r="X44" s="294"/>
      <c r="Z44" s="294"/>
      <c r="AA44" s="294"/>
    </row>
    <row r="45" spans="1:37">
      <c r="R45" s="303"/>
      <c r="S45" s="304"/>
    </row>
    <row r="46" spans="1:37">
      <c r="R46" s="615"/>
    </row>
    <row r="47" spans="1:37">
      <c r="R47" s="615"/>
    </row>
    <row r="48" spans="1:37">
      <c r="R48" s="615"/>
    </row>
    <row r="49" spans="18:37">
      <c r="R49" s="615"/>
      <c r="AJ49"/>
      <c r="AK49"/>
    </row>
    <row r="50" spans="18:37">
      <c r="R50" s="615"/>
      <c r="AJ50"/>
      <c r="AK50"/>
    </row>
    <row r="51" spans="18:37">
      <c r="R51" s="615"/>
      <c r="AJ51"/>
      <c r="AK51"/>
    </row>
    <row r="52" spans="18:37">
      <c r="R52" s="615"/>
      <c r="AJ52"/>
      <c r="AK52"/>
    </row>
    <row r="53" spans="18:37">
      <c r="R53" s="615"/>
      <c r="AJ53"/>
      <c r="AK53"/>
    </row>
    <row r="54" spans="18:37">
      <c r="R54" s="615"/>
      <c r="AJ54"/>
      <c r="AK54"/>
    </row>
    <row r="55" spans="18:37">
      <c r="R55" s="615"/>
      <c r="AJ55"/>
      <c r="AK55"/>
    </row>
    <row r="56" spans="18:37">
      <c r="R56" s="615"/>
      <c r="AJ56"/>
      <c r="AK56"/>
    </row>
    <row r="57" spans="18:37">
      <c r="R57" s="615"/>
      <c r="AJ57"/>
      <c r="AK57"/>
    </row>
    <row r="58" spans="18:37">
      <c r="R58" s="615"/>
      <c r="AJ58"/>
      <c r="AK58"/>
    </row>
    <row r="59" spans="18:37">
      <c r="R59" s="615"/>
      <c r="AJ59"/>
      <c r="AK59"/>
    </row>
    <row r="60" spans="18:37">
      <c r="AJ60"/>
      <c r="AK60"/>
    </row>
    <row r="65536" spans="3:35">
      <c r="C65536" s="305"/>
      <c r="AH65536"/>
      <c r="AI65536"/>
    </row>
  </sheetData>
  <mergeCells count="26">
    <mergeCell ref="J6:K7"/>
    <mergeCell ref="AF6:AG7"/>
    <mergeCell ref="N6:O7"/>
    <mergeCell ref="T7:U7"/>
    <mergeCell ref="V7:W7"/>
    <mergeCell ref="X7:Y7"/>
    <mergeCell ref="T6:Y6"/>
    <mergeCell ref="P6:Q7"/>
    <mergeCell ref="R6:S7"/>
    <mergeCell ref="Z6:AE6"/>
    <mergeCell ref="AH6:AI7"/>
    <mergeCell ref="AJ6:AK7"/>
    <mergeCell ref="A3:AE4"/>
    <mergeCell ref="Z7:AA7"/>
    <mergeCell ref="AB7:AC7"/>
    <mergeCell ref="AD7:AE7"/>
    <mergeCell ref="D6:D8"/>
    <mergeCell ref="A6:A8"/>
    <mergeCell ref="B6:B8"/>
    <mergeCell ref="C6:C8"/>
    <mergeCell ref="L6:M7"/>
    <mergeCell ref="H6:H8"/>
    <mergeCell ref="I6:I8"/>
    <mergeCell ref="E6:E8"/>
    <mergeCell ref="F6:F8"/>
    <mergeCell ref="G6:G8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Y45"/>
  <sheetViews>
    <sheetView zoomScaleNormal="100" workbookViewId="0">
      <pane xSplit="3" ySplit="6" topLeftCell="AI29" activePane="bottomRight" state="frozen"/>
      <selection pane="topRight" activeCell="D1" sqref="D1"/>
      <selection pane="bottomLeft" activeCell="A7" sqref="A7"/>
      <selection pane="bottomRight" activeCell="AR43" sqref="AR43"/>
    </sheetView>
  </sheetViews>
  <sheetFormatPr defaultColWidth="9.140625" defaultRowHeight="12.75"/>
  <cols>
    <col min="1" max="3" width="10.85546875" customWidth="1"/>
    <col min="4" max="4" width="12.85546875" bestFit="1" customWidth="1"/>
    <col min="5" max="5" width="13.28515625" bestFit="1" customWidth="1"/>
    <col min="6" max="6" width="14.5703125" bestFit="1" customWidth="1"/>
    <col min="7" max="7" width="15.5703125" bestFit="1" customWidth="1"/>
    <col min="8" max="8" width="18.85546875" customWidth="1"/>
    <col min="9" max="9" width="12.85546875" customWidth="1"/>
    <col min="10" max="10" width="11.5703125" customWidth="1"/>
    <col min="11" max="11" width="12" customWidth="1"/>
    <col min="12" max="12" width="12.28515625" bestFit="1" customWidth="1"/>
    <col min="13" max="13" width="13" bestFit="1" customWidth="1"/>
    <col min="14" max="15" width="11" bestFit="1" customWidth="1"/>
    <col min="16" max="16" width="13.5703125" customWidth="1"/>
    <col min="17" max="17" width="12.42578125" customWidth="1"/>
    <col min="18" max="19" width="13.140625" customWidth="1"/>
    <col min="20" max="20" width="13" bestFit="1" customWidth="1"/>
    <col min="21" max="21" width="13.7109375" bestFit="1" customWidth="1"/>
    <col min="22" max="43" width="13.5703125" customWidth="1"/>
    <col min="44" max="44" width="13.85546875" bestFit="1" customWidth="1"/>
    <col min="45" max="46" width="10.85546875" bestFit="1" customWidth="1"/>
    <col min="49" max="49" width="39" bestFit="1" customWidth="1"/>
  </cols>
  <sheetData>
    <row r="2" spans="1:51" ht="24.75" customHeight="1">
      <c r="A2" s="839" t="s">
        <v>21</v>
      </c>
      <c r="B2" s="839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  <c r="O2" s="839"/>
      <c r="P2" s="839"/>
      <c r="Q2" s="839"/>
      <c r="R2" s="839"/>
      <c r="S2" s="839"/>
      <c r="T2" s="839"/>
      <c r="U2" s="839"/>
      <c r="V2" s="839"/>
      <c r="W2" s="839"/>
      <c r="X2" s="839"/>
      <c r="Y2" s="839"/>
      <c r="Z2" s="839"/>
      <c r="AA2" s="839"/>
      <c r="AB2" s="839"/>
      <c r="AC2" s="839"/>
      <c r="AD2" s="839"/>
      <c r="AE2" s="839"/>
      <c r="AF2" s="839"/>
      <c r="AG2" s="839"/>
      <c r="AH2" s="839"/>
      <c r="AI2" s="839"/>
      <c r="AJ2" s="839"/>
      <c r="AK2" s="839"/>
      <c r="AL2" s="839"/>
      <c r="AM2" s="839"/>
      <c r="AN2" s="839"/>
      <c r="AO2" s="839"/>
      <c r="AP2" s="839"/>
      <c r="AQ2" s="839"/>
      <c r="AR2" s="839"/>
      <c r="AS2" s="306"/>
      <c r="AT2" s="306"/>
      <c r="AU2" s="306"/>
      <c r="AV2" s="306"/>
      <c r="AW2" s="306"/>
    </row>
    <row r="3" spans="1:51" ht="12.75" customHeight="1">
      <c r="A3" s="306"/>
      <c r="B3" s="306"/>
      <c r="C3" s="306"/>
      <c r="D3" s="307"/>
      <c r="E3" s="308"/>
      <c r="F3" s="309"/>
      <c r="G3" s="310"/>
      <c r="H3" s="311"/>
      <c r="I3" s="312"/>
      <c r="J3" s="312"/>
      <c r="K3" s="312"/>
      <c r="L3" s="313"/>
      <c r="M3" s="312"/>
      <c r="N3" s="312"/>
      <c r="O3" s="312"/>
      <c r="P3" s="314"/>
      <c r="Q3" s="312"/>
      <c r="R3" s="312"/>
      <c r="S3" s="312"/>
      <c r="T3" s="315"/>
      <c r="U3" s="312"/>
      <c r="V3" s="312"/>
      <c r="W3" s="312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2"/>
      <c r="AP3" s="312"/>
      <c r="AQ3" s="312"/>
      <c r="AR3" s="312"/>
      <c r="AS3" s="6"/>
      <c r="AT3" s="6"/>
      <c r="AU3" s="306"/>
      <c r="AV3" s="306"/>
      <c r="AW3" s="306"/>
    </row>
    <row r="4" spans="1:51">
      <c r="A4" s="840" t="s">
        <v>8</v>
      </c>
      <c r="B4" s="843" t="s">
        <v>22</v>
      </c>
      <c r="C4" s="843" t="s">
        <v>23</v>
      </c>
      <c r="D4" s="881"/>
      <c r="E4" s="882"/>
      <c r="F4" s="882"/>
      <c r="G4" s="882"/>
      <c r="H4" s="882"/>
      <c r="I4" s="882"/>
      <c r="J4" s="882"/>
      <c r="K4" s="882"/>
      <c r="L4" s="882"/>
      <c r="M4" s="882"/>
      <c r="N4" s="882"/>
      <c r="O4" s="882"/>
      <c r="P4" s="882"/>
      <c r="Q4" s="882"/>
      <c r="R4" s="882"/>
      <c r="S4" s="882"/>
      <c r="T4" s="882"/>
      <c r="U4" s="882"/>
      <c r="V4" s="882"/>
      <c r="W4" s="882"/>
      <c r="X4" s="882"/>
      <c r="Y4" s="882"/>
      <c r="Z4" s="882"/>
      <c r="AA4" s="882"/>
      <c r="AB4" s="882"/>
      <c r="AC4" s="882"/>
      <c r="AD4" s="882"/>
      <c r="AE4" s="882"/>
      <c r="AF4" s="882"/>
      <c r="AG4" s="882"/>
      <c r="AH4" s="882"/>
      <c r="AI4" s="882"/>
      <c r="AJ4" s="882"/>
      <c r="AK4" s="882"/>
      <c r="AL4" s="882"/>
      <c r="AM4" s="882"/>
      <c r="AN4" s="882"/>
      <c r="AO4" s="882"/>
      <c r="AP4" s="882"/>
      <c r="AQ4" s="883"/>
      <c r="AR4" s="861" t="s">
        <v>146</v>
      </c>
      <c r="AS4" s="862"/>
      <c r="AT4" s="863"/>
    </row>
    <row r="5" spans="1:51" ht="14.25" customHeight="1">
      <c r="A5" s="841"/>
      <c r="B5" s="844"/>
      <c r="C5" s="844"/>
      <c r="D5" s="846" t="s">
        <v>174</v>
      </c>
      <c r="E5" s="847"/>
      <c r="F5" s="847"/>
      <c r="G5" s="848"/>
      <c r="H5" s="858" t="s">
        <v>175</v>
      </c>
      <c r="I5" s="859"/>
      <c r="J5" s="859"/>
      <c r="K5" s="860"/>
      <c r="L5" s="870" t="s">
        <v>421</v>
      </c>
      <c r="M5" s="871"/>
      <c r="N5" s="871"/>
      <c r="O5" s="872"/>
      <c r="P5" s="867" t="s">
        <v>176</v>
      </c>
      <c r="Q5" s="868"/>
      <c r="R5" s="868"/>
      <c r="S5" s="869"/>
      <c r="T5" s="873" t="s">
        <v>178</v>
      </c>
      <c r="U5" s="874"/>
      <c r="V5" s="874"/>
      <c r="W5" s="874"/>
      <c r="X5" s="875" t="s">
        <v>179</v>
      </c>
      <c r="Y5" s="876"/>
      <c r="Z5" s="876"/>
      <c r="AA5" s="877"/>
      <c r="AB5" s="849" t="s">
        <v>180</v>
      </c>
      <c r="AC5" s="850"/>
      <c r="AD5" s="850"/>
      <c r="AE5" s="851"/>
      <c r="AF5" s="852" t="s">
        <v>181</v>
      </c>
      <c r="AG5" s="853"/>
      <c r="AH5" s="853"/>
      <c r="AI5" s="854"/>
      <c r="AJ5" s="878" t="s">
        <v>182</v>
      </c>
      <c r="AK5" s="879"/>
      <c r="AL5" s="879"/>
      <c r="AM5" s="880"/>
      <c r="AN5" s="855" t="s">
        <v>183</v>
      </c>
      <c r="AO5" s="856"/>
      <c r="AP5" s="856"/>
      <c r="AQ5" s="857"/>
      <c r="AR5" s="864"/>
      <c r="AS5" s="865"/>
      <c r="AT5" s="866"/>
    </row>
    <row r="6" spans="1:51" ht="14.25" customHeight="1">
      <c r="A6" s="842"/>
      <c r="B6" s="845"/>
      <c r="C6" s="845"/>
      <c r="D6" s="387" t="s">
        <v>24</v>
      </c>
      <c r="E6" s="388" t="s">
        <v>25</v>
      </c>
      <c r="F6" s="389" t="s">
        <v>26</v>
      </c>
      <c r="G6" s="389" t="s">
        <v>27</v>
      </c>
      <c r="H6" s="390" t="s">
        <v>24</v>
      </c>
      <c r="I6" s="391" t="s">
        <v>25</v>
      </c>
      <c r="J6" s="392" t="s">
        <v>26</v>
      </c>
      <c r="K6" s="392" t="s">
        <v>27</v>
      </c>
      <c r="L6" s="400" t="s">
        <v>24</v>
      </c>
      <c r="M6" s="401" t="s">
        <v>25</v>
      </c>
      <c r="N6" s="402" t="s">
        <v>26</v>
      </c>
      <c r="O6" s="402" t="s">
        <v>27</v>
      </c>
      <c r="P6" s="396" t="s">
        <v>24</v>
      </c>
      <c r="Q6" s="397" t="s">
        <v>25</v>
      </c>
      <c r="R6" s="398" t="s">
        <v>26</v>
      </c>
      <c r="S6" s="398" t="s">
        <v>27</v>
      </c>
      <c r="T6" s="393" t="s">
        <v>24</v>
      </c>
      <c r="U6" s="394" t="s">
        <v>25</v>
      </c>
      <c r="V6" s="395" t="s">
        <v>26</v>
      </c>
      <c r="W6" s="395" t="s">
        <v>27</v>
      </c>
      <c r="X6" s="404" t="s">
        <v>24</v>
      </c>
      <c r="Y6" s="404" t="s">
        <v>25</v>
      </c>
      <c r="Z6" s="404" t="s">
        <v>26</v>
      </c>
      <c r="AA6" s="404" t="s">
        <v>27</v>
      </c>
      <c r="AB6" s="399" t="s">
        <v>24</v>
      </c>
      <c r="AC6" s="399" t="s">
        <v>25</v>
      </c>
      <c r="AD6" s="399" t="s">
        <v>26</v>
      </c>
      <c r="AE6" s="399" t="s">
        <v>27</v>
      </c>
      <c r="AF6" s="403" t="s">
        <v>24</v>
      </c>
      <c r="AG6" s="403" t="s">
        <v>25</v>
      </c>
      <c r="AH6" s="403" t="s">
        <v>26</v>
      </c>
      <c r="AI6" s="403" t="s">
        <v>27</v>
      </c>
      <c r="AJ6" s="405" t="s">
        <v>24</v>
      </c>
      <c r="AK6" s="405" t="s">
        <v>25</v>
      </c>
      <c r="AL6" s="405" t="s">
        <v>26</v>
      </c>
      <c r="AM6" s="405" t="s">
        <v>27</v>
      </c>
      <c r="AN6" s="406" t="s">
        <v>24</v>
      </c>
      <c r="AO6" s="406" t="s">
        <v>25</v>
      </c>
      <c r="AP6" s="406" t="s">
        <v>26</v>
      </c>
      <c r="AQ6" s="406" t="s">
        <v>27</v>
      </c>
      <c r="AR6" s="407" t="s">
        <v>25</v>
      </c>
      <c r="AS6" s="408" t="s">
        <v>26</v>
      </c>
      <c r="AT6" s="408" t="s">
        <v>27</v>
      </c>
      <c r="AV6" s="346"/>
    </row>
    <row r="7" spans="1:51">
      <c r="A7" s="316">
        <f>A8-1</f>
        <v>45869</v>
      </c>
      <c r="B7" s="317">
        <v>0</v>
      </c>
      <c r="C7" s="317">
        <v>0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348"/>
      <c r="AS7" s="107"/>
      <c r="AT7" s="107"/>
    </row>
    <row r="8" spans="1:51" ht="15">
      <c r="A8" s="316">
        <f>+Report1!A9</f>
        <v>45870</v>
      </c>
      <c r="B8" s="324">
        <f>+Report1!P9</f>
        <v>10.018000000000001</v>
      </c>
      <c r="C8" s="324">
        <f>+Report1!R9</f>
        <v>7.7140000000000004</v>
      </c>
      <c r="D8" s="325">
        <f>+D7+E8</f>
        <v>105.82000000029802</v>
      </c>
      <c r="E8" s="325">
        <f>+[13]DailyAug!D7</f>
        <v>105.82000000029802</v>
      </c>
      <c r="F8" s="325">
        <f t="shared" ref="F8:F38" si="0">E8/B8</f>
        <v>10.56298662410641</v>
      </c>
      <c r="G8" s="325">
        <f t="shared" ref="G8:G38" si="1">E8/C8</f>
        <v>13.717915478389683</v>
      </c>
      <c r="H8" s="325">
        <f>+H7+I8</f>
        <v>0</v>
      </c>
      <c r="I8" s="325">
        <f>+[13]DailyAug!E7</f>
        <v>0</v>
      </c>
      <c r="J8" s="325">
        <f t="shared" ref="J8:J38" si="2">I8/B8</f>
        <v>0</v>
      </c>
      <c r="K8" s="325">
        <f t="shared" ref="K8:K38" si="3">I8/C8</f>
        <v>0</v>
      </c>
      <c r="L8" s="325">
        <f>+L7+M8</f>
        <v>0</v>
      </c>
      <c r="M8" s="325">
        <f>+[13]DailyAug!F7</f>
        <v>0</v>
      </c>
      <c r="N8" s="325">
        <f t="shared" ref="N8:N38" si="4">M8/B8</f>
        <v>0</v>
      </c>
      <c r="O8" s="325">
        <f t="shared" ref="O8:O38" si="5">M8/C8</f>
        <v>0</v>
      </c>
      <c r="P8" s="325">
        <f>+P7+Q8</f>
        <v>6494.1800000000658</v>
      </c>
      <c r="Q8" s="325">
        <f>+[13]DailyAug!G7</f>
        <v>6494.1800000000658</v>
      </c>
      <c r="R8" s="325">
        <f t="shared" ref="R8:R38" si="6">Q8/B8</f>
        <v>648.25114793372586</v>
      </c>
      <c r="S8" s="325">
        <f t="shared" ref="S8:S38" si="7">Q8/C8</f>
        <v>841.86932849365644</v>
      </c>
      <c r="T8" s="325">
        <f>+T7+U8</f>
        <v>1399.9999999996362</v>
      </c>
      <c r="U8" s="325">
        <f>+[13]DailyAug!H7</f>
        <v>1399.9999999996362</v>
      </c>
      <c r="V8" s="325">
        <f t="shared" ref="V8:V38" si="8">U8/B8</f>
        <v>139.7484527849507</v>
      </c>
      <c r="W8" s="325">
        <f t="shared" ref="W8:W38" si="9">U8/C8</f>
        <v>181.4882032667405</v>
      </c>
      <c r="X8" s="325">
        <f>+X7+Y8</f>
        <v>2453.009999998545</v>
      </c>
      <c r="Y8" s="325">
        <f>+[13]DailyAug!I7</f>
        <v>2453.009999998545</v>
      </c>
      <c r="Z8" s="325">
        <f>Y8/B8</f>
        <v>244.86025154706977</v>
      </c>
      <c r="AA8" s="325">
        <f>Y8/C8</f>
        <v>317.99455535371334</v>
      </c>
      <c r="AB8" s="325">
        <f>+AB7+AC8</f>
        <v>2033.0100000000139</v>
      </c>
      <c r="AC8" s="325">
        <f>+[13]DailyAug!J7</f>
        <v>2033.0100000000139</v>
      </c>
      <c r="AD8" s="325">
        <f>AC8/B8</f>
        <v>202.93571571172026</v>
      </c>
      <c r="AE8" s="418">
        <f>AC8/C8</f>
        <v>263.54809437386746</v>
      </c>
      <c r="AF8" s="325">
        <f>+AF7+AG8</f>
        <v>2299.9999999992724</v>
      </c>
      <c r="AG8" s="325">
        <f>+[13]DailyAug!K7</f>
        <v>2299.9999999992724</v>
      </c>
      <c r="AH8" s="325">
        <f>AG8/B8</f>
        <v>229.58674386097746</v>
      </c>
      <c r="AI8" s="446">
        <f>AG8/C8</f>
        <v>298.1591910810568</v>
      </c>
      <c r="AJ8" s="325">
        <f>+AJ7+AK8</f>
        <v>100</v>
      </c>
      <c r="AK8" s="325">
        <f>+[13]DailyAug!L7</f>
        <v>100</v>
      </c>
      <c r="AL8" s="325">
        <f>AK8/B8</f>
        <v>9.9820323417847874</v>
      </c>
      <c r="AM8" s="446">
        <f>AK8/C8</f>
        <v>12.963443090484832</v>
      </c>
      <c r="AN8" s="325">
        <f>+AN7+AO8</f>
        <v>230</v>
      </c>
      <c r="AO8" s="325">
        <f>+[13]DailyAug!M7</f>
        <v>230</v>
      </c>
      <c r="AP8" s="325">
        <f>AO8/B8</f>
        <v>22.95867438610501</v>
      </c>
      <c r="AQ8" s="446">
        <f>AO8/C8</f>
        <v>29.815919108115114</v>
      </c>
      <c r="AR8" s="325">
        <f>+E8+I8+M8+Q8+U8+Y8+AC8+AG8+AK8+AO8</f>
        <v>15116.019999997832</v>
      </c>
      <c r="AS8" s="7">
        <f t="shared" ref="AS8:AS38" si="10">AR8/B8</f>
        <v>1508.8860051904403</v>
      </c>
      <c r="AT8" s="323">
        <f t="shared" ref="AT8:AT38" si="11">AR8/C8</f>
        <v>1959.5566502460242</v>
      </c>
      <c r="AX8" s="410" t="s">
        <v>185</v>
      </c>
      <c r="AY8" s="410" t="s">
        <v>186</v>
      </c>
    </row>
    <row r="9" spans="1:51" ht="15">
      <c r="A9" s="316">
        <f t="shared" ref="A9:A38" si="12">A8+1</f>
        <v>45871</v>
      </c>
      <c r="B9" s="324">
        <f>+Report1!P10</f>
        <v>46.855999999999995</v>
      </c>
      <c r="C9" s="324">
        <f>+Report1!R10</f>
        <v>44.24</v>
      </c>
      <c r="D9" s="325">
        <f t="shared" ref="D9:D38" si="13">+D8+E9</f>
        <v>431.26999999955297</v>
      </c>
      <c r="E9" s="325">
        <f>+[13]DailyAug!D8</f>
        <v>325.44999999925494</v>
      </c>
      <c r="F9" s="325">
        <f t="shared" si="0"/>
        <v>6.9457486767810952</v>
      </c>
      <c r="G9" s="325">
        <f t="shared" si="1"/>
        <v>7.35646473777701</v>
      </c>
      <c r="H9" s="325">
        <f t="shared" ref="H9:H38" si="14">+H8+I9</f>
        <v>0</v>
      </c>
      <c r="I9" s="325">
        <f>+[13]DailyAug!E8</f>
        <v>0</v>
      </c>
      <c r="J9" s="325">
        <f t="shared" si="2"/>
        <v>0</v>
      </c>
      <c r="K9" s="325">
        <f t="shared" si="3"/>
        <v>0</v>
      </c>
      <c r="L9" s="325">
        <f t="shared" ref="L9:L38" si="15">+L8+M9</f>
        <v>100</v>
      </c>
      <c r="M9" s="325">
        <f>+[13]DailyAug!F8</f>
        <v>100</v>
      </c>
      <c r="N9" s="325">
        <f t="shared" si="4"/>
        <v>2.134198395082807</v>
      </c>
      <c r="O9" s="325">
        <f t="shared" si="5"/>
        <v>2.2603978300180829</v>
      </c>
      <c r="P9" s="325">
        <f t="shared" ref="P9:P38" si="16">+P8+Q9</f>
        <v>23668.730000001175</v>
      </c>
      <c r="Q9" s="325">
        <f>+[13]DailyAug!G8</f>
        <v>17174.550000001109</v>
      </c>
      <c r="R9" s="325">
        <f t="shared" si="6"/>
        <v>366.53897046271794</v>
      </c>
      <c r="S9" s="325">
        <f t="shared" si="7"/>
        <v>388.21315551539573</v>
      </c>
      <c r="T9" s="325">
        <f t="shared" ref="T9:T38" si="17">+T8+U9</f>
        <v>6000</v>
      </c>
      <c r="U9" s="325">
        <f>+[13]DailyAug!H8</f>
        <v>4600.0000000003638</v>
      </c>
      <c r="V9" s="325">
        <f t="shared" si="8"/>
        <v>98.173126173816897</v>
      </c>
      <c r="W9" s="325">
        <f t="shared" si="9"/>
        <v>103.97830018084005</v>
      </c>
      <c r="X9" s="325">
        <f t="shared" ref="X9:X38" si="18">+X8+Y9</f>
        <v>11743.739999998908</v>
      </c>
      <c r="Y9" s="325">
        <f>+[13]DailyAug!I8</f>
        <v>9290.7300000003634</v>
      </c>
      <c r="Z9" s="325">
        <f t="shared" ref="Z9:Z38" si="19">Y9/B9</f>
        <v>198.28261055148465</v>
      </c>
      <c r="AA9" s="325">
        <f t="shared" ref="AA9:AA38" si="20">Y9/C9</f>
        <v>210.00745931284726</v>
      </c>
      <c r="AB9" s="325">
        <f t="shared" ref="AB9:AB38" si="21">+AB8+AC9</f>
        <v>7543.7399999986173</v>
      </c>
      <c r="AC9" s="325">
        <f>+[13]DailyAug!J8</f>
        <v>5510.7299999986035</v>
      </c>
      <c r="AD9" s="325">
        <f t="shared" ref="AD9:AD38" si="22">AC9/B9</f>
        <v>117.60991121731698</v>
      </c>
      <c r="AE9" s="418">
        <f t="shared" ref="AE9:AE38" si="23">AC9/C9</f>
        <v>124.56442133812395</v>
      </c>
      <c r="AF9" s="325">
        <f t="shared" ref="AF9:AF38" si="24">+AF8+AG9</f>
        <v>10000</v>
      </c>
      <c r="AG9" s="325">
        <f>+[13]DailyAug!K8</f>
        <v>7700.0000000007276</v>
      </c>
      <c r="AH9" s="325">
        <f t="shared" ref="AH9:AH38" si="25">AG9/B9</f>
        <v>164.33327642139167</v>
      </c>
      <c r="AI9" s="446">
        <f t="shared" ref="AI9:AI38" si="26">AG9/C9</f>
        <v>174.05063291140885</v>
      </c>
      <c r="AJ9" s="325">
        <f t="shared" ref="AJ9:AJ38" si="27">+AJ8+AK9</f>
        <v>450</v>
      </c>
      <c r="AK9" s="325">
        <f>+[13]DailyAug!L8</f>
        <v>350</v>
      </c>
      <c r="AL9" s="325">
        <f t="shared" ref="AL9:AL38" si="28">AK9/B9</f>
        <v>7.4696943827898252</v>
      </c>
      <c r="AM9" s="446">
        <f t="shared" ref="AM9:AM38" si="29">AK9/C9</f>
        <v>7.9113924050632907</v>
      </c>
      <c r="AN9" s="325">
        <f t="shared" ref="AN9:AN38" si="30">+AN8+AO9</f>
        <v>650</v>
      </c>
      <c r="AO9" s="325">
        <f>+[13]DailyAug!M8</f>
        <v>420</v>
      </c>
      <c r="AP9" s="325">
        <f t="shared" ref="AP9:AP38" si="31">AO9/B9</f>
        <v>8.9636332593477892</v>
      </c>
      <c r="AQ9" s="446">
        <f t="shared" ref="AQ9:AQ38" si="32">AO9/C9</f>
        <v>9.4936708860759484</v>
      </c>
      <c r="AR9" s="325">
        <f t="shared" ref="AR9:AR38" si="33">+E9+I9+M9+Q9+U9+Y9+AC9+AG9+AK9+AO9</f>
        <v>45471.460000000421</v>
      </c>
      <c r="AS9" s="322">
        <f>AR9/B9</f>
        <v>970.45116954072955</v>
      </c>
      <c r="AT9" s="323">
        <f t="shared" si="11"/>
        <v>1027.8358951175501</v>
      </c>
      <c r="AX9" s="410" t="s">
        <v>187</v>
      </c>
      <c r="AY9" s="410" t="s">
        <v>187</v>
      </c>
    </row>
    <row r="10" spans="1:51">
      <c r="A10" s="316">
        <f t="shared" si="12"/>
        <v>45872</v>
      </c>
      <c r="B10" s="324">
        <f>+Report1!P11</f>
        <v>53.323000000000008</v>
      </c>
      <c r="C10" s="324">
        <f>+Report1!R11</f>
        <v>51.625</v>
      </c>
      <c r="D10" s="325">
        <f t="shared" si="13"/>
        <v>655.54000000096858</v>
      </c>
      <c r="E10" s="325">
        <f>+[13]DailyAug!D9</f>
        <v>224.27000000141561</v>
      </c>
      <c r="F10" s="325">
        <f t="shared" si="0"/>
        <v>4.2058773887706167</v>
      </c>
      <c r="G10" s="325">
        <f t="shared" si="1"/>
        <v>4.3442130750879535</v>
      </c>
      <c r="H10" s="325">
        <f t="shared" si="14"/>
        <v>0</v>
      </c>
      <c r="I10" s="325">
        <f>+[13]DailyAug!E9</f>
        <v>0</v>
      </c>
      <c r="J10" s="325">
        <f t="shared" si="2"/>
        <v>0</v>
      </c>
      <c r="K10" s="325">
        <f t="shared" si="3"/>
        <v>0</v>
      </c>
      <c r="L10" s="325">
        <f t="shared" si="15"/>
        <v>200</v>
      </c>
      <c r="M10" s="325">
        <f>+[13]DailyAug!F9</f>
        <v>100</v>
      </c>
      <c r="N10" s="325">
        <f t="shared" si="4"/>
        <v>1.8753633516493817</v>
      </c>
      <c r="O10" s="325">
        <f t="shared" si="5"/>
        <v>1.937046004842615</v>
      </c>
      <c r="P10" s="325">
        <f t="shared" si="16"/>
        <v>40944.459999998304</v>
      </c>
      <c r="Q10" s="325">
        <f>+[13]DailyAug!G9</f>
        <v>17275.729999997129</v>
      </c>
      <c r="R10" s="325">
        <f t="shared" si="6"/>
        <v>323.98270914984391</v>
      </c>
      <c r="S10" s="325">
        <f t="shared" si="7"/>
        <v>334.6388377723415</v>
      </c>
      <c r="T10" s="325">
        <f t="shared" si="17"/>
        <v>11799.999999999272</v>
      </c>
      <c r="U10" s="325">
        <f>+[13]DailyAug!H9</f>
        <v>5799.9999999992724</v>
      </c>
      <c r="V10" s="325">
        <f t="shared" si="8"/>
        <v>108.7710743956505</v>
      </c>
      <c r="W10" s="325">
        <f t="shared" si="9"/>
        <v>112.34866828085758</v>
      </c>
      <c r="X10" s="325">
        <f t="shared" si="18"/>
        <v>23400.489999998543</v>
      </c>
      <c r="Y10" s="325">
        <f>+[13]DailyAug!I9</f>
        <v>11656.749999999636</v>
      </c>
      <c r="Z10" s="325">
        <f t="shared" si="19"/>
        <v>218.60641749338248</v>
      </c>
      <c r="AA10" s="325">
        <f t="shared" si="20"/>
        <v>225.79661016948447</v>
      </c>
      <c r="AB10" s="325">
        <f t="shared" si="21"/>
        <v>12920.489999998872</v>
      </c>
      <c r="AC10" s="325">
        <f>+[13]DailyAug!J9</f>
        <v>5376.7500000002547</v>
      </c>
      <c r="AD10" s="325">
        <f t="shared" si="22"/>
        <v>100.83359900981291</v>
      </c>
      <c r="AE10" s="418">
        <f t="shared" si="23"/>
        <v>104.15012106538023</v>
      </c>
      <c r="AF10" s="325">
        <f t="shared" si="24"/>
        <v>17600.000000000364</v>
      </c>
      <c r="AG10" s="325">
        <f>+[13]DailyAug!K9</f>
        <v>7600.0000000003638</v>
      </c>
      <c r="AH10" s="325">
        <f t="shared" si="25"/>
        <v>142.52761472535985</v>
      </c>
      <c r="AI10" s="446">
        <f t="shared" si="26"/>
        <v>147.21549636804579</v>
      </c>
      <c r="AJ10" s="325">
        <f t="shared" si="27"/>
        <v>820</v>
      </c>
      <c r="AK10" s="325">
        <f>+[13]DailyAug!L9</f>
        <v>370</v>
      </c>
      <c r="AL10" s="325">
        <f t="shared" si="28"/>
        <v>6.9388444011027124</v>
      </c>
      <c r="AM10" s="446">
        <f t="shared" si="29"/>
        <v>7.1670702179176757</v>
      </c>
      <c r="AN10" s="325">
        <f t="shared" si="30"/>
        <v>1100</v>
      </c>
      <c r="AO10" s="325">
        <f>+[13]DailyAug!M9</f>
        <v>450</v>
      </c>
      <c r="AP10" s="325">
        <f t="shared" si="31"/>
        <v>8.4391350824222187</v>
      </c>
      <c r="AQ10" s="446">
        <f t="shared" si="32"/>
        <v>8.7167070217917679</v>
      </c>
      <c r="AR10" s="325">
        <f t="shared" si="33"/>
        <v>48853.499999998072</v>
      </c>
      <c r="AS10" s="322">
        <f t="shared" si="10"/>
        <v>916.18063499799462</v>
      </c>
      <c r="AT10" s="323">
        <f t="shared" si="11"/>
        <v>946.31476997574953</v>
      </c>
      <c r="AV10" s="20" t="s">
        <v>29</v>
      </c>
      <c r="AW10" t="s">
        <v>174</v>
      </c>
      <c r="AX10" s="13">
        <f>+F39</f>
        <v>0</v>
      </c>
      <c r="AY10" s="13">
        <f>+G39</f>
        <v>0</v>
      </c>
    </row>
    <row r="11" spans="1:51">
      <c r="A11" s="316">
        <f t="shared" si="12"/>
        <v>45873</v>
      </c>
      <c r="B11" s="324">
        <f>+Report1!P12</f>
        <v>53.478000000000002</v>
      </c>
      <c r="C11" s="324">
        <f>+Report1!R12</f>
        <v>43.804000000000002</v>
      </c>
      <c r="D11" s="325">
        <f t="shared" si="13"/>
        <v>1003.0400000009686</v>
      </c>
      <c r="E11" s="325">
        <f>+[13]DailyAug!D10</f>
        <v>347.5</v>
      </c>
      <c r="F11" s="325">
        <f t="shared" si="0"/>
        <v>6.4979991772317582</v>
      </c>
      <c r="G11" s="325">
        <f t="shared" si="1"/>
        <v>7.9330654734727419</v>
      </c>
      <c r="H11" s="325">
        <f t="shared" si="14"/>
        <v>0</v>
      </c>
      <c r="I11" s="325">
        <f>+[13]DailyAug!E10</f>
        <v>0</v>
      </c>
      <c r="J11" s="325">
        <f t="shared" si="2"/>
        <v>0</v>
      </c>
      <c r="K11" s="325">
        <f t="shared" si="3"/>
        <v>0</v>
      </c>
      <c r="L11" s="325">
        <f t="shared" si="15"/>
        <v>300</v>
      </c>
      <c r="M11" s="325">
        <f>+[13]DailyAug!F10</f>
        <v>100</v>
      </c>
      <c r="N11" s="325">
        <f t="shared" si="4"/>
        <v>1.8699278207861176</v>
      </c>
      <c r="O11" s="325">
        <f t="shared" si="5"/>
        <v>2.2828965391288465</v>
      </c>
      <c r="P11" s="325">
        <f t="shared" si="16"/>
        <v>58696.959999999031</v>
      </c>
      <c r="Q11" s="325">
        <f>+[13]DailyAug!G10</f>
        <v>17752.500000000728</v>
      </c>
      <c r="R11" s="325">
        <f t="shared" si="6"/>
        <v>331.95893638506914</v>
      </c>
      <c r="S11" s="325">
        <f t="shared" si="7"/>
        <v>405.2712081088651</v>
      </c>
      <c r="T11" s="325">
        <f t="shared" si="17"/>
        <v>18099.999999999454</v>
      </c>
      <c r="U11" s="325">
        <f>+[13]DailyAug!H10</f>
        <v>6300.0000000001819</v>
      </c>
      <c r="V11" s="325">
        <f t="shared" si="8"/>
        <v>117.80545270952881</v>
      </c>
      <c r="W11" s="325">
        <f t="shared" si="9"/>
        <v>143.82248196512148</v>
      </c>
      <c r="X11" s="325">
        <f t="shared" si="18"/>
        <v>37632.719999999274</v>
      </c>
      <c r="Y11" s="325">
        <f>+[13]DailyAug!I10</f>
        <v>14232.230000000727</v>
      </c>
      <c r="Z11" s="325">
        <f t="shared" si="19"/>
        <v>266.13242828828169</v>
      </c>
      <c r="AA11" s="325">
        <f t="shared" si="20"/>
        <v>324.90708611087405</v>
      </c>
      <c r="AB11" s="325">
        <f t="shared" si="21"/>
        <v>18312.719999998644</v>
      </c>
      <c r="AC11" s="325">
        <f>+[13]DailyAug!J10</f>
        <v>5392.2299999997722</v>
      </c>
      <c r="AD11" s="325">
        <f t="shared" si="22"/>
        <v>100.83080893077101</v>
      </c>
      <c r="AE11" s="418">
        <f t="shared" si="23"/>
        <v>123.09903205186221</v>
      </c>
      <c r="AF11" s="325">
        <f t="shared" si="24"/>
        <v>25100.000000000364</v>
      </c>
      <c r="AG11" s="325">
        <f>+[13]DailyAug!K10</f>
        <v>7500</v>
      </c>
      <c r="AH11" s="325">
        <f t="shared" si="25"/>
        <v>140.24458655895882</v>
      </c>
      <c r="AI11" s="446">
        <f t="shared" si="26"/>
        <v>171.21724043466349</v>
      </c>
      <c r="AJ11" s="325">
        <f t="shared" si="27"/>
        <v>1190</v>
      </c>
      <c r="AK11" s="325">
        <f>+[13]DailyAug!L10</f>
        <v>370</v>
      </c>
      <c r="AL11" s="325">
        <f t="shared" si="28"/>
        <v>6.9187329369086354</v>
      </c>
      <c r="AM11" s="446">
        <f t="shared" si="29"/>
        <v>8.446717194776733</v>
      </c>
      <c r="AN11" s="325">
        <f t="shared" si="30"/>
        <v>1670</v>
      </c>
      <c r="AO11" s="325">
        <f>+[13]DailyAug!M10</f>
        <v>570</v>
      </c>
      <c r="AP11" s="325">
        <f t="shared" si="31"/>
        <v>10.65858857848087</v>
      </c>
      <c r="AQ11" s="446">
        <f t="shared" si="32"/>
        <v>13.012510273034426</v>
      </c>
      <c r="AR11" s="325">
        <f t="shared" si="33"/>
        <v>52564.460000001411</v>
      </c>
      <c r="AS11" s="322">
        <f t="shared" si="10"/>
        <v>982.91746138601684</v>
      </c>
      <c r="AT11" s="323">
        <f t="shared" si="11"/>
        <v>1199.992238151799</v>
      </c>
      <c r="AV11" s="20"/>
      <c r="AW11" t="s">
        <v>175</v>
      </c>
      <c r="AX11" s="13">
        <f>+J39</f>
        <v>0</v>
      </c>
      <c r="AY11" s="13">
        <f>+K39</f>
        <v>0</v>
      </c>
    </row>
    <row r="12" spans="1:51">
      <c r="A12" s="316">
        <f t="shared" si="12"/>
        <v>45874</v>
      </c>
      <c r="B12" s="324">
        <f>+Report1!P13</f>
        <v>68.591999999999999</v>
      </c>
      <c r="C12" s="324">
        <f>+Report1!R13</f>
        <v>56.883000000000003</v>
      </c>
      <c r="D12" s="325">
        <f t="shared" si="13"/>
        <v>1353.5600000005215</v>
      </c>
      <c r="E12" s="325">
        <f>+[13]DailyAug!D11</f>
        <v>350.51999999955297</v>
      </c>
      <c r="F12" s="325">
        <f t="shared" si="0"/>
        <v>5.1102169349130069</v>
      </c>
      <c r="G12" s="325">
        <f t="shared" si="1"/>
        <v>6.1621222509282729</v>
      </c>
      <c r="H12" s="325">
        <f t="shared" si="14"/>
        <v>0</v>
      </c>
      <c r="I12" s="325">
        <f>+[13]DailyAug!E11</f>
        <v>0</v>
      </c>
      <c r="J12" s="325">
        <f t="shared" si="2"/>
        <v>0</v>
      </c>
      <c r="K12" s="325">
        <f t="shared" si="3"/>
        <v>0</v>
      </c>
      <c r="L12" s="325">
        <f t="shared" si="15"/>
        <v>300</v>
      </c>
      <c r="M12" s="325">
        <f>+[13]DailyAug!F11</f>
        <v>0</v>
      </c>
      <c r="N12" s="325">
        <f t="shared" si="4"/>
        <v>0</v>
      </c>
      <c r="O12" s="325">
        <f t="shared" si="5"/>
        <v>0</v>
      </c>
      <c r="P12" s="325">
        <f t="shared" si="16"/>
        <v>76946.439999999842</v>
      </c>
      <c r="Q12" s="325">
        <f>+[13]DailyAug!G11</f>
        <v>18249.480000000811</v>
      </c>
      <c r="R12" s="325">
        <f t="shared" si="6"/>
        <v>266.05843247027076</v>
      </c>
      <c r="S12" s="325">
        <f t="shared" si="7"/>
        <v>320.82485100998207</v>
      </c>
      <c r="T12" s="325">
        <f t="shared" si="17"/>
        <v>23500</v>
      </c>
      <c r="U12" s="325">
        <f>+[13]DailyAug!H11</f>
        <v>5400.0000000005457</v>
      </c>
      <c r="V12" s="325">
        <f t="shared" si="8"/>
        <v>78.72638208538234</v>
      </c>
      <c r="W12" s="325">
        <f>U12/C12</f>
        <v>94.931701914465577</v>
      </c>
      <c r="X12" s="325">
        <f t="shared" si="18"/>
        <v>50501.669999999271</v>
      </c>
      <c r="Y12" s="325">
        <f>+[13]DailyAug!I11</f>
        <v>12868.95</v>
      </c>
      <c r="Z12" s="325">
        <f t="shared" si="19"/>
        <v>187.61590272918127</v>
      </c>
      <c r="AA12" s="325">
        <f t="shared" si="20"/>
        <v>226.23543062074785</v>
      </c>
      <c r="AB12" s="325">
        <f t="shared" si="21"/>
        <v>24691.669999999987</v>
      </c>
      <c r="AC12" s="325">
        <f>+[13]DailyAug!J11</f>
        <v>6378.9500000013422</v>
      </c>
      <c r="AD12" s="325">
        <f t="shared" si="22"/>
        <v>92.998454630297147</v>
      </c>
      <c r="AE12" s="418">
        <f t="shared" si="23"/>
        <v>112.14158887543452</v>
      </c>
      <c r="AF12" s="325">
        <f t="shared" si="24"/>
        <v>37100.000000000364</v>
      </c>
      <c r="AG12" s="325">
        <f>+[13]DailyAug!K11</f>
        <v>12000</v>
      </c>
      <c r="AH12" s="325">
        <f t="shared" si="25"/>
        <v>174.94751574527643</v>
      </c>
      <c r="AI12" s="446">
        <f t="shared" si="26"/>
        <v>210.95933758767995</v>
      </c>
      <c r="AJ12" s="325">
        <f t="shared" si="27"/>
        <v>1580</v>
      </c>
      <c r="AK12" s="325">
        <f>+[13]DailyAug!L11</f>
        <v>390</v>
      </c>
      <c r="AL12" s="325">
        <f t="shared" si="28"/>
        <v>5.6857942617214841</v>
      </c>
      <c r="AM12" s="446">
        <f t="shared" si="29"/>
        <v>6.8561784715995993</v>
      </c>
      <c r="AN12" s="325">
        <f t="shared" si="30"/>
        <v>2340</v>
      </c>
      <c r="AO12" s="325">
        <f>+[13]DailyAug!M11</f>
        <v>670</v>
      </c>
      <c r="AP12" s="325">
        <f t="shared" si="31"/>
        <v>9.7679029624445999</v>
      </c>
      <c r="AQ12" s="446">
        <f t="shared" si="32"/>
        <v>11.778563015312132</v>
      </c>
      <c r="AR12" s="325">
        <f>+E12+I12+M12+Q12+U12+Y12+AC12+AG12+AK12+AO12</f>
        <v>56307.900000002257</v>
      </c>
      <c r="AS12" s="322">
        <f t="shared" si="10"/>
        <v>820.91060181948706</v>
      </c>
      <c r="AT12" s="323">
        <f t="shared" si="11"/>
        <v>989.88977374615001</v>
      </c>
      <c r="AV12" s="20"/>
      <c r="AW12" t="s">
        <v>176</v>
      </c>
      <c r="AX12" s="13">
        <f>+N39</f>
        <v>0</v>
      </c>
      <c r="AY12" s="13">
        <f>+O39</f>
        <v>0</v>
      </c>
    </row>
    <row r="13" spans="1:51">
      <c r="A13" s="316">
        <f t="shared" si="12"/>
        <v>45875</v>
      </c>
      <c r="B13" s="324">
        <f>+Report1!P14</f>
        <v>78.070999999999998</v>
      </c>
      <c r="C13" s="324">
        <f>+Report1!R14</f>
        <v>73.584000000000003</v>
      </c>
      <c r="D13" s="325">
        <f t="shared" si="13"/>
        <v>1699.859999999404</v>
      </c>
      <c r="E13" s="325">
        <f>+[13]DailyAug!D12</f>
        <v>346.29999999888241</v>
      </c>
      <c r="F13" s="325">
        <f t="shared" si="0"/>
        <v>4.4357059599452091</v>
      </c>
      <c r="G13" s="325">
        <f t="shared" si="1"/>
        <v>4.7061861274038161</v>
      </c>
      <c r="H13" s="325">
        <f t="shared" si="14"/>
        <v>0</v>
      </c>
      <c r="I13" s="325">
        <f>+[13]DailyAug!E12</f>
        <v>0</v>
      </c>
      <c r="J13" s="325">
        <f t="shared" si="2"/>
        <v>0</v>
      </c>
      <c r="K13" s="325">
        <f t="shared" si="3"/>
        <v>0</v>
      </c>
      <c r="L13" s="325">
        <f t="shared" si="15"/>
        <v>400</v>
      </c>
      <c r="M13" s="325">
        <f>+[13]DailyAug!F12</f>
        <v>100</v>
      </c>
      <c r="N13" s="325">
        <f t="shared" si="4"/>
        <v>1.2808853479525049</v>
      </c>
      <c r="O13" s="325">
        <f t="shared" si="5"/>
        <v>1.3589910850184823</v>
      </c>
      <c r="P13" s="325">
        <f t="shared" si="16"/>
        <v>95200.139999999868</v>
      </c>
      <c r="Q13" s="325">
        <f>+[13]DailyAug!G12</f>
        <v>18253.700000000026</v>
      </c>
      <c r="R13" s="325">
        <f t="shared" si="6"/>
        <v>233.80896875920669</v>
      </c>
      <c r="S13" s="325">
        <f t="shared" si="7"/>
        <v>248.06615568601904</v>
      </c>
      <c r="T13" s="325">
        <f t="shared" si="17"/>
        <v>28099.999999999454</v>
      </c>
      <c r="U13" s="325">
        <f>+[13]DailyAug!H12</f>
        <v>4599.9999999994543</v>
      </c>
      <c r="V13" s="325">
        <f t="shared" si="8"/>
        <v>58.920726005808234</v>
      </c>
      <c r="W13" s="325">
        <f t="shared" si="9"/>
        <v>62.513589910842768</v>
      </c>
      <c r="X13" s="325">
        <f t="shared" si="18"/>
        <v>62221.159999999632</v>
      </c>
      <c r="Y13" s="325">
        <f>+[13]DailyAug!I12</f>
        <v>11719.490000000364</v>
      </c>
      <c r="Z13" s="325">
        <f t="shared" si="19"/>
        <v>150.11323026476367</v>
      </c>
      <c r="AA13" s="325">
        <f t="shared" si="20"/>
        <v>159.26682430963746</v>
      </c>
      <c r="AB13" s="325">
        <f t="shared" si="21"/>
        <v>31901.159999999021</v>
      </c>
      <c r="AC13" s="325">
        <f>+[13]DailyAug!J12</f>
        <v>7209.4899999990357</v>
      </c>
      <c r="AD13" s="325">
        <f t="shared" si="22"/>
        <v>92.345301072088688</v>
      </c>
      <c r="AE13" s="418">
        <f t="shared" si="23"/>
        <v>97.976326375285865</v>
      </c>
      <c r="AF13" s="325">
        <f t="shared" si="24"/>
        <v>50799.999999999272</v>
      </c>
      <c r="AG13" s="325">
        <f>+[13]DailyAug!K12</f>
        <v>13699.999999998909</v>
      </c>
      <c r="AH13" s="325">
        <f t="shared" si="25"/>
        <v>175.48129266947919</v>
      </c>
      <c r="AI13" s="446">
        <f t="shared" si="26"/>
        <v>186.18177864751723</v>
      </c>
      <c r="AJ13" s="325">
        <f t="shared" si="27"/>
        <v>2060</v>
      </c>
      <c r="AK13" s="325">
        <f>+[13]DailyAug!L12</f>
        <v>480</v>
      </c>
      <c r="AL13" s="325">
        <f t="shared" si="28"/>
        <v>6.1482496701720235</v>
      </c>
      <c r="AM13" s="446">
        <f t="shared" si="29"/>
        <v>6.5231572080887146</v>
      </c>
      <c r="AN13" s="325">
        <f t="shared" si="30"/>
        <v>3040</v>
      </c>
      <c r="AO13" s="325">
        <f>+[13]DailyAug!M12</f>
        <v>700</v>
      </c>
      <c r="AP13" s="325">
        <f t="shared" si="31"/>
        <v>8.9661974356675334</v>
      </c>
      <c r="AQ13" s="446">
        <f t="shared" si="32"/>
        <v>9.512937595129376</v>
      </c>
      <c r="AR13" s="325">
        <f t="shared" si="33"/>
        <v>57108.979999996671</v>
      </c>
      <c r="AS13" s="322">
        <f t="shared" si="10"/>
        <v>731.50055718508372</v>
      </c>
      <c r="AT13" s="323">
        <f t="shared" si="11"/>
        <v>776.10594694494273</v>
      </c>
      <c r="AV13" s="20"/>
      <c r="AW13" t="s">
        <v>177</v>
      </c>
      <c r="AX13" s="13">
        <f>+R39</f>
        <v>0</v>
      </c>
      <c r="AY13" s="13">
        <f>+S39</f>
        <v>0</v>
      </c>
    </row>
    <row r="14" spans="1:51">
      <c r="A14" s="316">
        <f t="shared" si="12"/>
        <v>45876</v>
      </c>
      <c r="B14" s="324">
        <f>+Report1!P15</f>
        <v>65.799000000000007</v>
      </c>
      <c r="C14" s="324">
        <f>+Report1!R15</f>
        <v>69.284000000000006</v>
      </c>
      <c r="D14" s="325">
        <f t="shared" si="13"/>
        <v>2020.839999999851</v>
      </c>
      <c r="E14" s="325">
        <f>+[13]DailyAug!D13</f>
        <v>320.98000000044703</v>
      </c>
      <c r="F14" s="325">
        <f t="shared" si="0"/>
        <v>4.878189638147191</v>
      </c>
      <c r="G14" s="325">
        <f t="shared" si="1"/>
        <v>4.632815657301065</v>
      </c>
      <c r="H14" s="325">
        <f t="shared" si="14"/>
        <v>0</v>
      </c>
      <c r="I14" s="325">
        <f>+[13]DailyAug!E13</f>
        <v>0</v>
      </c>
      <c r="J14" s="325">
        <f t="shared" si="2"/>
        <v>0</v>
      </c>
      <c r="K14" s="325">
        <f t="shared" si="3"/>
        <v>0</v>
      </c>
      <c r="L14" s="325">
        <f t="shared" si="15"/>
        <v>500</v>
      </c>
      <c r="M14" s="325">
        <f>+[13]DailyAug!F13</f>
        <v>100</v>
      </c>
      <c r="N14" s="325">
        <f t="shared" si="4"/>
        <v>1.5197799358652866</v>
      </c>
      <c r="O14" s="325">
        <f t="shared" si="5"/>
        <v>1.4433346804457017</v>
      </c>
      <c r="P14" s="325">
        <f t="shared" si="16"/>
        <v>112579.16000000051</v>
      </c>
      <c r="Q14" s="325">
        <f>+[13]DailyAug!G13</f>
        <v>17379.020000000644</v>
      </c>
      <c r="R14" s="325">
        <f t="shared" si="6"/>
        <v>264.12285901002514</v>
      </c>
      <c r="S14" s="325">
        <f t="shared" si="7"/>
        <v>250.83742278160386</v>
      </c>
      <c r="T14" s="325">
        <f t="shared" si="17"/>
        <v>32899.999999999636</v>
      </c>
      <c r="U14" s="325">
        <f>+[13]DailyAug!H13</f>
        <v>4800.0000000001819</v>
      </c>
      <c r="V14" s="325">
        <f t="shared" si="8"/>
        <v>72.949436921536517</v>
      </c>
      <c r="W14" s="325">
        <f t="shared" si="9"/>
        <v>69.28006466139631</v>
      </c>
      <c r="X14" s="325">
        <f t="shared" si="18"/>
        <v>72920.83</v>
      </c>
      <c r="Y14" s="325">
        <f>+[13]DailyAug!I13</f>
        <v>10699.670000000364</v>
      </c>
      <c r="Z14" s="325">
        <f t="shared" si="19"/>
        <v>162.61143786380285</v>
      </c>
      <c r="AA14" s="325">
        <f t="shared" si="20"/>
        <v>154.43204780324984</v>
      </c>
      <c r="AB14" s="325">
        <f t="shared" si="21"/>
        <v>38810.829999999994</v>
      </c>
      <c r="AC14" s="325">
        <f>+[13]DailyAug!J13</f>
        <v>6909.6700000009732</v>
      </c>
      <c r="AD14" s="325">
        <f t="shared" si="22"/>
        <v>105.01177829451774</v>
      </c>
      <c r="AE14" s="418">
        <f t="shared" si="23"/>
        <v>99.729663414366556</v>
      </c>
      <c r="AF14" s="325">
        <f t="shared" si="24"/>
        <v>64000</v>
      </c>
      <c r="AG14" s="325">
        <f>+[13]DailyAug!K13</f>
        <v>13200.000000000728</v>
      </c>
      <c r="AH14" s="325">
        <f t="shared" si="25"/>
        <v>200.61095153422889</v>
      </c>
      <c r="AI14" s="446">
        <f t="shared" si="26"/>
        <v>190.52017781884311</v>
      </c>
      <c r="AJ14" s="325">
        <f t="shared" si="27"/>
        <v>2560</v>
      </c>
      <c r="AK14" s="325">
        <f>+[13]DailyAug!L13</f>
        <v>500</v>
      </c>
      <c r="AL14" s="325">
        <f t="shared" si="28"/>
        <v>7.5988996793264327</v>
      </c>
      <c r="AM14" s="446">
        <f t="shared" si="29"/>
        <v>7.2166734022285084</v>
      </c>
      <c r="AN14" s="325">
        <f t="shared" si="30"/>
        <v>3750</v>
      </c>
      <c r="AO14" s="325">
        <f>+[13]DailyAug!M13</f>
        <v>710</v>
      </c>
      <c r="AP14" s="325">
        <f t="shared" si="31"/>
        <v>10.790437544643535</v>
      </c>
      <c r="AQ14" s="446">
        <f t="shared" si="32"/>
        <v>10.247676231164482</v>
      </c>
      <c r="AR14" s="325">
        <f t="shared" si="33"/>
        <v>54619.340000003336</v>
      </c>
      <c r="AS14" s="322">
        <f t="shared" si="10"/>
        <v>830.09377042209348</v>
      </c>
      <c r="AT14" s="323">
        <f t="shared" si="11"/>
        <v>788.33987645059949</v>
      </c>
      <c r="AV14" s="20"/>
      <c r="AW14" t="s">
        <v>178</v>
      </c>
      <c r="AX14" s="13">
        <f>+V39</f>
        <v>0</v>
      </c>
      <c r="AY14" s="13">
        <f>+W39</f>
        <v>0</v>
      </c>
    </row>
    <row r="15" spans="1:51">
      <c r="A15" s="316">
        <f t="shared" si="12"/>
        <v>45877</v>
      </c>
      <c r="B15" s="324">
        <f>+Report1!P16</f>
        <v>68.445000000000007</v>
      </c>
      <c r="C15" s="324">
        <f>+Report1!R16</f>
        <v>70.066000000000003</v>
      </c>
      <c r="D15" s="325">
        <f t="shared" si="13"/>
        <v>2388.6899999994785</v>
      </c>
      <c r="E15" s="325">
        <f>+[13]DailyAug!D14</f>
        <v>367.84999999962747</v>
      </c>
      <c r="F15" s="325">
        <f t="shared" si="0"/>
        <v>5.3743881948955723</v>
      </c>
      <c r="G15" s="325">
        <f t="shared" si="1"/>
        <v>5.2500499528962328</v>
      </c>
      <c r="H15" s="325">
        <f t="shared" si="14"/>
        <v>0</v>
      </c>
      <c r="I15" s="325">
        <f>+[13]DailyAug!E14</f>
        <v>0</v>
      </c>
      <c r="J15" s="325">
        <f t="shared" si="2"/>
        <v>0</v>
      </c>
      <c r="K15" s="325">
        <f t="shared" si="3"/>
        <v>0</v>
      </c>
      <c r="L15" s="325">
        <f t="shared" si="15"/>
        <v>600</v>
      </c>
      <c r="M15" s="325">
        <f>+[13]DailyAug!F14</f>
        <v>100</v>
      </c>
      <c r="N15" s="325">
        <f t="shared" si="4"/>
        <v>1.461027102052743</v>
      </c>
      <c r="O15" s="325">
        <f t="shared" si="5"/>
        <v>1.4272257585704906</v>
      </c>
      <c r="P15" s="325">
        <f t="shared" si="16"/>
        <v>130411.31000000016</v>
      </c>
      <c r="Q15" s="325">
        <f>+[13]DailyAug!G14</f>
        <v>17832.149999999645</v>
      </c>
      <c r="R15" s="325">
        <f t="shared" si="6"/>
        <v>260.53254437869299</v>
      </c>
      <c r="S15" s="325">
        <f t="shared" si="7"/>
        <v>254.50503810692268</v>
      </c>
      <c r="T15" s="325">
        <f t="shared" si="17"/>
        <v>38099.999999999454</v>
      </c>
      <c r="U15" s="325">
        <f>+[13]DailyAug!H14</f>
        <v>5199.9999999998181</v>
      </c>
      <c r="V15" s="325">
        <f t="shared" si="8"/>
        <v>75.973409306739981</v>
      </c>
      <c r="W15" s="325">
        <f t="shared" si="9"/>
        <v>74.215739445662919</v>
      </c>
      <c r="X15" s="325">
        <f t="shared" si="18"/>
        <v>85491.099999998551</v>
      </c>
      <c r="Y15" s="325">
        <f>+[13]DailyAug!I14</f>
        <v>12570.269999998545</v>
      </c>
      <c r="Z15" s="325">
        <f t="shared" si="19"/>
        <v>183.65505150118406</v>
      </c>
      <c r="AA15" s="325">
        <f t="shared" si="20"/>
        <v>179.40613136183805</v>
      </c>
      <c r="AB15" s="325">
        <f t="shared" si="21"/>
        <v>45661.099999998638</v>
      </c>
      <c r="AC15" s="325">
        <f>+[13]DailyAug!J14</f>
        <v>6850.2699999986407</v>
      </c>
      <c r="AD15" s="325">
        <f t="shared" si="22"/>
        <v>100.08430126376858</v>
      </c>
      <c r="AE15" s="418">
        <f t="shared" si="23"/>
        <v>97.768817971607348</v>
      </c>
      <c r="AF15" s="325">
        <f t="shared" si="24"/>
        <v>77799.999999999272</v>
      </c>
      <c r="AG15" s="325">
        <f>+[13]DailyAug!K14</f>
        <v>13799.999999999272</v>
      </c>
      <c r="AH15" s="325">
        <f t="shared" si="25"/>
        <v>201.62174008326789</v>
      </c>
      <c r="AI15" s="446">
        <f t="shared" si="26"/>
        <v>196.95715468271732</v>
      </c>
      <c r="AJ15" s="325">
        <f t="shared" si="27"/>
        <v>3090</v>
      </c>
      <c r="AK15" s="325">
        <f>+[13]DailyAug!L14</f>
        <v>530</v>
      </c>
      <c r="AL15" s="325">
        <f t="shared" si="28"/>
        <v>7.7434436408795371</v>
      </c>
      <c r="AM15" s="446">
        <f t="shared" si="29"/>
        <v>7.5642965204235999</v>
      </c>
      <c r="AN15" s="325">
        <f t="shared" si="30"/>
        <v>4500</v>
      </c>
      <c r="AO15" s="325">
        <f>+[13]DailyAug!M14</f>
        <v>750</v>
      </c>
      <c r="AP15" s="325">
        <f t="shared" si="31"/>
        <v>10.957703265395573</v>
      </c>
      <c r="AQ15" s="446">
        <f t="shared" si="32"/>
        <v>10.70419318927868</v>
      </c>
      <c r="AR15" s="325">
        <f t="shared" si="33"/>
        <v>58000.539999995548</v>
      </c>
      <c r="AS15" s="322">
        <f t="shared" si="10"/>
        <v>847.40360873687689</v>
      </c>
      <c r="AT15" s="323">
        <f t="shared" si="11"/>
        <v>827.7986469899173</v>
      </c>
      <c r="AV15" s="20"/>
      <c r="AW15" t="s">
        <v>179</v>
      </c>
      <c r="AX15" s="13">
        <f>+Z39</f>
        <v>0</v>
      </c>
      <c r="AY15" s="13">
        <f>+AA39</f>
        <v>0</v>
      </c>
    </row>
    <row r="16" spans="1:51">
      <c r="A16" s="316">
        <f t="shared" si="12"/>
        <v>45878</v>
      </c>
      <c r="B16" s="324">
        <f>+Report1!P17</f>
        <v>72.554000000000002</v>
      </c>
      <c r="C16" s="324">
        <f>+Report1!R17</f>
        <v>74.421000000000006</v>
      </c>
      <c r="D16" s="325">
        <f t="shared" si="13"/>
        <v>2718.019999999553</v>
      </c>
      <c r="E16" s="325">
        <f>+[13]DailyAug!D15</f>
        <v>329.33000000007451</v>
      </c>
      <c r="F16" s="325">
        <f t="shared" si="0"/>
        <v>4.5391019103023194</v>
      </c>
      <c r="G16" s="325">
        <f t="shared" si="1"/>
        <v>4.4252294379284676</v>
      </c>
      <c r="H16" s="325">
        <f t="shared" si="14"/>
        <v>0</v>
      </c>
      <c r="I16" s="325">
        <f>+[13]DailyAug!E15</f>
        <v>0</v>
      </c>
      <c r="J16" s="325">
        <f t="shared" si="2"/>
        <v>0</v>
      </c>
      <c r="K16" s="325">
        <f t="shared" si="3"/>
        <v>0</v>
      </c>
      <c r="L16" s="325">
        <f t="shared" si="15"/>
        <v>600</v>
      </c>
      <c r="M16" s="325">
        <f>+[13]DailyAug!F15</f>
        <v>0</v>
      </c>
      <c r="N16" s="325">
        <f t="shared" si="4"/>
        <v>0</v>
      </c>
      <c r="O16" s="325">
        <f t="shared" si="5"/>
        <v>0</v>
      </c>
      <c r="P16" s="325">
        <f t="shared" si="16"/>
        <v>147881.98000000117</v>
      </c>
      <c r="Q16" s="325">
        <f>+[13]DailyAug!G15</f>
        <v>17470.670000001017</v>
      </c>
      <c r="R16" s="325">
        <f t="shared" si="6"/>
        <v>240.79540755852216</v>
      </c>
      <c r="S16" s="325">
        <f t="shared" si="7"/>
        <v>234.7545719622286</v>
      </c>
      <c r="T16" s="325">
        <f t="shared" si="17"/>
        <v>43099.999999999454</v>
      </c>
      <c r="U16" s="325">
        <f>+[13]DailyAug!H15</f>
        <v>5000</v>
      </c>
      <c r="V16" s="325">
        <f t="shared" si="8"/>
        <v>68.914188053036355</v>
      </c>
      <c r="W16" s="325">
        <f t="shared" si="9"/>
        <v>67.18533747195012</v>
      </c>
      <c r="X16" s="325">
        <f t="shared" si="18"/>
        <v>97817.809999998921</v>
      </c>
      <c r="Y16" s="325">
        <f>+[13]DailyAug!I15</f>
        <v>12326.710000000363</v>
      </c>
      <c r="Z16" s="325">
        <f t="shared" si="19"/>
        <v>169.89704220305376</v>
      </c>
      <c r="AA16" s="325">
        <f t="shared" si="20"/>
        <v>165.63483425377731</v>
      </c>
      <c r="AB16" s="325">
        <f t="shared" si="21"/>
        <v>53227.809999998863</v>
      </c>
      <c r="AC16" s="325">
        <f>+[13]DailyAug!J15</f>
        <v>7566.710000000222</v>
      </c>
      <c r="AD16" s="325">
        <f t="shared" si="22"/>
        <v>104.2907351765612</v>
      </c>
      <c r="AE16" s="418">
        <f t="shared" si="23"/>
        <v>101.67439298047891</v>
      </c>
      <c r="AF16" s="325">
        <f t="shared" si="24"/>
        <v>91700.000000000728</v>
      </c>
      <c r="AG16" s="325">
        <f>+[13]DailyAug!K15</f>
        <v>13900.000000001455</v>
      </c>
      <c r="AH16" s="325">
        <f t="shared" si="25"/>
        <v>191.58144278746113</v>
      </c>
      <c r="AI16" s="446">
        <f t="shared" si="26"/>
        <v>186.77523817204087</v>
      </c>
      <c r="AJ16" s="325">
        <f t="shared" si="27"/>
        <v>3610</v>
      </c>
      <c r="AK16" s="325">
        <f>+[13]DailyAug!L15</f>
        <v>520</v>
      </c>
      <c r="AL16" s="325">
        <f t="shared" si="28"/>
        <v>7.1670755575157807</v>
      </c>
      <c r="AM16" s="446">
        <f t="shared" si="29"/>
        <v>6.9872750970828124</v>
      </c>
      <c r="AN16" s="325">
        <f t="shared" si="30"/>
        <v>5240</v>
      </c>
      <c r="AO16" s="325">
        <f>+[13]DailyAug!M15</f>
        <v>740</v>
      </c>
      <c r="AP16" s="325">
        <f t="shared" si="31"/>
        <v>10.19929983184938</v>
      </c>
      <c r="AQ16" s="446">
        <f t="shared" si="32"/>
        <v>9.9434299458486173</v>
      </c>
      <c r="AR16" s="325">
        <f t="shared" si="33"/>
        <v>57853.420000003134</v>
      </c>
      <c r="AS16" s="322">
        <f t="shared" si="10"/>
        <v>797.38429307830211</v>
      </c>
      <c r="AT16" s="323">
        <f t="shared" si="11"/>
        <v>777.38030932133574</v>
      </c>
      <c r="AV16" s="20"/>
      <c r="AX16" s="18">
        <f>SUM(AX10:AX15)</f>
        <v>0</v>
      </c>
      <c r="AY16" s="18">
        <f>SUM(AY10:AY15)</f>
        <v>0</v>
      </c>
    </row>
    <row r="17" spans="1:51">
      <c r="A17" s="316">
        <f t="shared" si="12"/>
        <v>45879</v>
      </c>
      <c r="B17" s="324">
        <f>+Report1!P18</f>
        <v>77.882000000000005</v>
      </c>
      <c r="C17" s="324">
        <f>+Report1!R18</f>
        <v>81.748999999999995</v>
      </c>
      <c r="D17" s="325">
        <f t="shared" si="13"/>
        <v>2958.3800000008196</v>
      </c>
      <c r="E17" s="325">
        <f>+[13]DailyAug!D16</f>
        <v>240.3600000012666</v>
      </c>
      <c r="F17" s="325">
        <f t="shared" si="0"/>
        <v>3.0862073393244471</v>
      </c>
      <c r="G17" s="325">
        <f t="shared" si="1"/>
        <v>2.9402194522412093</v>
      </c>
      <c r="H17" s="325">
        <f t="shared" si="14"/>
        <v>0</v>
      </c>
      <c r="I17" s="325">
        <f>+[13]DailyAug!E16</f>
        <v>0</v>
      </c>
      <c r="J17" s="325">
        <f t="shared" si="2"/>
        <v>0</v>
      </c>
      <c r="K17" s="325">
        <f t="shared" si="3"/>
        <v>0</v>
      </c>
      <c r="L17" s="325">
        <f t="shared" si="15"/>
        <v>700</v>
      </c>
      <c r="M17" s="325">
        <f>+[13]DailyAug!F16</f>
        <v>100</v>
      </c>
      <c r="N17" s="325">
        <f t="shared" si="4"/>
        <v>1.2839937341105774</v>
      </c>
      <c r="O17" s="325">
        <f t="shared" si="5"/>
        <v>1.2232565535969859</v>
      </c>
      <c r="P17" s="325">
        <f t="shared" si="16"/>
        <v>165041.61999999991</v>
      </c>
      <c r="Q17" s="325">
        <f>+[13]DailyAug!G16</f>
        <v>17159.639999998733</v>
      </c>
      <c r="R17" s="325">
        <f t="shared" si="6"/>
        <v>220.32870239591603</v>
      </c>
      <c r="S17" s="325">
        <f t="shared" si="7"/>
        <v>209.90642087363435</v>
      </c>
      <c r="T17" s="325">
        <f t="shared" si="17"/>
        <v>48000</v>
      </c>
      <c r="U17" s="325">
        <f>+[13]DailyAug!H16</f>
        <v>4900.0000000005457</v>
      </c>
      <c r="V17" s="325">
        <f t="shared" si="8"/>
        <v>62.915692971425301</v>
      </c>
      <c r="W17" s="325">
        <f t="shared" si="9"/>
        <v>59.93957112625899</v>
      </c>
      <c r="X17" s="325">
        <f t="shared" si="18"/>
        <v>109389.07999999856</v>
      </c>
      <c r="Y17" s="325">
        <f>+[13]DailyAug!I16</f>
        <v>11571.269999999637</v>
      </c>
      <c r="Z17" s="325">
        <f t="shared" si="19"/>
        <v>148.57438175701236</v>
      </c>
      <c r="AA17" s="325">
        <f t="shared" si="20"/>
        <v>141.5463186093975</v>
      </c>
      <c r="AB17" s="325">
        <f t="shared" si="21"/>
        <v>60029.08000000006</v>
      </c>
      <c r="AC17" s="325">
        <f>+[13]DailyAug!J16</f>
        <v>6801.270000001201</v>
      </c>
      <c r="AD17" s="325">
        <f t="shared" si="22"/>
        <v>87.327880639957897</v>
      </c>
      <c r="AE17" s="418">
        <f t="shared" si="23"/>
        <v>83.196981002840417</v>
      </c>
      <c r="AF17" s="325">
        <f t="shared" si="24"/>
        <v>104899.99999999964</v>
      </c>
      <c r="AG17" s="325">
        <f>+[13]DailyAug!K16</f>
        <v>13199.999999998909</v>
      </c>
      <c r="AH17" s="325">
        <f t="shared" si="25"/>
        <v>169.48717290258222</v>
      </c>
      <c r="AI17" s="446">
        <f t="shared" si="26"/>
        <v>161.4698650747888</v>
      </c>
      <c r="AJ17" s="325">
        <f t="shared" si="27"/>
        <v>4090</v>
      </c>
      <c r="AK17" s="325">
        <f>+[13]DailyAug!L16</f>
        <v>480</v>
      </c>
      <c r="AL17" s="325">
        <f t="shared" si="28"/>
        <v>6.1631699237307718</v>
      </c>
      <c r="AM17" s="446">
        <f t="shared" si="29"/>
        <v>5.8716314572655328</v>
      </c>
      <c r="AN17" s="325">
        <f t="shared" si="30"/>
        <v>5970</v>
      </c>
      <c r="AO17" s="325">
        <f>+[13]DailyAug!M16</f>
        <v>730</v>
      </c>
      <c r="AP17" s="325">
        <f t="shared" si="31"/>
        <v>9.3731542590072152</v>
      </c>
      <c r="AQ17" s="446">
        <f t="shared" si="32"/>
        <v>8.9297728412579982</v>
      </c>
      <c r="AR17" s="325">
        <f t="shared" si="33"/>
        <v>55182.540000000285</v>
      </c>
      <c r="AS17" s="322">
        <f t="shared" si="10"/>
        <v>708.54035592306673</v>
      </c>
      <c r="AT17" s="323">
        <f t="shared" si="11"/>
        <v>675.02403699128172</v>
      </c>
      <c r="AV17" s="20" t="s">
        <v>188</v>
      </c>
      <c r="AW17" t="s">
        <v>180</v>
      </c>
      <c r="AX17" s="13">
        <f>+AD39</f>
        <v>0</v>
      </c>
      <c r="AY17" s="13">
        <f>+AE39</f>
        <v>0</v>
      </c>
    </row>
    <row r="18" spans="1:51">
      <c r="A18" s="316">
        <f t="shared" si="12"/>
        <v>45880</v>
      </c>
      <c r="B18" s="324">
        <f>+Report1!P19</f>
        <v>77.539999999999992</v>
      </c>
      <c r="C18" s="324">
        <f>+Report1!R19</f>
        <v>61.018000000000001</v>
      </c>
      <c r="D18" s="325">
        <f t="shared" si="13"/>
        <v>3329.0800000000745</v>
      </c>
      <c r="E18" s="325">
        <f>+[13]DailyAug!D17</f>
        <v>370.69999999925494</v>
      </c>
      <c r="F18" s="319">
        <f t="shared" si="0"/>
        <v>4.7807583182777273</v>
      </c>
      <c r="G18" s="319">
        <f t="shared" si="1"/>
        <v>6.0752564816817163</v>
      </c>
      <c r="H18" s="325">
        <f t="shared" si="14"/>
        <v>0</v>
      </c>
      <c r="I18" s="325">
        <f>+[13]DailyAug!E17</f>
        <v>0</v>
      </c>
      <c r="J18" s="319">
        <f t="shared" si="2"/>
        <v>0</v>
      </c>
      <c r="K18" s="319">
        <f t="shared" si="3"/>
        <v>0</v>
      </c>
      <c r="L18" s="325">
        <f t="shared" si="15"/>
        <v>800</v>
      </c>
      <c r="M18" s="325">
        <f>+[13]DailyAug!F17</f>
        <v>100</v>
      </c>
      <c r="N18" s="319">
        <f t="shared" si="4"/>
        <v>1.2896569512509675</v>
      </c>
      <c r="O18" s="319">
        <f t="shared" si="5"/>
        <v>1.638860664066341</v>
      </c>
      <c r="P18" s="325">
        <f t="shared" si="16"/>
        <v>181870.91999999993</v>
      </c>
      <c r="Q18" s="325">
        <f>+[13]DailyAug!G17</f>
        <v>16829.300000000017</v>
      </c>
      <c r="R18" s="319">
        <f t="shared" si="6"/>
        <v>217.04023729687927</v>
      </c>
      <c r="S18" s="319">
        <f t="shared" si="7"/>
        <v>275.80877773771704</v>
      </c>
      <c r="T18" s="325">
        <f t="shared" si="17"/>
        <v>52399.999999999636</v>
      </c>
      <c r="U18" s="325">
        <f>+[13]DailyAug!H17</f>
        <v>4399.9999999996362</v>
      </c>
      <c r="V18" s="319">
        <f t="shared" si="8"/>
        <v>56.744905855037871</v>
      </c>
      <c r="W18" s="319">
        <f t="shared" si="9"/>
        <v>72.109869218913047</v>
      </c>
      <c r="X18" s="325">
        <f t="shared" si="18"/>
        <v>121923.18999999893</v>
      </c>
      <c r="Y18" s="325">
        <f>+[13]DailyAug!I17</f>
        <v>12534.110000000364</v>
      </c>
      <c r="Z18" s="325">
        <f t="shared" si="19"/>
        <v>161.64702089244733</v>
      </c>
      <c r="AA18" s="325">
        <f t="shared" si="20"/>
        <v>205.41659838081162</v>
      </c>
      <c r="AB18" s="325">
        <f t="shared" si="21"/>
        <v>67193.189999999682</v>
      </c>
      <c r="AC18" s="325">
        <f>+[13]DailyAug!J17</f>
        <v>7164.1099999996231</v>
      </c>
      <c r="AD18" s="325">
        <f t="shared" si="22"/>
        <v>92.392442610260815</v>
      </c>
      <c r="AE18" s="418">
        <f t="shared" si="23"/>
        <v>117.40978072043697</v>
      </c>
      <c r="AF18" s="325">
        <f t="shared" si="24"/>
        <v>118299.99999999927</v>
      </c>
      <c r="AG18" s="325">
        <f>+[13]DailyAug!K17</f>
        <v>13399.999999999636</v>
      </c>
      <c r="AH18" s="325">
        <f t="shared" si="25"/>
        <v>172.81403146762494</v>
      </c>
      <c r="AI18" s="446">
        <f t="shared" si="26"/>
        <v>219.60732898488374</v>
      </c>
      <c r="AJ18" s="325">
        <f t="shared" si="27"/>
        <v>4500</v>
      </c>
      <c r="AK18" s="325">
        <f>+[13]DailyAug!L17</f>
        <v>410</v>
      </c>
      <c r="AL18" s="325">
        <f t="shared" si="28"/>
        <v>5.287593500128966</v>
      </c>
      <c r="AM18" s="446">
        <f t="shared" si="29"/>
        <v>6.7193287226719987</v>
      </c>
      <c r="AN18" s="325">
        <f t="shared" si="30"/>
        <v>6570</v>
      </c>
      <c r="AO18" s="325">
        <f>+[13]DailyAug!M17</f>
        <v>600</v>
      </c>
      <c r="AP18" s="325">
        <f t="shared" si="31"/>
        <v>7.7379417075058043</v>
      </c>
      <c r="AQ18" s="446">
        <f t="shared" si="32"/>
        <v>9.8331639843980465</v>
      </c>
      <c r="AR18" s="325">
        <f t="shared" si="33"/>
        <v>55808.219999998531</v>
      </c>
      <c r="AS18" s="322">
        <f t="shared" si="10"/>
        <v>719.73458859941366</v>
      </c>
      <c r="AT18" s="323">
        <f t="shared" si="11"/>
        <v>914.61896489558046</v>
      </c>
      <c r="AV18" s="20"/>
      <c r="AW18" t="s">
        <v>181</v>
      </c>
      <c r="AX18" s="13">
        <f>+AH39</f>
        <v>0</v>
      </c>
      <c r="AY18" s="13">
        <f>+AI39</f>
        <v>0</v>
      </c>
    </row>
    <row r="19" spans="1:51">
      <c r="A19" s="316">
        <f t="shared" si="12"/>
        <v>45881</v>
      </c>
      <c r="B19" s="324">
        <f>+Report1!P20</f>
        <v>78.825999999999993</v>
      </c>
      <c r="C19" s="324">
        <f>+Report1!R20</f>
        <v>84.668000000000006</v>
      </c>
      <c r="D19" s="325">
        <f t="shared" si="13"/>
        <v>3694.7799999993294</v>
      </c>
      <c r="E19" s="325">
        <f>+[13]DailyAug!D18</f>
        <v>365.69999999925494</v>
      </c>
      <c r="F19" s="319">
        <f t="shared" si="0"/>
        <v>4.6393322000260699</v>
      </c>
      <c r="G19" s="319">
        <f t="shared" si="1"/>
        <v>4.3192233193090059</v>
      </c>
      <c r="H19" s="325">
        <f t="shared" si="14"/>
        <v>0</v>
      </c>
      <c r="I19" s="325">
        <f>+[13]DailyAug!E18</f>
        <v>0</v>
      </c>
      <c r="J19" s="319">
        <f t="shared" si="2"/>
        <v>0</v>
      </c>
      <c r="K19" s="319">
        <f t="shared" si="3"/>
        <v>0</v>
      </c>
      <c r="L19" s="325">
        <f t="shared" si="15"/>
        <v>900</v>
      </c>
      <c r="M19" s="325">
        <f>+[13]DailyAug!F18</f>
        <v>100</v>
      </c>
      <c r="N19" s="319">
        <f t="shared" si="4"/>
        <v>1.2686169537969707</v>
      </c>
      <c r="O19" s="319">
        <f t="shared" si="5"/>
        <v>1.1810837624604336</v>
      </c>
      <c r="P19" s="325">
        <f t="shared" si="16"/>
        <v>199405.22000000067</v>
      </c>
      <c r="Q19" s="325">
        <f>+[13]DailyAug!G18</f>
        <v>17534.300000000745</v>
      </c>
      <c r="R19" s="319">
        <f t="shared" si="6"/>
        <v>222.44310252963169</v>
      </c>
      <c r="S19" s="319">
        <f t="shared" si="7"/>
        <v>207.09477016110861</v>
      </c>
      <c r="T19" s="325">
        <f t="shared" si="17"/>
        <v>56299.999999999272</v>
      </c>
      <c r="U19" s="325">
        <f>+[13]DailyAug!H18</f>
        <v>3899.9999999996362</v>
      </c>
      <c r="V19" s="319">
        <f t="shared" si="8"/>
        <v>49.47606119807724</v>
      </c>
      <c r="W19" s="319">
        <f t="shared" si="9"/>
        <v>46.062266735952612</v>
      </c>
      <c r="X19" s="325">
        <f t="shared" si="18"/>
        <v>132624.95000000001</v>
      </c>
      <c r="Y19" s="325">
        <f>+[13]DailyAug!I18</f>
        <v>10701.760000001092</v>
      </c>
      <c r="Z19" s="325">
        <f t="shared" si="19"/>
        <v>135.76434171467653</v>
      </c>
      <c r="AA19" s="325">
        <f t="shared" si="20"/>
        <v>126.39674965749859</v>
      </c>
      <c r="AB19" s="325">
        <f t="shared" si="21"/>
        <v>74604.949999998469</v>
      </c>
      <c r="AC19" s="325">
        <f>+[13]DailyAug!J18</f>
        <v>7411.7599999987906</v>
      </c>
      <c r="AD19" s="325">
        <f t="shared" si="22"/>
        <v>94.026843934727012</v>
      </c>
      <c r="AE19" s="418">
        <f t="shared" si="23"/>
        <v>87.539093872523154</v>
      </c>
      <c r="AF19" s="325">
        <f t="shared" si="24"/>
        <v>130399.99999999964</v>
      </c>
      <c r="AG19" s="325">
        <f>+[13]DailyAug!K18</f>
        <v>12100.000000000364</v>
      </c>
      <c r="AH19" s="325">
        <f t="shared" si="25"/>
        <v>153.50265140943807</v>
      </c>
      <c r="AI19" s="446">
        <f t="shared" si="26"/>
        <v>142.91113525771675</v>
      </c>
      <c r="AJ19" s="325">
        <f t="shared" si="27"/>
        <v>4930</v>
      </c>
      <c r="AK19" s="325">
        <f>+[13]DailyAug!L18</f>
        <v>430</v>
      </c>
      <c r="AL19" s="325">
        <f t="shared" si="28"/>
        <v>5.4550529013269742</v>
      </c>
      <c r="AM19" s="446">
        <f t="shared" si="29"/>
        <v>5.0786601785798648</v>
      </c>
      <c r="AN19" s="325">
        <f t="shared" si="30"/>
        <v>7230</v>
      </c>
      <c r="AO19" s="325">
        <f>+[13]DailyAug!M18</f>
        <v>660</v>
      </c>
      <c r="AP19" s="325">
        <f t="shared" si="31"/>
        <v>8.3728718950600065</v>
      </c>
      <c r="AQ19" s="446">
        <f t="shared" si="32"/>
        <v>7.7951528322388617</v>
      </c>
      <c r="AR19" s="325">
        <f t="shared" si="33"/>
        <v>53203.519999999888</v>
      </c>
      <c r="AS19" s="322">
        <f t="shared" si="10"/>
        <v>674.94887473676056</v>
      </c>
      <c r="AT19" s="323">
        <f t="shared" si="11"/>
        <v>628.37813577738791</v>
      </c>
      <c r="AV19" s="20"/>
      <c r="AX19" s="18">
        <f>SUM(AX17:AX18)</f>
        <v>0</v>
      </c>
      <c r="AY19" s="18">
        <f>SUM(AY17:AY18)</f>
        <v>0</v>
      </c>
    </row>
    <row r="20" spans="1:51">
      <c r="A20" s="316">
        <f t="shared" si="12"/>
        <v>45882</v>
      </c>
      <c r="B20" s="324">
        <f>+Report1!P21</f>
        <v>79.756</v>
      </c>
      <c r="C20" s="324">
        <f>+Report1!R21</f>
        <v>75.933000000000007</v>
      </c>
      <c r="D20" s="325">
        <f t="shared" si="13"/>
        <v>4067.7100000008941</v>
      </c>
      <c r="E20" s="325">
        <f>+[13]DailyAug!D19</f>
        <v>372.93000000156462</v>
      </c>
      <c r="F20" s="319">
        <f t="shared" si="0"/>
        <v>4.6758864537033533</v>
      </c>
      <c r="G20" s="319">
        <f t="shared" si="1"/>
        <v>4.9113033859002622</v>
      </c>
      <c r="H20" s="325">
        <f t="shared" si="14"/>
        <v>0</v>
      </c>
      <c r="I20" s="325">
        <f>+[13]DailyAug!E19</f>
        <v>0</v>
      </c>
      <c r="J20" s="319">
        <f t="shared" si="2"/>
        <v>0</v>
      </c>
      <c r="K20" s="319">
        <f t="shared" si="3"/>
        <v>0</v>
      </c>
      <c r="L20" s="325">
        <f t="shared" si="15"/>
        <v>930</v>
      </c>
      <c r="M20" s="325">
        <f>+[13]DailyAug!F19</f>
        <v>30</v>
      </c>
      <c r="N20" s="319">
        <f t="shared" si="4"/>
        <v>0.37614724910978486</v>
      </c>
      <c r="O20" s="319">
        <f t="shared" si="5"/>
        <v>0.39508514084785268</v>
      </c>
      <c r="P20" s="325">
        <f t="shared" si="16"/>
        <v>217002.28999999911</v>
      </c>
      <c r="Q20" s="325">
        <f>+[13]DailyAug!G19</f>
        <v>17597.069999998435</v>
      </c>
      <c r="R20" s="319">
        <f t="shared" si="6"/>
        <v>220.63631576305778</v>
      </c>
      <c r="S20" s="319">
        <f t="shared" si="7"/>
        <v>231.7446959819635</v>
      </c>
      <c r="T20" s="325">
        <f t="shared" si="17"/>
        <v>60899.999999999636</v>
      </c>
      <c r="U20" s="325">
        <f>+[13]DailyAug!H19</f>
        <v>4600.0000000003638</v>
      </c>
      <c r="V20" s="319">
        <f t="shared" si="8"/>
        <v>57.675911530171568</v>
      </c>
      <c r="W20" s="319">
        <f t="shared" si="9"/>
        <v>60.579721596675533</v>
      </c>
      <c r="X20" s="325">
        <f t="shared" si="18"/>
        <v>145076.85999999929</v>
      </c>
      <c r="Y20" s="325">
        <f>+[13]DailyAug!I19</f>
        <v>12451.909999999272</v>
      </c>
      <c r="Z20" s="325">
        <f t="shared" si="19"/>
        <v>156.12505642207825</v>
      </c>
      <c r="AA20" s="325">
        <f t="shared" si="20"/>
        <v>163.98548720581658</v>
      </c>
      <c r="AB20" s="325">
        <f t="shared" si="21"/>
        <v>81836.859999999258</v>
      </c>
      <c r="AC20" s="325">
        <f>+[13]DailyAug!J19</f>
        <v>7231.9100000007957</v>
      </c>
      <c r="AD20" s="325">
        <f t="shared" si="22"/>
        <v>90.675435076994773</v>
      </c>
      <c r="AE20" s="418">
        <f t="shared" si="23"/>
        <v>95.240672698310291</v>
      </c>
      <c r="AF20" s="325">
        <f t="shared" si="24"/>
        <v>142799.99999999927</v>
      </c>
      <c r="AG20" s="325">
        <f>+[13]DailyAug!K19</f>
        <v>12399.999999999636</v>
      </c>
      <c r="AH20" s="325">
        <f t="shared" si="25"/>
        <v>155.47419629870652</v>
      </c>
      <c r="AI20" s="446">
        <f t="shared" si="26"/>
        <v>163.30185821710765</v>
      </c>
      <c r="AJ20" s="325">
        <f t="shared" si="27"/>
        <v>5406.7600000000093</v>
      </c>
      <c r="AK20" s="325">
        <f>+[13]DailyAug!L19</f>
        <v>476.76000000000931</v>
      </c>
      <c r="AL20" s="325">
        <f t="shared" si="28"/>
        <v>5.9777320828528175</v>
      </c>
      <c r="AM20" s="446">
        <f t="shared" si="29"/>
        <v>6.2786930583541976</v>
      </c>
      <c r="AN20" s="325">
        <f t="shared" si="30"/>
        <v>7903.7200000000012</v>
      </c>
      <c r="AO20" s="325">
        <f>+[13]DailyAug!M19</f>
        <v>673.72000000000116</v>
      </c>
      <c r="AP20" s="325">
        <f t="shared" si="31"/>
        <v>8.4472641556748229</v>
      </c>
      <c r="AQ20" s="446">
        <f t="shared" si="32"/>
        <v>8.8725587030671917</v>
      </c>
      <c r="AR20" s="325">
        <f t="shared" si="33"/>
        <v>55834.300000000083</v>
      </c>
      <c r="AS20" s="322">
        <f t="shared" si="10"/>
        <v>700.06394503234969</v>
      </c>
      <c r="AT20" s="323">
        <f t="shared" si="11"/>
        <v>735.31007598804308</v>
      </c>
      <c r="AV20" s="20" t="s">
        <v>189</v>
      </c>
      <c r="AW20" t="s">
        <v>182</v>
      </c>
      <c r="AX20" s="13">
        <f>+AL39</f>
        <v>0</v>
      </c>
      <c r="AY20" s="13">
        <f>+AM39</f>
        <v>0</v>
      </c>
    </row>
    <row r="21" spans="1:51">
      <c r="A21" s="316">
        <f t="shared" si="12"/>
        <v>45883</v>
      </c>
      <c r="B21" s="324">
        <f>+Report1!P22</f>
        <v>75.38</v>
      </c>
      <c r="C21" s="324">
        <f>+Report1!R22</f>
        <v>82.355000000000004</v>
      </c>
      <c r="D21" s="325">
        <f t="shared" si="13"/>
        <v>4445.7900000009686</v>
      </c>
      <c r="E21" s="325">
        <f>+[13]DailyAug!D20</f>
        <v>378.08000000007451</v>
      </c>
      <c r="F21" s="319">
        <f t="shared" si="0"/>
        <v>5.0156540196348436</v>
      </c>
      <c r="G21" s="319">
        <f t="shared" si="1"/>
        <v>4.5908566571559044</v>
      </c>
      <c r="H21" s="325">
        <f t="shared" si="14"/>
        <v>0</v>
      </c>
      <c r="I21" s="325">
        <f>+[13]DailyAug!E20</f>
        <v>0</v>
      </c>
      <c r="J21" s="319">
        <f t="shared" si="2"/>
        <v>0</v>
      </c>
      <c r="K21" s="319">
        <f t="shared" si="3"/>
        <v>0</v>
      </c>
      <c r="L21" s="325">
        <f t="shared" si="15"/>
        <v>1000</v>
      </c>
      <c r="M21" s="325">
        <f>+[13]DailyAug!F20</f>
        <v>70</v>
      </c>
      <c r="N21" s="319">
        <f t="shared" si="4"/>
        <v>0.92862828336428771</v>
      </c>
      <c r="O21" s="319">
        <f t="shared" si="5"/>
        <v>0.84997875053123673</v>
      </c>
      <c r="P21" s="325">
        <f t="shared" si="16"/>
        <v>234554.20999999903</v>
      </c>
      <c r="Q21" s="325">
        <f>+[13]DailyAug!G20</f>
        <v>17551.919999999925</v>
      </c>
      <c r="R21" s="319">
        <f t="shared" si="6"/>
        <v>232.84584770496056</v>
      </c>
      <c r="S21" s="319">
        <f t="shared" si="7"/>
        <v>213.12512901463086</v>
      </c>
      <c r="T21" s="325">
        <f t="shared" si="17"/>
        <v>65799.999999999272</v>
      </c>
      <c r="U21" s="325">
        <f>+[13]DailyAug!H20</f>
        <v>4899.9999999996362</v>
      </c>
      <c r="V21" s="319">
        <f t="shared" si="8"/>
        <v>65.003979835495315</v>
      </c>
      <c r="W21" s="319">
        <f t="shared" si="9"/>
        <v>59.498512537182151</v>
      </c>
      <c r="X21" s="325">
        <f t="shared" si="18"/>
        <v>158312.94</v>
      </c>
      <c r="Y21" s="325">
        <f>+[13]DailyAug!I20</f>
        <v>13236.080000000728</v>
      </c>
      <c r="Z21" s="325">
        <f t="shared" si="19"/>
        <v>175.59140355532938</v>
      </c>
      <c r="AA21" s="325">
        <f t="shared" si="20"/>
        <v>160.71981057617299</v>
      </c>
      <c r="AB21" s="325">
        <f t="shared" si="21"/>
        <v>88122.93999999894</v>
      </c>
      <c r="AC21" s="325">
        <f>+[13]DailyAug!J20</f>
        <v>6286.0799999996816</v>
      </c>
      <c r="AD21" s="325">
        <f t="shared" si="22"/>
        <v>83.391881135575517</v>
      </c>
      <c r="AE21" s="418">
        <f t="shared" si="23"/>
        <v>76.329063201987509</v>
      </c>
      <c r="AF21" s="325">
        <f t="shared" si="24"/>
        <v>155100.00000000035</v>
      </c>
      <c r="AG21" s="325">
        <f>+[13]DailyAug!K20</f>
        <v>12300.000000001091</v>
      </c>
      <c r="AH21" s="325">
        <f t="shared" si="25"/>
        <v>163.1732555054536</v>
      </c>
      <c r="AI21" s="446">
        <f t="shared" si="26"/>
        <v>149.35340902193056</v>
      </c>
      <c r="AJ21" s="325">
        <f t="shared" si="27"/>
        <v>5920</v>
      </c>
      <c r="AK21" s="325">
        <f>+[13]DailyAug!L20</f>
        <v>513.23999999999069</v>
      </c>
      <c r="AL21" s="325">
        <f t="shared" si="28"/>
        <v>6.8087025736268334</v>
      </c>
      <c r="AM21" s="446">
        <f t="shared" si="29"/>
        <v>6.232044198894914</v>
      </c>
      <c r="AN21" s="325">
        <f t="shared" si="30"/>
        <v>8600</v>
      </c>
      <c r="AO21" s="325">
        <f>+[13]DailyAug!M20</f>
        <v>696.27999999999884</v>
      </c>
      <c r="AP21" s="325">
        <f t="shared" si="31"/>
        <v>9.2369328734412157</v>
      </c>
      <c r="AQ21" s="446">
        <f t="shared" si="32"/>
        <v>8.4546172059984066</v>
      </c>
      <c r="AR21" s="325">
        <f t="shared" si="33"/>
        <v>55931.680000001128</v>
      </c>
      <c r="AS21" s="322">
        <f t="shared" si="10"/>
        <v>741.99628548688156</v>
      </c>
      <c r="AT21" s="323">
        <f t="shared" si="11"/>
        <v>679.1534211644846</v>
      </c>
      <c r="AW21" t="s">
        <v>183</v>
      </c>
      <c r="AX21" s="13">
        <f>+AP39</f>
        <v>0</v>
      </c>
      <c r="AY21" s="13">
        <f>+AQ39</f>
        <v>0</v>
      </c>
    </row>
    <row r="22" spans="1:51">
      <c r="A22" s="316">
        <f t="shared" si="12"/>
        <v>45884</v>
      </c>
      <c r="B22" s="324">
        <f>+Report1!P23</f>
        <v>82.12299999999999</v>
      </c>
      <c r="C22" s="324">
        <f>+Report1!R23</f>
        <v>77.778000000000006</v>
      </c>
      <c r="D22" s="325">
        <f>+D21+E22</f>
        <v>4816.5999999996275</v>
      </c>
      <c r="E22" s="325">
        <f>+[13]DailyAug!D21</f>
        <v>370.8099999986589</v>
      </c>
      <c r="F22" s="319">
        <f>E22/B22</f>
        <v>4.5153002203847761</v>
      </c>
      <c r="G22" s="319">
        <f>E22/C22</f>
        <v>4.7675435212869814</v>
      </c>
      <c r="H22" s="325">
        <f>+H21+I22</f>
        <v>0</v>
      </c>
      <c r="I22" s="325">
        <f>+[13]DailyAug!E21</f>
        <v>0</v>
      </c>
      <c r="J22" s="319">
        <f>I22/B22</f>
        <v>0</v>
      </c>
      <c r="K22" s="319">
        <f>I22/C22</f>
        <v>0</v>
      </c>
      <c r="L22" s="325">
        <f>+L21+M22</f>
        <v>1100</v>
      </c>
      <c r="M22" s="325">
        <f>+[13]DailyAug!F21</f>
        <v>100</v>
      </c>
      <c r="N22" s="319">
        <f>M22/B22</f>
        <v>1.2176856666220184</v>
      </c>
      <c r="O22" s="319">
        <f>M22/C22</f>
        <v>1.2857106122553934</v>
      </c>
      <c r="P22" s="325">
        <f>+P21+Q22</f>
        <v>251083.40000000037</v>
      </c>
      <c r="Q22" s="325">
        <f>+[13]DailyAug!G21</f>
        <v>16529.190000001341</v>
      </c>
      <c r="R22" s="319">
        <f>Q22/B22</f>
        <v>201.27357743873631</v>
      </c>
      <c r="S22" s="319">
        <f>Q22/C22</f>
        <v>212.51754994987451</v>
      </c>
      <c r="T22" s="325">
        <f>+T21+U22</f>
        <v>71000</v>
      </c>
      <c r="U22" s="325">
        <f>+[13]DailyAug!H21</f>
        <v>5200.0000000007276</v>
      </c>
      <c r="V22" s="319">
        <f>U22/B22</f>
        <v>63.319654664353813</v>
      </c>
      <c r="W22" s="319">
        <f>U22/C22</f>
        <v>66.856951837289813</v>
      </c>
      <c r="X22" s="325">
        <f>+X21+Y22</f>
        <v>172542.16999999891</v>
      </c>
      <c r="Y22" s="325">
        <f>+[13]DailyAug!I21</f>
        <v>14229.229999998908</v>
      </c>
      <c r="Z22" s="325">
        <f>Y22/B22</f>
        <v>173.26729418066694</v>
      </c>
      <c r="AA22" s="325">
        <f>Y22/C22</f>
        <v>182.94672015221408</v>
      </c>
      <c r="AB22" s="325">
        <f>+AB21+AC22</f>
        <v>95372.169999998485</v>
      </c>
      <c r="AC22" s="325">
        <f>+[13]DailyAug!J21</f>
        <v>7249.2299999995403</v>
      </c>
      <c r="AD22" s="325">
        <f>AC22/B22</f>
        <v>88.272834650457739</v>
      </c>
      <c r="AE22" s="418">
        <f>AC22/C22</f>
        <v>93.204119416795749</v>
      </c>
      <c r="AF22" s="325">
        <f>+AF21+AG22</f>
        <v>167799.99999999924</v>
      </c>
      <c r="AG22" s="325">
        <f>+[13]DailyAug!K21</f>
        <v>12699.999999998909</v>
      </c>
      <c r="AH22" s="325">
        <f>AG22/B22</f>
        <v>154.64607966098305</v>
      </c>
      <c r="AI22" s="446">
        <f>AG22/C22</f>
        <v>163.28524775642094</v>
      </c>
      <c r="AJ22" s="325">
        <f>+AJ21+AK22</f>
        <v>6430</v>
      </c>
      <c r="AK22" s="325">
        <f>+[13]DailyAug!L21</f>
        <v>510</v>
      </c>
      <c r="AL22" s="325">
        <f>AK22/B22</f>
        <v>6.2101968997722938</v>
      </c>
      <c r="AM22" s="446">
        <f>AK22/C22</f>
        <v>6.5571241225025068</v>
      </c>
      <c r="AN22" s="325">
        <f>+AN21+AO22</f>
        <v>9300</v>
      </c>
      <c r="AO22" s="325">
        <f>+[13]DailyAug!M21</f>
        <v>700</v>
      </c>
      <c r="AP22" s="325">
        <f>AO22/B22</f>
        <v>8.5237996663541278</v>
      </c>
      <c r="AQ22" s="446">
        <f>AO22/C22</f>
        <v>8.9999742857877543</v>
      </c>
      <c r="AR22" s="325">
        <f>+E22+I22+M22+Q22+U22+Y22+AC22+AG22+AK22+AO22</f>
        <v>57588.459999998078</v>
      </c>
      <c r="AS22" s="322">
        <f>AR22/B22</f>
        <v>701.24642304833094</v>
      </c>
      <c r="AT22" s="323">
        <f>AR22/C22</f>
        <v>740.42094165442768</v>
      </c>
      <c r="AW22" t="s">
        <v>183</v>
      </c>
      <c r="AX22" s="13">
        <f>+AP40</f>
        <v>9.3100184119917184</v>
      </c>
      <c r="AY22" s="13">
        <f>+AQ40</f>
        <v>9.5951953265502272</v>
      </c>
    </row>
    <row r="23" spans="1:51">
      <c r="A23" s="316">
        <f t="shared" si="12"/>
        <v>45885</v>
      </c>
      <c r="B23" s="324">
        <f>+Report1!P24</f>
        <v>77.486000000000004</v>
      </c>
      <c r="C23" s="324">
        <f>+Report1!R24</f>
        <v>80.367999999999995</v>
      </c>
      <c r="D23" s="325">
        <f t="shared" si="13"/>
        <v>5211.1699999999255</v>
      </c>
      <c r="E23" s="325">
        <f>+[13]DailyAug!D22</f>
        <v>394.57000000029802</v>
      </c>
      <c r="F23" s="319">
        <f t="shared" si="0"/>
        <v>5.0921456779327618</v>
      </c>
      <c r="G23" s="319">
        <f t="shared" si="1"/>
        <v>4.9095411108936151</v>
      </c>
      <c r="H23" s="325">
        <f t="shared" si="14"/>
        <v>0</v>
      </c>
      <c r="I23" s="325">
        <f>+[13]DailyAug!E22</f>
        <v>0</v>
      </c>
      <c r="J23" s="319">
        <f t="shared" si="2"/>
        <v>0</v>
      </c>
      <c r="K23" s="319">
        <f t="shared" si="3"/>
        <v>0</v>
      </c>
      <c r="L23" s="325">
        <f t="shared" si="15"/>
        <v>1200</v>
      </c>
      <c r="M23" s="325">
        <f>+[13]DailyAug!F22</f>
        <v>100</v>
      </c>
      <c r="N23" s="319">
        <f t="shared" si="4"/>
        <v>1.2905557132901426</v>
      </c>
      <c r="O23" s="319">
        <f t="shared" si="5"/>
        <v>1.2442763288871193</v>
      </c>
      <c r="P23" s="325">
        <f t="shared" si="16"/>
        <v>268588.83000000007</v>
      </c>
      <c r="Q23" s="325">
        <f>+[13]DailyAug!G22</f>
        <v>17505.429999999702</v>
      </c>
      <c r="R23" s="319">
        <f t="shared" si="6"/>
        <v>225.91732700100277</v>
      </c>
      <c r="S23" s="319">
        <f t="shared" si="7"/>
        <v>217.81592175990073</v>
      </c>
      <c r="T23" s="325">
        <f t="shared" si="17"/>
        <v>76199.999999999825</v>
      </c>
      <c r="U23" s="325">
        <f>+[13]DailyAug!H22</f>
        <v>5199.9999999998181</v>
      </c>
      <c r="V23" s="319">
        <f t="shared" si="8"/>
        <v>67.108897091085069</v>
      </c>
      <c r="W23" s="319">
        <f t="shared" si="9"/>
        <v>64.702369102127946</v>
      </c>
      <c r="X23" s="325">
        <f t="shared" si="18"/>
        <v>186585.56999999928</v>
      </c>
      <c r="Y23" s="325">
        <f>+[13]DailyAug!I22</f>
        <v>14043.400000000363</v>
      </c>
      <c r="Z23" s="325">
        <f t="shared" si="19"/>
        <v>181.23790104019258</v>
      </c>
      <c r="AA23" s="325">
        <f t="shared" si="20"/>
        <v>174.73870197093825</v>
      </c>
      <c r="AB23" s="325">
        <f t="shared" si="21"/>
        <v>102755.56999999849</v>
      </c>
      <c r="AC23" s="325">
        <f>+[13]DailyAug!J22</f>
        <v>7383.4000000000133</v>
      </c>
      <c r="AD23" s="325">
        <f t="shared" si="22"/>
        <v>95.286890535064572</v>
      </c>
      <c r="AE23" s="418">
        <f t="shared" si="23"/>
        <v>91.86989846705174</v>
      </c>
      <c r="AF23" s="325">
        <f t="shared" si="24"/>
        <v>180299.99999999924</v>
      </c>
      <c r="AG23" s="325">
        <f>+[13]DailyAug!K22</f>
        <v>12500</v>
      </c>
      <c r="AH23" s="325">
        <f t="shared" si="25"/>
        <v>161.31946416126783</v>
      </c>
      <c r="AI23" s="446">
        <f t="shared" si="26"/>
        <v>155.5345411108899</v>
      </c>
      <c r="AJ23" s="325">
        <f t="shared" si="27"/>
        <v>6920</v>
      </c>
      <c r="AK23" s="325">
        <f>+[13]DailyAug!L22</f>
        <v>490</v>
      </c>
      <c r="AL23" s="325">
        <f t="shared" si="28"/>
        <v>6.3237229951216989</v>
      </c>
      <c r="AM23" s="446">
        <f t="shared" si="29"/>
        <v>6.0969540115468845</v>
      </c>
      <c r="AN23" s="325">
        <f t="shared" si="30"/>
        <v>9990</v>
      </c>
      <c r="AO23" s="325">
        <f>+[13]DailyAug!M22</f>
        <v>690</v>
      </c>
      <c r="AP23" s="325">
        <f t="shared" si="31"/>
        <v>8.9048344217019846</v>
      </c>
      <c r="AQ23" s="446">
        <f t="shared" si="32"/>
        <v>8.5855066693211235</v>
      </c>
      <c r="AR23" s="325">
        <f t="shared" si="33"/>
        <v>58306.800000000199</v>
      </c>
      <c r="AS23" s="322">
        <f t="shared" si="10"/>
        <v>752.48173863665943</v>
      </c>
      <c r="AT23" s="323">
        <f t="shared" si="11"/>
        <v>725.49771053155735</v>
      </c>
    </row>
    <row r="24" spans="1:51">
      <c r="A24" s="316">
        <f t="shared" si="12"/>
        <v>45886</v>
      </c>
      <c r="B24" s="324">
        <f>+Report1!P25</f>
        <v>74.347000000000008</v>
      </c>
      <c r="C24" s="324">
        <f>+Report1!R25</f>
        <v>73.183000000000007</v>
      </c>
      <c r="D24" s="325">
        <f t="shared" si="13"/>
        <v>5462.109999999404</v>
      </c>
      <c r="E24" s="325">
        <f>+[13]DailyAug!D23</f>
        <v>250.93999999947846</v>
      </c>
      <c r="F24" s="319">
        <f t="shared" si="0"/>
        <v>3.3752538770828471</v>
      </c>
      <c r="G24" s="319">
        <f t="shared" si="1"/>
        <v>3.4289384146520154</v>
      </c>
      <c r="H24" s="325">
        <f t="shared" si="14"/>
        <v>0</v>
      </c>
      <c r="I24" s="325">
        <f>+[13]DailyAug!E23</f>
        <v>0</v>
      </c>
      <c r="J24" s="319">
        <f t="shared" si="2"/>
        <v>0</v>
      </c>
      <c r="K24" s="319">
        <f t="shared" si="3"/>
        <v>0</v>
      </c>
      <c r="L24" s="325">
        <f t="shared" si="15"/>
        <v>1200</v>
      </c>
      <c r="M24" s="325">
        <f>+[13]DailyAug!F23</f>
        <v>0</v>
      </c>
      <c r="N24" s="319">
        <f t="shared" si="4"/>
        <v>0</v>
      </c>
      <c r="O24" s="319">
        <f t="shared" si="5"/>
        <v>0</v>
      </c>
      <c r="P24" s="325">
        <f t="shared" si="16"/>
        <v>285937.89000000095</v>
      </c>
      <c r="Q24" s="325">
        <f>+[13]DailyAug!G23</f>
        <v>17349.060000000885</v>
      </c>
      <c r="R24" s="319">
        <f t="shared" si="6"/>
        <v>233.35252263038029</v>
      </c>
      <c r="S24" s="319">
        <f t="shared" si="7"/>
        <v>237.06407225723029</v>
      </c>
      <c r="T24" s="325">
        <f t="shared" si="17"/>
        <v>82399.999999999651</v>
      </c>
      <c r="U24" s="325">
        <f>+[13]DailyAug!H23</f>
        <v>6199.9999999998181</v>
      </c>
      <c r="V24" s="319">
        <f t="shared" si="8"/>
        <v>83.392739451488524</v>
      </c>
      <c r="W24" s="319">
        <f t="shared" si="9"/>
        <v>84.719128759408846</v>
      </c>
      <c r="X24" s="325">
        <f t="shared" si="18"/>
        <v>201110.33999999965</v>
      </c>
      <c r="Y24" s="325">
        <f>+[13]DailyAug!I23</f>
        <v>14524.770000000364</v>
      </c>
      <c r="Z24" s="325">
        <f t="shared" si="19"/>
        <v>195.36457422626822</v>
      </c>
      <c r="AA24" s="325">
        <f t="shared" si="20"/>
        <v>198.47191287594609</v>
      </c>
      <c r="AB24" s="325">
        <f t="shared" si="21"/>
        <v>109940.33999999933</v>
      </c>
      <c r="AC24" s="325">
        <f>+[13]DailyAug!J23</f>
        <v>7184.7700000008372</v>
      </c>
      <c r="AD24" s="325">
        <f t="shared" si="22"/>
        <v>96.638331069186876</v>
      </c>
      <c r="AE24" s="418">
        <f t="shared" si="23"/>
        <v>98.175395925294623</v>
      </c>
      <c r="AF24" s="325">
        <f t="shared" si="24"/>
        <v>191299.99999999924</v>
      </c>
      <c r="AG24" s="325">
        <f>+[13]DailyAug!K23</f>
        <v>11000</v>
      </c>
      <c r="AH24" s="325">
        <f t="shared" si="25"/>
        <v>147.9548603171614</v>
      </c>
      <c r="AI24" s="446">
        <f t="shared" si="26"/>
        <v>150.30813166992334</v>
      </c>
      <c r="AJ24" s="325">
        <f t="shared" si="27"/>
        <v>7370</v>
      </c>
      <c r="AK24" s="325">
        <f>+[13]DailyAug!L23</f>
        <v>450</v>
      </c>
      <c r="AL24" s="325">
        <f t="shared" si="28"/>
        <v>6.0526988311566026</v>
      </c>
      <c r="AM24" s="446">
        <f t="shared" si="29"/>
        <v>6.1489690228604994</v>
      </c>
      <c r="AN24" s="325">
        <f t="shared" si="30"/>
        <v>10630</v>
      </c>
      <c r="AO24" s="325">
        <f>+[13]DailyAug!M23</f>
        <v>640</v>
      </c>
      <c r="AP24" s="325">
        <f t="shared" si="31"/>
        <v>8.6082827820893915</v>
      </c>
      <c r="AQ24" s="446">
        <f t="shared" si="32"/>
        <v>8.7452003880682661</v>
      </c>
      <c r="AR24" s="325">
        <f t="shared" si="33"/>
        <v>57599.540000001376</v>
      </c>
      <c r="AS24" s="322">
        <f t="shared" si="10"/>
        <v>774.73926318481404</v>
      </c>
      <c r="AT24" s="323">
        <f t="shared" si="11"/>
        <v>787.06174931338387</v>
      </c>
      <c r="AW24" s="20" t="s">
        <v>2</v>
      </c>
      <c r="AX24" s="18">
        <f>+AX16+AX19+AX22</f>
        <v>9.3100184119917184</v>
      </c>
      <c r="AY24" s="18">
        <f>+AY16+AY19+AY22</f>
        <v>9.5951953265502272</v>
      </c>
    </row>
    <row r="25" spans="1:51">
      <c r="A25" s="316">
        <f t="shared" si="12"/>
        <v>45887</v>
      </c>
      <c r="B25" s="324">
        <f>+Report1!P26</f>
        <v>53.594000000000001</v>
      </c>
      <c r="C25" s="324">
        <f>+Report1!R26</f>
        <v>56.569000000000003</v>
      </c>
      <c r="D25" s="325">
        <f t="shared" si="13"/>
        <v>5733.480000000447</v>
      </c>
      <c r="E25" s="325">
        <f>+[13]DailyAug!D24</f>
        <v>271.37000000104308</v>
      </c>
      <c r="F25" s="319">
        <f t="shared" si="0"/>
        <v>5.0634399373258772</v>
      </c>
      <c r="G25" s="319">
        <f t="shared" si="1"/>
        <v>4.7971503827368887</v>
      </c>
      <c r="H25" s="325">
        <f t="shared" si="14"/>
        <v>0</v>
      </c>
      <c r="I25" s="325">
        <f>+[13]DailyAug!E24</f>
        <v>0</v>
      </c>
      <c r="J25" s="319">
        <f t="shared" si="2"/>
        <v>0</v>
      </c>
      <c r="K25" s="319">
        <f t="shared" si="3"/>
        <v>0</v>
      </c>
      <c r="L25" s="325">
        <f t="shared" si="15"/>
        <v>1300</v>
      </c>
      <c r="M25" s="325">
        <f>+[13]DailyAug!F24</f>
        <v>100</v>
      </c>
      <c r="N25" s="319">
        <f t="shared" si="4"/>
        <v>1.8658805090122028</v>
      </c>
      <c r="O25" s="319">
        <f t="shared" si="5"/>
        <v>1.7677526560483656</v>
      </c>
      <c r="P25" s="325">
        <f t="shared" si="16"/>
        <v>303566.5199999999</v>
      </c>
      <c r="Q25" s="325">
        <f>+[13]DailyAug!G24</f>
        <v>17628.629999998957</v>
      </c>
      <c r="R25" s="319">
        <f t="shared" si="6"/>
        <v>328.92917117585841</v>
      </c>
      <c r="S25" s="319">
        <f t="shared" si="7"/>
        <v>311.63057504992054</v>
      </c>
      <c r="T25" s="325">
        <f t="shared" si="17"/>
        <v>90399.999999999651</v>
      </c>
      <c r="U25" s="325">
        <f>+[13]DailyAug!H24</f>
        <v>8000</v>
      </c>
      <c r="V25" s="319">
        <f t="shared" si="8"/>
        <v>149.27044072097624</v>
      </c>
      <c r="W25" s="319">
        <f t="shared" si="9"/>
        <v>141.42021248386925</v>
      </c>
      <c r="X25" s="325">
        <f t="shared" si="18"/>
        <v>219269.62999999966</v>
      </c>
      <c r="Y25" s="325">
        <f>+[13]DailyAug!I24</f>
        <v>18159.29</v>
      </c>
      <c r="Z25" s="325">
        <f t="shared" si="19"/>
        <v>338.83065268500206</v>
      </c>
      <c r="AA25" s="325">
        <f t="shared" si="20"/>
        <v>321.01133129452529</v>
      </c>
      <c r="AB25" s="325">
        <f t="shared" si="21"/>
        <v>116069.62999999887</v>
      </c>
      <c r="AC25" s="325">
        <f>+[13]DailyAug!J24</f>
        <v>6129.2899999995416</v>
      </c>
      <c r="AD25" s="325">
        <f t="shared" si="22"/>
        <v>114.36522745082549</v>
      </c>
      <c r="AE25" s="418">
        <f t="shared" si="23"/>
        <v>108.35068677189876</v>
      </c>
      <c r="AF25" s="325">
        <f t="shared" si="24"/>
        <v>200600.00000000035</v>
      </c>
      <c r="AG25" s="325">
        <f>+[13]DailyAug!K24</f>
        <v>9300.0000000010914</v>
      </c>
      <c r="AH25" s="325">
        <f t="shared" si="25"/>
        <v>173.52688733815523</v>
      </c>
      <c r="AI25" s="446">
        <f t="shared" si="26"/>
        <v>164.40099701251731</v>
      </c>
      <c r="AJ25" s="325">
        <f t="shared" si="27"/>
        <v>7760</v>
      </c>
      <c r="AK25" s="325">
        <f>+[13]DailyAug!L24</f>
        <v>390</v>
      </c>
      <c r="AL25" s="325">
        <f t="shared" si="28"/>
        <v>7.2769339851475907</v>
      </c>
      <c r="AM25" s="446">
        <f t="shared" si="29"/>
        <v>6.8942353585886256</v>
      </c>
      <c r="AN25" s="325">
        <f t="shared" si="30"/>
        <v>11280</v>
      </c>
      <c r="AO25" s="325">
        <f>+[13]DailyAug!M24</f>
        <v>650</v>
      </c>
      <c r="AP25" s="325">
        <f t="shared" si="31"/>
        <v>12.128223308579319</v>
      </c>
      <c r="AQ25" s="446">
        <f t="shared" si="32"/>
        <v>11.490392264314377</v>
      </c>
      <c r="AR25" s="325">
        <f t="shared" si="33"/>
        <v>60628.580000000635</v>
      </c>
      <c r="AS25" s="322">
        <f t="shared" si="10"/>
        <v>1131.2568571108825</v>
      </c>
      <c r="AT25" s="323">
        <f t="shared" si="11"/>
        <v>1071.7633332744194</v>
      </c>
    </row>
    <row r="26" spans="1:51">
      <c r="A26" s="316">
        <f t="shared" si="12"/>
        <v>45888</v>
      </c>
      <c r="B26" s="324">
        <f>+Report1!P27</f>
        <v>55.29</v>
      </c>
      <c r="C26" s="324">
        <f>+Report1!R27</f>
        <v>55.167999999999999</v>
      </c>
      <c r="D26" s="325">
        <f t="shared" si="13"/>
        <v>6073.730000000447</v>
      </c>
      <c r="E26" s="325">
        <f>+[13]DailyAug!D25</f>
        <v>340.25</v>
      </c>
      <c r="F26" s="319">
        <f t="shared" si="0"/>
        <v>6.1539157171278713</v>
      </c>
      <c r="G26" s="319">
        <f t="shared" si="1"/>
        <v>6.1675246519721583</v>
      </c>
      <c r="H26" s="325">
        <f t="shared" si="14"/>
        <v>0</v>
      </c>
      <c r="I26" s="325">
        <f>+[13]DailyAug!E25</f>
        <v>0</v>
      </c>
      <c r="J26" s="319">
        <f t="shared" si="2"/>
        <v>0</v>
      </c>
      <c r="K26" s="319">
        <f t="shared" si="3"/>
        <v>0</v>
      </c>
      <c r="L26" s="325">
        <f t="shared" si="15"/>
        <v>1400</v>
      </c>
      <c r="M26" s="325">
        <f>+[13]DailyAug!F25</f>
        <v>100</v>
      </c>
      <c r="N26" s="319">
        <f t="shared" si="4"/>
        <v>1.8086453246518357</v>
      </c>
      <c r="O26" s="319">
        <f t="shared" si="5"/>
        <v>1.8126450116009281</v>
      </c>
      <c r="P26" s="325">
        <f t="shared" si="16"/>
        <v>320826.2699999988</v>
      </c>
      <c r="Q26" s="325">
        <f>+[13]DailyAug!G25</f>
        <v>17259.749999998909</v>
      </c>
      <c r="R26" s="319">
        <f t="shared" si="6"/>
        <v>312.16766142157547</v>
      </c>
      <c r="S26" s="319">
        <f t="shared" si="7"/>
        <v>312.85799738977141</v>
      </c>
      <c r="T26" s="325">
        <f t="shared" si="17"/>
        <v>97899.999999999651</v>
      </c>
      <c r="U26" s="325">
        <f>+[13]DailyAug!H25</f>
        <v>7500</v>
      </c>
      <c r="V26" s="319">
        <f t="shared" si="8"/>
        <v>135.64839934888769</v>
      </c>
      <c r="W26" s="319">
        <f t="shared" si="9"/>
        <v>135.94837587006961</v>
      </c>
      <c r="X26" s="325">
        <f t="shared" si="18"/>
        <v>237062.85999999856</v>
      </c>
      <c r="Y26" s="325">
        <f>+[13]DailyAug!I25</f>
        <v>17793.229999998908</v>
      </c>
      <c r="Z26" s="325">
        <f t="shared" si="19"/>
        <v>321.81642249952807</v>
      </c>
      <c r="AA26" s="325">
        <f t="shared" si="20"/>
        <v>322.52809599766005</v>
      </c>
      <c r="AB26" s="325">
        <f t="shared" si="21"/>
        <v>121562.85999999929</v>
      </c>
      <c r="AC26" s="325">
        <f>+[13]DailyAug!J25</f>
        <v>5493.2300000004179</v>
      </c>
      <c r="AD26" s="325">
        <f t="shared" si="22"/>
        <v>99.353047567379605</v>
      </c>
      <c r="AE26" s="418">
        <f t="shared" si="23"/>
        <v>99.572759570773243</v>
      </c>
      <c r="AF26" s="325">
        <f t="shared" si="24"/>
        <v>209899.99999999962</v>
      </c>
      <c r="AG26" s="325">
        <f>+[13]DailyAug!K25</f>
        <v>9299.9999999992724</v>
      </c>
      <c r="AH26" s="325">
        <f t="shared" si="25"/>
        <v>168.20401519260756</v>
      </c>
      <c r="AI26" s="446">
        <f t="shared" si="26"/>
        <v>168.57598607887311</v>
      </c>
      <c r="AJ26" s="325">
        <f t="shared" si="27"/>
        <v>8160</v>
      </c>
      <c r="AK26" s="325">
        <f>+[13]DailyAug!L25</f>
        <v>400</v>
      </c>
      <c r="AL26" s="325">
        <f t="shared" si="28"/>
        <v>7.2345812986073428</v>
      </c>
      <c r="AM26" s="446">
        <f t="shared" si="29"/>
        <v>7.2505800464037122</v>
      </c>
      <c r="AN26" s="325">
        <f t="shared" si="30"/>
        <v>11900</v>
      </c>
      <c r="AO26" s="325">
        <f>+[13]DailyAug!M25</f>
        <v>620</v>
      </c>
      <c r="AP26" s="325">
        <f t="shared" si="31"/>
        <v>11.213601012841382</v>
      </c>
      <c r="AQ26" s="446">
        <f t="shared" si="32"/>
        <v>11.238399071925754</v>
      </c>
      <c r="AR26" s="325">
        <f t="shared" si="33"/>
        <v>58806.459999997503</v>
      </c>
      <c r="AS26" s="322">
        <f t="shared" si="10"/>
        <v>1063.6002893832067</v>
      </c>
      <c r="AT26" s="323">
        <f t="shared" si="11"/>
        <v>1065.9523636890499</v>
      </c>
      <c r="AW26" s="20" t="s">
        <v>190</v>
      </c>
      <c r="AY26" s="411">
        <f>+AY24/AX24-1</f>
        <v>3.063118695782463E-2</v>
      </c>
    </row>
    <row r="27" spans="1:51">
      <c r="A27" s="316">
        <f t="shared" si="12"/>
        <v>45889</v>
      </c>
      <c r="B27" s="324">
        <f>+Report1!P28</f>
        <v>53.534999999999997</v>
      </c>
      <c r="C27" s="324">
        <f>+Report1!R28</f>
        <v>55.423000000000002</v>
      </c>
      <c r="D27" s="325">
        <f t="shared" si="13"/>
        <v>6460.0600000005215</v>
      </c>
      <c r="E27" s="325">
        <f>+[13]DailyAug!D26</f>
        <v>386.33000000007451</v>
      </c>
      <c r="F27" s="319">
        <f t="shared" si="0"/>
        <v>7.2164004856649768</v>
      </c>
      <c r="G27" s="319">
        <f t="shared" si="1"/>
        <v>6.9705717842786301</v>
      </c>
      <c r="H27" s="325">
        <f t="shared" si="14"/>
        <v>0</v>
      </c>
      <c r="I27" s="325">
        <f>+[13]DailyAug!E26</f>
        <v>0</v>
      </c>
      <c r="J27" s="319">
        <f t="shared" si="2"/>
        <v>0</v>
      </c>
      <c r="K27" s="319">
        <f t="shared" si="3"/>
        <v>0</v>
      </c>
      <c r="L27" s="325">
        <f t="shared" si="15"/>
        <v>1400</v>
      </c>
      <c r="M27" s="325">
        <f>+[13]DailyAug!F26</f>
        <v>0</v>
      </c>
      <c r="N27" s="319">
        <f t="shared" si="4"/>
        <v>0</v>
      </c>
      <c r="O27" s="319">
        <f t="shared" si="5"/>
        <v>0</v>
      </c>
      <c r="P27" s="325">
        <f t="shared" si="16"/>
        <v>338639.93999999948</v>
      </c>
      <c r="Q27" s="325">
        <f>+[13]DailyAug!G26</f>
        <v>17813.670000000653</v>
      </c>
      <c r="R27" s="319">
        <f t="shared" si="6"/>
        <v>332.74810871393771</v>
      </c>
      <c r="S27" s="319">
        <f t="shared" si="7"/>
        <v>321.41295130181788</v>
      </c>
      <c r="T27" s="325">
        <f t="shared" si="17"/>
        <v>105699.99999999983</v>
      </c>
      <c r="U27" s="325">
        <f>+[13]DailyAug!H26</f>
        <v>7800.0000000001819</v>
      </c>
      <c r="V27" s="319">
        <f t="shared" si="8"/>
        <v>145.69907537125587</v>
      </c>
      <c r="W27" s="319">
        <f t="shared" si="9"/>
        <v>140.73579560832474</v>
      </c>
      <c r="X27" s="325">
        <f t="shared" si="18"/>
        <v>254971.25999999966</v>
      </c>
      <c r="Y27" s="325">
        <f>+[13]DailyAug!I26</f>
        <v>17908.400000001093</v>
      </c>
      <c r="Z27" s="325">
        <f t="shared" si="19"/>
        <v>334.51760530496114</v>
      </c>
      <c r="AA27" s="325">
        <f t="shared" si="20"/>
        <v>323.12216949643818</v>
      </c>
      <c r="AB27" s="325">
        <f t="shared" si="21"/>
        <v>127111.25999999998</v>
      </c>
      <c r="AC27" s="325">
        <f>+[13]DailyAug!J26</f>
        <v>5548.4000000006954</v>
      </c>
      <c r="AD27" s="325">
        <f t="shared" si="22"/>
        <v>103.64060894743058</v>
      </c>
      <c r="AE27" s="418">
        <f t="shared" si="23"/>
        <v>100.11006260939854</v>
      </c>
      <c r="AF27" s="325">
        <f t="shared" si="24"/>
        <v>218600.00000000035</v>
      </c>
      <c r="AG27" s="325">
        <f>+[13]DailyAug!K26</f>
        <v>8700.0000000007276</v>
      </c>
      <c r="AH27" s="325">
        <f t="shared" si="25"/>
        <v>162.51050714487209</v>
      </c>
      <c r="AI27" s="446">
        <f t="shared" si="26"/>
        <v>156.9745412554486</v>
      </c>
      <c r="AJ27" s="325">
        <f t="shared" si="27"/>
        <v>8250</v>
      </c>
      <c r="AK27" s="325">
        <f>+[13]DailyAug!L26</f>
        <v>90</v>
      </c>
      <c r="AL27" s="325">
        <f t="shared" si="28"/>
        <v>1.6811431773606054</v>
      </c>
      <c r="AM27" s="446">
        <f t="shared" si="29"/>
        <v>1.6238745647114015</v>
      </c>
      <c r="AN27" s="325">
        <f t="shared" si="30"/>
        <v>11930</v>
      </c>
      <c r="AO27" s="325">
        <f>+[13]DailyAug!M26</f>
        <v>30</v>
      </c>
      <c r="AP27" s="325">
        <f t="shared" si="31"/>
        <v>0.56038105912020175</v>
      </c>
      <c r="AQ27" s="446">
        <f t="shared" si="32"/>
        <v>0.54129152157046712</v>
      </c>
      <c r="AR27" s="325">
        <f t="shared" si="33"/>
        <v>58276.800000003423</v>
      </c>
      <c r="AS27" s="322">
        <f t="shared" si="10"/>
        <v>1088.5738302046032</v>
      </c>
      <c r="AT27" s="323">
        <f t="shared" si="11"/>
        <v>1051.4912581419883</v>
      </c>
    </row>
    <row r="28" spans="1:51">
      <c r="A28" s="316">
        <f t="shared" si="12"/>
        <v>45890</v>
      </c>
      <c r="B28" s="324">
        <f>+Report1!P29</f>
        <v>56.287999999999997</v>
      </c>
      <c r="C28" s="324">
        <f>+Report1!R29</f>
        <v>56.616</v>
      </c>
      <c r="D28" s="325">
        <f t="shared" si="13"/>
        <v>6853.839999999851</v>
      </c>
      <c r="E28" s="325">
        <f>+[13]DailyAug!D27</f>
        <v>393.77999999932945</v>
      </c>
      <c r="F28" s="320">
        <f t="shared" si="0"/>
        <v>6.9958072768499404</v>
      </c>
      <c r="G28" s="319">
        <f t="shared" si="1"/>
        <v>6.955277660013591</v>
      </c>
      <c r="H28" s="325">
        <f t="shared" si="14"/>
        <v>0</v>
      </c>
      <c r="I28" s="325">
        <f>+[13]DailyAug!E27</f>
        <v>0</v>
      </c>
      <c r="J28" s="319">
        <f t="shared" si="2"/>
        <v>0</v>
      </c>
      <c r="K28" s="319">
        <f t="shared" si="3"/>
        <v>0</v>
      </c>
      <c r="L28" s="325">
        <f t="shared" si="15"/>
        <v>1500</v>
      </c>
      <c r="M28" s="325">
        <f>+[13]DailyAug!F27</f>
        <v>100</v>
      </c>
      <c r="N28" s="319">
        <f t="shared" si="4"/>
        <v>1.7765776009096079</v>
      </c>
      <c r="O28" s="319">
        <f t="shared" si="5"/>
        <v>1.7662851490744667</v>
      </c>
      <c r="P28" s="325">
        <f t="shared" si="16"/>
        <v>355546.1599999998</v>
      </c>
      <c r="Q28" s="325">
        <f>+[13]DailyAug!G27</f>
        <v>16906.220000000307</v>
      </c>
      <c r="R28" s="319">
        <f t="shared" si="6"/>
        <v>300.35211768050573</v>
      </c>
      <c r="S28" s="319">
        <f t="shared" si="7"/>
        <v>298.61205312986272</v>
      </c>
      <c r="T28" s="325">
        <f t="shared" si="17"/>
        <v>113199.99999999983</v>
      </c>
      <c r="U28" s="325">
        <f>+[13]DailyAug!H27</f>
        <v>7500</v>
      </c>
      <c r="V28" s="319">
        <f t="shared" si="8"/>
        <v>133.24332006822058</v>
      </c>
      <c r="W28" s="319">
        <f t="shared" si="9"/>
        <v>132.471386180585</v>
      </c>
      <c r="X28" s="325">
        <f t="shared" si="18"/>
        <v>272042.20999999967</v>
      </c>
      <c r="Y28" s="325">
        <f>+[13]DailyAug!I27</f>
        <v>17070.95</v>
      </c>
      <c r="Z28" s="325">
        <f t="shared" si="19"/>
        <v>303.27867396247871</v>
      </c>
      <c r="AA28" s="325">
        <f t="shared" si="20"/>
        <v>301.52165465592765</v>
      </c>
      <c r="AB28" s="325">
        <f t="shared" si="21"/>
        <v>131752.20999999956</v>
      </c>
      <c r="AC28" s="325">
        <f>+[13]DailyAug!J27</f>
        <v>4640.9499999995687</v>
      </c>
      <c r="AD28" s="325">
        <f t="shared" si="22"/>
        <v>82.45007816940678</v>
      </c>
      <c r="AE28" s="418">
        <f t="shared" si="23"/>
        <v>81.972410625963846</v>
      </c>
      <c r="AF28" s="325">
        <f t="shared" si="24"/>
        <v>227200.0000000007</v>
      </c>
      <c r="AG28" s="325">
        <f>+[13]DailyAug!K27</f>
        <v>8600.0000000003638</v>
      </c>
      <c r="AH28" s="325">
        <f t="shared" si="25"/>
        <v>152.78567367823274</v>
      </c>
      <c r="AI28" s="446">
        <f t="shared" si="26"/>
        <v>151.90052282041054</v>
      </c>
      <c r="AJ28" s="325">
        <f t="shared" si="27"/>
        <v>8270</v>
      </c>
      <c r="AK28" s="325">
        <f>+[13]DailyAug!L27</f>
        <v>20</v>
      </c>
      <c r="AL28" s="325">
        <f t="shared" si="28"/>
        <v>0.35531552018192158</v>
      </c>
      <c r="AM28" s="446">
        <f t="shared" si="29"/>
        <v>0.35325702981489332</v>
      </c>
      <c r="AN28" s="325">
        <f t="shared" si="30"/>
        <v>11940</v>
      </c>
      <c r="AO28" s="325">
        <f>+[13]DailyAug!M27</f>
        <v>10</v>
      </c>
      <c r="AP28" s="325">
        <f t="shared" si="31"/>
        <v>0.17765776009096079</v>
      </c>
      <c r="AQ28" s="446">
        <f t="shared" si="32"/>
        <v>0.17662851490744666</v>
      </c>
      <c r="AR28" s="325">
        <f t="shared" si="33"/>
        <v>55241.899999999565</v>
      </c>
      <c r="AS28" s="322">
        <f t="shared" si="10"/>
        <v>981.41522171687689</v>
      </c>
      <c r="AT28" s="323">
        <f t="shared" si="11"/>
        <v>975.72947576656009</v>
      </c>
    </row>
    <row r="29" spans="1:51">
      <c r="A29" s="316">
        <f t="shared" si="12"/>
        <v>45891</v>
      </c>
      <c r="B29" s="324">
        <f>+Report1!P30</f>
        <v>54.817999999999998</v>
      </c>
      <c r="C29" s="324">
        <f>+Report1!R30</f>
        <v>55.46</v>
      </c>
      <c r="D29" s="325">
        <f t="shared" si="13"/>
        <v>7202.640000000596</v>
      </c>
      <c r="E29" s="325">
        <f>+[13]DailyAug!D28</f>
        <v>348.80000000074506</v>
      </c>
      <c r="F29" s="319">
        <f t="shared" si="0"/>
        <v>6.3628735087151131</v>
      </c>
      <c r="G29" s="319">
        <f t="shared" si="1"/>
        <v>6.2892174540343504</v>
      </c>
      <c r="H29" s="325">
        <f t="shared" si="14"/>
        <v>0</v>
      </c>
      <c r="I29" s="325">
        <f>+[13]DailyAug!E28</f>
        <v>0</v>
      </c>
      <c r="J29" s="319">
        <f t="shared" si="2"/>
        <v>0</v>
      </c>
      <c r="K29" s="319">
        <f t="shared" si="3"/>
        <v>0</v>
      </c>
      <c r="L29" s="325">
        <f t="shared" si="15"/>
        <v>1600</v>
      </c>
      <c r="M29" s="325">
        <f>+[13]DailyAug!F28</f>
        <v>100</v>
      </c>
      <c r="N29" s="319">
        <f t="shared" si="4"/>
        <v>1.8242183224488306</v>
      </c>
      <c r="O29" s="319">
        <f t="shared" si="5"/>
        <v>1.8031013342949873</v>
      </c>
      <c r="P29" s="325">
        <f t="shared" si="16"/>
        <v>372797.35999999975</v>
      </c>
      <c r="Q29" s="325">
        <f>+[13]DailyAug!G28</f>
        <v>17251.199999999983</v>
      </c>
      <c r="R29" s="319">
        <f t="shared" si="6"/>
        <v>314.69955124229239</v>
      </c>
      <c r="S29" s="319">
        <f t="shared" si="7"/>
        <v>311.05661738189656</v>
      </c>
      <c r="T29" s="325">
        <f t="shared" si="17"/>
        <v>120699.99999999983</v>
      </c>
      <c r="U29" s="325">
        <f>+[13]DailyAug!H28</f>
        <v>7500</v>
      </c>
      <c r="V29" s="319">
        <f t="shared" si="8"/>
        <v>136.8163741836623</v>
      </c>
      <c r="W29" s="319">
        <f t="shared" si="9"/>
        <v>135.23260007212406</v>
      </c>
      <c r="X29" s="325">
        <f t="shared" si="18"/>
        <v>288599.76999999967</v>
      </c>
      <c r="Y29" s="325">
        <f>+[13]DailyAug!I28</f>
        <v>16557.560000000001</v>
      </c>
      <c r="Z29" s="325">
        <f t="shared" si="19"/>
        <v>302.04604327045865</v>
      </c>
      <c r="AA29" s="325">
        <f t="shared" si="20"/>
        <v>298.54958528669312</v>
      </c>
      <c r="AB29" s="325">
        <f t="shared" si="21"/>
        <v>136609.76999999888</v>
      </c>
      <c r="AC29" s="325">
        <f>+[13]DailyAug!J28</f>
        <v>4857.5599999993356</v>
      </c>
      <c r="AD29" s="325">
        <f t="shared" si="22"/>
        <v>88.612499543933296</v>
      </c>
      <c r="AE29" s="418">
        <f t="shared" si="23"/>
        <v>87.586729174167601</v>
      </c>
      <c r="AF29" s="325">
        <f t="shared" si="24"/>
        <v>235700.0000000007</v>
      </c>
      <c r="AG29" s="325">
        <f>+[13]DailyAug!K28</f>
        <v>8500</v>
      </c>
      <c r="AH29" s="325">
        <f t="shared" si="25"/>
        <v>155.05855740815062</v>
      </c>
      <c r="AI29" s="446">
        <f t="shared" si="26"/>
        <v>153.26361341507393</v>
      </c>
      <c r="AJ29" s="325">
        <f t="shared" si="27"/>
        <v>8430</v>
      </c>
      <c r="AK29" s="325">
        <f>+[13]DailyAug!L28</f>
        <v>160</v>
      </c>
      <c r="AL29" s="325">
        <f t="shared" si="28"/>
        <v>2.918749315918129</v>
      </c>
      <c r="AM29" s="446">
        <f t="shared" si="29"/>
        <v>2.8849621348719796</v>
      </c>
      <c r="AN29" s="325">
        <f t="shared" si="30"/>
        <v>12020</v>
      </c>
      <c r="AO29" s="325">
        <f>+[13]DailyAug!M28</f>
        <v>80</v>
      </c>
      <c r="AP29" s="325">
        <f t="shared" si="31"/>
        <v>1.4593746579590645</v>
      </c>
      <c r="AQ29" s="446">
        <f t="shared" si="32"/>
        <v>1.4424810674359898</v>
      </c>
      <c r="AR29" s="325">
        <f t="shared" si="33"/>
        <v>55355.120000000061</v>
      </c>
      <c r="AS29" s="322">
        <f t="shared" si="10"/>
        <v>1009.7982414535383</v>
      </c>
      <c r="AT29" s="323">
        <f t="shared" si="11"/>
        <v>998.10890732059249</v>
      </c>
    </row>
    <row r="30" spans="1:51">
      <c r="A30" s="316">
        <f t="shared" si="12"/>
        <v>45892</v>
      </c>
      <c r="B30" s="324">
        <f>+Report1!P31</f>
        <v>55.576999999999998</v>
      </c>
      <c r="C30" s="324">
        <f>+Report1!R31</f>
        <v>41.737000000000002</v>
      </c>
      <c r="D30" s="325">
        <f t="shared" si="13"/>
        <v>7573.1500000003725</v>
      </c>
      <c r="E30" s="325">
        <f>+[13]DailyAug!D29</f>
        <v>370.50999999977648</v>
      </c>
      <c r="F30" s="319">
        <f t="shared" si="0"/>
        <v>6.6666066898137091</v>
      </c>
      <c r="G30" s="319">
        <f t="shared" si="1"/>
        <v>8.877255193228466</v>
      </c>
      <c r="H30" s="325">
        <f t="shared" si="14"/>
        <v>0</v>
      </c>
      <c r="I30" s="325">
        <f>+[13]DailyAug!E29</f>
        <v>0</v>
      </c>
      <c r="J30" s="319">
        <f t="shared" si="2"/>
        <v>0</v>
      </c>
      <c r="K30" s="319">
        <f t="shared" si="3"/>
        <v>0</v>
      </c>
      <c r="L30" s="325">
        <f t="shared" si="15"/>
        <v>1600</v>
      </c>
      <c r="M30" s="325">
        <f>+[13]DailyAug!F29</f>
        <v>0</v>
      </c>
      <c r="N30" s="319">
        <f t="shared" si="4"/>
        <v>0</v>
      </c>
      <c r="O30" s="319">
        <f t="shared" si="5"/>
        <v>0</v>
      </c>
      <c r="P30" s="325">
        <f t="shared" si="16"/>
        <v>389426.85</v>
      </c>
      <c r="Q30" s="325">
        <f>+[13]DailyAug!G29</f>
        <v>16629.490000000224</v>
      </c>
      <c r="R30" s="319">
        <f t="shared" si="6"/>
        <v>299.21532288537026</v>
      </c>
      <c r="S30" s="319">
        <f t="shared" si="7"/>
        <v>398.4352013800758</v>
      </c>
      <c r="T30" s="325">
        <f t="shared" si="17"/>
        <v>126000</v>
      </c>
      <c r="U30" s="325">
        <f>+[13]DailyAug!H29</f>
        <v>5300.0000000001819</v>
      </c>
      <c r="V30" s="319">
        <f t="shared" si="8"/>
        <v>95.363189808737104</v>
      </c>
      <c r="W30" s="319">
        <f t="shared" si="9"/>
        <v>126.98564822579921</v>
      </c>
      <c r="X30" s="325">
        <f t="shared" si="18"/>
        <v>299924.53999999969</v>
      </c>
      <c r="Y30" s="325">
        <f>+[13]DailyAug!I29</f>
        <v>11324.77</v>
      </c>
      <c r="Z30" s="325">
        <f t="shared" si="19"/>
        <v>203.76720585853863</v>
      </c>
      <c r="AA30" s="325">
        <f t="shared" si="20"/>
        <v>271.3364640486858</v>
      </c>
      <c r="AB30" s="325">
        <f t="shared" si="21"/>
        <v>142874.53999999934</v>
      </c>
      <c r="AC30" s="325">
        <f>+[13]DailyAug!J29</f>
        <v>6264.7700000004552</v>
      </c>
      <c r="AD30" s="325">
        <f t="shared" si="22"/>
        <v>112.72234917322733</v>
      </c>
      <c r="AE30" s="418">
        <f t="shared" si="23"/>
        <v>150.10110932746616</v>
      </c>
      <c r="AF30" s="325">
        <f t="shared" si="24"/>
        <v>247999.99999999997</v>
      </c>
      <c r="AG30" s="325">
        <f>+[13]DailyAug!K29</f>
        <v>12299.999999999272</v>
      </c>
      <c r="AH30" s="325">
        <f t="shared" si="25"/>
        <v>221.31457257497297</v>
      </c>
      <c r="AI30" s="446">
        <f t="shared" si="26"/>
        <v>294.70254210890272</v>
      </c>
      <c r="AJ30" s="325">
        <f t="shared" si="27"/>
        <v>8790</v>
      </c>
      <c r="AK30" s="325">
        <f>+[13]DailyAug!L29</f>
        <v>360</v>
      </c>
      <c r="AL30" s="325">
        <f t="shared" si="28"/>
        <v>6.4774996851215434</v>
      </c>
      <c r="AM30" s="446">
        <f t="shared" si="29"/>
        <v>8.6254402568464421</v>
      </c>
      <c r="AN30" s="325">
        <f t="shared" si="30"/>
        <v>12580</v>
      </c>
      <c r="AO30" s="325">
        <f>+[13]DailyAug!M29</f>
        <v>560</v>
      </c>
      <c r="AP30" s="325">
        <f t="shared" si="31"/>
        <v>10.076110621300179</v>
      </c>
      <c r="AQ30" s="446">
        <f t="shared" si="32"/>
        <v>13.417351510650022</v>
      </c>
      <c r="AR30" s="325">
        <f t="shared" si="33"/>
        <v>53109.539999999906</v>
      </c>
      <c r="AS30" s="322">
        <f t="shared" si="10"/>
        <v>955.60285729708164</v>
      </c>
      <c r="AT30" s="323">
        <f t="shared" si="11"/>
        <v>1272.4810120516545</v>
      </c>
    </row>
    <row r="31" spans="1:51">
      <c r="A31" s="316">
        <f t="shared" si="12"/>
        <v>45893</v>
      </c>
      <c r="B31" s="324">
        <f>+Report1!P32</f>
        <v>50.014999999999993</v>
      </c>
      <c r="C31" s="324">
        <f>+Report1!R32</f>
        <v>44.899000000000001</v>
      </c>
      <c r="D31" s="325">
        <f t="shared" si="13"/>
        <v>7932.160000000149</v>
      </c>
      <c r="E31" s="325">
        <f>+[13]DailyAug!D30</f>
        <v>359.00999999977648</v>
      </c>
      <c r="F31" s="319">
        <f t="shared" si="0"/>
        <v>7.1780465860197245</v>
      </c>
      <c r="G31" s="319">
        <f t="shared" si="1"/>
        <v>7.9959464575998682</v>
      </c>
      <c r="H31" s="325">
        <f t="shared" si="14"/>
        <v>0</v>
      </c>
      <c r="I31" s="325">
        <f>+[13]DailyAug!E30</f>
        <v>0</v>
      </c>
      <c r="J31" s="319">
        <f t="shared" si="2"/>
        <v>0</v>
      </c>
      <c r="K31" s="319">
        <f t="shared" si="3"/>
        <v>0</v>
      </c>
      <c r="L31" s="325">
        <f t="shared" si="15"/>
        <v>1700</v>
      </c>
      <c r="M31" s="325">
        <f>+[13]DailyAug!F30</f>
        <v>100</v>
      </c>
      <c r="N31" s="319">
        <f t="shared" si="4"/>
        <v>1.9994001799460164</v>
      </c>
      <c r="O31" s="319">
        <f t="shared" si="5"/>
        <v>2.2272210962382237</v>
      </c>
      <c r="P31" s="325">
        <f t="shared" si="16"/>
        <v>406667.83999999909</v>
      </c>
      <c r="Q31" s="325">
        <f>+[13]DailyAug!G30</f>
        <v>17240.989999999132</v>
      </c>
      <c r="R31" s="319">
        <f t="shared" si="6"/>
        <v>344.71638508445733</v>
      </c>
      <c r="S31" s="319">
        <f t="shared" si="7"/>
        <v>383.99496648030316</v>
      </c>
      <c r="T31" s="325">
        <f t="shared" si="17"/>
        <v>131599.99999999945</v>
      </c>
      <c r="U31" s="325">
        <f>+[13]DailyAug!H30</f>
        <v>5599.9999999994543</v>
      </c>
      <c r="V31" s="319">
        <f t="shared" si="8"/>
        <v>111.96641007696601</v>
      </c>
      <c r="W31" s="319">
        <f t="shared" si="9"/>
        <v>124.72438138932836</v>
      </c>
      <c r="X31" s="325">
        <f t="shared" si="18"/>
        <v>312366.09999999934</v>
      </c>
      <c r="Y31" s="325">
        <f>+[13]DailyAug!I30</f>
        <v>12441.559999999636</v>
      </c>
      <c r="Z31" s="325">
        <f t="shared" si="19"/>
        <v>248.75657302808432</v>
      </c>
      <c r="AA31" s="325">
        <f t="shared" si="20"/>
        <v>277.10104902112823</v>
      </c>
      <c r="AB31" s="325">
        <f t="shared" si="21"/>
        <v>149606.09999999855</v>
      </c>
      <c r="AC31" s="325">
        <f>+[13]DailyAug!J30</f>
        <v>6731.5599999992219</v>
      </c>
      <c r="AD31" s="325">
        <f t="shared" si="22"/>
        <v>134.59082275315851</v>
      </c>
      <c r="AE31" s="418">
        <f t="shared" si="23"/>
        <v>149.92672442591643</v>
      </c>
      <c r="AF31" s="325">
        <f t="shared" si="24"/>
        <v>260600.00000000035</v>
      </c>
      <c r="AG31" s="325">
        <f>+[13]DailyAug!K30</f>
        <v>12600.000000000364</v>
      </c>
      <c r="AH31" s="325">
        <f t="shared" si="25"/>
        <v>251.92442267320536</v>
      </c>
      <c r="AI31" s="446">
        <f t="shared" si="26"/>
        <v>280.62985812602426</v>
      </c>
      <c r="AJ31" s="325">
        <f t="shared" si="27"/>
        <v>9220</v>
      </c>
      <c r="AK31" s="325">
        <f>+[13]DailyAug!L30</f>
        <v>430</v>
      </c>
      <c r="AL31" s="325">
        <f t="shared" si="28"/>
        <v>8.5974207737678707</v>
      </c>
      <c r="AM31" s="446">
        <f t="shared" si="29"/>
        <v>9.5770507138243612</v>
      </c>
      <c r="AN31" s="325">
        <f t="shared" si="30"/>
        <v>13230</v>
      </c>
      <c r="AO31" s="325">
        <f>+[13]DailyAug!M30</f>
        <v>650</v>
      </c>
      <c r="AP31" s="325">
        <f t="shared" si="31"/>
        <v>12.996101169649107</v>
      </c>
      <c r="AQ31" s="446">
        <f t="shared" si="32"/>
        <v>14.476937125548453</v>
      </c>
      <c r="AR31" s="325">
        <f t="shared" si="33"/>
        <v>56153.11999999758</v>
      </c>
      <c r="AS31" s="322">
        <f t="shared" si="10"/>
        <v>1122.7255823252542</v>
      </c>
      <c r="AT31" s="323">
        <f t="shared" si="11"/>
        <v>1250.6541348359112</v>
      </c>
    </row>
    <row r="32" spans="1:51">
      <c r="A32" s="316">
        <f t="shared" si="12"/>
        <v>45894</v>
      </c>
      <c r="B32" s="324">
        <f>+Report1!P33</f>
        <v>52.022000000000006</v>
      </c>
      <c r="C32" s="324">
        <f>+Report1!R33</f>
        <v>40.061999999999998</v>
      </c>
      <c r="D32" s="325">
        <f t="shared" si="13"/>
        <v>8319.1699999999255</v>
      </c>
      <c r="E32" s="325">
        <f>+[13]DailyAug!D31</f>
        <v>387.00999999977648</v>
      </c>
      <c r="F32" s="319">
        <f t="shared" si="0"/>
        <v>7.439352581595795</v>
      </c>
      <c r="G32" s="319">
        <f t="shared" si="1"/>
        <v>9.6602765713088843</v>
      </c>
      <c r="H32" s="325">
        <f t="shared" si="14"/>
        <v>0</v>
      </c>
      <c r="I32" s="325">
        <f>+[13]DailyAug!E31</f>
        <v>0</v>
      </c>
      <c r="J32" s="319">
        <f t="shared" si="2"/>
        <v>0</v>
      </c>
      <c r="K32" s="319">
        <f t="shared" si="3"/>
        <v>0</v>
      </c>
      <c r="L32" s="325">
        <f t="shared" si="15"/>
        <v>1800</v>
      </c>
      <c r="M32" s="325">
        <f>+[13]DailyAug!F31</f>
        <v>100</v>
      </c>
      <c r="N32" s="319">
        <f t="shared" si="4"/>
        <v>1.9222636576832877</v>
      </c>
      <c r="O32" s="319">
        <f t="shared" si="5"/>
        <v>2.4961309969547205</v>
      </c>
      <c r="P32" s="325">
        <f t="shared" si="16"/>
        <v>423580.83000000077</v>
      </c>
      <c r="Q32" s="325">
        <f>+[13]DailyAug!G31</f>
        <v>16912.990000001679</v>
      </c>
      <c r="R32" s="319">
        <f t="shared" si="6"/>
        <v>325.11226019764092</v>
      </c>
      <c r="S32" s="319">
        <f t="shared" si="7"/>
        <v>422.17038590189406</v>
      </c>
      <c r="T32" s="325">
        <f t="shared" si="17"/>
        <v>137199.99999999983</v>
      </c>
      <c r="U32" s="325">
        <f>+[13]DailyAug!H31</f>
        <v>5600.0000000003638</v>
      </c>
      <c r="V32" s="319">
        <f t="shared" si="8"/>
        <v>107.6467648302711</v>
      </c>
      <c r="W32" s="319">
        <f t="shared" si="9"/>
        <v>139.78333582947343</v>
      </c>
      <c r="X32" s="325">
        <f t="shared" si="18"/>
        <v>325540.68999999936</v>
      </c>
      <c r="Y32" s="325">
        <f>+[13]DailyAug!I31</f>
        <v>13174.59</v>
      </c>
      <c r="Z32" s="325">
        <f t="shared" si="19"/>
        <v>253.25035561877664</v>
      </c>
      <c r="AA32" s="325">
        <f t="shared" si="20"/>
        <v>328.8550247116969</v>
      </c>
      <c r="AB32" s="325">
        <f t="shared" si="21"/>
        <v>156330.68999999968</v>
      </c>
      <c r="AC32" s="325">
        <f>+[13]DailyAug!J31</f>
        <v>6724.5900000011325</v>
      </c>
      <c r="AD32" s="325">
        <f t="shared" si="22"/>
        <v>129.26434969822637</v>
      </c>
      <c r="AE32" s="418">
        <f t="shared" si="23"/>
        <v>167.85457540814571</v>
      </c>
      <c r="AF32" s="325">
        <f t="shared" si="24"/>
        <v>272899.99999999965</v>
      </c>
      <c r="AG32" s="325">
        <f>+[13]DailyAug!K31</f>
        <v>12299.999999999272</v>
      </c>
      <c r="AH32" s="325">
        <f t="shared" si="25"/>
        <v>236.4384298950304</v>
      </c>
      <c r="AI32" s="446">
        <f t="shared" si="26"/>
        <v>307.02411262541244</v>
      </c>
      <c r="AJ32" s="325">
        <f t="shared" si="27"/>
        <v>9610</v>
      </c>
      <c r="AK32" s="325">
        <f>+[13]DailyAug!L31</f>
        <v>390</v>
      </c>
      <c r="AL32" s="325">
        <f t="shared" si="28"/>
        <v>7.4968282649648215</v>
      </c>
      <c r="AM32" s="446">
        <f t="shared" si="29"/>
        <v>9.7349108881234088</v>
      </c>
      <c r="AN32" s="325">
        <f t="shared" si="30"/>
        <v>13830</v>
      </c>
      <c r="AO32" s="325">
        <f>+[13]DailyAug!M31</f>
        <v>600</v>
      </c>
      <c r="AP32" s="325">
        <f t="shared" si="31"/>
        <v>11.533581946099726</v>
      </c>
      <c r="AQ32" s="446">
        <f t="shared" si="32"/>
        <v>14.976785981728321</v>
      </c>
      <c r="AR32" s="325">
        <f t="shared" si="33"/>
        <v>56189.180000002219</v>
      </c>
      <c r="AS32" s="322">
        <f t="shared" si="10"/>
        <v>1080.104186690289</v>
      </c>
      <c r="AT32" s="323">
        <f t="shared" si="11"/>
        <v>1402.5555389147378</v>
      </c>
    </row>
    <row r="33" spans="1:46">
      <c r="A33" s="316">
        <f t="shared" si="12"/>
        <v>45895</v>
      </c>
      <c r="B33" s="324">
        <f>+Report1!P34</f>
        <v>58.010999999999996</v>
      </c>
      <c r="C33" s="324">
        <f>+Report1!R34</f>
        <v>49.328000000000003</v>
      </c>
      <c r="D33" s="325">
        <f t="shared" si="13"/>
        <v>8685.0999999996275</v>
      </c>
      <c r="E33" s="325">
        <f>+[13]DailyAug!D32</f>
        <v>365.92999999970198</v>
      </c>
      <c r="F33" s="319">
        <f t="shared" si="0"/>
        <v>6.3079415972781367</v>
      </c>
      <c r="G33" s="319">
        <f t="shared" si="1"/>
        <v>7.4183019785862383</v>
      </c>
      <c r="H33" s="325">
        <f t="shared" si="14"/>
        <v>0</v>
      </c>
      <c r="I33" s="325">
        <f>+[13]DailyAug!E32</f>
        <v>0</v>
      </c>
      <c r="J33" s="319">
        <f t="shared" si="2"/>
        <v>0</v>
      </c>
      <c r="K33" s="319">
        <f t="shared" si="3"/>
        <v>0</v>
      </c>
      <c r="L33" s="325">
        <f t="shared" si="15"/>
        <v>1900</v>
      </c>
      <c r="M33" s="325">
        <f>+[13]DailyAug!F32</f>
        <v>100</v>
      </c>
      <c r="N33" s="319">
        <f t="shared" si="4"/>
        <v>1.7238110013618109</v>
      </c>
      <c r="O33" s="319">
        <f t="shared" si="5"/>
        <v>2.0272461887771649</v>
      </c>
      <c r="P33" s="325">
        <f t="shared" si="16"/>
        <v>441114.90000000107</v>
      </c>
      <c r="Q33" s="325">
        <f>+[13]DailyAug!G32</f>
        <v>17534.070000000298</v>
      </c>
      <c r="R33" s="319">
        <f t="shared" si="6"/>
        <v>302.25422764648602</v>
      </c>
      <c r="S33" s="319">
        <f t="shared" si="7"/>
        <v>355.45876581252628</v>
      </c>
      <c r="T33" s="325">
        <f t="shared" si="17"/>
        <v>142799.99999999927</v>
      </c>
      <c r="U33" s="325">
        <f>+[13]DailyAug!H32</f>
        <v>5599.9999999994543</v>
      </c>
      <c r="V33" s="319">
        <f t="shared" si="8"/>
        <v>96.533416076251996</v>
      </c>
      <c r="W33" s="319">
        <f t="shared" si="9"/>
        <v>113.52578657151018</v>
      </c>
      <c r="X33" s="325">
        <f t="shared" si="18"/>
        <v>339547.21999999863</v>
      </c>
      <c r="Y33" s="325">
        <f>+[13]DailyAug!I32</f>
        <v>14006.529999999273</v>
      </c>
      <c r="Z33" s="325">
        <f t="shared" si="19"/>
        <v>241.44610504902991</v>
      </c>
      <c r="AA33" s="325">
        <f t="shared" si="20"/>
        <v>283.9468456049155</v>
      </c>
      <c r="AB33" s="325">
        <f t="shared" si="21"/>
        <v>163887.21999999855</v>
      </c>
      <c r="AC33" s="325">
        <f>+[13]DailyAug!J32</f>
        <v>7556.5299999988692</v>
      </c>
      <c r="AD33" s="325">
        <f t="shared" si="22"/>
        <v>130.26029546118616</v>
      </c>
      <c r="AE33" s="418">
        <f t="shared" si="23"/>
        <v>153.18946642878018</v>
      </c>
      <c r="AF33" s="325">
        <f t="shared" si="24"/>
        <v>285600.00000000035</v>
      </c>
      <c r="AG33" s="325">
        <f>+[13]DailyAug!K32</f>
        <v>12700.000000000728</v>
      </c>
      <c r="AH33" s="325">
        <f t="shared" si="25"/>
        <v>218.92399717296252</v>
      </c>
      <c r="AI33" s="446">
        <f t="shared" si="26"/>
        <v>257.46026597471473</v>
      </c>
      <c r="AJ33" s="325">
        <f t="shared" si="27"/>
        <v>10030</v>
      </c>
      <c r="AK33" s="325">
        <f>+[13]DailyAug!L32</f>
        <v>420</v>
      </c>
      <c r="AL33" s="325">
        <f t="shared" si="28"/>
        <v>7.2400062057196051</v>
      </c>
      <c r="AM33" s="446">
        <f t="shared" si="29"/>
        <v>8.5144339928640935</v>
      </c>
      <c r="AN33" s="325">
        <f t="shared" si="30"/>
        <v>14520</v>
      </c>
      <c r="AO33" s="325">
        <f>+[13]DailyAug!M32</f>
        <v>690</v>
      </c>
      <c r="AP33" s="325">
        <f t="shared" si="31"/>
        <v>11.894295909396496</v>
      </c>
      <c r="AQ33" s="446">
        <f t="shared" si="32"/>
        <v>13.987998702562438</v>
      </c>
      <c r="AR33" s="325">
        <f t="shared" si="33"/>
        <v>58973.059999998324</v>
      </c>
      <c r="AS33" s="322">
        <f t="shared" si="10"/>
        <v>1016.5840961196726</v>
      </c>
      <c r="AT33" s="323">
        <f t="shared" si="11"/>
        <v>1195.5291112552368</v>
      </c>
    </row>
    <row r="34" spans="1:46">
      <c r="A34" s="316">
        <f t="shared" si="12"/>
        <v>45896</v>
      </c>
      <c r="B34" s="324">
        <f>+Report1!P35</f>
        <v>59.61699999999999</v>
      </c>
      <c r="C34" s="324">
        <f>+Report1!R35</f>
        <v>56.872999999999998</v>
      </c>
      <c r="D34" s="325">
        <f t="shared" si="13"/>
        <v>9033.7799999993294</v>
      </c>
      <c r="E34" s="325">
        <f>+[13]DailyAug!D33</f>
        <v>348.67999999970198</v>
      </c>
      <c r="F34" s="319">
        <f t="shared" si="0"/>
        <v>5.8486673264287372</v>
      </c>
      <c r="G34" s="319">
        <f t="shared" si="1"/>
        <v>6.130852953065637</v>
      </c>
      <c r="H34" s="325">
        <f t="shared" si="14"/>
        <v>0</v>
      </c>
      <c r="I34" s="325">
        <f>+[13]DailyAug!E33</f>
        <v>0</v>
      </c>
      <c r="J34" s="319">
        <f t="shared" si="2"/>
        <v>0</v>
      </c>
      <c r="K34" s="319">
        <f t="shared" si="3"/>
        <v>0</v>
      </c>
      <c r="L34" s="325">
        <f t="shared" si="15"/>
        <v>2000</v>
      </c>
      <c r="M34" s="325">
        <f>+[13]DailyAug!F33</f>
        <v>100</v>
      </c>
      <c r="N34" s="319">
        <f t="shared" si="4"/>
        <v>1.6773739034168109</v>
      </c>
      <c r="O34" s="319">
        <f t="shared" si="5"/>
        <v>1.7583035886976246</v>
      </c>
      <c r="P34" s="325">
        <f t="shared" si="16"/>
        <v>458166.22000000137</v>
      </c>
      <c r="Q34" s="325">
        <f>+[13]DailyAug!G33</f>
        <v>17051.320000000298</v>
      </c>
      <c r="R34" s="319">
        <f t="shared" si="6"/>
        <v>286.01439186809637</v>
      </c>
      <c r="S34" s="319">
        <f t="shared" si="7"/>
        <v>299.81397148032107</v>
      </c>
      <c r="T34" s="325">
        <f t="shared" si="17"/>
        <v>148199.99999999983</v>
      </c>
      <c r="U34" s="325">
        <f>+[13]DailyAug!H33</f>
        <v>5400.0000000005457</v>
      </c>
      <c r="V34" s="319">
        <f t="shared" si="8"/>
        <v>90.578190784516948</v>
      </c>
      <c r="W34" s="319">
        <f t="shared" si="9"/>
        <v>94.948393789681319</v>
      </c>
      <c r="X34" s="325">
        <f t="shared" si="18"/>
        <v>351927.53000000009</v>
      </c>
      <c r="Y34" s="325">
        <f>+[13]DailyAug!I33</f>
        <v>12380.310000001455</v>
      </c>
      <c r="Z34" s="325">
        <f t="shared" si="19"/>
        <v>207.66408910212618</v>
      </c>
      <c r="AA34" s="325">
        <f t="shared" si="20"/>
        <v>217.68343502191647</v>
      </c>
      <c r="AB34" s="325">
        <f t="shared" si="21"/>
        <v>169817.52999999895</v>
      </c>
      <c r="AC34" s="325">
        <f>+[13]DailyAug!J33</f>
        <v>5930.3100000004042</v>
      </c>
      <c r="AD34" s="325">
        <f t="shared" si="22"/>
        <v>99.473472331724253</v>
      </c>
      <c r="AE34" s="418">
        <f t="shared" si="23"/>
        <v>104.2728535509012</v>
      </c>
      <c r="AF34" s="325">
        <f t="shared" si="24"/>
        <v>298299.99999999924</v>
      </c>
      <c r="AG34" s="325">
        <f>+[13]DailyAug!K33</f>
        <v>12699.999999998909</v>
      </c>
      <c r="AH34" s="325">
        <f t="shared" si="25"/>
        <v>213.02648573391667</v>
      </c>
      <c r="AI34" s="446">
        <f t="shared" si="26"/>
        <v>223.30455576457913</v>
      </c>
      <c r="AJ34" s="325">
        <f t="shared" si="27"/>
        <v>10440</v>
      </c>
      <c r="AK34" s="325">
        <f>+[13]DailyAug!L33</f>
        <v>410</v>
      </c>
      <c r="AL34" s="325">
        <f t="shared" si="28"/>
        <v>6.8772330040089251</v>
      </c>
      <c r="AM34" s="446">
        <f t="shared" si="29"/>
        <v>7.2090447136602611</v>
      </c>
      <c r="AN34" s="325">
        <f t="shared" si="30"/>
        <v>15180</v>
      </c>
      <c r="AO34" s="325">
        <f>+[13]DailyAug!M33</f>
        <v>660</v>
      </c>
      <c r="AP34" s="325">
        <f t="shared" si="31"/>
        <v>11.070667762550952</v>
      </c>
      <c r="AQ34" s="446">
        <f t="shared" si="32"/>
        <v>11.604803685404322</v>
      </c>
      <c r="AR34" s="325">
        <f t="shared" si="33"/>
        <v>54980.620000001312</v>
      </c>
      <c r="AS34" s="322">
        <f t="shared" si="10"/>
        <v>922.23057181678587</v>
      </c>
      <c r="AT34" s="323">
        <f t="shared" si="11"/>
        <v>966.72621454822706</v>
      </c>
    </row>
    <row r="35" spans="1:46">
      <c r="A35" s="316">
        <f t="shared" si="12"/>
        <v>45897</v>
      </c>
      <c r="B35" s="324">
        <f>+Report1!P36</f>
        <v>62.823999999999998</v>
      </c>
      <c r="C35" s="324">
        <f>+Report1!R36</f>
        <v>57.351999999999997</v>
      </c>
      <c r="D35" s="325">
        <f t="shared" si="13"/>
        <v>9370.109999999404</v>
      </c>
      <c r="E35" s="325">
        <f>+[13]DailyAug!D34</f>
        <v>336.33000000007451</v>
      </c>
      <c r="F35" s="319">
        <f t="shared" si="0"/>
        <v>5.3535273144033253</v>
      </c>
      <c r="G35" s="319">
        <f t="shared" si="1"/>
        <v>5.8643116194740292</v>
      </c>
      <c r="H35" s="325">
        <f t="shared" si="14"/>
        <v>0</v>
      </c>
      <c r="I35" s="325">
        <f>+[13]DailyAug!E34</f>
        <v>0</v>
      </c>
      <c r="J35" s="319">
        <f t="shared" si="2"/>
        <v>0</v>
      </c>
      <c r="K35" s="319">
        <f t="shared" si="3"/>
        <v>0</v>
      </c>
      <c r="L35" s="325">
        <f t="shared" si="15"/>
        <v>2200</v>
      </c>
      <c r="M35" s="325">
        <f>+[13]DailyAug!F34</f>
        <v>200</v>
      </c>
      <c r="N35" s="319">
        <f t="shared" si="4"/>
        <v>3.183496752833312</v>
      </c>
      <c r="O35" s="319">
        <f t="shared" si="5"/>
        <v>3.4872367136281213</v>
      </c>
      <c r="P35" s="325">
        <f t="shared" si="16"/>
        <v>475229.88999999984</v>
      </c>
      <c r="Q35" s="325">
        <f>+[13]DailyAug!G34</f>
        <v>17063.66999999847</v>
      </c>
      <c r="R35" s="319">
        <f t="shared" si="6"/>
        <v>271.61069018207166</v>
      </c>
      <c r="S35" s="319">
        <f t="shared" si="7"/>
        <v>297.52528246614713</v>
      </c>
      <c r="T35" s="325">
        <f t="shared" si="17"/>
        <v>154500</v>
      </c>
      <c r="U35" s="325">
        <f>+[13]DailyAug!H34</f>
        <v>6300.0000000001819</v>
      </c>
      <c r="V35" s="319">
        <f t="shared" si="8"/>
        <v>100.28014771425222</v>
      </c>
      <c r="W35" s="319">
        <f t="shared" si="9"/>
        <v>109.847956479289</v>
      </c>
      <c r="X35" s="325">
        <f t="shared" si="18"/>
        <v>366279.83000000007</v>
      </c>
      <c r="Y35" s="325">
        <f>+[13]DailyAug!I34</f>
        <v>14352.3</v>
      </c>
      <c r="Z35" s="325">
        <f t="shared" si="19"/>
        <v>228.45250222844771</v>
      </c>
      <c r="AA35" s="325">
        <f t="shared" si="20"/>
        <v>250.24933742502441</v>
      </c>
      <c r="AB35" s="325">
        <f t="shared" si="21"/>
        <v>175909.82999999888</v>
      </c>
      <c r="AC35" s="325">
        <f>+[13]DailyAug!J34</f>
        <v>6092.2999999999265</v>
      </c>
      <c r="AD35" s="325">
        <f t="shared" si="22"/>
        <v>96.974086336430773</v>
      </c>
      <c r="AE35" s="418">
        <f t="shared" si="23"/>
        <v>106.22646115218174</v>
      </c>
      <c r="AF35" s="325">
        <f t="shared" si="24"/>
        <v>309700.0000000007</v>
      </c>
      <c r="AG35" s="325">
        <f>+[13]DailyAug!K34</f>
        <v>11400.000000001455</v>
      </c>
      <c r="AH35" s="325">
        <f t="shared" si="25"/>
        <v>181.45931491152197</v>
      </c>
      <c r="AI35" s="446">
        <f t="shared" si="26"/>
        <v>198.77249267682828</v>
      </c>
      <c r="AJ35" s="325">
        <f t="shared" si="27"/>
        <v>10860</v>
      </c>
      <c r="AK35" s="325">
        <f>+[13]DailyAug!L34</f>
        <v>420</v>
      </c>
      <c r="AL35" s="325">
        <f t="shared" si="28"/>
        <v>6.6853431809499559</v>
      </c>
      <c r="AM35" s="446">
        <f t="shared" si="29"/>
        <v>7.3231970986190547</v>
      </c>
      <c r="AN35" s="325">
        <f t="shared" si="30"/>
        <v>15830</v>
      </c>
      <c r="AO35" s="325">
        <f>+[13]DailyAug!M34</f>
        <v>650</v>
      </c>
      <c r="AP35" s="325">
        <f t="shared" si="31"/>
        <v>10.346364446708264</v>
      </c>
      <c r="AQ35" s="446">
        <f t="shared" si="32"/>
        <v>11.333519319291394</v>
      </c>
      <c r="AR35" s="325">
        <f t="shared" si="33"/>
        <v>56814.600000000108</v>
      </c>
      <c r="AS35" s="322">
        <f t="shared" si="10"/>
        <v>904.3454730676192</v>
      </c>
      <c r="AT35" s="323">
        <f t="shared" si="11"/>
        <v>990.62979495048319</v>
      </c>
    </row>
    <row r="36" spans="1:46">
      <c r="A36" s="316">
        <f t="shared" si="12"/>
        <v>45898</v>
      </c>
      <c r="B36" s="324">
        <f>+Report1!P37</f>
        <v>55.792999999999999</v>
      </c>
      <c r="C36" s="324">
        <f>+Report1!R37</f>
        <v>77.828000000000003</v>
      </c>
      <c r="D36" s="325">
        <f t="shared" si="13"/>
        <v>9732</v>
      </c>
      <c r="E36" s="325">
        <f>+[13]DailyAug!D35</f>
        <v>361.89000000059605</v>
      </c>
      <c r="F36" s="319">
        <f t="shared" si="0"/>
        <v>6.486297564221247</v>
      </c>
      <c r="G36" s="319">
        <f t="shared" si="1"/>
        <v>4.6498689417766874</v>
      </c>
      <c r="H36" s="325">
        <f t="shared" si="14"/>
        <v>0</v>
      </c>
      <c r="I36" s="325">
        <f>+[13]DailyAug!E35</f>
        <v>0</v>
      </c>
      <c r="J36" s="319">
        <f t="shared" si="2"/>
        <v>0</v>
      </c>
      <c r="K36" s="319">
        <f t="shared" si="3"/>
        <v>0</v>
      </c>
      <c r="L36" s="325">
        <f t="shared" si="15"/>
        <v>2200</v>
      </c>
      <c r="M36" s="325">
        <f>+[13]DailyAug!F35</f>
        <v>0</v>
      </c>
      <c r="N36" s="319">
        <f t="shared" si="4"/>
        <v>0</v>
      </c>
      <c r="O36" s="319">
        <f t="shared" si="5"/>
        <v>0</v>
      </c>
      <c r="P36" s="325">
        <f t="shared" si="16"/>
        <v>493268.0000000007</v>
      </c>
      <c r="Q36" s="325">
        <f>+[13]DailyAug!G35</f>
        <v>18038.110000000859</v>
      </c>
      <c r="R36" s="319">
        <f t="shared" si="6"/>
        <v>323.304177943485</v>
      </c>
      <c r="S36" s="319">
        <f t="shared" si="7"/>
        <v>231.76890065273241</v>
      </c>
      <c r="T36" s="325">
        <f t="shared" si="17"/>
        <v>162199.99999999983</v>
      </c>
      <c r="U36" s="325">
        <f>+[13]DailyAug!H35</f>
        <v>7699.9999999998181</v>
      </c>
      <c r="V36" s="319">
        <f t="shared" si="8"/>
        <v>138.01014464179769</v>
      </c>
      <c r="W36" s="319">
        <f t="shared" si="9"/>
        <v>98.936115536822456</v>
      </c>
      <c r="X36" s="325">
        <f t="shared" si="18"/>
        <v>383510.16999999864</v>
      </c>
      <c r="Y36" s="325">
        <f>+[13]DailyAug!I35</f>
        <v>17230.339999998545</v>
      </c>
      <c r="Z36" s="325">
        <f t="shared" si="19"/>
        <v>308.82619683470227</v>
      </c>
      <c r="AA36" s="325">
        <f t="shared" si="20"/>
        <v>221.3899881790428</v>
      </c>
      <c r="AB36" s="325">
        <f t="shared" si="21"/>
        <v>183110.16999999926</v>
      </c>
      <c r="AC36" s="325">
        <f>+[13]DailyAug!J35</f>
        <v>7200.3400000003639</v>
      </c>
      <c r="AD36" s="325">
        <f t="shared" si="22"/>
        <v>129.05454089223315</v>
      </c>
      <c r="AE36" s="418">
        <f t="shared" si="23"/>
        <v>92.516061057721686</v>
      </c>
      <c r="AF36" s="325">
        <f t="shared" si="24"/>
        <v>318600.00000000035</v>
      </c>
      <c r="AG36" s="325">
        <f>+[13]DailyAug!K35</f>
        <v>8899.9999999996362</v>
      </c>
      <c r="AH36" s="325">
        <f t="shared" si="25"/>
        <v>159.51821913142575</v>
      </c>
      <c r="AI36" s="446">
        <f t="shared" si="26"/>
        <v>114.35473094515645</v>
      </c>
      <c r="AJ36" s="325">
        <f t="shared" si="27"/>
        <v>11300</v>
      </c>
      <c r="AK36" s="325">
        <f>+[13]DailyAug!L35</f>
        <v>440</v>
      </c>
      <c r="AL36" s="325">
        <f t="shared" si="28"/>
        <v>7.8862939795314828</v>
      </c>
      <c r="AM36" s="446">
        <f t="shared" si="29"/>
        <v>5.6534923163899879</v>
      </c>
      <c r="AN36" s="325">
        <f t="shared" si="30"/>
        <v>16490</v>
      </c>
      <c r="AO36" s="325">
        <f>+[13]DailyAug!M35</f>
        <v>660</v>
      </c>
      <c r="AP36" s="325">
        <f t="shared" si="31"/>
        <v>11.829440969297224</v>
      </c>
      <c r="AQ36" s="446">
        <f t="shared" si="32"/>
        <v>8.4802384745849828</v>
      </c>
      <c r="AR36" s="325">
        <f t="shared" si="33"/>
        <v>60530.679999999818</v>
      </c>
      <c r="AS36" s="322">
        <f t="shared" si="10"/>
        <v>1084.9153119566938</v>
      </c>
      <c r="AT36" s="323">
        <f t="shared" si="11"/>
        <v>777.74939610422746</v>
      </c>
    </row>
    <row r="37" spans="1:46">
      <c r="A37" s="316">
        <f t="shared" si="12"/>
        <v>45899</v>
      </c>
      <c r="B37" s="324">
        <f>+Report1!P38</f>
        <v>57.9</v>
      </c>
      <c r="C37" s="324">
        <f>+Report1!R38</f>
        <v>61.204000000000001</v>
      </c>
      <c r="D37" s="325">
        <f t="shared" si="13"/>
        <v>10086.169999999925</v>
      </c>
      <c r="E37" s="325">
        <f>+[13]DailyAug!D36</f>
        <v>354.16999999992549</v>
      </c>
      <c r="F37" s="319">
        <f t="shared" si="0"/>
        <v>6.1169257340228933</v>
      </c>
      <c r="G37" s="319">
        <f t="shared" si="1"/>
        <v>5.786713286712069</v>
      </c>
      <c r="H37" s="325">
        <f t="shared" si="14"/>
        <v>0</v>
      </c>
      <c r="I37" s="325">
        <f>+[13]DailyAug!E36</f>
        <v>0</v>
      </c>
      <c r="J37" s="319">
        <f t="shared" si="2"/>
        <v>0</v>
      </c>
      <c r="K37" s="319">
        <f t="shared" si="3"/>
        <v>0</v>
      </c>
      <c r="L37" s="325">
        <f t="shared" si="15"/>
        <v>2300</v>
      </c>
      <c r="M37" s="325">
        <f>+[13]DailyAug!F36</f>
        <v>100</v>
      </c>
      <c r="N37" s="319">
        <f t="shared" si="4"/>
        <v>1.7271157167530224</v>
      </c>
      <c r="O37" s="319">
        <f t="shared" si="5"/>
        <v>1.6338801385530357</v>
      </c>
      <c r="P37" s="325">
        <f t="shared" si="16"/>
        <v>511013.82999999967</v>
      </c>
      <c r="Q37" s="325">
        <f>+[13]DailyAug!G36</f>
        <v>17745.829999998983</v>
      </c>
      <c r="R37" s="319">
        <f t="shared" si="6"/>
        <v>306.49101899825536</v>
      </c>
      <c r="S37" s="319">
        <f t="shared" si="7"/>
        <v>289.94559179136957</v>
      </c>
      <c r="T37" s="325">
        <f t="shared" si="17"/>
        <v>169899.99999999965</v>
      </c>
      <c r="U37" s="325">
        <f>+[13]DailyAug!H36</f>
        <v>7699.9999999998181</v>
      </c>
      <c r="V37" s="319">
        <f t="shared" si="8"/>
        <v>132.9879101899796</v>
      </c>
      <c r="W37" s="319">
        <f t="shared" si="9"/>
        <v>125.80877066858078</v>
      </c>
      <c r="X37" s="325">
        <f t="shared" si="18"/>
        <v>400142.64000000013</v>
      </c>
      <c r="Y37" s="325">
        <f>+[13]DailyAug!I36</f>
        <v>16632.470000001456</v>
      </c>
      <c r="Z37" s="325">
        <f t="shared" si="19"/>
        <v>287.26200345425661</v>
      </c>
      <c r="AA37" s="325">
        <f t="shared" si="20"/>
        <v>271.75462388081587</v>
      </c>
      <c r="AB37" s="325">
        <f t="shared" si="21"/>
        <v>188752.64000000004</v>
      </c>
      <c r="AC37" s="325">
        <f>+[13]DailyAug!J36</f>
        <v>5642.4700000007952</v>
      </c>
      <c r="AD37" s="325">
        <f t="shared" si="22"/>
        <v>97.451986183087996</v>
      </c>
      <c r="AE37" s="418">
        <f t="shared" si="23"/>
        <v>92.191196653826466</v>
      </c>
      <c r="AF37" s="325">
        <f t="shared" si="24"/>
        <v>328000</v>
      </c>
      <c r="AG37" s="325">
        <f>+[13]DailyAug!K36</f>
        <v>9399.9999999996362</v>
      </c>
      <c r="AH37" s="325">
        <f t="shared" si="25"/>
        <v>162.34887737477783</v>
      </c>
      <c r="AI37" s="446">
        <f t="shared" si="26"/>
        <v>153.58473302397942</v>
      </c>
      <c r="AJ37" s="325">
        <f t="shared" si="27"/>
        <v>11740</v>
      </c>
      <c r="AK37" s="325">
        <f>+[13]DailyAug!L36</f>
        <v>440</v>
      </c>
      <c r="AL37" s="325">
        <f t="shared" si="28"/>
        <v>7.5993091537132988</v>
      </c>
      <c r="AM37" s="446">
        <f t="shared" si="29"/>
        <v>7.1890726096333575</v>
      </c>
      <c r="AN37" s="325">
        <f t="shared" si="30"/>
        <v>17190</v>
      </c>
      <c r="AO37" s="325">
        <f>+[13]DailyAug!M36</f>
        <v>700</v>
      </c>
      <c r="AP37" s="325">
        <f t="shared" si="31"/>
        <v>12.089810017271157</v>
      </c>
      <c r="AQ37" s="446">
        <f t="shared" si="32"/>
        <v>11.43716096987125</v>
      </c>
      <c r="AR37" s="325">
        <f t="shared" si="33"/>
        <v>58714.940000000614</v>
      </c>
      <c r="AS37" s="322">
        <f t="shared" si="10"/>
        <v>1014.0749568221177</v>
      </c>
      <c r="AT37" s="323">
        <f t="shared" si="11"/>
        <v>959.3317430233418</v>
      </c>
    </row>
    <row r="38" spans="1:46">
      <c r="A38" s="316">
        <f t="shared" si="12"/>
        <v>45900</v>
      </c>
      <c r="B38" s="324">
        <f>+Report1!P39</f>
        <v>56.9</v>
      </c>
      <c r="C38" s="324">
        <f>+Report1!R39</f>
        <v>48.325000000000003</v>
      </c>
      <c r="D38" s="325">
        <f t="shared" si="13"/>
        <v>10379.589999999851</v>
      </c>
      <c r="E38" s="325">
        <f>+[13]DailyAug!D37</f>
        <v>293.41999999992549</v>
      </c>
      <c r="F38" s="319">
        <f t="shared" si="0"/>
        <v>5.1567662565892007</v>
      </c>
      <c r="G38" s="319">
        <f t="shared" si="1"/>
        <v>6.071805483702545</v>
      </c>
      <c r="H38" s="325">
        <f t="shared" si="14"/>
        <v>0</v>
      </c>
      <c r="I38" s="325">
        <f>+[13]DailyAug!E37</f>
        <v>0</v>
      </c>
      <c r="J38" s="319">
        <f t="shared" si="2"/>
        <v>0</v>
      </c>
      <c r="K38" s="319">
        <f t="shared" si="3"/>
        <v>0</v>
      </c>
      <c r="L38" s="325">
        <f t="shared" si="15"/>
        <v>2400</v>
      </c>
      <c r="M38" s="325">
        <f>+[13]DailyAug!F37</f>
        <v>100</v>
      </c>
      <c r="N38" s="319">
        <f t="shared" si="4"/>
        <v>1.7574692442882249</v>
      </c>
      <c r="O38" s="319">
        <f t="shared" si="5"/>
        <v>2.0693222969477496</v>
      </c>
      <c r="P38" s="325">
        <f t="shared" si="16"/>
        <v>528720.41000000015</v>
      </c>
      <c r="Q38" s="325">
        <f>+[13]DailyAug!G37</f>
        <v>17706.580000000438</v>
      </c>
      <c r="R38" s="320">
        <f t="shared" si="6"/>
        <v>311.1876977152977</v>
      </c>
      <c r="S38" s="320">
        <f t="shared" si="7"/>
        <v>366.4062079668999</v>
      </c>
      <c r="T38" s="325">
        <f t="shared" si="17"/>
        <v>177599.99999999948</v>
      </c>
      <c r="U38" s="325">
        <f>+[13]DailyAug!H37</f>
        <v>7699.9999999998181</v>
      </c>
      <c r="V38" s="319">
        <f t="shared" si="8"/>
        <v>135.32513181019013</v>
      </c>
      <c r="W38" s="319">
        <f t="shared" si="9"/>
        <v>159.33781686497295</v>
      </c>
      <c r="X38" s="325">
        <f t="shared" si="18"/>
        <v>416939.20999999903</v>
      </c>
      <c r="Y38" s="325">
        <f>+[13]DailyAug!I37</f>
        <v>16796.569999998908</v>
      </c>
      <c r="Z38" s="325">
        <f t="shared" si="19"/>
        <v>295.19455184532353</v>
      </c>
      <c r="AA38" s="325">
        <f t="shared" si="20"/>
        <v>347.57516813241403</v>
      </c>
      <c r="AB38" s="325">
        <f t="shared" si="21"/>
        <v>194399.20999999889</v>
      </c>
      <c r="AC38" s="325">
        <f>+[13]DailyAug!J37</f>
        <v>5646.5699999988356</v>
      </c>
      <c r="AD38" s="325">
        <f t="shared" si="22"/>
        <v>99.236731107185165</v>
      </c>
      <c r="AE38" s="418">
        <f t="shared" si="23"/>
        <v>116.84573202273845</v>
      </c>
      <c r="AF38" s="325">
        <f t="shared" si="24"/>
        <v>337299.9999999993</v>
      </c>
      <c r="AG38" s="325">
        <f>+[13]DailyAug!K37</f>
        <v>9299.9999999992724</v>
      </c>
      <c r="AH38" s="325">
        <f t="shared" si="25"/>
        <v>163.44463971879213</v>
      </c>
      <c r="AI38" s="446">
        <f t="shared" si="26"/>
        <v>192.44697361612563</v>
      </c>
      <c r="AJ38" s="325">
        <f t="shared" si="27"/>
        <v>12200</v>
      </c>
      <c r="AK38" s="325">
        <f>+[13]DailyAug!L37</f>
        <v>460</v>
      </c>
      <c r="AL38" s="325">
        <f t="shared" si="28"/>
        <v>8.0843585237258342</v>
      </c>
      <c r="AM38" s="446">
        <f t="shared" si="29"/>
        <v>9.5188825659596468</v>
      </c>
      <c r="AN38" s="325">
        <f t="shared" si="30"/>
        <v>17900</v>
      </c>
      <c r="AO38" s="325">
        <f>+[13]DailyAug!M37</f>
        <v>710</v>
      </c>
      <c r="AP38" s="325">
        <f t="shared" si="31"/>
        <v>12.478031634446397</v>
      </c>
      <c r="AQ38" s="446">
        <f t="shared" si="32"/>
        <v>14.692188308329021</v>
      </c>
      <c r="AR38" s="325">
        <f t="shared" si="33"/>
        <v>58713.139999997198</v>
      </c>
      <c r="AS38" s="322">
        <f t="shared" si="10"/>
        <v>1031.8653778558382</v>
      </c>
      <c r="AT38" s="323">
        <f t="shared" si="11"/>
        <v>1214.9640972580899</v>
      </c>
    </row>
    <row r="39" spans="1:46">
      <c r="A39" s="316"/>
      <c r="B39" s="324"/>
      <c r="C39" s="324"/>
      <c r="D39" s="307"/>
      <c r="E39" s="318"/>
      <c r="F39" s="319"/>
      <c r="G39" s="319"/>
      <c r="H39" s="311"/>
      <c r="I39" s="313"/>
      <c r="J39" s="319"/>
      <c r="K39" s="319"/>
      <c r="L39" s="313"/>
      <c r="M39" s="318"/>
      <c r="N39" s="319"/>
      <c r="O39" s="319"/>
      <c r="P39" s="314"/>
      <c r="Q39" s="318"/>
      <c r="R39" s="320"/>
      <c r="S39" s="320"/>
      <c r="T39" s="315"/>
      <c r="U39" s="318"/>
      <c r="V39" s="319"/>
      <c r="W39" s="319"/>
      <c r="X39" s="325"/>
      <c r="Y39" s="325"/>
      <c r="Z39" s="325"/>
      <c r="AA39" s="325"/>
      <c r="AB39" s="325"/>
      <c r="AC39" s="325"/>
      <c r="AD39" s="325"/>
      <c r="AE39" s="325"/>
      <c r="AF39" s="325"/>
      <c r="AG39" s="325"/>
      <c r="AH39" s="325"/>
      <c r="AI39" s="325"/>
      <c r="AJ39" s="325"/>
      <c r="AK39" s="325"/>
      <c r="AL39" s="325"/>
      <c r="AM39" s="325"/>
      <c r="AN39" s="325"/>
      <c r="AO39" s="325"/>
      <c r="AP39" s="325"/>
      <c r="AQ39" s="325"/>
      <c r="AR39" s="321"/>
      <c r="AS39" s="322"/>
      <c r="AT39" s="323"/>
    </row>
    <row r="40" spans="1:46">
      <c r="A40" s="326" t="s">
        <v>28</v>
      </c>
      <c r="B40" s="327">
        <f>SUM(B8:B38)</f>
        <v>1922.6600000000003</v>
      </c>
      <c r="C40" s="327">
        <f>SUM(C8:C38)</f>
        <v>1865.5170000000001</v>
      </c>
      <c r="D40" s="321"/>
      <c r="E40" s="327">
        <f>SUM(E8:E38)</f>
        <v>10379.589999999851</v>
      </c>
      <c r="F40" s="328">
        <f>E40/B40</f>
        <v>5.398557207202443</v>
      </c>
      <c r="G40" s="328">
        <f>E40/C40</f>
        <v>5.5639214223187734</v>
      </c>
      <c r="H40" s="329"/>
      <c r="I40" s="327">
        <f>SUM(I8:I38)</f>
        <v>0</v>
      </c>
      <c r="J40" s="328">
        <f>I40/B40</f>
        <v>0</v>
      </c>
      <c r="K40" s="328">
        <f>I40/C40</f>
        <v>0</v>
      </c>
      <c r="L40" s="330"/>
      <c r="M40" s="327">
        <f>SUM(M8:M38)</f>
        <v>2400</v>
      </c>
      <c r="N40" s="328">
        <f>M40/B40</f>
        <v>1.2482706250715152</v>
      </c>
      <c r="O40" s="328">
        <f>M40/C40</f>
        <v>1.2865066359620416</v>
      </c>
      <c r="P40" s="331"/>
      <c r="Q40" s="327">
        <f>SUM(Q8:Q38)</f>
        <v>528720.41000000015</v>
      </c>
      <c r="R40" s="328">
        <f>Q40/B40</f>
        <v>274.99423194948668</v>
      </c>
      <c r="S40" s="328">
        <f>Q40/C40</f>
        <v>283.41763168065484</v>
      </c>
      <c r="T40" s="332"/>
      <c r="U40" s="333">
        <f>SUM(U8:U38)</f>
        <v>177599.99999999948</v>
      </c>
      <c r="V40" s="328">
        <f>U40/B40</f>
        <v>92.372026255291857</v>
      </c>
      <c r="W40" s="328">
        <f>U40/C40</f>
        <v>95.201491061190794</v>
      </c>
      <c r="X40" s="334"/>
      <c r="Y40" s="333">
        <f>SUM(Y8:Y38)</f>
        <v>416939.20999999903</v>
      </c>
      <c r="Z40" s="328">
        <f>Y40/B40</f>
        <v>216.85540345146774</v>
      </c>
      <c r="AA40" s="328">
        <f>Y40/C40</f>
        <v>223.49794185740416</v>
      </c>
      <c r="AB40" s="334"/>
      <c r="AC40" s="333">
        <f>SUM(AC8:AC38)</f>
        <v>194399.20999999889</v>
      </c>
      <c r="AD40" s="409">
        <f>AC40/B40</f>
        <v>101.10950974171141</v>
      </c>
      <c r="AE40" s="328">
        <f>AC40/C40</f>
        <v>104.20661403782377</v>
      </c>
      <c r="AF40" s="334"/>
      <c r="AG40" s="333">
        <f>SUM(AG8:AG38)</f>
        <v>337299.9999999993</v>
      </c>
      <c r="AH40" s="328">
        <f>AG40/B40</f>
        <v>175.43403409859218</v>
      </c>
      <c r="AI40" s="328">
        <f>AG40/C40</f>
        <v>180.80778679583156</v>
      </c>
      <c r="AJ40" s="334"/>
      <c r="AK40" s="333">
        <f>SUM(AK8:AK38)</f>
        <v>12200</v>
      </c>
      <c r="AL40" s="328">
        <f>AK40/B40</f>
        <v>6.345375677446869</v>
      </c>
      <c r="AM40" s="328">
        <f>AK40/C40</f>
        <v>6.539742066140378</v>
      </c>
      <c r="AN40" s="334"/>
      <c r="AO40" s="333">
        <f>SUM(AO8:AO38)</f>
        <v>17900</v>
      </c>
      <c r="AP40" s="328">
        <f>AO40/B40</f>
        <v>9.3100184119917184</v>
      </c>
      <c r="AQ40" s="328">
        <f>AO40/C40</f>
        <v>9.5951953265502272</v>
      </c>
      <c r="AR40" s="321">
        <f>E40+I40+M40+Q40+U40+Y40+AC40+AG40+AK40+AO40</f>
        <v>1697838.4199999967</v>
      </c>
      <c r="AS40" s="409">
        <f>AR40/B40</f>
        <v>883.06742741826235</v>
      </c>
      <c r="AT40" s="330">
        <f>AR40/C40</f>
        <v>910.11683088387645</v>
      </c>
    </row>
    <row r="41" spans="1:46">
      <c r="T41" s="335"/>
      <c r="AP41" s="383"/>
    </row>
    <row r="42" spans="1:46">
      <c r="AR42" s="5">
        <f>+AR40-[13]DailyAug!$N$38</f>
        <v>0</v>
      </c>
    </row>
    <row r="43" spans="1:46">
      <c r="G43" s="336"/>
      <c r="H43" s="337"/>
    </row>
    <row r="44" spans="1:46">
      <c r="G44" s="336"/>
      <c r="I44" s="336"/>
      <c r="L44" s="336"/>
    </row>
    <row r="45" spans="1:46">
      <c r="E45" t="s">
        <v>0</v>
      </c>
      <c r="G45" s="336"/>
    </row>
  </sheetData>
  <mergeCells count="16">
    <mergeCell ref="A2:AR2"/>
    <mergeCell ref="A4:A6"/>
    <mergeCell ref="B4:B6"/>
    <mergeCell ref="C4:C6"/>
    <mergeCell ref="D5:G5"/>
    <mergeCell ref="AB5:AE5"/>
    <mergeCell ref="AF5:AI5"/>
    <mergeCell ref="AN5:AQ5"/>
    <mergeCell ref="H5:K5"/>
    <mergeCell ref="AR4:AT5"/>
    <mergeCell ref="P5:S5"/>
    <mergeCell ref="L5:O5"/>
    <mergeCell ref="T5:W5"/>
    <mergeCell ref="X5:AA5"/>
    <mergeCell ref="AJ5:AM5"/>
    <mergeCell ref="D4:AQ4"/>
  </mergeCells>
  <phoneticPr fontId="31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topLeftCell="A104" zoomScale="90" zoomScaleNormal="90" workbookViewId="0">
      <selection activeCell="A124" sqref="A124"/>
    </sheetView>
  </sheetViews>
  <sheetFormatPr defaultRowHeight="12.75"/>
  <cols>
    <col min="1" max="1" width="10.140625" bestFit="1" customWidth="1"/>
    <col min="2" max="2" width="11.85546875" bestFit="1" customWidth="1"/>
    <col min="4" max="4" width="22.28515625" customWidth="1"/>
  </cols>
  <sheetData>
    <row r="1" spans="1:9">
      <c r="A1" s="101" t="s">
        <v>148</v>
      </c>
      <c r="B1" s="342">
        <f>+Report1!A9</f>
        <v>45870</v>
      </c>
      <c r="C1" s="102"/>
      <c r="G1" s="103"/>
      <c r="H1" s="104"/>
    </row>
    <row r="2" spans="1:9" ht="13.5" thickBot="1">
      <c r="A2" s="101"/>
      <c r="B2" s="102"/>
      <c r="C2" s="102"/>
      <c r="G2" s="103"/>
      <c r="H2" s="104"/>
    </row>
    <row r="3" spans="1:9" ht="26.25" thickBot="1">
      <c r="A3" s="560" t="s">
        <v>121</v>
      </c>
      <c r="B3" s="561" t="s">
        <v>9</v>
      </c>
      <c r="C3" s="561" t="s">
        <v>94</v>
      </c>
      <c r="D3" s="561" t="s">
        <v>122</v>
      </c>
      <c r="E3" s="561" t="s">
        <v>123</v>
      </c>
      <c r="F3" s="561" t="s">
        <v>124</v>
      </c>
      <c r="G3" s="562" t="s">
        <v>125</v>
      </c>
      <c r="H3" s="563" t="s">
        <v>126</v>
      </c>
      <c r="I3" s="595" t="s">
        <v>426</v>
      </c>
    </row>
    <row r="4" spans="1:9">
      <c r="A4" s="556">
        <f>+B1</f>
        <v>45870</v>
      </c>
      <c r="B4" s="412" t="s">
        <v>504</v>
      </c>
      <c r="C4" s="557">
        <v>1</v>
      </c>
      <c r="D4" s="558" t="s">
        <v>408</v>
      </c>
      <c r="E4" s="558">
        <f>133*2</f>
        <v>266</v>
      </c>
      <c r="F4" s="559">
        <v>14</v>
      </c>
      <c r="G4" s="557">
        <f>+E4*F4</f>
        <v>3724</v>
      </c>
      <c r="H4" s="564">
        <f>+G4/F4</f>
        <v>266</v>
      </c>
      <c r="I4" s="414">
        <f>+'1'!I38</f>
        <v>10.018000000000001</v>
      </c>
    </row>
    <row r="5" spans="1:9" ht="13.5" thickBot="1">
      <c r="A5" s="384"/>
      <c r="B5" s="413"/>
      <c r="C5" s="385"/>
      <c r="D5" s="386"/>
      <c r="E5" s="385"/>
      <c r="F5" s="385"/>
      <c r="G5" s="385"/>
      <c r="H5" s="415"/>
      <c r="I5" s="415"/>
    </row>
    <row r="6" spans="1:9">
      <c r="A6" s="556">
        <v>45871</v>
      </c>
      <c r="B6" s="412" t="s">
        <v>504</v>
      </c>
      <c r="C6" s="557">
        <v>1</v>
      </c>
      <c r="D6" s="558" t="s">
        <v>408</v>
      </c>
      <c r="E6" s="558">
        <f>133*2</f>
        <v>266</v>
      </c>
      <c r="F6" s="559">
        <v>77</v>
      </c>
      <c r="G6" s="557">
        <f>+E6*F6</f>
        <v>20482</v>
      </c>
      <c r="H6" s="564">
        <f>+G6/F6</f>
        <v>266</v>
      </c>
      <c r="I6" s="414">
        <f>+'2'!I38</f>
        <v>46.855999999999995</v>
      </c>
    </row>
    <row r="7" spans="1:9" ht="13.5" thickBot="1">
      <c r="A7" s="384"/>
      <c r="B7" s="413"/>
      <c r="C7" s="385"/>
      <c r="D7" s="386"/>
      <c r="E7" s="385"/>
      <c r="F7" s="385"/>
      <c r="G7" s="385"/>
      <c r="H7" s="415"/>
      <c r="I7" s="415"/>
    </row>
    <row r="8" spans="1:9">
      <c r="A8" s="556">
        <v>45872</v>
      </c>
      <c r="B8" s="412" t="s">
        <v>504</v>
      </c>
      <c r="C8" s="557">
        <v>1</v>
      </c>
      <c r="D8" s="558" t="s">
        <v>408</v>
      </c>
      <c r="E8" s="558">
        <f>133*2</f>
        <v>266</v>
      </c>
      <c r="F8" s="559">
        <v>76</v>
      </c>
      <c r="G8" s="557">
        <f>+E8*F8</f>
        <v>20216</v>
      </c>
      <c r="H8" s="564">
        <f>+G8/F8</f>
        <v>266</v>
      </c>
      <c r="I8" s="414">
        <f>+'3'!L38</f>
        <v>46.433000000000007</v>
      </c>
    </row>
    <row r="9" spans="1:9">
      <c r="A9" s="556"/>
      <c r="B9" s="412" t="s">
        <v>505</v>
      </c>
      <c r="C9" s="605">
        <v>1</v>
      </c>
      <c r="D9" s="555" t="s">
        <v>506</v>
      </c>
      <c r="E9" s="555">
        <f>140+60*2</f>
        <v>260</v>
      </c>
      <c r="F9" s="555">
        <v>10</v>
      </c>
      <c r="G9" s="557">
        <f>+E9*F9</f>
        <v>2600</v>
      </c>
      <c r="H9" s="564">
        <f>+G9/F9</f>
        <v>260</v>
      </c>
      <c r="I9" s="414">
        <f>+'3'!L39</f>
        <v>6.89</v>
      </c>
    </row>
    <row r="10" spans="1:9" ht="13.5" thickBot="1">
      <c r="A10" s="384"/>
      <c r="B10" s="413"/>
      <c r="C10" s="385"/>
      <c r="D10" s="386"/>
      <c r="E10" s="385"/>
      <c r="F10" s="385"/>
      <c r="G10" s="385"/>
      <c r="H10" s="415"/>
      <c r="I10" s="415"/>
    </row>
    <row r="11" spans="1:9">
      <c r="A11" s="556">
        <v>45873</v>
      </c>
      <c r="B11" s="412" t="s">
        <v>505</v>
      </c>
      <c r="C11" s="605">
        <v>1</v>
      </c>
      <c r="D11" s="555" t="s">
        <v>506</v>
      </c>
      <c r="E11" s="555">
        <f>140+60*2</f>
        <v>260</v>
      </c>
      <c r="F11" s="555">
        <f>9+9+10+2+10+3</f>
        <v>43</v>
      </c>
      <c r="G11" s="557">
        <f>+E11*F11</f>
        <v>11180</v>
      </c>
      <c r="H11" s="564">
        <f>+(E11*F11+E12*F12)/(SUM(F11:F12))</f>
        <v>264.65168539325845</v>
      </c>
      <c r="I11" s="414">
        <f>+'4'!I38</f>
        <v>53.478000000000002</v>
      </c>
    </row>
    <row r="12" spans="1:9">
      <c r="B12" s="412" t="s">
        <v>505</v>
      </c>
      <c r="C12" s="605">
        <v>1</v>
      </c>
      <c r="D12" s="555" t="s">
        <v>527</v>
      </c>
      <c r="E12" s="555">
        <f>140+129</f>
        <v>269</v>
      </c>
      <c r="F12">
        <f>5+7+18+16</f>
        <v>46</v>
      </c>
      <c r="G12" s="557">
        <f>+E12*F12</f>
        <v>12374</v>
      </c>
      <c r="H12" s="564"/>
      <c r="I12" s="414"/>
    </row>
    <row r="13" spans="1:9" ht="13.5" thickBot="1">
      <c r="A13" s="384"/>
      <c r="B13" s="413"/>
      <c r="C13" s="385"/>
      <c r="D13" s="386"/>
      <c r="E13" s="385"/>
      <c r="F13" s="385"/>
      <c r="G13" s="385"/>
      <c r="H13" s="415"/>
      <c r="I13" s="415"/>
    </row>
    <row r="14" spans="1:9">
      <c r="A14" s="556">
        <v>45874</v>
      </c>
      <c r="B14" s="412" t="s">
        <v>505</v>
      </c>
      <c r="C14" s="605">
        <v>1</v>
      </c>
      <c r="D14" s="555" t="s">
        <v>527</v>
      </c>
      <c r="E14" s="555">
        <f>140+129</f>
        <v>269</v>
      </c>
      <c r="F14">
        <f>14+6+5+7+5</f>
        <v>37</v>
      </c>
      <c r="G14" s="557">
        <f>+E14*F14</f>
        <v>9953</v>
      </c>
      <c r="H14" s="564">
        <f>+(E14*F14+E15*F15)/(SUM(F14:F15))</f>
        <v>262.32499999999999</v>
      </c>
      <c r="I14" s="414">
        <f>+'5'!L37</f>
        <v>22.97</v>
      </c>
    </row>
    <row r="15" spans="1:9">
      <c r="B15" s="412" t="s">
        <v>505</v>
      </c>
      <c r="C15" s="605">
        <v>1</v>
      </c>
      <c r="D15" s="555" t="s">
        <v>544</v>
      </c>
      <c r="E15">
        <f>60*3</f>
        <v>180</v>
      </c>
      <c r="F15">
        <v>3</v>
      </c>
      <c r="G15" s="557">
        <f>+E15*F15</f>
        <v>540</v>
      </c>
      <c r="H15" s="564"/>
      <c r="I15" s="414"/>
    </row>
    <row r="16" spans="1:9">
      <c r="B16" s="412" t="s">
        <v>536</v>
      </c>
      <c r="C16" s="605">
        <v>1</v>
      </c>
      <c r="D16" s="555" t="s">
        <v>545</v>
      </c>
      <c r="E16" s="555">
        <f>91*2+76+14</f>
        <v>272</v>
      </c>
      <c r="F16">
        <f>2+4+5+8+12</f>
        <v>31</v>
      </c>
      <c r="G16" s="557">
        <f>+E16*F16</f>
        <v>8432</v>
      </c>
      <c r="H16" s="564">
        <f>+(E16*F16+E17*F17)/(SUM(F16:F17))</f>
        <v>269.39130434782606</v>
      </c>
      <c r="I16" s="414">
        <f>+'5'!L38</f>
        <v>39.133000000000003</v>
      </c>
    </row>
    <row r="17" spans="1:9">
      <c r="B17" s="412" t="s">
        <v>536</v>
      </c>
      <c r="C17" s="605">
        <v>1</v>
      </c>
      <c r="D17" s="555" t="s">
        <v>546</v>
      </c>
      <c r="E17" s="555">
        <f>53*2+79*2</f>
        <v>264</v>
      </c>
      <c r="F17">
        <f>9+6</f>
        <v>15</v>
      </c>
      <c r="G17" s="557">
        <f>+E17*F17</f>
        <v>3960</v>
      </c>
      <c r="H17" s="564"/>
      <c r="I17" s="414"/>
    </row>
    <row r="18" spans="1:9">
      <c r="B18" s="606" t="s">
        <v>547</v>
      </c>
      <c r="C18" s="605">
        <v>1</v>
      </c>
      <c r="D18" s="555" t="s">
        <v>548</v>
      </c>
      <c r="E18" s="555">
        <f>42*5+61</f>
        <v>271</v>
      </c>
      <c r="F18">
        <v>0</v>
      </c>
      <c r="G18">
        <v>0</v>
      </c>
      <c r="H18" s="564">
        <f>+E18</f>
        <v>271</v>
      </c>
      <c r="I18" s="414">
        <f>+'5'!L39</f>
        <v>6.4889999999999999</v>
      </c>
    </row>
    <row r="19" spans="1:9" ht="13.5" thickBot="1">
      <c r="A19" s="384"/>
      <c r="B19" s="413"/>
      <c r="C19" s="385"/>
      <c r="D19" s="386"/>
      <c r="E19" s="385"/>
      <c r="F19" s="385"/>
      <c r="G19" s="385"/>
      <c r="H19" s="415"/>
      <c r="I19" s="415"/>
    </row>
    <row r="20" spans="1:9">
      <c r="A20" s="556">
        <v>45875</v>
      </c>
      <c r="B20" s="412" t="s">
        <v>547</v>
      </c>
      <c r="C20" s="605">
        <v>1</v>
      </c>
      <c r="D20" s="555" t="s">
        <v>546</v>
      </c>
      <c r="E20" s="555">
        <f>53*2+79*2</f>
        <v>264</v>
      </c>
      <c r="F20">
        <v>14</v>
      </c>
      <c r="G20" s="557">
        <f>+E20*F20</f>
        <v>3696</v>
      </c>
      <c r="H20" s="564">
        <f>+(E20*F20+E21*F21+E22*F22)/(SUM(F20:F22))</f>
        <v>266.98947368421051</v>
      </c>
      <c r="I20" s="414">
        <f>+'6'!I38</f>
        <v>78.070999999999998</v>
      </c>
    </row>
    <row r="21" spans="1:9">
      <c r="B21" s="412" t="s">
        <v>547</v>
      </c>
      <c r="C21" s="605">
        <v>1</v>
      </c>
      <c r="D21" t="s">
        <v>554</v>
      </c>
      <c r="E21">
        <f>42*2+61+72+51</f>
        <v>268</v>
      </c>
      <c r="F21">
        <f>19+16+2+14+6+4</f>
        <v>61</v>
      </c>
      <c r="G21" s="557">
        <f>+E21*F21</f>
        <v>16348</v>
      </c>
      <c r="H21" s="564"/>
      <c r="I21" s="414"/>
    </row>
    <row r="22" spans="1:9">
      <c r="B22" s="412" t="s">
        <v>547</v>
      </c>
      <c r="C22" s="605">
        <v>1</v>
      </c>
      <c r="D22" t="s">
        <v>555</v>
      </c>
      <c r="E22">
        <f>42*2+61*2+60</f>
        <v>266</v>
      </c>
      <c r="F22">
        <f>8+12</f>
        <v>20</v>
      </c>
      <c r="G22" s="557">
        <f>+E22*F22</f>
        <v>5320</v>
      </c>
      <c r="H22" s="564"/>
      <c r="I22" s="414"/>
    </row>
    <row r="23" spans="1:9" ht="13.5" thickBot="1">
      <c r="A23" s="384"/>
      <c r="B23" s="413"/>
      <c r="C23" s="385"/>
      <c r="D23" s="386"/>
      <c r="E23" s="385"/>
      <c r="F23" s="385"/>
      <c r="G23" s="385"/>
      <c r="H23" s="415"/>
      <c r="I23" s="415"/>
    </row>
    <row r="24" spans="1:9">
      <c r="A24" s="556">
        <v>45876</v>
      </c>
      <c r="B24" s="412" t="s">
        <v>547</v>
      </c>
      <c r="C24" s="605">
        <v>1</v>
      </c>
      <c r="D24" t="s">
        <v>555</v>
      </c>
      <c r="E24">
        <f>42*2+61*2+60</f>
        <v>266</v>
      </c>
      <c r="F24">
        <f>12+15+8</f>
        <v>35</v>
      </c>
      <c r="G24" s="557">
        <f>+E24*F24</f>
        <v>9310</v>
      </c>
      <c r="H24" s="564">
        <f>+(E24*F24+E25*F25)/(SUM(F24:F25))</f>
        <v>266.16666666666669</v>
      </c>
      <c r="I24" s="414">
        <f>+'7'!L37</f>
        <v>16.222000000000001</v>
      </c>
    </row>
    <row r="25" spans="1:9">
      <c r="B25" s="412" t="s">
        <v>547</v>
      </c>
      <c r="C25" s="605">
        <v>1</v>
      </c>
      <c r="D25" t="s">
        <v>572</v>
      </c>
      <c r="E25">
        <f>42*2+61*3</f>
        <v>267</v>
      </c>
      <c r="F25">
        <v>7</v>
      </c>
      <c r="G25" s="557">
        <f>+E25*F25</f>
        <v>1869</v>
      </c>
      <c r="H25" s="564"/>
      <c r="I25" s="414"/>
    </row>
    <row r="26" spans="1:9">
      <c r="B26" s="412" t="s">
        <v>571</v>
      </c>
      <c r="C26" s="605">
        <v>1</v>
      </c>
      <c r="D26" t="s">
        <v>572</v>
      </c>
      <c r="E26">
        <f>42*2+61*3</f>
        <v>267</v>
      </c>
      <c r="F26">
        <f>16+15+14</f>
        <v>45</v>
      </c>
      <c r="G26" s="557">
        <f>+E26*F26</f>
        <v>12015</v>
      </c>
      <c r="H26" s="564">
        <f>+G26/F26</f>
        <v>267</v>
      </c>
      <c r="I26" s="414">
        <f>+'7'!L38</f>
        <v>49.577000000000005</v>
      </c>
    </row>
    <row r="27" spans="1:9" ht="13.5" thickBot="1">
      <c r="A27" s="384"/>
      <c r="B27" s="413"/>
      <c r="C27" s="385"/>
      <c r="D27" s="386"/>
      <c r="E27" s="385"/>
      <c r="F27" s="385"/>
      <c r="G27" s="385"/>
      <c r="H27" s="415"/>
      <c r="I27" s="415"/>
    </row>
    <row r="28" spans="1:9">
      <c r="A28" s="556">
        <v>45877</v>
      </c>
      <c r="B28" s="412" t="s">
        <v>571</v>
      </c>
      <c r="C28" s="605">
        <v>1</v>
      </c>
      <c r="D28" t="s">
        <v>572</v>
      </c>
      <c r="E28">
        <f>42*2+61*3</f>
        <v>267</v>
      </c>
      <c r="F28">
        <v>86</v>
      </c>
      <c r="G28" s="557">
        <f>+E28*F28</f>
        <v>22962</v>
      </c>
      <c r="H28" s="564">
        <f>+G28/F28</f>
        <v>267</v>
      </c>
      <c r="I28" s="414">
        <f>+'8'!I38</f>
        <v>68.445000000000007</v>
      </c>
    </row>
    <row r="29" spans="1:9" ht="13.5" thickBot="1">
      <c r="A29" s="384"/>
      <c r="B29" s="413"/>
      <c r="C29" s="385"/>
      <c r="D29" s="386"/>
      <c r="E29" s="385"/>
      <c r="F29" s="385"/>
      <c r="G29" s="385"/>
      <c r="H29" s="415"/>
      <c r="I29" s="415"/>
    </row>
    <row r="30" spans="1:9">
      <c r="A30" s="556">
        <v>45878</v>
      </c>
      <c r="B30" s="412" t="s">
        <v>571</v>
      </c>
      <c r="C30" s="605">
        <v>1</v>
      </c>
      <c r="D30" t="s">
        <v>572</v>
      </c>
      <c r="E30">
        <f>42*2+61*3</f>
        <v>267</v>
      </c>
      <c r="F30">
        <f>7+7+7+7+2+7+7</f>
        <v>44</v>
      </c>
      <c r="G30" s="557">
        <f>+E30*F30</f>
        <v>11748</v>
      </c>
      <c r="H30" s="564">
        <f>+(E30*F30+E31*F31)/(SUM(F30:F31))</f>
        <v>267.90476190476193</v>
      </c>
      <c r="I30" s="414">
        <f>+'9'!I38</f>
        <v>72.554000000000002</v>
      </c>
    </row>
    <row r="31" spans="1:9">
      <c r="A31" s="556"/>
      <c r="B31" s="412" t="s">
        <v>571</v>
      </c>
      <c r="C31" s="605">
        <v>1</v>
      </c>
      <c r="D31" t="s">
        <v>598</v>
      </c>
      <c r="E31">
        <f>42*2+62*3</f>
        <v>270</v>
      </c>
      <c r="F31">
        <f>5+7+7</f>
        <v>19</v>
      </c>
      <c r="G31" s="557">
        <f>+E31*F31</f>
        <v>5130</v>
      </c>
      <c r="H31" s="564"/>
      <c r="I31" s="414"/>
    </row>
    <row r="32" spans="1:9">
      <c r="A32" s="556"/>
      <c r="B32" s="412" t="s">
        <v>536</v>
      </c>
      <c r="C32" s="605">
        <v>1</v>
      </c>
      <c r="D32" t="s">
        <v>597</v>
      </c>
      <c r="E32">
        <f>130*2</f>
        <v>260</v>
      </c>
      <c r="F32">
        <f>1+13+3+8</f>
        <v>25</v>
      </c>
      <c r="G32" s="557">
        <f>+E32*F32</f>
        <v>6500</v>
      </c>
      <c r="H32" s="564">
        <f>+G32/F32</f>
        <v>260</v>
      </c>
      <c r="I32" s="414"/>
    </row>
    <row r="33" spans="1:9" ht="13.5" thickBot="1">
      <c r="A33" s="384"/>
      <c r="B33" s="413"/>
      <c r="C33" s="385"/>
      <c r="D33" s="386"/>
      <c r="E33" s="385"/>
      <c r="F33" s="385"/>
      <c r="G33" s="385"/>
      <c r="H33" s="415"/>
      <c r="I33" s="415"/>
    </row>
    <row r="34" spans="1:9">
      <c r="A34" s="556">
        <v>45879</v>
      </c>
      <c r="B34" s="412" t="s">
        <v>536</v>
      </c>
      <c r="C34" s="605">
        <v>1</v>
      </c>
      <c r="D34" t="s">
        <v>597</v>
      </c>
      <c r="E34">
        <f>130*2</f>
        <v>260</v>
      </c>
      <c r="F34">
        <f>13+13+3+3+14+3+2+14+14+13+2</f>
        <v>94</v>
      </c>
      <c r="G34" s="557">
        <f>+E34*F34</f>
        <v>24440</v>
      </c>
      <c r="H34" s="564">
        <f>+G34/F34</f>
        <v>260</v>
      </c>
      <c r="I34" s="414">
        <f>+'10'!I38</f>
        <v>77.882000000000005</v>
      </c>
    </row>
    <row r="35" spans="1:9" ht="13.5" thickBot="1">
      <c r="A35" s="384"/>
      <c r="B35" s="413"/>
      <c r="C35" s="385"/>
      <c r="D35" s="386"/>
      <c r="E35" s="385"/>
      <c r="F35" s="385"/>
      <c r="G35" s="385"/>
      <c r="H35" s="415"/>
      <c r="I35" s="415"/>
    </row>
    <row r="36" spans="1:9">
      <c r="A36" s="556">
        <v>45880</v>
      </c>
      <c r="B36" s="412" t="s">
        <v>536</v>
      </c>
      <c r="C36" s="605">
        <v>1</v>
      </c>
      <c r="D36" t="s">
        <v>597</v>
      </c>
      <c r="E36">
        <f>130*2</f>
        <v>260</v>
      </c>
      <c r="F36">
        <v>11</v>
      </c>
      <c r="G36" s="557">
        <f t="shared" ref="G36:G41" si="0">+E36*F36</f>
        <v>2860</v>
      </c>
      <c r="H36" s="564">
        <f>+(E36*F36+E37*F37)/(SUM(F36:F37))</f>
        <v>260.30769230769232</v>
      </c>
      <c r="I36" s="414">
        <f>+'11'!N38</f>
        <v>23.667999999999996</v>
      </c>
    </row>
    <row r="37" spans="1:9">
      <c r="B37" s="412" t="s">
        <v>536</v>
      </c>
      <c r="C37" s="605">
        <v>1</v>
      </c>
      <c r="D37" t="s">
        <v>622</v>
      </c>
      <c r="E37">
        <f>60*4+22</f>
        <v>262</v>
      </c>
      <c r="F37">
        <v>2</v>
      </c>
      <c r="G37" s="557">
        <f t="shared" si="0"/>
        <v>524</v>
      </c>
      <c r="H37" s="564"/>
      <c r="I37" s="414"/>
    </row>
    <row r="38" spans="1:9">
      <c r="B38" s="412" t="s">
        <v>623</v>
      </c>
      <c r="C38" s="605">
        <v>1</v>
      </c>
      <c r="D38" t="s">
        <v>624</v>
      </c>
      <c r="E38">
        <f>271*1</f>
        <v>271</v>
      </c>
      <c r="F38">
        <f>11+5</f>
        <v>16</v>
      </c>
      <c r="G38" s="557">
        <f t="shared" si="0"/>
        <v>4336</v>
      </c>
      <c r="H38" s="564">
        <f>+(E38*F38+E39*F39)/(SUM(F38:F39))</f>
        <v>270.76190476190476</v>
      </c>
      <c r="I38" s="414">
        <f>+'11'!N39</f>
        <v>26.715</v>
      </c>
    </row>
    <row r="39" spans="1:9">
      <c r="B39" s="412" t="s">
        <v>623</v>
      </c>
      <c r="C39" s="605">
        <v>1</v>
      </c>
      <c r="D39" t="s">
        <v>625</v>
      </c>
      <c r="E39">
        <f>90*3</f>
        <v>270</v>
      </c>
      <c r="F39">
        <v>5</v>
      </c>
      <c r="G39" s="557">
        <f t="shared" si="0"/>
        <v>1350</v>
      </c>
      <c r="H39" s="564"/>
      <c r="I39" s="414"/>
    </row>
    <row r="40" spans="1:9">
      <c r="B40" s="606" t="s">
        <v>547</v>
      </c>
      <c r="C40" s="605">
        <v>1</v>
      </c>
      <c r="D40" s="555" t="s">
        <v>626</v>
      </c>
      <c r="E40" s="555">
        <f>51*2+60+61+42</f>
        <v>265</v>
      </c>
      <c r="F40">
        <v>1</v>
      </c>
      <c r="G40" s="557">
        <f t="shared" si="0"/>
        <v>265</v>
      </c>
      <c r="H40" s="564">
        <f>+(E40*F40+E41*F41)/(SUM(F40:F41))</f>
        <v>270.79310344827587</v>
      </c>
      <c r="I40" s="414">
        <f>+'11'!N40</f>
        <v>27.157</v>
      </c>
    </row>
    <row r="41" spans="1:9">
      <c r="B41" s="606" t="s">
        <v>547</v>
      </c>
      <c r="C41" s="605">
        <v>1</v>
      </c>
      <c r="D41" s="555" t="s">
        <v>548</v>
      </c>
      <c r="E41">
        <f>42*5+61</f>
        <v>271</v>
      </c>
      <c r="F41">
        <f>15+13</f>
        <v>28</v>
      </c>
      <c r="G41" s="557">
        <f t="shared" si="0"/>
        <v>7588</v>
      </c>
      <c r="H41" s="564"/>
      <c r="I41" s="414"/>
    </row>
    <row r="42" spans="1:9" ht="13.5" thickBot="1">
      <c r="A42" s="384"/>
      <c r="B42" s="413"/>
      <c r="C42" s="385"/>
      <c r="D42" s="386"/>
      <c r="E42" s="385"/>
      <c r="F42" s="385"/>
      <c r="G42" s="385"/>
      <c r="H42" s="415"/>
      <c r="I42" s="415"/>
    </row>
    <row r="43" spans="1:9">
      <c r="A43" s="556">
        <v>45881</v>
      </c>
      <c r="B43" s="606" t="s">
        <v>547</v>
      </c>
      <c r="C43" s="605">
        <v>1</v>
      </c>
      <c r="D43" s="555" t="s">
        <v>548</v>
      </c>
      <c r="E43">
        <f>42*5+61</f>
        <v>271</v>
      </c>
      <c r="F43">
        <f>3+5</f>
        <v>8</v>
      </c>
      <c r="G43" s="557">
        <f t="shared" ref="G43:G49" si="1">+E43*F43</f>
        <v>2168</v>
      </c>
      <c r="H43" s="564">
        <f>+G43/F43</f>
        <v>271</v>
      </c>
      <c r="I43" s="414">
        <f>+'12'!L37</f>
        <v>3.4740000000000002</v>
      </c>
    </row>
    <row r="44" spans="1:9">
      <c r="B44" s="606" t="s">
        <v>536</v>
      </c>
      <c r="C44" s="605">
        <v>1</v>
      </c>
      <c r="D44" s="555" t="s">
        <v>637</v>
      </c>
      <c r="E44" s="555">
        <f>22+60*4</f>
        <v>262</v>
      </c>
      <c r="F44">
        <v>5</v>
      </c>
      <c r="G44" s="605">
        <f t="shared" si="1"/>
        <v>1310</v>
      </c>
      <c r="H44" s="564">
        <f>+G44/F44</f>
        <v>262</v>
      </c>
      <c r="I44" s="414">
        <f>+'12'!L38</f>
        <v>3.4740000000000002</v>
      </c>
    </row>
    <row r="45" spans="1:9">
      <c r="B45" s="606" t="s">
        <v>623</v>
      </c>
      <c r="C45" s="605">
        <v>1</v>
      </c>
      <c r="D45" s="555" t="s">
        <v>624</v>
      </c>
      <c r="E45" s="555">
        <f>271*1</f>
        <v>271</v>
      </c>
      <c r="F45">
        <f>4+13+6</f>
        <v>23</v>
      </c>
      <c r="G45" s="605">
        <f t="shared" si="1"/>
        <v>6233</v>
      </c>
      <c r="H45" s="564">
        <f>+(E45*F45+E46*F46+E47*F47+E48*F48+E49*F49)/(SUM(F45:F49))</f>
        <v>268.37704918032784</v>
      </c>
      <c r="I45" s="414">
        <f>+'12'!L39</f>
        <v>71.877999999999986</v>
      </c>
    </row>
    <row r="46" spans="1:9">
      <c r="B46" s="412" t="s">
        <v>639</v>
      </c>
      <c r="C46" s="605">
        <v>1</v>
      </c>
      <c r="D46" t="s">
        <v>625</v>
      </c>
      <c r="E46">
        <f>90*3</f>
        <v>270</v>
      </c>
      <c r="F46">
        <v>3</v>
      </c>
      <c r="G46" s="557">
        <f t="shared" si="1"/>
        <v>810</v>
      </c>
      <c r="H46" s="564"/>
      <c r="I46" s="414"/>
    </row>
    <row r="47" spans="1:9">
      <c r="B47" s="412" t="s">
        <v>623</v>
      </c>
      <c r="C47" s="605">
        <v>1</v>
      </c>
      <c r="D47" t="s">
        <v>638</v>
      </c>
      <c r="E47">
        <v>264</v>
      </c>
      <c r="F47">
        <f>5+12</f>
        <v>17</v>
      </c>
      <c r="G47" s="557">
        <f t="shared" si="1"/>
        <v>4488</v>
      </c>
      <c r="H47" s="564"/>
      <c r="I47" s="414"/>
    </row>
    <row r="48" spans="1:9">
      <c r="B48" s="606" t="s">
        <v>640</v>
      </c>
      <c r="C48" s="605">
        <v>1</v>
      </c>
      <c r="D48" t="s">
        <v>641</v>
      </c>
      <c r="E48">
        <f>92.5*2+83</f>
        <v>268</v>
      </c>
      <c r="F48">
        <f>6+4</f>
        <v>10</v>
      </c>
      <c r="G48" s="557">
        <f t="shared" si="1"/>
        <v>2680</v>
      </c>
      <c r="H48" s="564"/>
      <c r="I48" s="414"/>
    </row>
    <row r="49" spans="1:9">
      <c r="B49" s="412" t="s">
        <v>623</v>
      </c>
      <c r="C49" s="605">
        <v>1</v>
      </c>
      <c r="D49" t="s">
        <v>642</v>
      </c>
      <c r="E49">
        <v>270</v>
      </c>
      <c r="F49">
        <v>8</v>
      </c>
      <c r="G49" s="557">
        <f t="shared" si="1"/>
        <v>2160</v>
      </c>
      <c r="H49" s="564"/>
      <c r="I49" s="414"/>
    </row>
    <row r="50" spans="1:9" ht="13.5" thickBot="1">
      <c r="A50" s="384"/>
      <c r="B50" s="413"/>
      <c r="C50" s="385"/>
      <c r="D50" s="386"/>
      <c r="E50" s="385"/>
      <c r="F50" s="385"/>
      <c r="G50" s="385"/>
      <c r="H50" s="415"/>
      <c r="I50" s="415"/>
    </row>
    <row r="51" spans="1:9">
      <c r="A51" s="556">
        <v>45882</v>
      </c>
      <c r="B51" s="606" t="s">
        <v>623</v>
      </c>
      <c r="C51" s="605">
        <v>1</v>
      </c>
      <c r="D51" t="s">
        <v>641</v>
      </c>
      <c r="E51">
        <f>92.5*2+83</f>
        <v>268</v>
      </c>
      <c r="F51">
        <f>11+2+7</f>
        <v>20</v>
      </c>
      <c r="G51" s="557">
        <f>+E51*F51</f>
        <v>5360</v>
      </c>
      <c r="H51" s="564">
        <f>+G51/F51</f>
        <v>268</v>
      </c>
      <c r="I51" s="414">
        <f>+'13'!L37</f>
        <v>16.939</v>
      </c>
    </row>
    <row r="52" spans="1:9">
      <c r="B52" s="412" t="s">
        <v>639</v>
      </c>
      <c r="C52" s="605">
        <v>1</v>
      </c>
      <c r="D52" t="s">
        <v>625</v>
      </c>
      <c r="E52">
        <f>90*3</f>
        <v>270</v>
      </c>
      <c r="F52">
        <f>3+2+4+1</f>
        <v>10</v>
      </c>
      <c r="G52" s="557">
        <f>+E52*F52</f>
        <v>2700</v>
      </c>
      <c r="H52" s="564">
        <f>+G52/F52</f>
        <v>270</v>
      </c>
      <c r="I52" s="414">
        <f>+'13'!L38</f>
        <v>14.016999999999999</v>
      </c>
    </row>
    <row r="53" spans="1:9">
      <c r="B53" s="606" t="s">
        <v>536</v>
      </c>
      <c r="C53" s="605">
        <v>1</v>
      </c>
      <c r="D53" t="s">
        <v>597</v>
      </c>
      <c r="E53">
        <f>130*2</f>
        <v>260</v>
      </c>
      <c r="F53">
        <v>1</v>
      </c>
      <c r="G53" s="557">
        <f>+E53*F53</f>
        <v>260</v>
      </c>
      <c r="H53" s="564">
        <f>+(E53*F53+E54*F54)/(SUM(F53:F54))</f>
        <v>260.98148148148147</v>
      </c>
      <c r="I53" s="414">
        <f>+'13'!L39</f>
        <v>48.8</v>
      </c>
    </row>
    <row r="54" spans="1:9">
      <c r="B54" s="606" t="s">
        <v>652</v>
      </c>
      <c r="C54" s="605">
        <v>1</v>
      </c>
      <c r="D54" t="s">
        <v>653</v>
      </c>
      <c r="E54">
        <f>100*2+61</f>
        <v>261</v>
      </c>
      <c r="F54">
        <f>9+12+16+16</f>
        <v>53</v>
      </c>
      <c r="G54" s="557">
        <f>+E54*F54</f>
        <v>13833</v>
      </c>
      <c r="H54" s="564"/>
      <c r="I54" s="414"/>
    </row>
    <row r="55" spans="1:9" ht="13.5" thickBot="1">
      <c r="A55" s="384"/>
      <c r="B55" s="413"/>
      <c r="C55" s="385"/>
      <c r="D55" s="386"/>
      <c r="E55" s="385"/>
      <c r="F55" s="385"/>
      <c r="G55" s="385"/>
      <c r="H55" s="415"/>
      <c r="I55" s="415"/>
    </row>
    <row r="56" spans="1:9">
      <c r="A56" s="556">
        <v>45883</v>
      </c>
      <c r="B56" s="606" t="s">
        <v>652</v>
      </c>
      <c r="C56" s="605">
        <v>1</v>
      </c>
      <c r="D56" t="s">
        <v>653</v>
      </c>
      <c r="E56">
        <f>100*2+61</f>
        <v>261</v>
      </c>
      <c r="F56">
        <f>34+24</f>
        <v>58</v>
      </c>
      <c r="G56" s="557">
        <f>+E56*F56</f>
        <v>15138</v>
      </c>
      <c r="H56" s="564">
        <f>+G56/F56</f>
        <v>261</v>
      </c>
      <c r="I56" s="414">
        <f>+'14'!L37</f>
        <v>22.253</v>
      </c>
    </row>
    <row r="57" spans="1:9">
      <c r="B57" s="606" t="s">
        <v>547</v>
      </c>
      <c r="C57" s="605">
        <v>1</v>
      </c>
      <c r="D57" s="555" t="s">
        <v>548</v>
      </c>
      <c r="E57" s="555">
        <f>42*5+61</f>
        <v>271</v>
      </c>
      <c r="F57">
        <v>40</v>
      </c>
      <c r="G57" s="557">
        <f>+E57*F57</f>
        <v>10840</v>
      </c>
      <c r="H57" s="564">
        <f>+G57/F57</f>
        <v>271</v>
      </c>
      <c r="I57" s="414">
        <f>+'14'!L38</f>
        <v>53.126999999999995</v>
      </c>
    </row>
    <row r="58" spans="1:9" ht="13.5" thickBot="1">
      <c r="A58" s="384"/>
      <c r="B58" s="413"/>
      <c r="C58" s="385"/>
      <c r="D58" s="386"/>
      <c r="E58" s="385"/>
      <c r="F58" s="385"/>
      <c r="G58" s="385"/>
      <c r="H58" s="415"/>
      <c r="I58" s="415"/>
    </row>
    <row r="59" spans="1:9">
      <c r="A59" s="556">
        <v>45884</v>
      </c>
      <c r="B59" s="606" t="s">
        <v>547</v>
      </c>
      <c r="C59" s="605">
        <v>1</v>
      </c>
      <c r="D59" s="555" t="s">
        <v>548</v>
      </c>
      <c r="E59" s="555">
        <f>42*5+61</f>
        <v>271</v>
      </c>
      <c r="F59">
        <f>31+13+16</f>
        <v>60</v>
      </c>
      <c r="G59" s="557">
        <f>+E59*F59</f>
        <v>16260</v>
      </c>
      <c r="H59" s="564">
        <f>+G59/F59</f>
        <v>271</v>
      </c>
      <c r="I59" s="414">
        <f>+'15'!L37</f>
        <v>50.331000000000003</v>
      </c>
    </row>
    <row r="60" spans="1:9">
      <c r="B60" s="606" t="s">
        <v>652</v>
      </c>
      <c r="C60" s="605">
        <v>1</v>
      </c>
      <c r="D60" s="555" t="s">
        <v>659</v>
      </c>
      <c r="E60" s="555">
        <f>15+98*2+61</f>
        <v>272</v>
      </c>
      <c r="F60">
        <f>2+16+14</f>
        <v>32</v>
      </c>
      <c r="G60" s="557">
        <f>+E60*F60</f>
        <v>8704</v>
      </c>
      <c r="H60" s="564">
        <f>+G60/F60</f>
        <v>272</v>
      </c>
      <c r="I60" s="414">
        <f>+'15'!L38</f>
        <v>31.791999999999987</v>
      </c>
    </row>
    <row r="61" spans="1:9" ht="13.5" thickBot="1">
      <c r="A61" s="384"/>
      <c r="B61" s="413"/>
      <c r="C61" s="385"/>
      <c r="D61" s="386"/>
      <c r="E61" s="385"/>
      <c r="F61" s="385"/>
      <c r="G61" s="385"/>
      <c r="H61" s="415"/>
      <c r="I61" s="415"/>
    </row>
    <row r="62" spans="1:9">
      <c r="A62" s="556">
        <v>45885</v>
      </c>
      <c r="B62" s="606" t="s">
        <v>652</v>
      </c>
      <c r="C62" s="605">
        <v>1</v>
      </c>
      <c r="D62" s="555" t="s">
        <v>659</v>
      </c>
      <c r="E62" s="555">
        <f>15+98*2+61</f>
        <v>272</v>
      </c>
      <c r="F62">
        <f>16+16+16+15+14+14</f>
        <v>91</v>
      </c>
      <c r="G62" s="557">
        <f>+E62*F62</f>
        <v>24752</v>
      </c>
      <c r="H62" s="564">
        <f>+G62/F62</f>
        <v>272</v>
      </c>
      <c r="I62" s="414">
        <f>+'16'!L37</f>
        <v>59.86</v>
      </c>
    </row>
    <row r="63" spans="1:9">
      <c r="A63" s="556"/>
      <c r="B63" s="606" t="s">
        <v>536</v>
      </c>
      <c r="C63" s="605">
        <v>1</v>
      </c>
      <c r="D63" s="555" t="s">
        <v>673</v>
      </c>
      <c r="E63" s="555">
        <f>19+93+81+79</f>
        <v>272</v>
      </c>
      <c r="F63">
        <v>1</v>
      </c>
      <c r="G63" s="557">
        <f>+E63*F63</f>
        <v>272</v>
      </c>
      <c r="H63" s="564">
        <f>+G63/F63</f>
        <v>272</v>
      </c>
      <c r="I63" s="414">
        <f>+'16'!L38</f>
        <v>17.626000000000001</v>
      </c>
    </row>
    <row r="64" spans="1:9" ht="13.5" thickBot="1">
      <c r="A64" s="384"/>
      <c r="B64" s="413"/>
      <c r="C64" s="385"/>
      <c r="D64" s="386"/>
      <c r="E64" s="385"/>
      <c r="F64" s="385"/>
      <c r="G64" s="385"/>
      <c r="H64" s="415"/>
      <c r="I64" s="415"/>
    </row>
    <row r="65" spans="1:9">
      <c r="A65" s="556">
        <v>45886</v>
      </c>
      <c r="B65" s="606" t="s">
        <v>536</v>
      </c>
      <c r="C65" s="605">
        <v>1</v>
      </c>
      <c r="D65" s="555" t="s">
        <v>673</v>
      </c>
      <c r="E65" s="555">
        <f>19+93+81+79</f>
        <v>272</v>
      </c>
      <c r="F65">
        <f>12+12+4+2</f>
        <v>30</v>
      </c>
      <c r="G65" s="557">
        <f>+E65*F65</f>
        <v>8160</v>
      </c>
      <c r="H65" s="564">
        <f>+(E65*F65+E66*F66+E67*F67)/(SUM(F65:F67))</f>
        <v>270.14285714285717</v>
      </c>
      <c r="I65" s="414">
        <f>+'17'!L37</f>
        <v>46.748000000000019</v>
      </c>
    </row>
    <row r="66" spans="1:9">
      <c r="B66" s="606" t="s">
        <v>536</v>
      </c>
      <c r="C66" s="605">
        <v>1</v>
      </c>
      <c r="D66" s="555" t="s">
        <v>675</v>
      </c>
      <c r="E66" s="555">
        <f>79+101+88</f>
        <v>268</v>
      </c>
      <c r="F66">
        <v>7</v>
      </c>
      <c r="G66" s="557">
        <f>+E66*F66</f>
        <v>1876</v>
      </c>
      <c r="H66" s="564"/>
      <c r="I66" s="414"/>
    </row>
    <row r="67" spans="1:9">
      <c r="B67" s="606" t="s">
        <v>536</v>
      </c>
      <c r="C67" s="605">
        <v>1</v>
      </c>
      <c r="D67" s="555" t="s">
        <v>622</v>
      </c>
      <c r="E67" s="555">
        <f>60*4+22</f>
        <v>262</v>
      </c>
      <c r="F67">
        <v>5</v>
      </c>
      <c r="G67" s="557">
        <f>+E67*F67</f>
        <v>1310</v>
      </c>
      <c r="H67" s="564"/>
      <c r="I67" s="414"/>
    </row>
    <row r="68" spans="1:9">
      <c r="B68" s="606" t="s">
        <v>547</v>
      </c>
      <c r="C68" s="605">
        <v>1</v>
      </c>
      <c r="D68" s="555" t="s">
        <v>674</v>
      </c>
      <c r="E68" s="555">
        <f>77*2+61+51</f>
        <v>266</v>
      </c>
      <c r="F68">
        <f>10+3+1</f>
        <v>14</v>
      </c>
      <c r="G68" s="557">
        <f>+E68*F68</f>
        <v>3724</v>
      </c>
      <c r="H68" s="564">
        <f>+G68/F68</f>
        <v>266</v>
      </c>
      <c r="I68" s="414">
        <f>+'17'!L38</f>
        <v>7.7430000000000003</v>
      </c>
    </row>
    <row r="69" spans="1:9">
      <c r="B69" s="606" t="s">
        <v>677</v>
      </c>
      <c r="C69" s="605">
        <v>1</v>
      </c>
      <c r="D69" s="555" t="s">
        <v>676</v>
      </c>
      <c r="E69">
        <f>266*1</f>
        <v>266</v>
      </c>
      <c r="F69">
        <f>9+5</f>
        <v>14</v>
      </c>
      <c r="G69" s="557">
        <f>+E69*F69</f>
        <v>3724</v>
      </c>
      <c r="H69" s="564">
        <f>+G69/F69</f>
        <v>266</v>
      </c>
      <c r="I69" s="414">
        <f>+'17'!L39</f>
        <v>19.855999999999998</v>
      </c>
    </row>
    <row r="70" spans="1:9" ht="13.5" thickBot="1">
      <c r="A70" s="384"/>
      <c r="B70" s="413"/>
      <c r="C70" s="385"/>
      <c r="D70" s="386"/>
      <c r="E70" s="385"/>
      <c r="F70" s="385"/>
      <c r="G70" s="385"/>
      <c r="H70" s="415"/>
      <c r="I70" s="415"/>
    </row>
    <row r="71" spans="1:9">
      <c r="A71" s="556">
        <v>45887</v>
      </c>
      <c r="B71" s="606" t="s">
        <v>536</v>
      </c>
      <c r="C71" s="605">
        <v>1</v>
      </c>
      <c r="D71" s="555" t="s">
        <v>622</v>
      </c>
      <c r="E71" s="555">
        <f>60*4+22</f>
        <v>262</v>
      </c>
      <c r="F71">
        <v>1</v>
      </c>
      <c r="G71" s="557">
        <f>+E71*F71</f>
        <v>262</v>
      </c>
      <c r="H71" s="564">
        <f>+G71/F71</f>
        <v>262</v>
      </c>
      <c r="I71" s="608" t="s">
        <v>687</v>
      </c>
    </row>
    <row r="72" spans="1:9">
      <c r="B72" s="606" t="s">
        <v>677</v>
      </c>
      <c r="C72" s="605">
        <v>1</v>
      </c>
      <c r="D72" s="555" t="s">
        <v>676</v>
      </c>
      <c r="E72">
        <f>266*1</f>
        <v>266</v>
      </c>
      <c r="F72">
        <f>19+20+19</f>
        <v>58</v>
      </c>
      <c r="G72" s="557">
        <f>+E72*F72</f>
        <v>15428</v>
      </c>
      <c r="H72" s="564">
        <f>+G72/F72</f>
        <v>266</v>
      </c>
      <c r="I72" s="414">
        <f>+'18'!I38</f>
        <v>53.594000000000001</v>
      </c>
    </row>
    <row r="73" spans="1:9" ht="13.5" thickBot="1">
      <c r="A73" s="384"/>
      <c r="B73" s="413"/>
      <c r="C73" s="385"/>
      <c r="D73" s="386"/>
      <c r="E73" s="385"/>
      <c r="F73" s="385"/>
      <c r="G73" s="385"/>
      <c r="H73" s="415"/>
      <c r="I73" s="415"/>
    </row>
    <row r="74" spans="1:9">
      <c r="A74" s="556">
        <v>45888</v>
      </c>
      <c r="B74" s="606" t="s">
        <v>677</v>
      </c>
      <c r="C74" s="605">
        <v>1</v>
      </c>
      <c r="D74" s="555" t="s">
        <v>676</v>
      </c>
      <c r="E74">
        <f>266*1</f>
        <v>266</v>
      </c>
      <c r="F74">
        <f>13+3</f>
        <v>16</v>
      </c>
      <c r="G74" s="557">
        <f>+E74*F74</f>
        <v>4256</v>
      </c>
      <c r="H74" s="564">
        <f>+(E74*F74+E75*F75)/(SUM(F74:F75))</f>
        <v>266</v>
      </c>
      <c r="I74" s="414">
        <f>+'19'!I38</f>
        <v>55.29</v>
      </c>
    </row>
    <row r="75" spans="1:9">
      <c r="B75" s="606" t="s">
        <v>677</v>
      </c>
      <c r="C75" s="605">
        <v>1</v>
      </c>
      <c r="D75" s="555" t="s">
        <v>408</v>
      </c>
      <c r="E75" s="555">
        <f>133*2</f>
        <v>266</v>
      </c>
      <c r="F75">
        <v>44</v>
      </c>
      <c r="G75" s="557">
        <f>+E75*F75</f>
        <v>11704</v>
      </c>
      <c r="H75" s="564"/>
      <c r="I75" s="414"/>
    </row>
    <row r="76" spans="1:9" ht="13.5" thickBot="1">
      <c r="A76" s="384"/>
      <c r="B76" s="413"/>
      <c r="C76" s="385"/>
      <c r="D76" s="386"/>
      <c r="E76" s="385"/>
      <c r="F76" s="385"/>
      <c r="G76" s="385"/>
      <c r="H76" s="415"/>
      <c r="I76" s="415"/>
    </row>
    <row r="77" spans="1:9">
      <c r="A77" s="556">
        <v>45889</v>
      </c>
      <c r="B77" s="606" t="s">
        <v>677</v>
      </c>
      <c r="C77" s="605">
        <v>1</v>
      </c>
      <c r="D77" s="555" t="s">
        <v>704</v>
      </c>
      <c r="E77" s="555">
        <f>277*1</f>
        <v>277</v>
      </c>
      <c r="F77">
        <f>10+10+9</f>
        <v>29</v>
      </c>
      <c r="G77" s="557">
        <f>+E77*F77</f>
        <v>8033</v>
      </c>
      <c r="H77" s="564">
        <f>+(E77*F77+E78*F78)/(SUM(F77:F78))</f>
        <v>275.66666666666669</v>
      </c>
      <c r="I77" s="414">
        <f>+'20'!I38</f>
        <v>53.534999999999997</v>
      </c>
    </row>
    <row r="78" spans="1:9">
      <c r="B78" s="606" t="s">
        <v>677</v>
      </c>
      <c r="C78" s="605">
        <v>1</v>
      </c>
      <c r="D78" s="555" t="s">
        <v>408</v>
      </c>
      <c r="E78" s="555">
        <f>133*2</f>
        <v>266</v>
      </c>
      <c r="F78">
        <v>4</v>
      </c>
      <c r="G78" s="557">
        <f>+E78*F78</f>
        <v>1064</v>
      </c>
      <c r="H78" s="564"/>
      <c r="I78" s="414"/>
    </row>
    <row r="79" spans="1:9" ht="13.5" thickBot="1">
      <c r="A79" s="384"/>
      <c r="B79" s="413"/>
      <c r="C79" s="385"/>
      <c r="D79" s="386"/>
      <c r="E79" s="385"/>
      <c r="F79" s="385"/>
      <c r="G79" s="385"/>
      <c r="H79" s="415"/>
      <c r="I79" s="415"/>
    </row>
    <row r="80" spans="1:9">
      <c r="A80" s="556">
        <v>45890</v>
      </c>
      <c r="B80" s="606" t="s">
        <v>677</v>
      </c>
      <c r="C80" s="605">
        <v>1</v>
      </c>
      <c r="D80" s="555" t="s">
        <v>704</v>
      </c>
      <c r="E80" s="555">
        <f>277*1</f>
        <v>277</v>
      </c>
      <c r="F80">
        <v>30</v>
      </c>
      <c r="G80" s="557">
        <f>+E80*F80</f>
        <v>8310</v>
      </c>
      <c r="H80" s="564">
        <f>+G80/F80</f>
        <v>277</v>
      </c>
      <c r="I80" s="414">
        <f>+'21'!I38</f>
        <v>56.287999999999997</v>
      </c>
    </row>
    <row r="81" spans="1:9" ht="13.5" thickBot="1">
      <c r="A81" s="384"/>
      <c r="B81" s="413"/>
      <c r="C81" s="385"/>
      <c r="D81" s="386"/>
      <c r="E81" s="385"/>
      <c r="F81" s="385"/>
      <c r="G81" s="385"/>
      <c r="H81" s="415"/>
      <c r="I81" s="415"/>
    </row>
    <row r="82" spans="1:9">
      <c r="A82" s="556">
        <v>45891</v>
      </c>
      <c r="B82" s="606" t="s">
        <v>677</v>
      </c>
      <c r="C82" s="605">
        <v>1</v>
      </c>
      <c r="D82" s="555" t="s">
        <v>704</v>
      </c>
      <c r="E82" s="555">
        <f>277*1</f>
        <v>277</v>
      </c>
      <c r="F82">
        <f>8+10+10</f>
        <v>28</v>
      </c>
      <c r="G82" s="557">
        <f>+E82*F82</f>
        <v>7756</v>
      </c>
      <c r="H82" s="564">
        <f>+(E82*F82+E83*F83)/(SUM(F82:F83))</f>
        <v>275.625</v>
      </c>
      <c r="I82" s="414">
        <f>+'22'!I38</f>
        <v>54.817999999999998</v>
      </c>
    </row>
    <row r="83" spans="1:9">
      <c r="B83" s="606" t="s">
        <v>677</v>
      </c>
      <c r="C83" s="605">
        <v>1</v>
      </c>
      <c r="D83" s="555" t="s">
        <v>676</v>
      </c>
      <c r="E83" s="555">
        <f>266*1</f>
        <v>266</v>
      </c>
      <c r="F83">
        <f>1+3</f>
        <v>4</v>
      </c>
      <c r="G83" s="557">
        <f>+E83*F83</f>
        <v>1064</v>
      </c>
      <c r="H83" s="564"/>
      <c r="I83" s="414"/>
    </row>
    <row r="84" spans="1:9" ht="13.5" thickBot="1">
      <c r="A84" s="384"/>
      <c r="B84" s="413"/>
      <c r="C84" s="385"/>
      <c r="D84" s="386"/>
      <c r="E84" s="385"/>
      <c r="F84" s="385"/>
      <c r="G84" s="385"/>
      <c r="H84" s="415"/>
      <c r="I84" s="415"/>
    </row>
    <row r="85" spans="1:9">
      <c r="A85" s="556">
        <v>45892</v>
      </c>
      <c r="B85" s="606" t="s">
        <v>677</v>
      </c>
      <c r="C85" s="605">
        <v>1</v>
      </c>
      <c r="D85" s="555" t="s">
        <v>704</v>
      </c>
      <c r="E85" s="555">
        <f>277*1</f>
        <v>277</v>
      </c>
      <c r="F85">
        <v>4</v>
      </c>
      <c r="G85" s="557">
        <f>+E85*F85</f>
        <v>1108</v>
      </c>
      <c r="H85" s="564">
        <f>+(E85*F85+E86*F86)/(SUM(F85:F86))</f>
        <v>274.8</v>
      </c>
      <c r="I85" s="414">
        <f>+'23'!L37</f>
        <v>7.4369999999999994</v>
      </c>
    </row>
    <row r="86" spans="1:9">
      <c r="B86" s="606" t="s">
        <v>677</v>
      </c>
      <c r="C86" s="605">
        <v>1</v>
      </c>
      <c r="D86" s="555" t="s">
        <v>676</v>
      </c>
      <c r="E86" s="555">
        <f>266*1</f>
        <v>266</v>
      </c>
      <c r="F86">
        <v>1</v>
      </c>
      <c r="G86" s="557">
        <f>+E86*F86</f>
        <v>266</v>
      </c>
      <c r="H86" s="564"/>
      <c r="I86" s="414"/>
    </row>
    <row r="87" spans="1:9">
      <c r="B87" s="606" t="s">
        <v>726</v>
      </c>
      <c r="C87" s="605">
        <v>1</v>
      </c>
      <c r="D87" s="555" t="s">
        <v>727</v>
      </c>
      <c r="E87" s="555">
        <f>15+48*4+54</f>
        <v>261</v>
      </c>
      <c r="F87">
        <f>13+29+25</f>
        <v>67</v>
      </c>
      <c r="G87" s="557">
        <f>+E87*F87</f>
        <v>17487</v>
      </c>
      <c r="H87" s="564">
        <f>+(E87*F87+E88*F88)/(SUM(F87:F88))</f>
        <v>265.39694656488547</v>
      </c>
      <c r="I87" s="414">
        <f>+'23'!L38</f>
        <v>48.14</v>
      </c>
    </row>
    <row r="88" spans="1:9">
      <c r="B88" s="606" t="s">
        <v>726</v>
      </c>
      <c r="C88" s="605">
        <v>1</v>
      </c>
      <c r="D88" s="555" t="s">
        <v>728</v>
      </c>
      <c r="E88" s="555">
        <f>48*5+15*2</f>
        <v>270</v>
      </c>
      <c r="F88">
        <f>12+30+22</f>
        <v>64</v>
      </c>
      <c r="G88" s="557">
        <f>+E88*F88</f>
        <v>17280</v>
      </c>
      <c r="H88" s="564"/>
      <c r="I88" s="414"/>
    </row>
    <row r="89" spans="1:9" ht="13.5" thickBot="1">
      <c r="A89" s="384"/>
      <c r="B89" s="413"/>
      <c r="C89" s="385"/>
      <c r="D89" s="386"/>
      <c r="E89" s="385"/>
      <c r="F89" s="385"/>
      <c r="G89" s="385"/>
      <c r="H89" s="415"/>
      <c r="I89" s="415"/>
    </row>
    <row r="90" spans="1:9">
      <c r="A90" s="556">
        <v>45893</v>
      </c>
      <c r="B90" s="606" t="s">
        <v>726</v>
      </c>
      <c r="C90" s="605">
        <v>1</v>
      </c>
      <c r="D90" s="555" t="s">
        <v>727</v>
      </c>
      <c r="E90" s="555">
        <f>15+48*4+54</f>
        <v>261</v>
      </c>
      <c r="F90">
        <f>22+29+27+5+19+32</f>
        <v>134</v>
      </c>
      <c r="G90" s="557">
        <f>+E90*F90</f>
        <v>34974</v>
      </c>
      <c r="H90" s="564">
        <f>+(E90*F90+E91*F91)/(SUM(F90:F91))</f>
        <v>262.41509433962267</v>
      </c>
      <c r="I90" s="414">
        <f>+'24'!I38</f>
        <v>50.014999999999993</v>
      </c>
    </row>
    <row r="91" spans="1:9">
      <c r="B91" s="606" t="s">
        <v>726</v>
      </c>
      <c r="C91" s="605">
        <v>1</v>
      </c>
      <c r="D91" s="555" t="s">
        <v>728</v>
      </c>
      <c r="E91" s="555">
        <f>48*5+15*2</f>
        <v>270</v>
      </c>
      <c r="F91">
        <v>25</v>
      </c>
      <c r="G91" s="557">
        <f>+E91*F91</f>
        <v>6750</v>
      </c>
      <c r="H91" s="564"/>
      <c r="I91" s="414"/>
    </row>
    <row r="92" spans="1:9" ht="13.5" thickBot="1">
      <c r="A92" s="384"/>
      <c r="B92" s="413"/>
      <c r="C92" s="385"/>
      <c r="D92" s="386"/>
      <c r="E92" s="385"/>
      <c r="F92" s="385"/>
      <c r="G92" s="385"/>
      <c r="H92" s="415"/>
      <c r="I92" s="415"/>
    </row>
    <row r="93" spans="1:9">
      <c r="A93" s="556">
        <v>45894</v>
      </c>
      <c r="B93" s="606" t="s">
        <v>726</v>
      </c>
      <c r="C93" s="605">
        <v>1</v>
      </c>
      <c r="D93" s="555" t="s">
        <v>727</v>
      </c>
      <c r="E93" s="555">
        <f>15+48*4+54</f>
        <v>261</v>
      </c>
      <c r="F93">
        <f>30+28+24+26+8+10</f>
        <v>126</v>
      </c>
      <c r="G93" s="557">
        <f>+E93*F93</f>
        <v>32886</v>
      </c>
      <c r="H93" s="564">
        <f>+(E93*F93+E94*F94)/(SUM(F93:F94))</f>
        <v>260.88732394366195</v>
      </c>
      <c r="I93" s="414">
        <f>+'25'!L37</f>
        <v>42.016999999999996</v>
      </c>
    </row>
    <row r="94" spans="1:9">
      <c r="B94" s="606" t="s">
        <v>726</v>
      </c>
      <c r="C94" s="605">
        <v>1</v>
      </c>
      <c r="D94" s="555" t="s">
        <v>736</v>
      </c>
      <c r="E94" s="555">
        <f>68+48*4</f>
        <v>260</v>
      </c>
      <c r="F94">
        <v>16</v>
      </c>
      <c r="G94" s="557">
        <f>+E94*F94</f>
        <v>4160</v>
      </c>
      <c r="H94" s="564"/>
      <c r="I94" s="414"/>
    </row>
    <row r="95" spans="1:9">
      <c r="B95" s="606" t="s">
        <v>734</v>
      </c>
      <c r="C95" s="605">
        <v>1</v>
      </c>
      <c r="D95" s="555" t="s">
        <v>735</v>
      </c>
      <c r="E95" s="555">
        <f>23+39*6</f>
        <v>257</v>
      </c>
      <c r="F95">
        <v>16</v>
      </c>
      <c r="G95" s="557">
        <f>+E95*F95</f>
        <v>4112</v>
      </c>
      <c r="H95" s="564">
        <f>+G95/F95</f>
        <v>257</v>
      </c>
      <c r="I95" s="414">
        <f>+'25'!L38</f>
        <v>10.00500000000001</v>
      </c>
    </row>
    <row r="96" spans="1:9" ht="13.5" thickBot="1">
      <c r="A96" s="384"/>
      <c r="B96" s="413"/>
      <c r="C96" s="385"/>
      <c r="D96" s="386"/>
      <c r="E96" s="385"/>
      <c r="F96" s="385"/>
      <c r="G96" s="385"/>
      <c r="H96" s="415"/>
      <c r="I96" s="415"/>
    </row>
    <row r="97" spans="1:9">
      <c r="A97" s="556">
        <v>45895</v>
      </c>
      <c r="B97" s="606" t="s">
        <v>734</v>
      </c>
      <c r="C97" s="605">
        <v>1</v>
      </c>
      <c r="D97" s="555" t="s">
        <v>735</v>
      </c>
      <c r="E97" s="555">
        <f>23+39*6</f>
        <v>257</v>
      </c>
      <c r="F97">
        <f>30+1+29+14</f>
        <v>74</v>
      </c>
      <c r="G97" s="557">
        <f t="shared" ref="G97:G102" si="2">+E97*F97</f>
        <v>19018</v>
      </c>
      <c r="H97" s="564">
        <f>+(E97*F97+E98*F98+E99*F99)/(SUM(F97:F99))</f>
        <v>259.390625</v>
      </c>
      <c r="I97" s="414">
        <f>+'26'!L37</f>
        <v>30.599999999999994</v>
      </c>
    </row>
    <row r="98" spans="1:9">
      <c r="A98" s="611"/>
      <c r="B98" s="606" t="s">
        <v>734</v>
      </c>
      <c r="C98" s="605">
        <v>1</v>
      </c>
      <c r="D98" s="555" t="s">
        <v>749</v>
      </c>
      <c r="E98" s="555">
        <f>26*10</f>
        <v>260</v>
      </c>
      <c r="F98">
        <f>5+25</f>
        <v>30</v>
      </c>
      <c r="G98" s="605">
        <f t="shared" si="2"/>
        <v>7800</v>
      </c>
      <c r="H98" s="564"/>
      <c r="I98" s="414"/>
    </row>
    <row r="99" spans="1:9">
      <c r="A99" s="611"/>
      <c r="B99" s="606" t="s">
        <v>734</v>
      </c>
      <c r="C99" s="605">
        <v>1</v>
      </c>
      <c r="D99" s="555" t="s">
        <v>750</v>
      </c>
      <c r="E99" s="555">
        <f>26+60*4</f>
        <v>266</v>
      </c>
      <c r="F99">
        <f>9+15</f>
        <v>24</v>
      </c>
      <c r="G99" s="605">
        <f t="shared" si="2"/>
        <v>6384</v>
      </c>
      <c r="H99" s="564"/>
      <c r="I99" s="414"/>
    </row>
    <row r="100" spans="1:9">
      <c r="A100" s="611"/>
      <c r="B100" s="606" t="s">
        <v>734</v>
      </c>
      <c r="C100" s="605">
        <v>1</v>
      </c>
      <c r="D100" s="555" t="s">
        <v>751</v>
      </c>
      <c r="E100" s="555">
        <f>54*5</f>
        <v>270</v>
      </c>
      <c r="F100">
        <v>15</v>
      </c>
      <c r="G100" s="605">
        <f t="shared" si="2"/>
        <v>4050</v>
      </c>
      <c r="H100" s="564"/>
      <c r="I100" s="414"/>
    </row>
    <row r="101" spans="1:9">
      <c r="B101" s="606" t="s">
        <v>752</v>
      </c>
      <c r="C101" s="605">
        <v>1</v>
      </c>
      <c r="D101" s="555" t="s">
        <v>753</v>
      </c>
      <c r="E101" s="555">
        <f>26.5+27.5*3+54*3</f>
        <v>271</v>
      </c>
      <c r="F101">
        <v>18</v>
      </c>
      <c r="G101" s="557">
        <f t="shared" si="2"/>
        <v>4878</v>
      </c>
      <c r="H101" s="564">
        <f>+G101/F101</f>
        <v>271</v>
      </c>
      <c r="I101" s="414">
        <f>+'26'!L38</f>
        <v>27.411000000000001</v>
      </c>
    </row>
    <row r="102" spans="1:9">
      <c r="B102" s="606" t="s">
        <v>726</v>
      </c>
      <c r="C102" s="605">
        <v>1</v>
      </c>
      <c r="D102" s="555" t="s">
        <v>736</v>
      </c>
      <c r="E102" s="555">
        <f>68+48*4</f>
        <v>260</v>
      </c>
      <c r="F102">
        <v>18</v>
      </c>
      <c r="G102" s="557">
        <f t="shared" si="2"/>
        <v>4680</v>
      </c>
      <c r="H102" s="564">
        <f>+G102/F102</f>
        <v>260</v>
      </c>
      <c r="I102" s="414"/>
    </row>
    <row r="103" spans="1:9" ht="13.5" thickBot="1">
      <c r="A103" s="384"/>
      <c r="B103" s="413"/>
      <c r="C103" s="385"/>
      <c r="D103" s="386"/>
      <c r="E103" s="385"/>
      <c r="F103" s="385"/>
      <c r="G103" s="385"/>
      <c r="H103" s="415"/>
      <c r="I103" s="415"/>
    </row>
    <row r="104" spans="1:9">
      <c r="A104" s="611">
        <v>45896</v>
      </c>
      <c r="B104" s="606" t="s">
        <v>734</v>
      </c>
      <c r="C104" s="605">
        <v>1</v>
      </c>
      <c r="D104" s="555" t="s">
        <v>751</v>
      </c>
      <c r="E104" s="555">
        <f>54*5</f>
        <v>270</v>
      </c>
      <c r="F104">
        <v>27</v>
      </c>
      <c r="G104" s="605">
        <f>+E104*F104</f>
        <v>7290</v>
      </c>
      <c r="H104" s="564">
        <f>+G104/F104</f>
        <v>270</v>
      </c>
      <c r="I104" s="414" t="s">
        <v>329</v>
      </c>
    </row>
    <row r="105" spans="1:9">
      <c r="B105" s="606" t="s">
        <v>752</v>
      </c>
      <c r="C105" s="605">
        <v>1</v>
      </c>
      <c r="D105" s="555" t="s">
        <v>753</v>
      </c>
      <c r="E105" s="555">
        <f>26.5+27.5*3+54*3</f>
        <v>271</v>
      </c>
      <c r="F105">
        <f>34+34+34</f>
        <v>102</v>
      </c>
      <c r="G105" s="557">
        <f>+E105*F105</f>
        <v>27642</v>
      </c>
      <c r="H105" s="564">
        <f>+(E105*F105+E106*F106+E107*F107)/(SUM(F105:F107))</f>
        <v>270.08333333333331</v>
      </c>
      <c r="I105" s="414">
        <f>+'27'!I38</f>
        <v>59.61699999999999</v>
      </c>
    </row>
    <row r="106" spans="1:9">
      <c r="B106" s="606" t="s">
        <v>752</v>
      </c>
      <c r="C106" s="605">
        <v>1</v>
      </c>
      <c r="D106" s="555" t="s">
        <v>757</v>
      </c>
      <c r="E106" s="555">
        <f>26.5*6+27.5*4</f>
        <v>269</v>
      </c>
      <c r="F106">
        <f>1+21</f>
        <v>22</v>
      </c>
      <c r="G106" s="605">
        <f>+E106*F106</f>
        <v>5918</v>
      </c>
      <c r="H106" s="612"/>
      <c r="I106" s="414"/>
    </row>
    <row r="107" spans="1:9">
      <c r="B107" s="606" t="s">
        <v>752</v>
      </c>
      <c r="C107" s="605">
        <v>1</v>
      </c>
      <c r="D107" s="555" t="s">
        <v>758</v>
      </c>
      <c r="E107" s="555">
        <f>27.5+26.5*2+23.5*8</f>
        <v>268.5</v>
      </c>
      <c r="F107">
        <f>11+33</f>
        <v>44</v>
      </c>
      <c r="G107" s="605">
        <f>+E107*F107</f>
        <v>11814</v>
      </c>
      <c r="H107" s="612"/>
      <c r="I107" s="414"/>
    </row>
    <row r="108" spans="1:9" ht="13.5" thickBot="1">
      <c r="A108" s="384"/>
      <c r="B108" s="413"/>
      <c r="C108" s="385"/>
      <c r="D108" s="386"/>
      <c r="E108" s="385"/>
      <c r="F108" s="385"/>
      <c r="G108" s="385"/>
      <c r="H108" s="415"/>
      <c r="I108" s="415"/>
    </row>
    <row r="109" spans="1:9">
      <c r="A109" s="611">
        <v>45897</v>
      </c>
      <c r="B109" s="606" t="s">
        <v>752</v>
      </c>
      <c r="C109" s="605">
        <v>1</v>
      </c>
      <c r="D109" s="555" t="s">
        <v>768</v>
      </c>
      <c r="E109" s="555">
        <f>28*8+23*2</f>
        <v>270</v>
      </c>
      <c r="F109">
        <f>38+45+2+11</f>
        <v>96</v>
      </c>
      <c r="G109" s="605">
        <f>+E109*F109</f>
        <v>25920</v>
      </c>
      <c r="H109" s="564">
        <f>+(E109*F109+E110*F110)/(SUM(F109:F110))</f>
        <v>270.48663101604279</v>
      </c>
      <c r="I109" s="414">
        <f>+'28'!L37</f>
        <v>27.074000000000002</v>
      </c>
    </row>
    <row r="110" spans="1:9">
      <c r="B110" s="606" t="s">
        <v>752</v>
      </c>
      <c r="C110" s="605">
        <v>1</v>
      </c>
      <c r="D110" s="555" t="s">
        <v>769</v>
      </c>
      <c r="E110" s="555">
        <f>54*3+27.5*3+26.5</f>
        <v>271</v>
      </c>
      <c r="F110">
        <f>36+34+21</f>
        <v>91</v>
      </c>
      <c r="G110" s="605">
        <f>+E110*F110</f>
        <v>24661</v>
      </c>
      <c r="H110" s="564"/>
      <c r="I110" s="414"/>
    </row>
    <row r="111" spans="1:9">
      <c r="B111" s="606" t="s">
        <v>770</v>
      </c>
      <c r="C111" s="605">
        <v>1</v>
      </c>
      <c r="D111" s="555" t="s">
        <v>773</v>
      </c>
      <c r="E111" s="555">
        <f>18*15</f>
        <v>270</v>
      </c>
      <c r="F111">
        <v>0</v>
      </c>
      <c r="G111" s="605">
        <f>+E111*F111</f>
        <v>0</v>
      </c>
      <c r="H111" s="564">
        <f>+E111</f>
        <v>270</v>
      </c>
      <c r="I111" s="414">
        <f>+'28'!L38</f>
        <v>7.7759999999999998</v>
      </c>
    </row>
    <row r="112" spans="1:9">
      <c r="B112" s="606" t="s">
        <v>771</v>
      </c>
      <c r="C112" s="605">
        <v>1</v>
      </c>
      <c r="D112" s="555" t="s">
        <v>772</v>
      </c>
      <c r="E112" s="555">
        <f>120+140</f>
        <v>260</v>
      </c>
      <c r="F112">
        <v>19</v>
      </c>
      <c r="G112" s="605">
        <f>+E112*F112</f>
        <v>4940</v>
      </c>
      <c r="H112" s="564">
        <f>+G112/F112</f>
        <v>260</v>
      </c>
      <c r="I112" s="414">
        <f>+'28'!L39</f>
        <v>27.974</v>
      </c>
    </row>
    <row r="113" spans="1:9" ht="13.5" thickBot="1">
      <c r="A113" s="384"/>
      <c r="B113" s="413"/>
      <c r="C113" s="385"/>
      <c r="D113" s="386"/>
      <c r="E113" s="385"/>
      <c r="F113" s="385"/>
      <c r="G113" s="385"/>
      <c r="H113" s="415"/>
      <c r="I113" s="415"/>
    </row>
    <row r="114" spans="1:9">
      <c r="A114" s="611">
        <v>45898</v>
      </c>
      <c r="B114" s="606" t="s">
        <v>771</v>
      </c>
      <c r="C114" s="605">
        <v>1</v>
      </c>
      <c r="D114" s="555" t="s">
        <v>772</v>
      </c>
      <c r="E114" s="555">
        <f>120+140</f>
        <v>260</v>
      </c>
      <c r="F114">
        <f>19+23+9+19+22</f>
        <v>92</v>
      </c>
      <c r="G114" s="605">
        <f>+E114*F114</f>
        <v>23920</v>
      </c>
      <c r="H114" s="564">
        <f>+G114/F114</f>
        <v>260</v>
      </c>
      <c r="I114" s="414">
        <f>+'29'!L37</f>
        <v>41.887999999999998</v>
      </c>
    </row>
    <row r="115" spans="1:9">
      <c r="B115" s="606" t="s">
        <v>752</v>
      </c>
      <c r="C115" s="605">
        <v>1</v>
      </c>
      <c r="D115" s="555" t="s">
        <v>768</v>
      </c>
      <c r="E115" s="555">
        <f>28*8+23*2</f>
        <v>270</v>
      </c>
      <c r="F115">
        <v>19</v>
      </c>
      <c r="G115" s="605">
        <f>+E115*F115</f>
        <v>5130</v>
      </c>
      <c r="H115" s="564">
        <f>+G115/F115</f>
        <v>270</v>
      </c>
      <c r="I115" s="414" t="s">
        <v>329</v>
      </c>
    </row>
    <row r="116" spans="1:9">
      <c r="B116" s="606" t="s">
        <v>770</v>
      </c>
      <c r="C116" s="605">
        <v>1</v>
      </c>
      <c r="D116" s="555" t="s">
        <v>773</v>
      </c>
      <c r="E116" s="555">
        <f>18*15</f>
        <v>270</v>
      </c>
      <c r="F116">
        <f>11+21</f>
        <v>32</v>
      </c>
      <c r="G116" s="605">
        <f>+E116*F116</f>
        <v>8640</v>
      </c>
      <c r="H116" s="564">
        <f>+G116/F116</f>
        <v>270</v>
      </c>
      <c r="I116" s="414" t="s">
        <v>329</v>
      </c>
    </row>
    <row r="117" spans="1:9">
      <c r="B117" s="606" t="s">
        <v>677</v>
      </c>
      <c r="C117" s="605">
        <v>1</v>
      </c>
      <c r="D117" s="555" t="s">
        <v>704</v>
      </c>
      <c r="E117" s="555">
        <f>277*1</f>
        <v>277</v>
      </c>
      <c r="F117">
        <v>5</v>
      </c>
      <c r="G117" s="605">
        <f>+E117*F117</f>
        <v>1385</v>
      </c>
      <c r="H117" s="564">
        <f>+G117/F117</f>
        <v>277</v>
      </c>
      <c r="I117" s="414">
        <f>+'29'!L38</f>
        <v>13.905000000000001</v>
      </c>
    </row>
    <row r="118" spans="1:9" ht="13.5" thickBot="1">
      <c r="A118" s="384"/>
      <c r="B118" s="413"/>
      <c r="C118" s="385"/>
      <c r="D118" s="386"/>
      <c r="E118" s="385"/>
      <c r="F118" s="385"/>
      <c r="G118" s="385"/>
      <c r="H118" s="415"/>
      <c r="I118" s="415"/>
    </row>
    <row r="119" spans="1:9">
      <c r="A119" s="611">
        <v>45899</v>
      </c>
      <c r="B119" s="606" t="s">
        <v>677</v>
      </c>
      <c r="C119" s="605">
        <v>1</v>
      </c>
      <c r="D119" s="555" t="s">
        <v>676</v>
      </c>
      <c r="E119" s="555">
        <f>266*1</f>
        <v>266</v>
      </c>
      <c r="F119">
        <f>6+10+12+15+11+14</f>
        <v>68</v>
      </c>
      <c r="G119" s="605">
        <f>+E119*F119</f>
        <v>18088</v>
      </c>
      <c r="H119" s="564">
        <f>+(E119*F119+E120*F120)/(SUM(F119:F120))</f>
        <v>268.2</v>
      </c>
      <c r="I119" s="414">
        <f>+'29'!L42</f>
        <v>0</v>
      </c>
    </row>
    <row r="120" spans="1:9">
      <c r="B120" s="606" t="s">
        <v>677</v>
      </c>
      <c r="C120" s="605">
        <v>1</v>
      </c>
      <c r="D120" s="555" t="s">
        <v>704</v>
      </c>
      <c r="E120" s="555">
        <f>277*1</f>
        <v>277</v>
      </c>
      <c r="F120">
        <f>12+5</f>
        <v>17</v>
      </c>
      <c r="G120" s="605">
        <f>+E120*F120</f>
        <v>4709</v>
      </c>
      <c r="H120" s="564"/>
      <c r="I120" s="414"/>
    </row>
    <row r="121" spans="1:9">
      <c r="B121" s="606" t="s">
        <v>771</v>
      </c>
      <c r="C121" s="605">
        <v>1</v>
      </c>
      <c r="D121" s="555" t="s">
        <v>772</v>
      </c>
      <c r="E121" s="555">
        <f>120+140</f>
        <v>260</v>
      </c>
      <c r="F121">
        <f>9+4</f>
        <v>13</v>
      </c>
      <c r="G121" s="605">
        <f>+E121*F121</f>
        <v>3380</v>
      </c>
      <c r="H121" s="564">
        <f>+G121/F121</f>
        <v>260</v>
      </c>
      <c r="I121" s="414">
        <f>+'29'!L43</f>
        <v>0</v>
      </c>
    </row>
    <row r="122" spans="1:9" ht="13.5" thickBot="1">
      <c r="A122" s="384"/>
      <c r="B122" s="413"/>
      <c r="C122" s="385"/>
      <c r="D122" s="386"/>
      <c r="E122" s="385"/>
      <c r="F122" s="385"/>
      <c r="G122" s="385"/>
      <c r="H122" s="415"/>
      <c r="I122" s="415"/>
    </row>
    <row r="123" spans="1:9">
      <c r="A123" s="611">
        <v>45900</v>
      </c>
      <c r="B123" s="606" t="s">
        <v>677</v>
      </c>
      <c r="C123" s="605">
        <v>1</v>
      </c>
      <c r="D123" s="555" t="s">
        <v>676</v>
      </c>
      <c r="E123" s="555">
        <f>266*1</f>
        <v>266</v>
      </c>
      <c r="F123">
        <f>12+13+15+17+12+11</f>
        <v>80</v>
      </c>
      <c r="G123" s="605">
        <f>+E123*F123</f>
        <v>21280</v>
      </c>
      <c r="H123" s="564">
        <f>+(E123*F123+E124*F124)/(SUM(F123:F124))</f>
        <v>266.76744186046511</v>
      </c>
      <c r="I123" s="414">
        <f>+'31'!L37</f>
        <v>40.683999999999997</v>
      </c>
    </row>
    <row r="124" spans="1:9">
      <c r="B124" s="606" t="s">
        <v>677</v>
      </c>
      <c r="C124" s="605">
        <v>1</v>
      </c>
      <c r="D124" s="555" t="s">
        <v>704</v>
      </c>
      <c r="E124" s="555">
        <f>277*1</f>
        <v>277</v>
      </c>
      <c r="F124">
        <v>6</v>
      </c>
      <c r="G124" s="605">
        <f>+E124*F124</f>
        <v>1662</v>
      </c>
      <c r="H124" s="564"/>
      <c r="I124" s="414"/>
    </row>
    <row r="125" spans="1:9">
      <c r="B125" s="606" t="s">
        <v>792</v>
      </c>
      <c r="C125" s="605">
        <v>1</v>
      </c>
      <c r="D125" s="555" t="s">
        <v>408</v>
      </c>
      <c r="E125" s="555">
        <f>133*2</f>
        <v>266</v>
      </c>
      <c r="F125">
        <v>5</v>
      </c>
      <c r="G125" s="605">
        <f>+E125*F125</f>
        <v>1330</v>
      </c>
      <c r="H125" s="564">
        <f>+G125/F125</f>
        <v>266</v>
      </c>
      <c r="I125" s="414">
        <f>+'31'!L38</f>
        <v>16.215999999999998</v>
      </c>
    </row>
    <row r="126" spans="1:9" ht="13.5" thickBot="1">
      <c r="A126" s="384"/>
      <c r="B126" s="413"/>
      <c r="C126" s="385"/>
      <c r="D126" s="386"/>
      <c r="E126" s="385"/>
      <c r="F126" s="385"/>
      <c r="G126" s="385"/>
      <c r="H126" s="415"/>
      <c r="I126" s="415"/>
    </row>
  </sheetData>
  <phoneticPr fontId="31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83"/>
  <sheetViews>
    <sheetView tabSelected="1" zoomScale="90" zoomScaleNormal="90" workbookViewId="0">
      <pane xSplit="6" ySplit="6" topLeftCell="G139" activePane="bottomRight" state="frozen"/>
      <selection pane="topRight" activeCell="F1" sqref="F1"/>
      <selection pane="bottomLeft" activeCell="A7" sqref="A7"/>
      <selection pane="bottomRight" activeCell="M149" sqref="M149"/>
    </sheetView>
  </sheetViews>
  <sheetFormatPr defaultColWidth="10.28515625" defaultRowHeight="12"/>
  <cols>
    <col min="1" max="1" width="12.28515625" style="33" customWidth="1"/>
    <col min="2" max="3" width="14.140625" style="33" customWidth="1"/>
    <col min="4" max="4" width="10.28515625" style="33" customWidth="1"/>
    <col min="5" max="5" width="7.5703125" style="33" bestFit="1" customWidth="1"/>
    <col min="6" max="6" width="7" style="60" customWidth="1"/>
    <col min="7" max="9" width="10.28515625" style="33" customWidth="1"/>
    <col min="10" max="11" width="10.28515625" style="89" customWidth="1"/>
    <col min="12" max="13" width="12.7109375" style="61" customWidth="1"/>
    <col min="14" max="15" width="10.28515625" style="33" customWidth="1"/>
    <col min="16" max="16" width="16.85546875" style="33" bestFit="1" customWidth="1"/>
    <col min="17" max="17" width="12.7109375" style="350" customWidth="1"/>
    <col min="18" max="19" width="10.28515625" style="33" customWidth="1"/>
    <col min="20" max="20" width="10.7109375" style="33" customWidth="1"/>
    <col min="21" max="21" width="10.28515625" style="33" customWidth="1"/>
    <col min="22" max="22" width="12.28515625" style="33" customWidth="1"/>
    <col min="23" max="23" width="13" style="33" customWidth="1"/>
    <col min="24" max="24" width="10.28515625" style="33" customWidth="1"/>
    <col min="25" max="25" width="10.140625" style="33" customWidth="1"/>
    <col min="26" max="26" width="10.28515625" style="617" customWidth="1"/>
    <col min="27" max="28" width="10.28515625" style="33" customWidth="1"/>
    <col min="29" max="29" width="12" style="33" customWidth="1"/>
    <col min="30" max="30" width="11.42578125" style="33" bestFit="1" customWidth="1"/>
    <col min="31" max="31" width="41.42578125" style="33" customWidth="1"/>
    <col min="32" max="38" width="10.28515625" style="33" customWidth="1"/>
    <col min="39" max="39" width="11.7109375" style="33" customWidth="1"/>
    <col min="40" max="41" width="10.28515625" style="33" customWidth="1"/>
    <col min="42" max="43" width="12.42578125" style="33" customWidth="1"/>
    <col min="44" max="44" width="29.7109375" style="33" bestFit="1" customWidth="1"/>
    <col min="45" max="16384" width="10.28515625" style="33"/>
  </cols>
  <sheetData>
    <row r="1" spans="1:58" s="24" customFormat="1" ht="15.75">
      <c r="A1" s="23" t="s">
        <v>149</v>
      </c>
      <c r="G1" s="25"/>
      <c r="H1" s="25"/>
      <c r="I1" s="25"/>
      <c r="J1" s="86"/>
      <c r="K1" s="86"/>
      <c r="L1" s="26"/>
      <c r="M1" s="26"/>
      <c r="O1" s="25"/>
      <c r="P1" s="27"/>
      <c r="Q1" s="25"/>
      <c r="R1" s="27"/>
      <c r="S1" s="27"/>
      <c r="W1" s="27"/>
      <c r="X1" s="28"/>
      <c r="Y1" s="28"/>
      <c r="Z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</row>
    <row r="2" spans="1:58" s="24" customFormat="1">
      <c r="A2" s="100"/>
      <c r="G2" s="25"/>
      <c r="H2" s="25"/>
      <c r="I2" s="25"/>
      <c r="J2" s="86"/>
      <c r="K2" s="86"/>
      <c r="L2" s="26"/>
      <c r="M2" s="26"/>
      <c r="O2" s="25"/>
      <c r="P2" s="27"/>
      <c r="Q2" s="25"/>
      <c r="R2" s="27"/>
      <c r="S2" s="27"/>
      <c r="W2" s="27"/>
      <c r="X2" s="28"/>
      <c r="Y2" s="28"/>
      <c r="Z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8" ht="24" customHeight="1">
      <c r="A3" s="885" t="s">
        <v>8</v>
      </c>
      <c r="B3" s="885" t="s">
        <v>9</v>
      </c>
      <c r="C3" s="885" t="s">
        <v>201</v>
      </c>
      <c r="D3" s="885" t="s">
        <v>92</v>
      </c>
      <c r="E3" s="885" t="s">
        <v>93</v>
      </c>
      <c r="F3" s="885" t="s">
        <v>94</v>
      </c>
      <c r="G3" s="938" t="s">
        <v>95</v>
      </c>
      <c r="H3" s="939"/>
      <c r="I3" s="939"/>
      <c r="J3" s="939"/>
      <c r="K3" s="940"/>
      <c r="L3" s="924" t="s">
        <v>96</v>
      </c>
      <c r="M3" s="925"/>
      <c r="N3" s="926"/>
      <c r="O3" s="930" t="s">
        <v>97</v>
      </c>
      <c r="P3" s="887" t="s">
        <v>109</v>
      </c>
      <c r="Q3" s="930" t="s">
        <v>98</v>
      </c>
      <c r="R3" s="889" t="s">
        <v>99</v>
      </c>
      <c r="S3" s="889" t="s">
        <v>100</v>
      </c>
      <c r="T3" s="885" t="s">
        <v>158</v>
      </c>
      <c r="U3" s="885" t="s">
        <v>157</v>
      </c>
      <c r="V3" s="885" t="s">
        <v>159</v>
      </c>
      <c r="W3" s="889" t="s">
        <v>144</v>
      </c>
      <c r="X3" s="914" t="s">
        <v>102</v>
      </c>
      <c r="Y3" s="914" t="s">
        <v>329</v>
      </c>
      <c r="Z3" s="889" t="s">
        <v>103</v>
      </c>
      <c r="AA3" s="885" t="s">
        <v>160</v>
      </c>
      <c r="AB3" s="885" t="s">
        <v>171</v>
      </c>
      <c r="AC3" s="885" t="s">
        <v>169</v>
      </c>
      <c r="AD3" s="885" t="s">
        <v>127</v>
      </c>
      <c r="AE3" s="907" t="s">
        <v>128</v>
      </c>
      <c r="AF3" s="910" t="s">
        <v>129</v>
      </c>
      <c r="AG3" s="910"/>
      <c r="AH3" s="910"/>
      <c r="AI3" s="910"/>
      <c r="AJ3" s="910"/>
      <c r="AK3" s="910"/>
      <c r="AL3" s="910"/>
      <c r="AM3" s="932" t="s">
        <v>130</v>
      </c>
      <c r="AN3" s="890" t="s">
        <v>104</v>
      </c>
      <c r="AO3" s="890"/>
      <c r="AP3" s="890"/>
      <c r="AQ3" s="890"/>
      <c r="AR3" s="890"/>
      <c r="AS3" s="891" t="s">
        <v>105</v>
      </c>
      <c r="AT3" s="893" t="s">
        <v>248</v>
      </c>
      <c r="AU3" s="894"/>
      <c r="AV3" s="897" t="s">
        <v>131</v>
      </c>
      <c r="AW3" s="898"/>
      <c r="AX3" s="899" t="s">
        <v>131</v>
      </c>
      <c r="AY3" s="900"/>
      <c r="AZ3" s="901" t="s">
        <v>334</v>
      </c>
      <c r="BA3" s="888" t="s">
        <v>106</v>
      </c>
      <c r="BB3" s="884" t="s">
        <v>107</v>
      </c>
      <c r="BC3" s="884" t="s">
        <v>108</v>
      </c>
      <c r="BD3" s="916" t="s">
        <v>412</v>
      </c>
      <c r="BE3" s="919" t="s">
        <v>413</v>
      </c>
      <c r="BF3" s="884" t="s">
        <v>414</v>
      </c>
    </row>
    <row r="4" spans="1:58" ht="12" customHeight="1">
      <c r="A4" s="906"/>
      <c r="B4" s="906"/>
      <c r="C4" s="906"/>
      <c r="D4" s="906"/>
      <c r="E4" s="906"/>
      <c r="F4" s="906"/>
      <c r="G4" s="941"/>
      <c r="H4" s="942"/>
      <c r="I4" s="942"/>
      <c r="J4" s="942"/>
      <c r="K4" s="943"/>
      <c r="L4" s="927"/>
      <c r="M4" s="928"/>
      <c r="N4" s="929"/>
      <c r="O4" s="931"/>
      <c r="P4" s="911"/>
      <c r="Q4" s="931"/>
      <c r="R4" s="913"/>
      <c r="S4" s="913"/>
      <c r="T4" s="906"/>
      <c r="U4" s="906"/>
      <c r="V4" s="906"/>
      <c r="W4" s="913"/>
      <c r="X4" s="915"/>
      <c r="Y4" s="915"/>
      <c r="Z4" s="913"/>
      <c r="AA4" s="906"/>
      <c r="AB4" s="906"/>
      <c r="AC4" s="906"/>
      <c r="AD4" s="906"/>
      <c r="AE4" s="908"/>
      <c r="AF4" s="935" t="s">
        <v>132</v>
      </c>
      <c r="AG4" s="936"/>
      <c r="AH4" s="937"/>
      <c r="AI4" s="911" t="s">
        <v>202</v>
      </c>
      <c r="AJ4" s="911" t="s">
        <v>15</v>
      </c>
      <c r="AK4" s="911" t="s">
        <v>133</v>
      </c>
      <c r="AL4" s="911" t="s">
        <v>18</v>
      </c>
      <c r="AM4" s="933"/>
      <c r="AN4" s="886" t="s">
        <v>110</v>
      </c>
      <c r="AO4" s="886" t="s">
        <v>15</v>
      </c>
      <c r="AP4" s="886" t="s">
        <v>111</v>
      </c>
      <c r="AQ4" s="886" t="s">
        <v>18</v>
      </c>
      <c r="AR4" s="888" t="s">
        <v>112</v>
      </c>
      <c r="AS4" s="891"/>
      <c r="AT4" s="895"/>
      <c r="AU4" s="896"/>
      <c r="AV4" s="526" t="s">
        <v>6</v>
      </c>
      <c r="AW4" s="526" t="s">
        <v>134</v>
      </c>
      <c r="AX4" s="527" t="s">
        <v>6</v>
      </c>
      <c r="AY4" s="528" t="s">
        <v>134</v>
      </c>
      <c r="AZ4" s="902"/>
      <c r="BA4" s="888"/>
      <c r="BB4" s="884"/>
      <c r="BC4" s="884"/>
      <c r="BD4" s="917"/>
      <c r="BE4" s="920"/>
      <c r="BF4" s="884"/>
    </row>
    <row r="5" spans="1:58" s="36" customFormat="1" ht="48">
      <c r="A5" s="906"/>
      <c r="B5" s="906"/>
      <c r="C5" s="909"/>
      <c r="D5" s="906"/>
      <c r="E5" s="906"/>
      <c r="F5" s="906"/>
      <c r="G5" s="31" t="s">
        <v>113</v>
      </c>
      <c r="H5" s="30" t="s">
        <v>114</v>
      </c>
      <c r="I5" s="34" t="s">
        <v>115</v>
      </c>
      <c r="J5" s="87" t="s">
        <v>116</v>
      </c>
      <c r="K5" s="87" t="s">
        <v>101</v>
      </c>
      <c r="L5" s="35" t="s">
        <v>117</v>
      </c>
      <c r="M5" s="35" t="s">
        <v>118</v>
      </c>
      <c r="N5" s="30" t="s">
        <v>119</v>
      </c>
      <c r="O5" s="931"/>
      <c r="P5" s="912"/>
      <c r="Q5" s="931"/>
      <c r="R5" s="913"/>
      <c r="S5" s="913"/>
      <c r="T5" s="906"/>
      <c r="U5" s="906"/>
      <c r="V5" s="906"/>
      <c r="W5" s="913"/>
      <c r="X5" s="915"/>
      <c r="Y5" s="923"/>
      <c r="Z5" s="913"/>
      <c r="AA5" s="906"/>
      <c r="AB5" s="909"/>
      <c r="AC5" s="906"/>
      <c r="AD5" s="909"/>
      <c r="AE5" s="908"/>
      <c r="AF5" s="457" t="s">
        <v>203</v>
      </c>
      <c r="AG5" s="456" t="s">
        <v>204</v>
      </c>
      <c r="AH5" s="456" t="s">
        <v>205</v>
      </c>
      <c r="AI5" s="912"/>
      <c r="AJ5" s="912"/>
      <c r="AK5" s="912"/>
      <c r="AL5" s="912"/>
      <c r="AM5" s="934"/>
      <c r="AN5" s="887"/>
      <c r="AO5" s="887"/>
      <c r="AP5" s="887"/>
      <c r="AQ5" s="887"/>
      <c r="AR5" s="889"/>
      <c r="AS5" s="892"/>
      <c r="AT5" s="517" t="s">
        <v>327</v>
      </c>
      <c r="AU5" s="517" t="s">
        <v>328</v>
      </c>
      <c r="AV5" s="529" t="s">
        <v>326</v>
      </c>
      <c r="AW5" s="529" t="s">
        <v>326</v>
      </c>
      <c r="AX5" s="527" t="s">
        <v>17</v>
      </c>
      <c r="AY5" s="527" t="s">
        <v>17</v>
      </c>
      <c r="AZ5" s="903"/>
      <c r="BA5" s="889"/>
      <c r="BB5" s="885"/>
      <c r="BC5" s="885"/>
      <c r="BD5" s="918"/>
      <c r="BE5" s="921"/>
      <c r="BF5" s="922"/>
    </row>
    <row r="6" spans="1:58" ht="12.95" customHeight="1">
      <c r="A6" s="344">
        <f>+Report1!A9</f>
        <v>45870</v>
      </c>
      <c r="B6" s="45" t="s">
        <v>7</v>
      </c>
      <c r="C6" s="449">
        <f>(M6*E6*O6*Q6)/100000000</f>
        <v>45.608572799999997</v>
      </c>
      <c r="D6" s="45" t="s">
        <v>407</v>
      </c>
      <c r="E6" s="46">
        <v>13.5</v>
      </c>
      <c r="F6" s="46">
        <v>1</v>
      </c>
      <c r="G6" s="462">
        <v>1700</v>
      </c>
      <c r="H6" s="604">
        <f>+N6</f>
        <v>0.24031007751937983</v>
      </c>
      <c r="I6" s="49">
        <v>0.88</v>
      </c>
      <c r="J6" s="88">
        <f>E6*G6*(1-H6)*1440/1000000*2.77</f>
        <v>69.544264186046519</v>
      </c>
      <c r="K6" s="88">
        <f>(IF(G6&lt;L6,L6,G6)*(1-IF(H6&lt;N6,H6,N6))*E6*O6*Q6)/100000000</f>
        <v>66.78257860465115</v>
      </c>
      <c r="L6" s="39">
        <v>1161</v>
      </c>
      <c r="M6" s="39">
        <v>882</v>
      </c>
      <c r="N6" s="50">
        <f>1-(M6/L6)</f>
        <v>0.24031007751937983</v>
      </c>
      <c r="O6" s="51">
        <f>+'Trim Rwd'!H4</f>
        <v>266</v>
      </c>
      <c r="P6" s="52">
        <f>O6*(Q6-R6-S6)</f>
        <v>85918</v>
      </c>
      <c r="Q6" s="51">
        <v>1440</v>
      </c>
      <c r="R6" s="419">
        <v>1090</v>
      </c>
      <c r="S6" s="419">
        <v>27</v>
      </c>
      <c r="T6" s="41">
        <f>E6*M6*O6*Q6/100000000</f>
        <v>45.608572799999997</v>
      </c>
      <c r="U6" s="41">
        <f>E6*M6*O6*(Q6-R6-S6)/100000000</f>
        <v>10.230256260000001</v>
      </c>
      <c r="V6" s="41">
        <f>E6*G6*(1-N6)*O6/100*(R6+S6)/1000000</f>
        <v>51.802875209302321</v>
      </c>
      <c r="W6" s="41">
        <f>+'1'!K34/1000</f>
        <v>7.7140000000000004</v>
      </c>
      <c r="X6" s="416">
        <f>SUM(W6:W9)/SUM(K6:K9)</f>
        <v>0.11550916662961484</v>
      </c>
      <c r="Y6" s="221">
        <v>0</v>
      </c>
      <c r="Z6" s="41">
        <f>+'1'!D34/1000</f>
        <v>0.248</v>
      </c>
      <c r="AA6" s="53">
        <f>SUM(U6:U9)-SUM(W6:W9)-SUM(Z6:Z9)-SUM(Y6:Y9)</f>
        <v>2.2682562600000002</v>
      </c>
      <c r="AB6" s="53">
        <f>(SUM(K6:K9)-SUM(W6:W9)-SUM(Y6:Y9)-SUM(Z6:Z9)-SUM(AC6:AC9)-SUM(V6:V9))-AA6</f>
        <v>-16.424558669302321</v>
      </c>
      <c r="AC6" s="41">
        <f>K6-T6</f>
        <v>21.174005804651152</v>
      </c>
      <c r="AD6" s="41">
        <f>+AM6+BA6</f>
        <v>20</v>
      </c>
      <c r="AE6" s="240" t="s">
        <v>447</v>
      </c>
      <c r="AF6" s="41">
        <v>20</v>
      </c>
      <c r="AG6" s="41"/>
      <c r="AH6" s="41"/>
      <c r="AI6" s="458"/>
      <c r="AJ6" s="41"/>
      <c r="AK6" s="41"/>
      <c r="AL6" s="41"/>
      <c r="AM6" s="41">
        <f>SUM(AF6:AL6)+AT6+AV6+AX6</f>
        <v>20</v>
      </c>
      <c r="AN6" s="41"/>
      <c r="AO6" s="41"/>
      <c r="AP6" s="41"/>
      <c r="AQ6" s="41"/>
      <c r="AR6" s="41">
        <f>SUM(AN6:AQ6)</f>
        <v>0</v>
      </c>
      <c r="AS6" s="41"/>
      <c r="AT6" s="41"/>
      <c r="AU6" s="41"/>
      <c r="AV6" s="41"/>
      <c r="AW6" s="41"/>
      <c r="AX6" s="41"/>
      <c r="AY6" s="41"/>
      <c r="AZ6" s="41"/>
      <c r="BA6" s="41">
        <f>+AR6+AS6+AU6+AW6+AY6+AZ6</f>
        <v>0</v>
      </c>
      <c r="BB6" s="37">
        <v>4</v>
      </c>
      <c r="BC6" s="55"/>
      <c r="BD6" s="55"/>
      <c r="BE6" s="37"/>
      <c r="BF6" s="55"/>
    </row>
    <row r="7" spans="1:58" ht="12.95" customHeight="1">
      <c r="A7" s="344"/>
      <c r="B7" s="45"/>
      <c r="C7" s="449"/>
      <c r="D7" s="45"/>
      <c r="E7" s="46"/>
      <c r="F7" s="46"/>
      <c r="G7" s="462"/>
      <c r="H7" s="48"/>
      <c r="I7" s="49"/>
      <c r="J7" s="88"/>
      <c r="K7" s="88"/>
      <c r="L7" s="39"/>
      <c r="M7" s="39"/>
      <c r="N7" s="50"/>
      <c r="O7" s="51"/>
      <c r="P7" s="52"/>
      <c r="Q7" s="51"/>
      <c r="R7" s="419"/>
      <c r="S7" s="419"/>
      <c r="T7" s="41"/>
      <c r="U7" s="41"/>
      <c r="V7" s="41"/>
      <c r="W7" s="41"/>
      <c r="X7" s="42"/>
      <c r="Y7" s="221"/>
      <c r="Z7" s="41"/>
      <c r="AA7" s="41"/>
      <c r="AB7" s="41"/>
      <c r="AC7" s="41"/>
      <c r="AD7" s="41">
        <f>+AM7+BA7</f>
        <v>0</v>
      </c>
      <c r="AE7" s="240" t="s">
        <v>446</v>
      </c>
      <c r="AF7" s="41"/>
      <c r="AG7" s="41">
        <v>0</v>
      </c>
      <c r="AH7" s="41"/>
      <c r="AI7" s="458"/>
      <c r="AJ7" s="41"/>
      <c r="AK7" s="41"/>
      <c r="AL7" s="41"/>
      <c r="AM7" s="41">
        <f>SUM(AF7:AL7)+AT7+AV7+AX7</f>
        <v>0</v>
      </c>
      <c r="AN7" s="89"/>
      <c r="AO7" s="41"/>
      <c r="AP7" s="41"/>
      <c r="AQ7" s="41"/>
      <c r="AR7" s="41">
        <f>SUM(AN7:AQ7)</f>
        <v>0</v>
      </c>
      <c r="AS7" s="41"/>
      <c r="AT7" s="41"/>
      <c r="AU7" s="41"/>
      <c r="AV7" s="41"/>
      <c r="AW7" s="41"/>
      <c r="AX7" s="41"/>
      <c r="AY7" s="41"/>
      <c r="AZ7" s="41"/>
      <c r="BA7" s="41">
        <f>+AR7+AS7+AU7+AW7+AY7+AZ7</f>
        <v>0</v>
      </c>
      <c r="BB7" s="54"/>
      <c r="BC7" s="55">
        <v>0</v>
      </c>
      <c r="BD7" s="55"/>
      <c r="BE7" s="54"/>
      <c r="BF7" s="55"/>
    </row>
    <row r="8" spans="1:58" ht="12.95" customHeight="1">
      <c r="A8" s="44"/>
      <c r="B8" s="45"/>
      <c r="C8" s="449"/>
      <c r="D8" s="45"/>
      <c r="E8" s="46"/>
      <c r="F8" s="46"/>
      <c r="G8" s="47"/>
      <c r="H8" s="48"/>
      <c r="I8" s="49"/>
      <c r="J8" s="88"/>
      <c r="K8" s="88"/>
      <c r="L8" s="39"/>
      <c r="M8" s="39"/>
      <c r="N8" s="50"/>
      <c r="O8" s="51"/>
      <c r="P8" s="52"/>
      <c r="Q8" s="51"/>
      <c r="R8" s="419"/>
      <c r="S8" s="419"/>
      <c r="T8" s="41"/>
      <c r="U8" s="41"/>
      <c r="V8" s="41"/>
      <c r="W8" s="41"/>
      <c r="X8" s="42"/>
      <c r="Y8" s="221"/>
      <c r="Z8" s="41"/>
      <c r="AA8" s="41"/>
      <c r="AB8" s="41"/>
      <c r="AC8" s="41"/>
      <c r="AD8" s="41">
        <f>+AM8+BA8</f>
        <v>7</v>
      </c>
      <c r="AE8" s="240" t="s">
        <v>445</v>
      </c>
      <c r="AF8" s="37"/>
      <c r="AG8" s="37"/>
      <c r="AH8" s="37">
        <v>7</v>
      </c>
      <c r="AJ8" s="41"/>
      <c r="AK8" s="41"/>
      <c r="AL8" s="41"/>
      <c r="AM8" s="41">
        <f>SUM(AF8:AL8)+AT8+AV8+AX8</f>
        <v>7</v>
      </c>
      <c r="AN8" s="41"/>
      <c r="AO8" s="41"/>
      <c r="AP8" s="41"/>
      <c r="AQ8" s="41"/>
      <c r="AR8" s="41">
        <f>SUM(AN8:AQ8)</f>
        <v>0</v>
      </c>
      <c r="AS8" s="41"/>
      <c r="AT8" s="41"/>
      <c r="AU8" s="41"/>
      <c r="AV8" s="41"/>
      <c r="AW8" s="41"/>
      <c r="AX8" s="41"/>
      <c r="AY8" s="41"/>
      <c r="AZ8" s="41"/>
      <c r="BA8" s="41">
        <f>+AR8+AS8+AU8+AW8+AY8+AZ8</f>
        <v>0</v>
      </c>
      <c r="BB8" s="37"/>
      <c r="BC8" s="57"/>
      <c r="BD8" s="57"/>
      <c r="BE8" s="37"/>
      <c r="BF8" s="57"/>
    </row>
    <row r="9" spans="1:58" ht="12.95" customHeight="1">
      <c r="A9" s="44"/>
      <c r="B9" s="45"/>
      <c r="C9" s="449"/>
      <c r="D9" s="45"/>
      <c r="E9" s="46"/>
      <c r="F9" s="46"/>
      <c r="G9" s="47"/>
      <c r="H9" s="48"/>
      <c r="I9" s="49"/>
      <c r="J9" s="88"/>
      <c r="K9" s="88"/>
      <c r="L9" s="39"/>
      <c r="M9" s="39"/>
      <c r="N9" s="50"/>
      <c r="O9" s="51"/>
      <c r="P9" s="52"/>
      <c r="Q9" s="38"/>
      <c r="R9" s="419"/>
      <c r="S9" s="419"/>
      <c r="T9" s="41"/>
      <c r="U9" s="41"/>
      <c r="V9" s="41"/>
      <c r="W9" s="41"/>
      <c r="X9" s="42"/>
      <c r="Y9" s="221"/>
      <c r="Z9" s="41"/>
      <c r="AA9" s="41"/>
      <c r="AB9" s="41"/>
      <c r="AC9" s="41"/>
      <c r="AD9" s="41">
        <f>+AM9+BA9</f>
        <v>1090</v>
      </c>
      <c r="AE9" s="596" t="s">
        <v>439</v>
      </c>
      <c r="AF9" s="41"/>
      <c r="AG9" s="41"/>
      <c r="AH9" s="41"/>
      <c r="AI9" s="458"/>
      <c r="AJ9" s="41"/>
      <c r="AK9" s="41"/>
      <c r="AL9" s="41"/>
      <c r="AM9" s="41">
        <f>SUM(AF9:AL9)+AT9+AV9+AX9</f>
        <v>0</v>
      </c>
      <c r="AN9" s="41"/>
      <c r="AO9" s="41"/>
      <c r="AP9" s="41"/>
      <c r="AQ9" s="41"/>
      <c r="AR9" s="41">
        <f>SUM(AN9:AQ9)</f>
        <v>0</v>
      </c>
      <c r="AS9" s="41">
        <v>1090</v>
      </c>
      <c r="AT9" s="41"/>
      <c r="AU9" s="41"/>
      <c r="AV9" s="41"/>
      <c r="AW9" s="41"/>
      <c r="AX9" s="41"/>
      <c r="AY9" s="41"/>
      <c r="AZ9" s="41"/>
      <c r="BA9" s="41">
        <f>+AR9+AS9+AU9+AW9+AY9+AZ9</f>
        <v>1090</v>
      </c>
      <c r="BB9" s="37"/>
      <c r="BC9" s="57"/>
      <c r="BD9" s="57"/>
      <c r="BE9" s="37"/>
      <c r="BF9" s="57"/>
    </row>
    <row r="10" spans="1:58" ht="12.95" customHeight="1">
      <c r="A10" s="344"/>
      <c r="B10" s="45"/>
      <c r="C10" s="449"/>
      <c r="D10" s="45"/>
      <c r="E10" s="46"/>
      <c r="F10" s="46"/>
      <c r="G10" s="462"/>
      <c r="H10" s="48"/>
      <c r="I10" s="49"/>
      <c r="J10" s="88"/>
      <c r="K10" s="88"/>
      <c r="L10" s="39"/>
      <c r="M10" s="39"/>
      <c r="N10" s="50"/>
      <c r="O10" s="51"/>
      <c r="P10" s="52"/>
      <c r="Q10" s="51"/>
      <c r="R10" s="419"/>
      <c r="S10" s="419"/>
      <c r="T10" s="41"/>
      <c r="U10" s="41"/>
      <c r="V10" s="41"/>
      <c r="W10" s="41"/>
      <c r="X10" s="416"/>
      <c r="Y10" s="221"/>
      <c r="Z10" s="41"/>
      <c r="AA10" s="53"/>
      <c r="AB10" s="53"/>
      <c r="AC10" s="41"/>
      <c r="AD10" s="41"/>
      <c r="AE10" s="240"/>
      <c r="AF10" s="41"/>
      <c r="AG10" s="41"/>
      <c r="AH10" s="41"/>
      <c r="AI10" s="458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37"/>
      <c r="BC10" s="55"/>
      <c r="BD10" s="55"/>
      <c r="BE10" s="55"/>
      <c r="BF10" s="55"/>
    </row>
    <row r="11" spans="1:58" ht="12.95" customHeight="1">
      <c r="A11" s="344">
        <v>45871</v>
      </c>
      <c r="B11" s="45" t="s">
        <v>7</v>
      </c>
      <c r="C11" s="449">
        <f>(M11*E11*O11*Q11)/100000000</f>
        <v>49.641984000000001</v>
      </c>
      <c r="D11" s="45" t="s">
        <v>407</v>
      </c>
      <c r="E11" s="46">
        <v>13.5</v>
      </c>
      <c r="F11" s="46">
        <v>1</v>
      </c>
      <c r="G11" s="462">
        <v>1700</v>
      </c>
      <c r="H11" s="604">
        <f>+N11</f>
        <v>0.23990498812351546</v>
      </c>
      <c r="I11" s="49">
        <v>0.88</v>
      </c>
      <c r="J11" s="88">
        <f>E11*G11*(1-H11)*1440/1000000*2.77</f>
        <v>69.58134726840855</v>
      </c>
      <c r="K11" s="88">
        <f>(IF(G11&lt;L11,L11,G11)*(1-IF(H11&lt;N11,H11,N11))*E11*O11*Q11)/100000000</f>
        <v>66.818189073634215</v>
      </c>
      <c r="L11" s="39">
        <v>1263</v>
      </c>
      <c r="M11" s="39">
        <v>960</v>
      </c>
      <c r="N11" s="50">
        <f>1-(M11/L11)</f>
        <v>0.23990498812351546</v>
      </c>
      <c r="O11" s="51">
        <f>+'Trim Rwd'!H6</f>
        <v>266</v>
      </c>
      <c r="P11" s="52">
        <f>O11*(Q11-R11-S11)</f>
        <v>349524</v>
      </c>
      <c r="Q11" s="51">
        <v>1440</v>
      </c>
      <c r="R11" s="419">
        <v>0</v>
      </c>
      <c r="S11" s="419">
        <v>126</v>
      </c>
      <c r="T11" s="41">
        <f>E11*M11*O11*Q11/100000000</f>
        <v>49.641984000000001</v>
      </c>
      <c r="U11" s="41">
        <f>E11*M11*O11*(Q11-R11-S11)/100000000</f>
        <v>45.298310399999998</v>
      </c>
      <c r="V11" s="41">
        <f>E11*G11*(1-N11)*O11/100*(R11+S11)/1000000</f>
        <v>5.846591543942993</v>
      </c>
      <c r="W11" s="41">
        <f>+'2'!K34/1000</f>
        <v>44.24</v>
      </c>
      <c r="X11" s="416">
        <f>SUM(W11:W14)/SUM(K11:K14)</f>
        <v>0.66209516620163322</v>
      </c>
      <c r="Y11" s="221">
        <v>0</v>
      </c>
      <c r="Z11" s="41">
        <f>+'2'!D34/1000</f>
        <v>0.28999999999999998</v>
      </c>
      <c r="AA11" s="53">
        <f>SUM(U11:U14)-SUM(W11:W14)-SUM(Z11:Z14)-SUM(Y11:Y14)</f>
        <v>0.76831039999999629</v>
      </c>
      <c r="AB11" s="53">
        <f>(SUM(K11:K14)-SUM(W11:W14)-SUM(Y11:Y14)-SUM(Z11:Z14)-SUM(AC11:AC14)-SUM(V11:V14))-AA11</f>
        <v>-1.5029179439429896</v>
      </c>
      <c r="AC11" s="41">
        <f>K11-T11</f>
        <v>17.176205073634215</v>
      </c>
      <c r="AD11" s="41">
        <f>+AM11+BA11</f>
        <v>25</v>
      </c>
      <c r="AE11" s="240" t="s">
        <v>484</v>
      </c>
      <c r="AF11" s="41">
        <v>25</v>
      </c>
      <c r="AG11" s="41"/>
      <c r="AH11" s="41"/>
      <c r="AI11" s="458"/>
      <c r="AJ11" s="41"/>
      <c r="AK11" s="41"/>
      <c r="AL11" s="41"/>
      <c r="AM11" s="41">
        <f>SUM(AF11:AL11)+AT11+AV11+AX11</f>
        <v>25</v>
      </c>
      <c r="AN11" s="41"/>
      <c r="AO11" s="41"/>
      <c r="AP11" s="41"/>
      <c r="AQ11" s="41"/>
      <c r="AR11" s="41">
        <f>SUM(AN11:AQ11)</f>
        <v>0</v>
      </c>
      <c r="AS11" s="41"/>
      <c r="AT11" s="41"/>
      <c r="AU11" s="41"/>
      <c r="AV11" s="41"/>
      <c r="AW11" s="41"/>
      <c r="AX11" s="41"/>
      <c r="AY11" s="41"/>
      <c r="AZ11" s="41"/>
      <c r="BA11" s="41">
        <f>+AR11+AS11+AU11+AW11+AY11+AZ11</f>
        <v>0</v>
      </c>
      <c r="BB11" s="37">
        <v>5</v>
      </c>
      <c r="BC11" s="55"/>
      <c r="BD11" s="55"/>
      <c r="BE11" s="37"/>
      <c r="BF11" s="55"/>
    </row>
    <row r="12" spans="1:58" ht="12.95" customHeight="1">
      <c r="A12" s="344"/>
      <c r="B12" s="45"/>
      <c r="C12" s="449"/>
      <c r="D12" s="45"/>
      <c r="E12" s="46"/>
      <c r="F12" s="46"/>
      <c r="G12" s="462"/>
      <c r="H12" s="48"/>
      <c r="I12" s="49"/>
      <c r="J12" s="88"/>
      <c r="K12" s="88"/>
      <c r="L12" s="39"/>
      <c r="M12" s="39"/>
      <c r="N12" s="50"/>
      <c r="O12" s="51"/>
      <c r="P12" s="52"/>
      <c r="Q12" s="51"/>
      <c r="R12" s="419"/>
      <c r="S12" s="419"/>
      <c r="T12" s="41"/>
      <c r="U12" s="41"/>
      <c r="V12" s="41"/>
      <c r="W12" s="41"/>
      <c r="X12" s="42"/>
      <c r="Y12" s="221"/>
      <c r="Z12" s="41"/>
      <c r="AA12" s="41"/>
      <c r="AB12" s="41"/>
      <c r="AC12" s="41"/>
      <c r="AD12" s="41">
        <f>+AM12+BA12</f>
        <v>17</v>
      </c>
      <c r="AE12" s="240" t="s">
        <v>499</v>
      </c>
      <c r="AF12" s="41"/>
      <c r="AG12" s="41">
        <v>17</v>
      </c>
      <c r="AH12" s="41"/>
      <c r="AI12" s="458"/>
      <c r="AJ12" s="41"/>
      <c r="AK12" s="41"/>
      <c r="AL12" s="41"/>
      <c r="AM12" s="41">
        <f>SUM(AF12:AL12)+AT12+AV12+AX12</f>
        <v>17</v>
      </c>
      <c r="AN12" s="89"/>
      <c r="AO12" s="41"/>
      <c r="AP12" s="41"/>
      <c r="AQ12" s="41"/>
      <c r="AR12" s="41">
        <f>SUM(AN12:AQ12)</f>
        <v>0</v>
      </c>
      <c r="AS12" s="41"/>
      <c r="AT12" s="41"/>
      <c r="AU12" s="41"/>
      <c r="AV12" s="41"/>
      <c r="AW12" s="41"/>
      <c r="AX12" s="41"/>
      <c r="AY12" s="41"/>
      <c r="AZ12" s="41"/>
      <c r="BA12" s="41">
        <f>+AR12+AS12+AU12+AW12+AY12+AZ12</f>
        <v>0</v>
      </c>
      <c r="BB12" s="54"/>
      <c r="BC12" s="55">
        <v>14</v>
      </c>
      <c r="BD12" s="55"/>
      <c r="BE12" s="54"/>
      <c r="BF12" s="55"/>
    </row>
    <row r="13" spans="1:58" ht="12.95" customHeight="1">
      <c r="A13" s="44"/>
      <c r="B13" s="45"/>
      <c r="C13" s="449"/>
      <c r="D13" s="45"/>
      <c r="E13" s="46"/>
      <c r="F13" s="46"/>
      <c r="G13" s="47"/>
      <c r="H13" s="48"/>
      <c r="I13" s="49"/>
      <c r="J13" s="88"/>
      <c r="K13" s="88"/>
      <c r="L13" s="39"/>
      <c r="M13" s="39"/>
      <c r="N13" s="50"/>
      <c r="O13" s="51"/>
      <c r="P13" s="52"/>
      <c r="Q13" s="51"/>
      <c r="R13" s="419"/>
      <c r="S13" s="419"/>
      <c r="T13" s="41"/>
      <c r="U13" s="41"/>
      <c r="V13" s="41"/>
      <c r="W13" s="41"/>
      <c r="X13" s="42"/>
      <c r="Y13" s="221"/>
      <c r="Z13" s="41"/>
      <c r="AA13" s="41"/>
      <c r="AB13" s="41"/>
      <c r="AC13" s="41"/>
      <c r="AD13" s="41">
        <f>+AM13+BA13</f>
        <v>30</v>
      </c>
      <c r="AE13" s="240" t="s">
        <v>500</v>
      </c>
      <c r="AF13" s="37"/>
      <c r="AG13" s="37"/>
      <c r="AH13" s="37">
        <v>30</v>
      </c>
      <c r="AJ13" s="41"/>
      <c r="AK13" s="41"/>
      <c r="AL13" s="41"/>
      <c r="AM13" s="41">
        <f>SUM(AF13:AL13)+AT13+AV13+AX13</f>
        <v>30</v>
      </c>
      <c r="AN13" s="41"/>
      <c r="AO13" s="41"/>
      <c r="AP13" s="41"/>
      <c r="AQ13" s="41"/>
      <c r="AR13" s="41">
        <f>SUM(AN13:AQ13)</f>
        <v>0</v>
      </c>
      <c r="AS13" s="41"/>
      <c r="AT13" s="41"/>
      <c r="AU13" s="41"/>
      <c r="AV13" s="41"/>
      <c r="AW13" s="41"/>
      <c r="AX13" s="41"/>
      <c r="AY13" s="41"/>
      <c r="AZ13" s="41"/>
      <c r="BA13" s="41">
        <f>+AR13+AS13+AU13+AW13+AY13+AZ13</f>
        <v>0</v>
      </c>
      <c r="BB13" s="37"/>
      <c r="BC13" s="57"/>
      <c r="BD13" s="57"/>
      <c r="BE13" s="37"/>
      <c r="BF13" s="57"/>
    </row>
    <row r="14" spans="1:58" ht="12.95" customHeight="1">
      <c r="A14" s="44"/>
      <c r="B14" s="45"/>
      <c r="C14" s="449"/>
      <c r="D14" s="45"/>
      <c r="E14" s="46"/>
      <c r="F14" s="46"/>
      <c r="G14" s="47"/>
      <c r="H14" s="48"/>
      <c r="I14" s="49"/>
      <c r="J14" s="88"/>
      <c r="K14" s="88"/>
      <c r="L14" s="39"/>
      <c r="M14" s="39"/>
      <c r="N14" s="50"/>
      <c r="O14" s="51"/>
      <c r="P14" s="52"/>
      <c r="Q14" s="38"/>
      <c r="R14" s="419"/>
      <c r="S14" s="419"/>
      <c r="T14" s="41"/>
      <c r="U14" s="41"/>
      <c r="V14" s="41"/>
      <c r="W14" s="41"/>
      <c r="X14" s="42"/>
      <c r="Y14" s="221"/>
      <c r="Z14" s="41"/>
      <c r="AA14" s="41"/>
      <c r="AB14" s="41"/>
      <c r="AC14" s="41"/>
      <c r="AD14" s="41">
        <f>+AM14+BA14</f>
        <v>15</v>
      </c>
      <c r="AE14" s="596" t="s">
        <v>462</v>
      </c>
      <c r="AF14" s="41"/>
      <c r="AG14" s="41"/>
      <c r="AH14" s="41"/>
      <c r="AI14" s="458"/>
      <c r="AJ14" s="41"/>
      <c r="AK14" s="41">
        <v>15</v>
      </c>
      <c r="AL14" s="41"/>
      <c r="AM14" s="41">
        <f>SUM(AF14:AL14)+AT14+AV14+AX14</f>
        <v>15</v>
      </c>
      <c r="AN14" s="41"/>
      <c r="AO14" s="41"/>
      <c r="AP14" s="41"/>
      <c r="AQ14" s="41"/>
      <c r="AR14" s="41">
        <f>SUM(AN14:AQ14)</f>
        <v>0</v>
      </c>
      <c r="AS14" s="41"/>
      <c r="AT14" s="41"/>
      <c r="AU14" s="41"/>
      <c r="AV14" s="41"/>
      <c r="AW14" s="41"/>
      <c r="AX14" s="41"/>
      <c r="AY14" s="41"/>
      <c r="AZ14" s="41"/>
      <c r="BA14" s="41">
        <f>+AR14+AS14+AU14+AW14+AY14+AZ14</f>
        <v>0</v>
      </c>
      <c r="BB14" s="37"/>
      <c r="BC14" s="57"/>
      <c r="BD14" s="57"/>
      <c r="BE14" s="37"/>
      <c r="BF14" s="57"/>
    </row>
    <row r="15" spans="1:58" ht="12.95" customHeight="1">
      <c r="A15" s="344"/>
      <c r="B15" s="45"/>
      <c r="C15" s="449"/>
      <c r="D15" s="45"/>
      <c r="E15" s="46"/>
      <c r="F15" s="46"/>
      <c r="G15" s="462"/>
      <c r="H15" s="48"/>
      <c r="I15" s="49"/>
      <c r="J15" s="88"/>
      <c r="K15" s="88"/>
      <c r="L15" s="39"/>
      <c r="M15" s="39"/>
      <c r="N15" s="50"/>
      <c r="O15" s="51"/>
      <c r="P15" s="52"/>
      <c r="Q15" s="51"/>
      <c r="R15" s="419"/>
      <c r="S15" s="419"/>
      <c r="T15" s="41"/>
      <c r="U15" s="41"/>
      <c r="V15" s="41"/>
      <c r="W15" s="41"/>
      <c r="X15" s="42"/>
      <c r="Y15" s="221"/>
      <c r="Z15" s="41"/>
      <c r="AA15" s="41"/>
      <c r="AB15" s="41"/>
      <c r="AC15" s="41"/>
      <c r="AD15" s="41">
        <f>+AM15+BA15</f>
        <v>39</v>
      </c>
      <c r="AE15" s="596" t="s">
        <v>466</v>
      </c>
      <c r="AF15" s="41"/>
      <c r="AG15" s="41"/>
      <c r="AH15" s="41"/>
      <c r="AI15" s="458"/>
      <c r="AJ15" s="41">
        <v>39</v>
      </c>
      <c r="AK15" s="41"/>
      <c r="AL15" s="41"/>
      <c r="AM15" s="41">
        <f>SUM(AF15:AL15)+AT15+AV15+AX15</f>
        <v>39</v>
      </c>
      <c r="AN15" s="41"/>
      <c r="AO15" s="41"/>
      <c r="AP15" s="41"/>
      <c r="AQ15" s="41"/>
      <c r="AR15" s="41">
        <f>SUM(AN15:AQ15)</f>
        <v>0</v>
      </c>
      <c r="AS15" s="41"/>
      <c r="AT15" s="41"/>
      <c r="AU15" s="41"/>
      <c r="AV15" s="41"/>
      <c r="AW15" s="41"/>
      <c r="AX15" s="41"/>
      <c r="AY15" s="41"/>
      <c r="AZ15" s="41"/>
      <c r="BA15" s="41">
        <f>+AR15+AS15+AU15+AW15+AY15+AZ15</f>
        <v>0</v>
      </c>
      <c r="BB15" s="37"/>
      <c r="BC15" s="57"/>
      <c r="BD15" s="57"/>
      <c r="BE15" s="37"/>
      <c r="BF15" s="57"/>
    </row>
    <row r="16" spans="1:58" ht="12.95" customHeight="1">
      <c r="A16" s="344"/>
      <c r="B16" s="45"/>
      <c r="C16" s="449"/>
      <c r="D16" s="45"/>
      <c r="E16" s="46"/>
      <c r="F16" s="46"/>
      <c r="G16" s="462"/>
      <c r="H16" s="48"/>
      <c r="I16" s="49"/>
      <c r="J16" s="88"/>
      <c r="K16" s="88"/>
      <c r="L16" s="39"/>
      <c r="M16" s="39"/>
      <c r="N16" s="50"/>
      <c r="O16" s="51"/>
      <c r="P16" s="52"/>
      <c r="Q16" s="51"/>
      <c r="R16" s="419"/>
      <c r="S16" s="419"/>
      <c r="T16" s="41"/>
      <c r="U16" s="41"/>
      <c r="V16" s="41"/>
      <c r="W16" s="41"/>
      <c r="X16" s="416"/>
      <c r="Y16" s="221"/>
      <c r="Z16" s="41"/>
      <c r="AA16" s="53"/>
      <c r="AB16" s="53"/>
      <c r="AC16" s="41"/>
      <c r="AD16" s="41"/>
      <c r="AE16" s="240"/>
      <c r="AF16" s="41"/>
      <c r="AG16" s="41"/>
      <c r="AH16" s="41"/>
      <c r="AI16" s="458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37"/>
      <c r="BC16" s="55"/>
      <c r="BD16" s="55"/>
      <c r="BE16" s="55"/>
      <c r="BF16" s="55"/>
    </row>
    <row r="17" spans="1:58" ht="12.95" customHeight="1">
      <c r="A17" s="344">
        <v>45872</v>
      </c>
      <c r="B17" s="45" t="s">
        <v>7</v>
      </c>
      <c r="C17" s="449">
        <f>(M17*E17*O17*Q17)/100000000</f>
        <v>46.884096</v>
      </c>
      <c r="D17" s="45" t="s">
        <v>407</v>
      </c>
      <c r="E17" s="46">
        <v>13.5</v>
      </c>
      <c r="F17" s="46">
        <v>1</v>
      </c>
      <c r="G17" s="462">
        <v>1700</v>
      </c>
      <c r="H17" s="604">
        <f>+N17</f>
        <v>0.24022346368715086</v>
      </c>
      <c r="I17" s="49">
        <v>0.88</v>
      </c>
      <c r="J17" s="88">
        <f>E17*G17*(1-H17)*1440/1000000*2.77</f>
        <v>69.552193072625698</v>
      </c>
      <c r="K17" s="88">
        <f>(IF(G17&lt;L17,L17,G17)*(1-IF(H17&lt;N17,H17,N17))*E17*O17*Q17)/100000000</f>
        <v>55.658493854748613</v>
      </c>
      <c r="L17" s="39">
        <v>1432</v>
      </c>
      <c r="M17" s="39">
        <v>1088</v>
      </c>
      <c r="N17" s="50">
        <f>1-(M17/L17)</f>
        <v>0.24022346368715086</v>
      </c>
      <c r="O17" s="51">
        <f>+'Trim Rwd'!H8</f>
        <v>266</v>
      </c>
      <c r="P17" s="52">
        <f>O17*(Q17-R17-S17)</f>
        <v>300580</v>
      </c>
      <c r="Q17" s="51">
        <v>1200</v>
      </c>
      <c r="R17" s="419">
        <v>0</v>
      </c>
      <c r="S17" s="419">
        <f>44+26</f>
        <v>70</v>
      </c>
      <c r="T17" s="41">
        <f>E17*M17*O17*Q17/100000000</f>
        <v>46.884096</v>
      </c>
      <c r="U17" s="41">
        <f>E17*M17*O17*(Q17-R17-S17)/100000000</f>
        <v>44.149190400000002</v>
      </c>
      <c r="V17" s="41">
        <f>E17*G17*(1-N17)*O17/100*(R17+S17)/1000000</f>
        <v>3.2467454748603357</v>
      </c>
      <c r="W17" s="41">
        <f>+'3'!K7/1000</f>
        <v>45.866999999999997</v>
      </c>
      <c r="X17" s="416">
        <f>SUM(W17:W20)/SUM(K17:K20)</f>
        <v>0.78055074259255575</v>
      </c>
      <c r="Y17" s="221">
        <v>0</v>
      </c>
      <c r="Z17" s="41">
        <v>0</v>
      </c>
      <c r="AA17" s="53">
        <f>SUM(U17:U20)-SUM(W17:W20)-SUM(Z17:Z20)-SUM(Y17:Y20)</f>
        <v>1.1553584000000043</v>
      </c>
      <c r="AB17" s="53">
        <f>(SUM(K17:K20)-SUM(W17:W20)-SUM(Y17:Y20)-SUM(Z17:Z20)-SUM(AC17:AC20)-SUM(V17:V20))-AA17</f>
        <v>-0.58890387486033724</v>
      </c>
      <c r="AC17" s="41">
        <f>K17-T17</f>
        <v>8.7743978547486137</v>
      </c>
      <c r="AD17" s="41">
        <f>+AM17+BA17</f>
        <v>44</v>
      </c>
      <c r="AE17" s="240" t="s">
        <v>496</v>
      </c>
      <c r="AF17" s="41">
        <v>44</v>
      </c>
      <c r="AG17" s="41"/>
      <c r="AH17" s="41"/>
      <c r="AI17" s="458"/>
      <c r="AJ17" s="41"/>
      <c r="AK17" s="41"/>
      <c r="AL17" s="41"/>
      <c r="AM17" s="41">
        <f>SUM(AF17:AL17)+AT17+AV17+AX17</f>
        <v>44</v>
      </c>
      <c r="AN17" s="41"/>
      <c r="AO17" s="41"/>
      <c r="AP17" s="41"/>
      <c r="AQ17" s="41"/>
      <c r="AR17" s="41">
        <f>SUM(AN17:AQ17)</f>
        <v>0</v>
      </c>
      <c r="AS17" s="41"/>
      <c r="AT17" s="41"/>
      <c r="AU17" s="41"/>
      <c r="AV17" s="41"/>
      <c r="AW17" s="41"/>
      <c r="AX17" s="41"/>
      <c r="AY17" s="41"/>
      <c r="AZ17" s="41"/>
      <c r="BA17" s="41">
        <f>+AR17+AS17+AU17+AW17+AY17+AZ17</f>
        <v>0</v>
      </c>
      <c r="BB17" s="37">
        <v>9</v>
      </c>
      <c r="BC17" s="55"/>
      <c r="BD17" s="55"/>
      <c r="BE17" s="37"/>
      <c r="BF17" s="55"/>
    </row>
    <row r="18" spans="1:58" ht="12.95" customHeight="1">
      <c r="A18" s="344"/>
      <c r="B18" s="45" t="s">
        <v>7</v>
      </c>
      <c r="C18" s="449">
        <f>(M18*E18*O18*Q18)/100000000</f>
        <v>9.8641919999999992</v>
      </c>
      <c r="D18" s="45" t="s">
        <v>407</v>
      </c>
      <c r="E18" s="46">
        <v>13</v>
      </c>
      <c r="F18" s="46">
        <v>1</v>
      </c>
      <c r="G18" s="462">
        <v>1700</v>
      </c>
      <c r="H18" s="604">
        <f>+N18</f>
        <v>0.24</v>
      </c>
      <c r="I18" s="49">
        <v>0.88</v>
      </c>
      <c r="J18" s="88">
        <f>E18*G18*(1-H18)*1440/1000000*2.77</f>
        <v>66.995884799999999</v>
      </c>
      <c r="K18" s="88">
        <f>(IF(G18&lt;L18,L18,G18)*(1-IF(H18&lt;N18,H18,N18))*E18*O18*Q18)/100000000</f>
        <v>10.480703999999999</v>
      </c>
      <c r="L18" s="39">
        <v>1600</v>
      </c>
      <c r="M18" s="39">
        <v>1216</v>
      </c>
      <c r="N18" s="50">
        <f>1-(M18/L18)</f>
        <v>0.24</v>
      </c>
      <c r="O18" s="51">
        <f>+'Trim Rwd'!H9</f>
        <v>260</v>
      </c>
      <c r="P18" s="52">
        <f>O18*(Q18-R18-S18)</f>
        <v>54600</v>
      </c>
      <c r="Q18" s="51">
        <v>240</v>
      </c>
      <c r="R18" s="419">
        <v>0</v>
      </c>
      <c r="S18" s="419">
        <v>30</v>
      </c>
      <c r="T18" s="41">
        <f>E18*M18*O18*Q18/100000000</f>
        <v>9.8641919999999992</v>
      </c>
      <c r="U18" s="41">
        <f>E18*M18*O18*(Q18-R18-S18)/100000000</f>
        <v>8.6311680000000006</v>
      </c>
      <c r="V18" s="41">
        <f>E18*G18*(1-N18)*O18/100*(R18+S18)/1000000</f>
        <v>1.3100879999999999</v>
      </c>
      <c r="W18" s="41">
        <f>+'3'!K8/1000</f>
        <v>5.758</v>
      </c>
      <c r="X18" s="42"/>
      <c r="Y18" s="221"/>
      <c r="Z18" s="41"/>
      <c r="AA18" s="41"/>
      <c r="AB18" s="41"/>
      <c r="AC18" s="41">
        <f>K18-T18</f>
        <v>0.61651200000000017</v>
      </c>
      <c r="AD18" s="41">
        <f>+AM18+BA18</f>
        <v>26</v>
      </c>
      <c r="AE18" s="240" t="s">
        <v>497</v>
      </c>
      <c r="AF18" s="41"/>
      <c r="AG18" s="41">
        <v>26</v>
      </c>
      <c r="AH18" s="41"/>
      <c r="AI18" s="458"/>
      <c r="AJ18" s="41"/>
      <c r="AK18" s="41"/>
      <c r="AL18" s="41"/>
      <c r="AM18" s="41">
        <f>SUM(AF18:AL18)+AT18+AV18+AX18</f>
        <v>26</v>
      </c>
      <c r="AN18" s="89"/>
      <c r="AO18" s="41"/>
      <c r="AP18" s="41"/>
      <c r="AQ18" s="41"/>
      <c r="AR18" s="41">
        <f>SUM(AN18:AQ18)</f>
        <v>0</v>
      </c>
      <c r="AS18" s="41"/>
      <c r="AT18" s="41"/>
      <c r="AU18" s="41"/>
      <c r="AV18" s="41"/>
      <c r="AW18" s="41"/>
      <c r="AX18" s="41"/>
      <c r="AY18" s="41"/>
      <c r="AZ18" s="41"/>
      <c r="BA18" s="41">
        <f>+AR18+AS18+AU18+AW18+AY18+AZ18</f>
        <v>0</v>
      </c>
      <c r="BB18" s="54"/>
      <c r="BC18" s="55">
        <v>21</v>
      </c>
      <c r="BD18" s="55"/>
      <c r="BE18" s="54"/>
      <c r="BF18" s="55"/>
    </row>
    <row r="19" spans="1:58" ht="12.95" customHeight="1">
      <c r="A19" s="44"/>
      <c r="B19" s="45"/>
      <c r="C19" s="449"/>
      <c r="D19" s="45"/>
      <c r="E19" s="46"/>
      <c r="F19" s="46"/>
      <c r="G19" s="47"/>
      <c r="H19" s="48"/>
      <c r="I19" s="49"/>
      <c r="J19" s="88"/>
      <c r="K19" s="88"/>
      <c r="L19" s="39"/>
      <c r="M19" s="39"/>
      <c r="N19" s="50"/>
      <c r="O19" s="51"/>
      <c r="P19" s="52"/>
      <c r="Q19" s="51"/>
      <c r="R19" s="419"/>
      <c r="S19" s="419"/>
      <c r="T19" s="41"/>
      <c r="U19" s="41"/>
      <c r="V19" s="41"/>
      <c r="W19" s="41"/>
      <c r="X19" s="42"/>
      <c r="Y19" s="221"/>
      <c r="Z19" s="41"/>
      <c r="AA19" s="41"/>
      <c r="AB19" s="41"/>
      <c r="AC19" s="41"/>
      <c r="AD19" s="41">
        <f>+AM19+BA19</f>
        <v>30</v>
      </c>
      <c r="AE19" s="240" t="s">
        <v>498</v>
      </c>
      <c r="AF19" s="37"/>
      <c r="AG19" s="37"/>
      <c r="AH19" s="37">
        <v>30</v>
      </c>
      <c r="AJ19" s="41"/>
      <c r="AK19" s="41"/>
      <c r="AL19" s="41"/>
      <c r="AM19" s="41">
        <f>SUM(AF19:AL19)+AT19+AV19+AX19</f>
        <v>30</v>
      </c>
      <c r="AN19" s="41"/>
      <c r="AO19" s="41"/>
      <c r="AP19" s="41"/>
      <c r="AQ19" s="41"/>
      <c r="AR19" s="41">
        <f>SUM(AN19:AQ19)</f>
        <v>0</v>
      </c>
      <c r="AS19" s="41"/>
      <c r="AT19" s="41"/>
      <c r="AU19" s="41"/>
      <c r="AV19" s="41"/>
      <c r="AW19" s="41"/>
      <c r="AX19" s="41"/>
      <c r="AY19" s="41"/>
      <c r="AZ19" s="41"/>
      <c r="BA19" s="41">
        <f>+AR19+AS19+AU19+AW19+AY19+AZ19</f>
        <v>0</v>
      </c>
      <c r="BB19" s="37"/>
      <c r="BC19" s="57"/>
      <c r="BD19" s="57"/>
      <c r="BE19" s="37"/>
      <c r="BF19" s="57"/>
    </row>
    <row r="20" spans="1:58" ht="12.95" customHeight="1">
      <c r="A20" s="44"/>
      <c r="B20" s="45"/>
      <c r="C20" s="449"/>
      <c r="D20" s="45"/>
      <c r="E20" s="46"/>
      <c r="F20" s="46"/>
      <c r="G20" s="47"/>
      <c r="H20" s="48"/>
      <c r="I20" s="49"/>
      <c r="J20" s="88"/>
      <c r="K20" s="88"/>
      <c r="L20" s="39"/>
      <c r="M20" s="39"/>
      <c r="N20" s="50"/>
      <c r="O20" s="51"/>
      <c r="P20" s="52"/>
      <c r="Q20" s="38"/>
      <c r="R20" s="419"/>
      <c r="S20" s="419"/>
      <c r="T20" s="41"/>
      <c r="U20" s="41"/>
      <c r="V20" s="41"/>
      <c r="W20" s="41"/>
      <c r="X20" s="42"/>
      <c r="Y20" s="221"/>
      <c r="Z20" s="41"/>
      <c r="AA20" s="41"/>
      <c r="AB20" s="41"/>
      <c r="AC20" s="41"/>
      <c r="AD20" s="41"/>
      <c r="AE20" s="243"/>
      <c r="AF20" s="41"/>
      <c r="AG20" s="41"/>
      <c r="AH20" s="41"/>
      <c r="AI20" s="458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37"/>
      <c r="BC20" s="57"/>
      <c r="BD20" s="57"/>
      <c r="BE20" s="37"/>
      <c r="BF20" s="57"/>
    </row>
    <row r="21" spans="1:58" ht="12.95" customHeight="1">
      <c r="A21" s="344">
        <v>45873</v>
      </c>
      <c r="B21" s="45" t="s">
        <v>7</v>
      </c>
      <c r="C21" s="449">
        <f>(M21*E21*O21*Q21)/100000000</f>
        <v>58.955926651685402</v>
      </c>
      <c r="D21" s="45" t="s">
        <v>407</v>
      </c>
      <c r="E21" s="46">
        <v>13</v>
      </c>
      <c r="F21" s="46">
        <v>1</v>
      </c>
      <c r="G21" s="462">
        <v>1700</v>
      </c>
      <c r="H21" s="604">
        <f>+N21</f>
        <v>0.24010217113665389</v>
      </c>
      <c r="I21" s="49">
        <v>0.88</v>
      </c>
      <c r="J21" s="88">
        <f>E21*G21*(1-H21)*1440/1000000*2.77</f>
        <v>66.986878160919545</v>
      </c>
      <c r="K21" s="88">
        <f>(IF(G21&lt;L21,L21,G21)*(1-IF(H21&lt;N21,H21,N21))*E21*O21*Q21)/100000000</f>
        <v>64.000686658917758</v>
      </c>
      <c r="L21" s="39">
        <v>1566</v>
      </c>
      <c r="M21" s="39">
        <v>1190</v>
      </c>
      <c r="N21" s="50">
        <f>1-(M21/L21)</f>
        <v>0.24010217113665389</v>
      </c>
      <c r="O21" s="51">
        <f>+'Trim Rwd'!H11</f>
        <v>264.65168539325845</v>
      </c>
      <c r="P21" s="52">
        <f>O21*(Q21-R21-S21)</f>
        <v>349604.8764044944</v>
      </c>
      <c r="Q21" s="51">
        <v>1440</v>
      </c>
      <c r="R21" s="419">
        <v>0</v>
      </c>
      <c r="S21" s="419">
        <v>119</v>
      </c>
      <c r="T21" s="41">
        <f>E21*M21*O21*Q21/100000000</f>
        <v>58.955926651685402</v>
      </c>
      <c r="U21" s="41">
        <f>E21*M21*O21*(Q21-R21-S21)/100000000</f>
        <v>54.083874379775288</v>
      </c>
      <c r="V21" s="41">
        <f>E21*G21*(1-N21)*O21/100*(R21+S21)/1000000</f>
        <v>5.288945633618896</v>
      </c>
      <c r="W21" s="41">
        <f>+'4'!K34/1000</f>
        <v>43.804000000000002</v>
      </c>
      <c r="X21" s="416">
        <f>SUM(W21:W24)/SUM(K21:K24)</f>
        <v>0.68443015671764551</v>
      </c>
      <c r="Y21" s="221">
        <v>0</v>
      </c>
      <c r="Z21" s="41">
        <f>+'4'!D34/1000</f>
        <v>3.8</v>
      </c>
      <c r="AA21" s="53">
        <f>SUM(U21:U24)-SUM(W21:W24)-SUM(Z21:Z24)-SUM(Y21:Y24)</f>
        <v>6.4798743797752865</v>
      </c>
      <c r="AB21" s="53">
        <f>(SUM(K21:K24)-SUM(W21:W24)-SUM(Y21:Y24)-SUM(Z21:Z24)-SUM(AC21:AC24)-SUM(V21:V24))-AA21</f>
        <v>-0.41689336170878288</v>
      </c>
      <c r="AC21" s="41">
        <f>K21-T21</f>
        <v>5.0447600072323553</v>
      </c>
      <c r="AD21" s="41">
        <f>+AM21+BA21</f>
        <v>65</v>
      </c>
      <c r="AE21" s="240" t="s">
        <v>523</v>
      </c>
      <c r="AF21" s="41">
        <v>65</v>
      </c>
      <c r="AG21" s="41"/>
      <c r="AH21" s="41"/>
      <c r="AI21" s="458"/>
      <c r="AJ21" s="41"/>
      <c r="AK21" s="41"/>
      <c r="AL21" s="41"/>
      <c r="AM21" s="41">
        <f>SUM(AF21:AL21)+AT21+AV21+AX21</f>
        <v>65</v>
      </c>
      <c r="AN21" s="41"/>
      <c r="AO21" s="41"/>
      <c r="AP21" s="41"/>
      <c r="AQ21" s="41"/>
      <c r="AR21" s="41">
        <f>SUM(AN21:AQ21)</f>
        <v>0</v>
      </c>
      <c r="AS21" s="41"/>
      <c r="AT21" s="41"/>
      <c r="AU21" s="41"/>
      <c r="AV21" s="41"/>
      <c r="AW21" s="41"/>
      <c r="AX21" s="41"/>
      <c r="AY21" s="41"/>
      <c r="AZ21" s="41"/>
      <c r="BA21" s="41">
        <f>+AR21+AS21+AU21+AW21+AY21+AZ21</f>
        <v>0</v>
      </c>
      <c r="BB21" s="37">
        <v>13</v>
      </c>
      <c r="BC21" s="55"/>
      <c r="BD21" s="55"/>
      <c r="BE21" s="37"/>
      <c r="BF21" s="55"/>
    </row>
    <row r="22" spans="1:58" ht="12.95" customHeight="1">
      <c r="A22" s="344"/>
      <c r="B22" s="45"/>
      <c r="C22" s="449"/>
      <c r="D22" s="45"/>
      <c r="E22" s="46"/>
      <c r="F22" s="46"/>
      <c r="G22" s="462"/>
      <c r="H22" s="48"/>
      <c r="I22" s="49"/>
      <c r="J22" s="88"/>
      <c r="K22" s="88"/>
      <c r="L22" s="39"/>
      <c r="M22" s="39"/>
      <c r="N22" s="50"/>
      <c r="O22" s="51"/>
      <c r="P22" s="52"/>
      <c r="Q22" s="51"/>
      <c r="R22" s="419"/>
      <c r="S22" s="419"/>
      <c r="T22" s="41"/>
      <c r="U22" s="41"/>
      <c r="V22" s="41"/>
      <c r="W22" s="41"/>
      <c r="X22" s="42"/>
      <c r="Y22" s="221"/>
      <c r="Z22" s="41"/>
      <c r="AA22" s="41"/>
      <c r="AB22" s="41"/>
      <c r="AC22" s="41">
        <f>K22-T22</f>
        <v>0</v>
      </c>
      <c r="AD22" s="41">
        <f>+AM22+BA22</f>
        <v>19</v>
      </c>
      <c r="AE22" s="240" t="s">
        <v>499</v>
      </c>
      <c r="AF22" s="41"/>
      <c r="AG22" s="41">
        <v>19</v>
      </c>
      <c r="AH22" s="41"/>
      <c r="AI22" s="458"/>
      <c r="AJ22" s="41"/>
      <c r="AK22" s="41"/>
      <c r="AL22" s="41"/>
      <c r="AM22" s="41">
        <f>SUM(AF22:AL22)+AT22+AV22+AX22</f>
        <v>19</v>
      </c>
      <c r="AN22" s="89"/>
      <c r="AO22" s="41"/>
      <c r="AP22" s="41"/>
      <c r="AQ22" s="41"/>
      <c r="AR22" s="41">
        <f>SUM(AN22:AQ22)</f>
        <v>0</v>
      </c>
      <c r="AS22" s="41"/>
      <c r="AT22" s="41"/>
      <c r="AU22" s="41"/>
      <c r="AV22" s="41"/>
      <c r="AW22" s="41"/>
      <c r="AX22" s="41"/>
      <c r="AY22" s="41"/>
      <c r="AZ22" s="41"/>
      <c r="BA22" s="41">
        <f>+AR22+AS22+AU22+AW22+AY22+AZ22</f>
        <v>0</v>
      </c>
      <c r="BB22" s="54"/>
      <c r="BC22" s="55">
        <v>14</v>
      </c>
      <c r="BD22" s="55"/>
      <c r="BE22" s="54"/>
      <c r="BF22" s="55"/>
    </row>
    <row r="23" spans="1:58" ht="12.95" customHeight="1">
      <c r="A23" s="44"/>
      <c r="B23" s="45"/>
      <c r="C23" s="449"/>
      <c r="D23" s="45"/>
      <c r="E23" s="46"/>
      <c r="F23" s="46"/>
      <c r="G23" s="47"/>
      <c r="H23" s="48"/>
      <c r="I23" s="49"/>
      <c r="J23" s="88"/>
      <c r="K23" s="88"/>
      <c r="L23" s="39"/>
      <c r="M23" s="39"/>
      <c r="N23" s="50"/>
      <c r="O23" s="51"/>
      <c r="P23" s="52"/>
      <c r="Q23" s="51"/>
      <c r="R23" s="419"/>
      <c r="S23" s="419"/>
      <c r="T23" s="41"/>
      <c r="U23" s="41"/>
      <c r="V23" s="41"/>
      <c r="W23" s="41"/>
      <c r="X23" s="42"/>
      <c r="Y23" s="221"/>
      <c r="Z23" s="41"/>
      <c r="AA23" s="41"/>
      <c r="AB23" s="41"/>
      <c r="AC23" s="41"/>
      <c r="AD23" s="41">
        <f>+AM23+BA23</f>
        <v>35</v>
      </c>
      <c r="AE23" s="240" t="s">
        <v>524</v>
      </c>
      <c r="AF23" s="37"/>
      <c r="AG23" s="37"/>
      <c r="AH23" s="37">
        <v>35</v>
      </c>
      <c r="AJ23" s="41"/>
      <c r="AK23" s="41"/>
      <c r="AL23" s="41"/>
      <c r="AM23" s="41">
        <f>SUM(AF23:AL23)+AT23+AV23+AX23</f>
        <v>35</v>
      </c>
      <c r="AN23" s="41"/>
      <c r="AO23" s="41"/>
      <c r="AP23" s="41"/>
      <c r="AQ23" s="41"/>
      <c r="AR23" s="41">
        <f>SUM(AN23:AQ23)</f>
        <v>0</v>
      </c>
      <c r="AS23" s="41"/>
      <c r="AT23" s="41"/>
      <c r="AU23" s="41"/>
      <c r="AV23" s="41"/>
      <c r="AW23" s="41"/>
      <c r="AX23" s="41"/>
      <c r="AY23" s="41"/>
      <c r="AZ23" s="41"/>
      <c r="BA23" s="41">
        <f>+AR23+AS23+AU23+AW23+AY23+AZ23</f>
        <v>0</v>
      </c>
      <c r="BB23" s="37"/>
      <c r="BC23" s="57"/>
      <c r="BD23" s="57"/>
      <c r="BE23" s="37"/>
      <c r="BF23" s="57"/>
    </row>
    <row r="24" spans="1:58" ht="12.75" customHeight="1">
      <c r="A24" s="44"/>
      <c r="B24" s="45"/>
      <c r="C24" s="449"/>
      <c r="D24" s="45"/>
      <c r="E24" s="46"/>
      <c r="F24" s="46"/>
      <c r="G24" s="47"/>
      <c r="H24" s="48"/>
      <c r="I24" s="49"/>
      <c r="J24" s="88"/>
      <c r="K24" s="88"/>
      <c r="L24" s="39"/>
      <c r="M24" s="39"/>
      <c r="N24" s="50"/>
      <c r="O24" s="51"/>
      <c r="P24" s="52"/>
      <c r="Q24" s="38"/>
      <c r="R24" s="419"/>
      <c r="S24" s="419"/>
      <c r="T24" s="41"/>
      <c r="U24" s="41"/>
      <c r="V24" s="41"/>
      <c r="W24" s="41"/>
      <c r="X24" s="42"/>
      <c r="Y24" s="221"/>
      <c r="Z24" s="41"/>
      <c r="AA24" s="41"/>
      <c r="AB24" s="41"/>
      <c r="AC24" s="41"/>
      <c r="AD24" s="41"/>
      <c r="AE24" s="243"/>
      <c r="AF24" s="41"/>
      <c r="AG24" s="41"/>
      <c r="AH24" s="41"/>
      <c r="AI24" s="458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37"/>
      <c r="BC24" s="57"/>
      <c r="BD24" s="57"/>
      <c r="BE24" s="37"/>
      <c r="BF24" s="57"/>
    </row>
    <row r="25" spans="1:58" ht="12.95" customHeight="1">
      <c r="A25" s="344">
        <v>45874</v>
      </c>
      <c r="B25" s="45" t="s">
        <v>7</v>
      </c>
      <c r="C25" s="449">
        <f>(M25*E25*O25*Q25)/100000000</f>
        <v>22.061427569999999</v>
      </c>
      <c r="D25" s="45" t="s">
        <v>407</v>
      </c>
      <c r="E25" s="46">
        <v>13</v>
      </c>
      <c r="F25" s="46">
        <v>1</v>
      </c>
      <c r="G25" s="462">
        <v>1700</v>
      </c>
      <c r="H25" s="604">
        <f>+N25</f>
        <v>0.23984771573604058</v>
      </c>
      <c r="I25" s="49">
        <v>0.88</v>
      </c>
      <c r="J25" s="88">
        <f>E25*G25*(1-H25)*1440/1000000*2.77</f>
        <v>67.009309035532993</v>
      </c>
      <c r="K25" s="88">
        <f>(IF(G25&lt;L25,L25,G25)*(1-IF(H25&lt;N25,H25,N25))*E25*O25*Q25)/100000000</f>
        <v>23.79722517068528</v>
      </c>
      <c r="L25" s="39">
        <v>1576</v>
      </c>
      <c r="M25" s="39">
        <v>1198</v>
      </c>
      <c r="N25" s="50">
        <f>1-(M25/L25)</f>
        <v>0.23984771573604058</v>
      </c>
      <c r="O25" s="51">
        <f>+'Trim Rwd'!H14</f>
        <v>262.32499999999999</v>
      </c>
      <c r="P25" s="52">
        <f>O25*(Q25-R25-S25)</f>
        <v>139032.25</v>
      </c>
      <c r="Q25" s="51">
        <v>540</v>
      </c>
      <c r="R25" s="419">
        <v>0</v>
      </c>
      <c r="S25" s="419">
        <v>10</v>
      </c>
      <c r="T25" s="41">
        <f>E25*M25*O25*Q25/100000000</f>
        <v>22.061427569999999</v>
      </c>
      <c r="U25" s="41">
        <f>E25*M25*O25*(Q25-R25-S25)/100000000</f>
        <v>21.652882614999999</v>
      </c>
      <c r="V25" s="41">
        <f>E25*G25*(1-N25)*O25/100*(R25+S25)/1000000</f>
        <v>0.44068935501269035</v>
      </c>
      <c r="W25" s="41">
        <f>+'5'!K8/1000</f>
        <v>21.835999999999999</v>
      </c>
      <c r="X25" s="416">
        <f>SUM(W25:W28)/SUM(K25:K28)</f>
        <v>0.76602828634014475</v>
      </c>
      <c r="Y25" s="221">
        <v>0</v>
      </c>
      <c r="Z25" s="41">
        <f>+'5'!D7/1000</f>
        <v>1.0609999999999999</v>
      </c>
      <c r="AA25" s="53">
        <f>SUM(U25:U28)-SUM(W25:W28)-SUM(Z25:Z28)-SUM(Y25:Y28)</f>
        <v>11.060016824646759</v>
      </c>
      <c r="AB25" s="53">
        <f>(SUM(K25:K28)-SUM(W25:W28)-SUM(Y25:Y28)-SUM(Z25:Z28)-SUM(AC25:AC28)-SUM(V25:V28))-AA25</f>
        <v>1.7735849413394789E-2</v>
      </c>
      <c r="AC25" s="41">
        <f>K25-T25</f>
        <v>1.7357976006852809</v>
      </c>
      <c r="AD25" s="41">
        <f>+AM25+BA25</f>
        <v>10</v>
      </c>
      <c r="AE25" s="240" t="s">
        <v>522</v>
      </c>
      <c r="AF25" s="41">
        <v>10</v>
      </c>
      <c r="AG25" s="41"/>
      <c r="AH25" s="41"/>
      <c r="AI25" s="458"/>
      <c r="AJ25" s="41"/>
      <c r="AK25" s="41"/>
      <c r="AL25" s="41"/>
      <c r="AM25" s="41">
        <f>SUM(AF25:AL25)+AT25+AV25+AX25</f>
        <v>10</v>
      </c>
      <c r="AN25" s="41"/>
      <c r="AO25" s="41"/>
      <c r="AP25" s="41"/>
      <c r="AQ25" s="41"/>
      <c r="AR25" s="41">
        <f>SUM(AN25:AQ25)</f>
        <v>0</v>
      </c>
      <c r="AS25" s="41"/>
      <c r="AT25" s="41"/>
      <c r="AU25" s="41"/>
      <c r="AV25" s="41"/>
      <c r="AW25" s="41"/>
      <c r="AX25" s="41"/>
      <c r="AY25" s="41"/>
      <c r="AZ25" s="41"/>
      <c r="BA25" s="41">
        <f>+AR25+AS25+AU25+AW25+AY25+AZ25</f>
        <v>0</v>
      </c>
      <c r="BB25" s="37">
        <v>2</v>
      </c>
      <c r="BC25" s="55"/>
      <c r="BD25" s="55"/>
      <c r="BE25" s="37"/>
      <c r="BF25" s="55"/>
    </row>
    <row r="26" spans="1:58" ht="12.95" customHeight="1">
      <c r="A26" s="344"/>
      <c r="B26" s="45" t="s">
        <v>231</v>
      </c>
      <c r="C26" s="449">
        <f>(M26*E26*O26*Q26)/100000000</f>
        <v>41.984194294152182</v>
      </c>
      <c r="D26" s="45" t="s">
        <v>566</v>
      </c>
      <c r="E26" s="46">
        <v>17</v>
      </c>
      <c r="F26" s="46">
        <v>1</v>
      </c>
      <c r="G26" s="462">
        <v>1210</v>
      </c>
      <c r="H26" s="48">
        <v>0</v>
      </c>
      <c r="I26" s="49">
        <v>0.88</v>
      </c>
      <c r="J26" s="88">
        <f>E26*G26*(1-H26)*1440/1000000*2.77</f>
        <v>82.049616</v>
      </c>
      <c r="K26" s="88">
        <f>(IF(G26&lt;L26,L26,G26)*(1-IF(H26&lt;N26,H26,N26))*E26*O26*Q26)/100000000</f>
        <v>42.131655086956513</v>
      </c>
      <c r="L26" s="39">
        <v>1225</v>
      </c>
      <c r="M26" s="39">
        <f>+L26-L26*0.0035</f>
        <v>1220.7125000000001</v>
      </c>
      <c r="N26" s="50">
        <f>1-(M26/L26)</f>
        <v>3.4999999999999476E-3</v>
      </c>
      <c r="O26" s="51">
        <f>+'Trim Rwd'!H16</f>
        <v>269.39130434782606</v>
      </c>
      <c r="P26" s="52">
        <f>O26*(Q26-R26-S26)</f>
        <v>195308.69565217389</v>
      </c>
      <c r="Q26" s="51">
        <v>751</v>
      </c>
      <c r="R26" s="419">
        <v>0</v>
      </c>
      <c r="S26" s="419">
        <f>11+15</f>
        <v>26</v>
      </c>
      <c r="T26" s="41">
        <f>E26*M26*O26*Q26/100000000</f>
        <v>41.984194294152182</v>
      </c>
      <c r="U26" s="41">
        <f>E26*M26*O26*(Q26-R26-S26)/100000000</f>
        <v>40.530680244021745</v>
      </c>
      <c r="V26" s="41">
        <f>E26*G26*(1-N26)*O26/100*(R26+S26)/1000000</f>
        <v>1.4357159189043478</v>
      </c>
      <c r="W26" s="41">
        <f>+'5'!K9/1000</f>
        <v>35.046999999999997</v>
      </c>
      <c r="X26" s="42"/>
      <c r="Y26" s="221"/>
      <c r="Z26" s="41">
        <f>+('5'!D17+'5'!D25)/1000</f>
        <v>0.47599999999999998</v>
      </c>
      <c r="AA26" s="41"/>
      <c r="AB26" s="41"/>
      <c r="AC26" s="41">
        <f>K26-T26</f>
        <v>0.14746079280433122</v>
      </c>
      <c r="AD26" s="41">
        <f>+AM26+BA26</f>
        <v>11</v>
      </c>
      <c r="AE26" s="240" t="s">
        <v>491</v>
      </c>
      <c r="AF26" s="41"/>
      <c r="AG26" s="41">
        <v>11</v>
      </c>
      <c r="AH26" s="41"/>
      <c r="AI26" s="458"/>
      <c r="AJ26" s="41"/>
      <c r="AK26" s="41"/>
      <c r="AL26" s="41"/>
      <c r="AM26" s="41">
        <f>SUM(AF26:AL26)+AT26+AV26+AX26</f>
        <v>11</v>
      </c>
      <c r="AN26" s="89"/>
      <c r="AO26" s="41"/>
      <c r="AP26" s="41"/>
      <c r="AQ26" s="41"/>
      <c r="AR26" s="41">
        <f>SUM(AN26:AQ26)</f>
        <v>0</v>
      </c>
      <c r="AS26" s="41"/>
      <c r="AT26" s="41"/>
      <c r="AU26" s="41"/>
      <c r="AV26" s="41"/>
      <c r="AW26" s="41"/>
      <c r="AX26" s="41"/>
      <c r="AY26" s="41"/>
      <c r="AZ26" s="41"/>
      <c r="BA26" s="41">
        <f>+AR26+AS26+AU26+AW26+AY26+AZ26</f>
        <v>0</v>
      </c>
      <c r="BB26" s="54"/>
      <c r="BC26" s="55">
        <v>7</v>
      </c>
      <c r="BD26" s="55"/>
      <c r="BE26" s="54"/>
      <c r="BF26" s="55"/>
    </row>
    <row r="27" spans="1:58" ht="12.95" customHeight="1">
      <c r="A27" s="44"/>
      <c r="B27" s="45" t="s">
        <v>231</v>
      </c>
      <c r="C27" s="449">
        <f>(M27*E27*O27*Q27)/100000000</f>
        <v>8.2990201593750008</v>
      </c>
      <c r="D27" s="45" t="s">
        <v>566</v>
      </c>
      <c r="E27" s="46">
        <v>16.5</v>
      </c>
      <c r="F27" s="46">
        <v>1</v>
      </c>
      <c r="G27" s="462">
        <v>1210</v>
      </c>
      <c r="H27" s="48">
        <v>0</v>
      </c>
      <c r="I27" s="49">
        <v>0.88</v>
      </c>
      <c r="J27" s="88">
        <f>E27*G27*(1-H27)*1440/1000000*2.77</f>
        <v>79.636392000000001</v>
      </c>
      <c r="K27" s="88">
        <f>(IF(G27&lt;L27,L27,G27)*(1-IF(H27&lt;N27,H27,N27))*E27*O27*Q27)/100000000</f>
        <v>8.3281687499999997</v>
      </c>
      <c r="L27" s="39">
        <v>1250</v>
      </c>
      <c r="M27" s="39">
        <f>+L27-L27*0.0035</f>
        <v>1245.625</v>
      </c>
      <c r="N27" s="50">
        <f>1-(M27/L27)</f>
        <v>3.4999999999999476E-3</v>
      </c>
      <c r="O27" s="51">
        <f>+'Trim Rwd'!H18</f>
        <v>271</v>
      </c>
      <c r="P27" s="52">
        <f>O27*(Q27-R27-S27)</f>
        <v>35501</v>
      </c>
      <c r="Q27" s="51">
        <v>149</v>
      </c>
      <c r="R27" s="419">
        <v>0</v>
      </c>
      <c r="S27" s="419">
        <v>18</v>
      </c>
      <c r="T27" s="41">
        <f>E27*M27*O27*Q27/100000000</f>
        <v>8.2990201593750008</v>
      </c>
      <c r="U27" s="41">
        <f>E27*M27*O27*(Q27-R27-S27)/100000000</f>
        <v>7.296453965625</v>
      </c>
      <c r="V27" s="41">
        <f>E27*G27*(1-N27)*O27/100*(R27+S27)/1000000</f>
        <v>0.97048407555000005</v>
      </c>
      <c r="W27" s="41">
        <f>+'5'!K10/1000</f>
        <v>0</v>
      </c>
      <c r="X27" s="42"/>
      <c r="Y27" s="221"/>
      <c r="Z27" s="41"/>
      <c r="AA27" s="41"/>
      <c r="AB27" s="41"/>
      <c r="AC27" s="41">
        <f>K27-T27</f>
        <v>2.914859062499886E-2</v>
      </c>
      <c r="AD27" s="41">
        <f>+AM27+BA27</f>
        <v>18</v>
      </c>
      <c r="AE27" s="240" t="s">
        <v>540</v>
      </c>
      <c r="AF27" s="37"/>
      <c r="AG27" s="37"/>
      <c r="AH27" s="37">
        <v>18</v>
      </c>
      <c r="AJ27" s="41"/>
      <c r="AK27" s="41"/>
      <c r="AL27" s="41"/>
      <c r="AM27" s="41">
        <f>SUM(AF27:AL27)+AT27+AV27+AX27</f>
        <v>18</v>
      </c>
      <c r="AN27" s="41"/>
      <c r="AO27" s="41"/>
      <c r="AP27" s="41"/>
      <c r="AQ27" s="41"/>
      <c r="AR27" s="41">
        <f>SUM(AN27:AQ27)</f>
        <v>0</v>
      </c>
      <c r="AS27" s="41"/>
      <c r="AT27" s="41"/>
      <c r="AU27" s="41"/>
      <c r="AV27" s="41"/>
      <c r="AW27" s="41"/>
      <c r="AX27" s="41"/>
      <c r="AY27" s="41"/>
      <c r="AZ27" s="41"/>
      <c r="BA27" s="41">
        <f>+AR27+AS27+AU27+AW27+AY27+AZ27</f>
        <v>0</v>
      </c>
      <c r="BB27" s="37"/>
      <c r="BC27" s="57"/>
      <c r="BD27" s="57"/>
      <c r="BE27" s="37"/>
      <c r="BF27" s="57"/>
    </row>
    <row r="28" spans="1:58" ht="12.95" customHeight="1">
      <c r="A28" s="44"/>
      <c r="B28" s="45"/>
      <c r="C28" s="449"/>
      <c r="D28" s="45"/>
      <c r="E28" s="46"/>
      <c r="F28" s="46"/>
      <c r="G28" s="47"/>
      <c r="H28" s="48"/>
      <c r="I28" s="49"/>
      <c r="J28" s="88"/>
      <c r="K28" s="88"/>
      <c r="L28" s="39"/>
      <c r="M28" s="39"/>
      <c r="N28" s="50"/>
      <c r="O28" s="51"/>
      <c r="P28" s="52"/>
      <c r="Q28" s="38"/>
      <c r="R28" s="419"/>
      <c r="S28" s="419"/>
      <c r="T28" s="41"/>
      <c r="U28" s="41"/>
      <c r="V28" s="41"/>
      <c r="W28" s="41"/>
      <c r="X28" s="42"/>
      <c r="Y28" s="221"/>
      <c r="Z28" s="41"/>
      <c r="AA28" s="41"/>
      <c r="AB28" s="41"/>
      <c r="AC28" s="41"/>
      <c r="AD28" s="41">
        <f>+AM28+BA28</f>
        <v>15</v>
      </c>
      <c r="AE28" s="243" t="s">
        <v>541</v>
      </c>
      <c r="AF28" s="41"/>
      <c r="AG28" s="41"/>
      <c r="AH28" s="41"/>
      <c r="AI28" s="458">
        <v>15</v>
      </c>
      <c r="AJ28" s="41"/>
      <c r="AK28" s="41"/>
      <c r="AL28" s="41"/>
      <c r="AM28" s="41">
        <f>SUM(AF28:AL28)+AT28+AV28+AX28</f>
        <v>15</v>
      </c>
      <c r="AN28" s="41"/>
      <c r="AO28" s="41"/>
      <c r="AP28" s="41"/>
      <c r="AQ28" s="41"/>
      <c r="AR28" s="41">
        <f>SUM(AN28:AQ28)</f>
        <v>0</v>
      </c>
      <c r="AS28" s="41"/>
      <c r="AT28" s="41"/>
      <c r="AU28" s="41"/>
      <c r="AV28" s="41"/>
      <c r="AW28" s="41"/>
      <c r="AX28" s="41"/>
      <c r="AY28" s="41"/>
      <c r="AZ28" s="41"/>
      <c r="BA28" s="41">
        <f>+AR28+AS28+AU28+AW28+AY28+AZ28</f>
        <v>0</v>
      </c>
      <c r="BB28" s="37"/>
      <c r="BC28" s="57"/>
      <c r="BD28" s="57"/>
      <c r="BE28" s="37"/>
      <c r="BF28" s="57"/>
    </row>
    <row r="29" spans="1:58" ht="12.95" customHeight="1">
      <c r="A29" s="44"/>
      <c r="B29" s="45"/>
      <c r="C29" s="449"/>
      <c r="D29" s="45"/>
      <c r="E29" s="46"/>
      <c r="F29" s="46"/>
      <c r="G29" s="47"/>
      <c r="H29" s="48"/>
      <c r="I29" s="49"/>
      <c r="J29" s="88"/>
      <c r="K29" s="88"/>
      <c r="L29" s="39"/>
      <c r="M29" s="39"/>
      <c r="N29" s="50"/>
      <c r="O29" s="51"/>
      <c r="P29" s="52"/>
      <c r="Q29" s="51"/>
      <c r="R29" s="419"/>
      <c r="S29" s="419"/>
      <c r="T29" s="41"/>
      <c r="U29" s="41"/>
      <c r="V29" s="41"/>
      <c r="W29" s="41"/>
      <c r="X29" s="42"/>
      <c r="Y29" s="221"/>
      <c r="Z29" s="41"/>
      <c r="AA29" s="41"/>
      <c r="AB29" s="41"/>
      <c r="AC29" s="41"/>
      <c r="AD29" s="41"/>
      <c r="AE29" s="174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54"/>
      <c r="BC29" s="55"/>
      <c r="BD29" s="55"/>
      <c r="BE29" s="37"/>
      <c r="BF29" s="55"/>
    </row>
    <row r="30" spans="1:58" ht="12.95" customHeight="1">
      <c r="A30" s="344">
        <v>45875</v>
      </c>
      <c r="B30" s="45" t="s">
        <v>231</v>
      </c>
      <c r="C30" s="449">
        <f>(M30*E30*O30*Q30)/100000000</f>
        <v>79.65048483132631</v>
      </c>
      <c r="D30" s="45" t="s">
        <v>566</v>
      </c>
      <c r="E30" s="46">
        <v>16.5</v>
      </c>
      <c r="F30" s="46">
        <v>1</v>
      </c>
      <c r="G30" s="462">
        <v>1210</v>
      </c>
      <c r="H30" s="48">
        <v>0</v>
      </c>
      <c r="I30" s="49">
        <v>0.88</v>
      </c>
      <c r="J30" s="88">
        <f>E30*G30*(1-H30)*1440/1000000*2.77</f>
        <v>79.636392000000001</v>
      </c>
      <c r="K30" s="88">
        <f>(IF(G30&lt;L30,L30,G30)*(1-IF(H30&lt;N30,H30,N30))*E30*O30*Q30)/100000000</f>
        <v>79.930240673684196</v>
      </c>
      <c r="L30" s="39">
        <v>1260</v>
      </c>
      <c r="M30" s="39">
        <f>+L30-L30*0.0035</f>
        <v>1255.5899999999999</v>
      </c>
      <c r="N30" s="50">
        <f>1-(M30/L30)</f>
        <v>3.5000000000000586E-3</v>
      </c>
      <c r="O30" s="51">
        <f>+'Trim Rwd'!H20</f>
        <v>266.98947368421051</v>
      </c>
      <c r="P30" s="52">
        <f>O30*(Q30-R30-S30)</f>
        <v>375921.1789473684</v>
      </c>
      <c r="Q30" s="51">
        <v>1440</v>
      </c>
      <c r="R30" s="419">
        <v>0</v>
      </c>
      <c r="S30" s="419">
        <v>32</v>
      </c>
      <c r="T30" s="41">
        <f>E30*M30*O30*Q30/100000000</f>
        <v>79.65048483132631</v>
      </c>
      <c r="U30" s="41">
        <f>E30*M30*O30*(Q30-R30-S30)/100000000</f>
        <v>77.880474057296823</v>
      </c>
      <c r="V30" s="41">
        <f>E30*G30*(1-N30)*O30/100*(R30+S30)/1000000</f>
        <v>1.699772251250526</v>
      </c>
      <c r="W30" s="41">
        <f>+'6'!K34/1000</f>
        <v>73.584000000000003</v>
      </c>
      <c r="X30" s="416">
        <f>SUM(W30:W33)/SUM(K30:K33)</f>
        <v>0.9206027578524032</v>
      </c>
      <c r="Y30" s="221">
        <v>0</v>
      </c>
      <c r="Z30" s="41">
        <f>+'6'!D34/1000</f>
        <v>0.30599999999999999</v>
      </c>
      <c r="AA30" s="53">
        <f>SUM(U30:U33)-SUM(W30:W33)-SUM(Z30:Z33)-SUM(Y30:Y33)</f>
        <v>3.9904740572968196</v>
      </c>
      <c r="AB30" s="53">
        <f>(SUM(K30:K33)-SUM(W30:W33)-SUM(Y30:Y33)-SUM(Z30:Z33)-SUM(AC30:AC33)-SUM(V30:V33))-AA30</f>
        <v>7.0238522778960366E-2</v>
      </c>
      <c r="AC30" s="41">
        <f>K30-T30</f>
        <v>0.27975584235788631</v>
      </c>
      <c r="AD30" s="41">
        <f>+AM30+BA30</f>
        <v>0</v>
      </c>
      <c r="AE30" s="240" t="s">
        <v>277</v>
      </c>
      <c r="AF30" s="41">
        <v>0</v>
      </c>
      <c r="AG30" s="41"/>
      <c r="AH30" s="41"/>
      <c r="AI30" s="458"/>
      <c r="AJ30" s="41"/>
      <c r="AK30" s="41"/>
      <c r="AL30" s="41"/>
      <c r="AM30" s="41">
        <f>SUM(AF30:AL30)+AT30+AV30+AX30</f>
        <v>0</v>
      </c>
      <c r="AN30" s="41"/>
      <c r="AO30" s="41"/>
      <c r="AP30" s="41"/>
      <c r="AQ30" s="41"/>
      <c r="AR30" s="41">
        <f>SUM(AN30:AQ30)</f>
        <v>0</v>
      </c>
      <c r="AS30" s="41"/>
      <c r="AT30" s="41"/>
      <c r="AU30" s="41"/>
      <c r="AV30" s="41"/>
      <c r="AW30" s="41"/>
      <c r="AX30" s="41"/>
      <c r="AY30" s="41"/>
      <c r="AZ30" s="41"/>
      <c r="BA30" s="41">
        <f>+AR30+AS30+AU30+AW30+AY30+AZ30</f>
        <v>0</v>
      </c>
      <c r="BB30" s="37">
        <v>0</v>
      </c>
      <c r="BC30" s="55"/>
      <c r="BD30" s="55"/>
      <c r="BE30" s="37"/>
      <c r="BF30" s="55"/>
    </row>
    <row r="31" spans="1:58" ht="12.95" customHeight="1">
      <c r="A31" s="344"/>
      <c r="B31" s="45"/>
      <c r="C31" s="449"/>
      <c r="D31" s="45"/>
      <c r="E31" s="46"/>
      <c r="F31" s="46"/>
      <c r="G31" s="462"/>
      <c r="H31" s="48"/>
      <c r="I31" s="49"/>
      <c r="J31" s="88"/>
      <c r="K31" s="88"/>
      <c r="L31" s="39"/>
      <c r="M31" s="39"/>
      <c r="N31" s="50"/>
      <c r="O31" s="51"/>
      <c r="P31" s="52"/>
      <c r="Q31" s="51"/>
      <c r="R31" s="419"/>
      <c r="S31" s="419"/>
      <c r="T31" s="41"/>
      <c r="U31" s="41"/>
      <c r="V31" s="41"/>
      <c r="W31" s="41"/>
      <c r="X31" s="42"/>
      <c r="Y31" s="221"/>
      <c r="Z31" s="41"/>
      <c r="AA31" s="41"/>
      <c r="AB31" s="41"/>
      <c r="AC31" s="41"/>
      <c r="AD31" s="41">
        <f>+AM31+BA31</f>
        <v>2</v>
      </c>
      <c r="AE31" s="240" t="s">
        <v>521</v>
      </c>
      <c r="AF31" s="41"/>
      <c r="AG31" s="41">
        <v>2</v>
      </c>
      <c r="AH31" s="41"/>
      <c r="AI31" s="458"/>
      <c r="AJ31" s="41"/>
      <c r="AK31" s="41"/>
      <c r="AL31" s="41"/>
      <c r="AM31" s="41">
        <f>SUM(AF31:AL31)+AT31+AV31+AX31</f>
        <v>2</v>
      </c>
      <c r="AN31" s="89"/>
      <c r="AO31" s="41"/>
      <c r="AP31" s="41"/>
      <c r="AQ31" s="41"/>
      <c r="AR31" s="41">
        <f>SUM(AN31:AQ31)</f>
        <v>0</v>
      </c>
      <c r="AS31" s="41"/>
      <c r="AT31" s="41"/>
      <c r="AU31" s="41"/>
      <c r="AV31" s="41"/>
      <c r="AW31" s="41"/>
      <c r="AX31" s="41"/>
      <c r="AY31" s="41"/>
      <c r="AZ31" s="41"/>
      <c r="BA31" s="41">
        <f>+AR31+AS31+AU31+AW31+AY31+AZ31</f>
        <v>0</v>
      </c>
      <c r="BB31" s="54"/>
      <c r="BC31" s="55">
        <v>1</v>
      </c>
      <c r="BD31" s="55"/>
      <c r="BE31" s="54"/>
      <c r="BF31" s="55"/>
    </row>
    <row r="32" spans="1:58" ht="12.95" customHeight="1">
      <c r="A32" s="44"/>
      <c r="B32" s="45"/>
      <c r="C32" s="449"/>
      <c r="D32" s="45"/>
      <c r="E32" s="46"/>
      <c r="F32" s="46"/>
      <c r="G32" s="462"/>
      <c r="H32" s="48"/>
      <c r="I32" s="49"/>
      <c r="J32" s="88"/>
      <c r="K32" s="88"/>
      <c r="L32" s="39"/>
      <c r="M32" s="39"/>
      <c r="N32" s="50"/>
      <c r="O32" s="51"/>
      <c r="P32" s="52"/>
      <c r="Q32" s="51"/>
      <c r="R32" s="419"/>
      <c r="S32" s="419"/>
      <c r="T32" s="41"/>
      <c r="U32" s="41"/>
      <c r="V32" s="41"/>
      <c r="W32" s="41"/>
      <c r="X32" s="42"/>
      <c r="Y32" s="221"/>
      <c r="Z32" s="41"/>
      <c r="AA32" s="41"/>
      <c r="AB32" s="41"/>
      <c r="AC32" s="41"/>
      <c r="AD32" s="41">
        <f>+AM32+BA32</f>
        <v>30</v>
      </c>
      <c r="AE32" s="240" t="s">
        <v>500</v>
      </c>
      <c r="AF32" s="37"/>
      <c r="AG32" s="37"/>
      <c r="AH32" s="37">
        <v>30</v>
      </c>
      <c r="AI32" s="458"/>
      <c r="AJ32" s="41"/>
      <c r="AK32" s="41"/>
      <c r="AL32" s="41"/>
      <c r="AM32" s="41">
        <f>SUM(AF32:AL32)+AT32+AV32+AX32</f>
        <v>30</v>
      </c>
      <c r="AN32" s="41"/>
      <c r="AO32" s="41"/>
      <c r="AP32" s="41"/>
      <c r="AQ32" s="41"/>
      <c r="AR32" s="41">
        <f>SUM(AN32:AQ32)</f>
        <v>0</v>
      </c>
      <c r="AS32" s="41"/>
      <c r="AT32" s="41"/>
      <c r="AU32" s="41"/>
      <c r="AV32" s="41"/>
      <c r="AW32" s="41"/>
      <c r="AX32" s="41"/>
      <c r="AY32" s="41"/>
      <c r="AZ32" s="41"/>
      <c r="BA32" s="41">
        <f>+AR32+AS32+AU32+AW32+AY32+AZ32</f>
        <v>0</v>
      </c>
      <c r="BB32" s="37"/>
      <c r="BC32" s="57"/>
      <c r="BD32" s="57"/>
      <c r="BE32" s="37"/>
      <c r="BF32" s="57"/>
    </row>
    <row r="33" spans="1:58" ht="12.95" customHeight="1">
      <c r="A33" s="44"/>
      <c r="B33" s="45"/>
      <c r="C33" s="449"/>
      <c r="D33" s="45"/>
      <c r="E33" s="46"/>
      <c r="F33" s="46"/>
      <c r="G33" s="47"/>
      <c r="H33" s="48"/>
      <c r="I33" s="49"/>
      <c r="J33" s="88"/>
      <c r="K33" s="88"/>
      <c r="L33" s="39"/>
      <c r="M33" s="39"/>
      <c r="N33" s="50"/>
      <c r="O33" s="51"/>
      <c r="P33" s="52"/>
      <c r="Q33" s="51"/>
      <c r="R33" s="419"/>
      <c r="S33" s="419"/>
      <c r="T33" s="41"/>
      <c r="U33" s="41"/>
      <c r="V33" s="41"/>
      <c r="W33" s="41"/>
      <c r="X33" s="42"/>
      <c r="Y33" s="221"/>
      <c r="Z33" s="41"/>
      <c r="AA33" s="41"/>
      <c r="AB33" s="41"/>
      <c r="AC33" s="41"/>
      <c r="AD33" s="41"/>
      <c r="AE33" s="240"/>
      <c r="AF33" s="37"/>
      <c r="AG33" s="37"/>
      <c r="AH33" s="37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37"/>
      <c r="BC33" s="57"/>
      <c r="BD33" s="57"/>
      <c r="BE33" s="37"/>
      <c r="BF33" s="57"/>
    </row>
    <row r="34" spans="1:58" ht="12.95" customHeight="1">
      <c r="A34" s="344">
        <v>45876</v>
      </c>
      <c r="B34" s="45" t="s">
        <v>231</v>
      </c>
      <c r="C34" s="449">
        <f>(M34*E34*O34*Q34)/100000000</f>
        <v>20.954102053499998</v>
      </c>
      <c r="D34" s="45" t="s">
        <v>566</v>
      </c>
      <c r="E34" s="46">
        <v>16.5</v>
      </c>
      <c r="F34" s="46">
        <v>1</v>
      </c>
      <c r="G34" s="462">
        <v>1210</v>
      </c>
      <c r="H34" s="48">
        <v>0</v>
      </c>
      <c r="I34" s="49">
        <v>0.88</v>
      </c>
      <c r="J34" s="88">
        <f>E34*G34*(1-H34)*1440/1000000*2.77</f>
        <v>79.636392000000001</v>
      </c>
      <c r="K34" s="88">
        <f>(IF(G34&lt;L34,L34,G34)*(1-IF(H34&lt;N34,H34,N34))*E34*O34*Q34)/100000000</f>
        <v>21.027698999999998</v>
      </c>
      <c r="L34" s="39">
        <v>1260</v>
      </c>
      <c r="M34" s="39">
        <f>+L34-L34*0.0035</f>
        <v>1255.5899999999999</v>
      </c>
      <c r="N34" s="50">
        <f>1-(M34/L34)</f>
        <v>3.5000000000000586E-3</v>
      </c>
      <c r="O34" s="51">
        <f>+'Trim Rwd'!H24</f>
        <v>266.16666666666669</v>
      </c>
      <c r="P34" s="52">
        <f>O34*(Q34-R34-S34)</f>
        <v>64412.333333333336</v>
      </c>
      <c r="Q34" s="51">
        <f>275+105</f>
        <v>380</v>
      </c>
      <c r="R34" s="419">
        <v>105</v>
      </c>
      <c r="S34" s="419">
        <v>33</v>
      </c>
      <c r="T34" s="41">
        <f>E34*M34*O34*Q34/100000000</f>
        <v>20.954102053499998</v>
      </c>
      <c r="U34" s="41">
        <f>E34*M34*O34*(Q34-R34-S34)/100000000</f>
        <v>13.344454465649997</v>
      </c>
      <c r="V34" s="41">
        <f>E34*G34*(1-N34)*O34/100*(R34+S34)/1000000</f>
        <v>7.307677445475</v>
      </c>
      <c r="W34" s="41">
        <f>+'7'!K10/1000</f>
        <v>31.658999999999999</v>
      </c>
      <c r="X34" s="416">
        <f>SUM(W34:W37)/SUM(K34:K37)</f>
        <v>0.93472606491672772</v>
      </c>
      <c r="Y34" s="221">
        <v>0</v>
      </c>
      <c r="Z34" s="41">
        <f>+('7'!D7+'7'!D16)/1000</f>
        <v>1.1200000000000001</v>
      </c>
      <c r="AA34" s="53">
        <f>SUM(U34:U37)-SUM(W34:W37)-SUM(Z34:Z37)-SUM(Y34:Y37)</f>
        <v>-7.0498834343499945</v>
      </c>
      <c r="AB34" s="53">
        <f>(SUM(K34:K37)-SUM(W34:W37)-SUM(Y34:Y37)-SUM(Z34:Z37)-SUM(AC34:AC37)-SUM(V34:V37))-AA34</f>
        <v>0.38799574909142898</v>
      </c>
      <c r="AC34" s="41">
        <f>K34-T34</f>
        <v>7.3596946500000371E-2</v>
      </c>
      <c r="AD34" s="41">
        <f>+AM34+BA34</f>
        <v>20</v>
      </c>
      <c r="AE34" s="240" t="s">
        <v>447</v>
      </c>
      <c r="AF34" s="41">
        <v>20</v>
      </c>
      <c r="AG34" s="41"/>
      <c r="AH34" s="41"/>
      <c r="AI34" s="458"/>
      <c r="AJ34" s="41"/>
      <c r="AK34" s="41"/>
      <c r="AL34" s="41"/>
      <c r="AM34" s="41">
        <f>SUM(AF34:AL34)+AT34+AV34+AX34</f>
        <v>20</v>
      </c>
      <c r="AN34" s="41"/>
      <c r="AO34" s="41"/>
      <c r="AP34" s="41"/>
      <c r="AQ34" s="41"/>
      <c r="AR34" s="41">
        <f>SUM(AN34:AQ34)</f>
        <v>0</v>
      </c>
      <c r="AS34" s="41"/>
      <c r="AT34" s="41"/>
      <c r="AU34" s="41"/>
      <c r="AV34" s="41"/>
      <c r="AW34" s="41"/>
      <c r="AX34" s="41"/>
      <c r="AY34" s="41"/>
      <c r="AZ34" s="41"/>
      <c r="BA34" s="41">
        <f>+AR34+AS34+AU34+AW34+AY34+AZ34</f>
        <v>0</v>
      </c>
      <c r="BB34" s="37">
        <v>4</v>
      </c>
      <c r="BC34" s="55"/>
      <c r="BD34" s="55"/>
      <c r="BE34" s="37"/>
      <c r="BF34" s="55"/>
    </row>
    <row r="35" spans="1:58" ht="12.95" customHeight="1">
      <c r="A35" s="344"/>
      <c r="B35" s="45" t="s">
        <v>231</v>
      </c>
      <c r="C35" s="449">
        <f>(M35*E35*O35*Q35)/100000000</f>
        <v>52.896438000000003</v>
      </c>
      <c r="D35" s="45" t="s">
        <v>566</v>
      </c>
      <c r="E35" s="46">
        <v>14</v>
      </c>
      <c r="F35" s="46">
        <v>1</v>
      </c>
      <c r="G35" s="462">
        <v>1270</v>
      </c>
      <c r="H35" s="48">
        <v>0</v>
      </c>
      <c r="I35" s="49">
        <v>0.88</v>
      </c>
      <c r="J35" s="88">
        <f>E35*G35*(1-H35)*1440/1000000*2.77</f>
        <v>70.920864000000009</v>
      </c>
      <c r="K35" s="88">
        <f>(IF(G35&lt;L35,L35,G35)*(1-IF(H35&lt;N35,H35,N35))*E35*O35*Q35)/100000000</f>
        <v>53.094552</v>
      </c>
      <c r="L35" s="39">
        <v>1340</v>
      </c>
      <c r="M35" s="39">
        <v>1335</v>
      </c>
      <c r="N35" s="50">
        <f>1-(M35/L35)</f>
        <v>3.7313432835820448E-3</v>
      </c>
      <c r="O35" s="51">
        <f>+'Trim Rwd'!H26</f>
        <v>267</v>
      </c>
      <c r="P35" s="52">
        <f>O35*(Q35-R35-S35)</f>
        <v>274209</v>
      </c>
      <c r="Q35" s="51">
        <v>1060</v>
      </c>
      <c r="R35" s="419">
        <v>0</v>
      </c>
      <c r="S35" s="419">
        <v>33</v>
      </c>
      <c r="T35" s="41">
        <f>E35*M35*O35*Q35/100000000</f>
        <v>52.896438000000003</v>
      </c>
      <c r="U35" s="41">
        <f>E35*M35*O35*(Q35-R35-S35)/100000000</f>
        <v>51.249662100000002</v>
      </c>
      <c r="V35" s="41">
        <f>E35*G35*(1-N35)*O35/100*(R35+S35)/1000000</f>
        <v>1.5607502932835822</v>
      </c>
      <c r="W35" s="41">
        <f>+'7'!K11/1000</f>
        <v>37.625</v>
      </c>
      <c r="X35" s="42"/>
      <c r="Y35" s="221"/>
      <c r="Z35" s="41">
        <f>+'7'!D25/1000</f>
        <v>1.24</v>
      </c>
      <c r="AA35" s="41"/>
      <c r="AB35" s="41"/>
      <c r="AC35" s="41">
        <f>K35-T35</f>
        <v>0.19811399999999679</v>
      </c>
      <c r="AD35" s="41">
        <f>+AM35+BA35</f>
        <v>6</v>
      </c>
      <c r="AE35" s="240" t="s">
        <v>567</v>
      </c>
      <c r="AF35" s="41"/>
      <c r="AG35" s="41">
        <v>6</v>
      </c>
      <c r="AH35" s="41"/>
      <c r="AI35" s="458"/>
      <c r="AJ35" s="41"/>
      <c r="AK35" s="41"/>
      <c r="AL35" s="41"/>
      <c r="AM35" s="41">
        <f>SUM(AF35:AL35)+AT35+AV35+AX35</f>
        <v>6</v>
      </c>
      <c r="AN35" s="89"/>
      <c r="AO35" s="41"/>
      <c r="AP35" s="41"/>
      <c r="AQ35" s="41"/>
      <c r="AR35" s="41">
        <f>SUM(AN35:AQ35)</f>
        <v>0</v>
      </c>
      <c r="AS35" s="41"/>
      <c r="AT35" s="41"/>
      <c r="AU35" s="41"/>
      <c r="AV35" s="41"/>
      <c r="AW35" s="41"/>
      <c r="AX35" s="41"/>
      <c r="AY35" s="41"/>
      <c r="AZ35" s="41"/>
      <c r="BA35" s="41">
        <f>+AR35+AS35+AU35+AW35+AY35+AZ35</f>
        <v>0</v>
      </c>
      <c r="BB35" s="54"/>
      <c r="BC35" s="55">
        <v>2</v>
      </c>
      <c r="BD35" s="55"/>
      <c r="BE35" s="54"/>
      <c r="BF35" s="55"/>
    </row>
    <row r="36" spans="1:58" ht="12.95" customHeight="1">
      <c r="A36" s="44"/>
      <c r="B36" s="45"/>
      <c r="C36" s="449"/>
      <c r="D36" s="45"/>
      <c r="E36" s="46"/>
      <c r="F36" s="46"/>
      <c r="G36" s="462"/>
      <c r="H36" s="48"/>
      <c r="I36" s="49"/>
      <c r="J36" s="88"/>
      <c r="K36" s="88"/>
      <c r="L36" s="39"/>
      <c r="M36" s="39"/>
      <c r="N36" s="50"/>
      <c r="O36" s="51"/>
      <c r="P36" s="52"/>
      <c r="Q36" s="51"/>
      <c r="R36" s="419"/>
      <c r="S36" s="419"/>
      <c r="T36" s="41"/>
      <c r="U36" s="41"/>
      <c r="V36" s="41"/>
      <c r="W36" s="41"/>
      <c r="X36" s="42"/>
      <c r="Y36" s="221"/>
      <c r="Z36" s="41"/>
      <c r="AA36" s="41"/>
      <c r="AB36" s="41"/>
      <c r="AC36" s="41"/>
      <c r="AD36" s="41">
        <f>+AM36+BA36</f>
        <v>30</v>
      </c>
      <c r="AE36" s="240" t="s">
        <v>568</v>
      </c>
      <c r="AF36" s="37"/>
      <c r="AG36" s="37"/>
      <c r="AH36" s="37">
        <v>30</v>
      </c>
      <c r="AI36" s="458"/>
      <c r="AJ36" s="41"/>
      <c r="AK36" s="41"/>
      <c r="AL36" s="41"/>
      <c r="AM36" s="41">
        <f>SUM(AF36:AL36)+AT36+AV36+AX36</f>
        <v>30</v>
      </c>
      <c r="AN36" s="41"/>
      <c r="AO36" s="41"/>
      <c r="AP36" s="41"/>
      <c r="AQ36" s="41"/>
      <c r="AR36" s="41">
        <f>SUM(AN36:AQ36)</f>
        <v>0</v>
      </c>
      <c r="AS36" s="41"/>
      <c r="AT36" s="41"/>
      <c r="AU36" s="41"/>
      <c r="AV36" s="41"/>
      <c r="AW36" s="41"/>
      <c r="AX36" s="41"/>
      <c r="AY36" s="41"/>
      <c r="AZ36" s="41"/>
      <c r="BA36" s="41">
        <f>+AR36+AS36+AU36+AW36+AY36+AZ36</f>
        <v>0</v>
      </c>
      <c r="BB36" s="37"/>
      <c r="BC36" s="57"/>
      <c r="BD36" s="57"/>
      <c r="BE36" s="37"/>
      <c r="BF36" s="57"/>
    </row>
    <row r="37" spans="1:58" ht="12.95" customHeight="1">
      <c r="A37" s="44"/>
      <c r="B37" s="45"/>
      <c r="C37" s="449"/>
      <c r="D37" s="45"/>
      <c r="E37" s="46"/>
      <c r="F37" s="46"/>
      <c r="G37" s="47"/>
      <c r="H37" s="48"/>
      <c r="I37" s="49"/>
      <c r="J37" s="88"/>
      <c r="K37" s="88"/>
      <c r="L37" s="39"/>
      <c r="M37" s="39"/>
      <c r="N37" s="50"/>
      <c r="O37" s="51"/>
      <c r="P37" s="52"/>
      <c r="Q37" s="51"/>
      <c r="R37" s="419"/>
      <c r="S37" s="419"/>
      <c r="T37" s="41"/>
      <c r="U37" s="41"/>
      <c r="V37" s="41"/>
      <c r="W37" s="41"/>
      <c r="X37" s="42"/>
      <c r="Y37" s="221"/>
      <c r="Z37" s="41"/>
      <c r="AA37" s="41"/>
      <c r="AB37" s="41"/>
      <c r="AC37" s="41"/>
      <c r="AD37" s="41">
        <f>+AM37+BA37</f>
        <v>10</v>
      </c>
      <c r="AE37" s="240" t="s">
        <v>541</v>
      </c>
      <c r="AF37" s="37"/>
      <c r="AG37" s="37"/>
      <c r="AH37" s="37"/>
      <c r="AI37" s="458">
        <v>10</v>
      </c>
      <c r="AJ37" s="41"/>
      <c r="AK37" s="41"/>
      <c r="AL37" s="41"/>
      <c r="AM37" s="41">
        <f>SUM(AF37:AL37)+AT37+AV37+AX37</f>
        <v>10</v>
      </c>
      <c r="AN37" s="41"/>
      <c r="AO37" s="41"/>
      <c r="AP37" s="41"/>
      <c r="AQ37" s="41"/>
      <c r="AR37" s="41">
        <f>SUM(AN37:AQ37)</f>
        <v>0</v>
      </c>
      <c r="AS37" s="41"/>
      <c r="AT37" s="41"/>
      <c r="AU37" s="41"/>
      <c r="AV37" s="41"/>
      <c r="AW37" s="41"/>
      <c r="AX37" s="41"/>
      <c r="AY37" s="41"/>
      <c r="AZ37" s="41"/>
      <c r="BA37" s="41">
        <f>+AR37+AS37+AU37+AW37+AY37+AZ37</f>
        <v>0</v>
      </c>
      <c r="BB37" s="37"/>
      <c r="BC37" s="57"/>
      <c r="BD37" s="57"/>
      <c r="BE37" s="37"/>
      <c r="BF37" s="57"/>
    </row>
    <row r="38" spans="1:58" ht="12.95" customHeight="1">
      <c r="A38" s="44"/>
      <c r="B38" s="45"/>
      <c r="C38" s="449"/>
      <c r="D38" s="45"/>
      <c r="E38" s="46"/>
      <c r="F38" s="46"/>
      <c r="G38" s="47"/>
      <c r="H38" s="48"/>
      <c r="I38" s="49"/>
      <c r="J38" s="88"/>
      <c r="K38" s="88"/>
      <c r="L38" s="39"/>
      <c r="M38" s="39"/>
      <c r="N38" s="50"/>
      <c r="O38" s="51"/>
      <c r="P38" s="52"/>
      <c r="Q38" s="51"/>
      <c r="R38" s="419"/>
      <c r="S38" s="419"/>
      <c r="T38" s="41"/>
      <c r="U38" s="41"/>
      <c r="V38" s="41"/>
      <c r="W38" s="41"/>
      <c r="X38" s="42"/>
      <c r="Y38" s="221"/>
      <c r="Z38" s="41"/>
      <c r="AA38" s="41"/>
      <c r="AB38" s="41"/>
      <c r="AC38" s="41"/>
      <c r="AD38" s="41">
        <f>+AM38+BA38</f>
        <v>105</v>
      </c>
      <c r="AE38" s="240" t="s">
        <v>569</v>
      </c>
      <c r="AF38" s="41"/>
      <c r="AG38" s="41"/>
      <c r="AH38" s="41"/>
      <c r="AI38" s="41"/>
      <c r="AJ38" s="41"/>
      <c r="AK38" s="41"/>
      <c r="AL38" s="41"/>
      <c r="AM38" s="41">
        <f>SUM(AF38:AL38)+AT38+AV38+AX38</f>
        <v>0</v>
      </c>
      <c r="AN38" s="41"/>
      <c r="AO38" s="41"/>
      <c r="AP38" s="41">
        <v>105</v>
      </c>
      <c r="AQ38" s="41"/>
      <c r="AR38" s="41">
        <f>SUM(AN38:AQ38)</f>
        <v>105</v>
      </c>
      <c r="AS38" s="41"/>
      <c r="AT38" s="41"/>
      <c r="AU38" s="41"/>
      <c r="AV38" s="41"/>
      <c r="AW38" s="41"/>
      <c r="AX38" s="41"/>
      <c r="AY38" s="41"/>
      <c r="AZ38" s="41"/>
      <c r="BA38" s="41">
        <f>+AR38+AS38+AU38+AW38+AY38+AZ38</f>
        <v>105</v>
      </c>
      <c r="BB38" s="37"/>
      <c r="BC38" s="57"/>
      <c r="BD38" s="57"/>
      <c r="BE38" s="37"/>
      <c r="BF38" s="57"/>
    </row>
    <row r="39" spans="1:58" ht="12.95" customHeight="1">
      <c r="A39" s="344"/>
      <c r="B39" s="45"/>
      <c r="C39" s="449"/>
      <c r="D39" s="45"/>
      <c r="E39" s="46"/>
      <c r="F39" s="46"/>
      <c r="G39" s="462"/>
      <c r="H39" s="48"/>
      <c r="I39" s="49"/>
      <c r="J39" s="88"/>
      <c r="K39" s="88"/>
      <c r="L39" s="39"/>
      <c r="M39" s="39"/>
      <c r="N39" s="50"/>
      <c r="O39" s="51"/>
      <c r="P39" s="52"/>
      <c r="Q39" s="51"/>
      <c r="R39" s="419"/>
      <c r="S39" s="419"/>
      <c r="T39" s="41"/>
      <c r="U39" s="41"/>
      <c r="V39" s="41"/>
      <c r="W39" s="41"/>
      <c r="X39" s="416"/>
      <c r="Y39" s="221"/>
      <c r="Z39" s="41"/>
      <c r="AA39" s="53"/>
      <c r="AB39" s="53"/>
      <c r="AC39" s="41"/>
      <c r="AD39" s="41"/>
      <c r="AE39" s="240"/>
      <c r="AF39" s="41"/>
      <c r="AG39" s="41"/>
      <c r="AH39" s="41"/>
      <c r="AI39" s="458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37"/>
      <c r="BC39" s="55"/>
      <c r="BD39" s="55"/>
      <c r="BE39" s="55"/>
      <c r="BF39" s="55"/>
    </row>
    <row r="40" spans="1:58" ht="12.95" customHeight="1">
      <c r="A40" s="344">
        <v>45846</v>
      </c>
      <c r="B40" s="45" t="s">
        <v>231</v>
      </c>
      <c r="C40" s="449">
        <f>(M40*E40*O40*Q40)/100000000</f>
        <v>71.859312000000003</v>
      </c>
      <c r="D40" s="45" t="s">
        <v>566</v>
      </c>
      <c r="E40" s="46">
        <v>14</v>
      </c>
      <c r="F40" s="46">
        <v>1</v>
      </c>
      <c r="G40" s="462">
        <v>1270</v>
      </c>
      <c r="H40" s="48">
        <v>0</v>
      </c>
      <c r="I40" s="49">
        <v>0.88</v>
      </c>
      <c r="J40" s="88">
        <f>E40*G40*(1-H40)*1440/1000000*2.77</f>
        <v>70.920864000000009</v>
      </c>
      <c r="K40" s="88">
        <f>(IF(G40&lt;L40,L40,G40)*(1-IF(H40&lt;N40,H40,N40))*E40*O40*Q40)/100000000</f>
        <v>72.128448000000006</v>
      </c>
      <c r="L40" s="39">
        <v>1340</v>
      </c>
      <c r="M40" s="39">
        <v>1335</v>
      </c>
      <c r="N40" s="50">
        <f>1-(M40/L40)</f>
        <v>3.7313432835820448E-3</v>
      </c>
      <c r="O40" s="51">
        <f>+'Trim Rwd'!H28</f>
        <v>267</v>
      </c>
      <c r="P40" s="52">
        <f>O40*(Q40-R40-S40)</f>
        <v>371397</v>
      </c>
      <c r="Q40" s="51">
        <v>1440</v>
      </c>
      <c r="R40" s="419">
        <v>0</v>
      </c>
      <c r="S40" s="419">
        <v>49</v>
      </c>
      <c r="T40" s="41">
        <f>E40*M40*O40*Q40/100000000</f>
        <v>71.859312000000003</v>
      </c>
      <c r="U40" s="41">
        <f>E40*M40*O40*(Q40-R40-S40)/100000000</f>
        <v>69.414099300000004</v>
      </c>
      <c r="V40" s="41">
        <f>E40*G40*(1-N40)*O40/100*(R40+S40)/1000000</f>
        <v>2.3174777082089553</v>
      </c>
      <c r="W40" s="41">
        <f>+'8'!K11/1000</f>
        <v>70.066000000000003</v>
      </c>
      <c r="X40" s="416">
        <f>SUM(W40:W43)/SUM(K40:K43)</f>
        <v>0.97140590076192956</v>
      </c>
      <c r="Y40" s="221">
        <v>0</v>
      </c>
      <c r="Z40" s="41">
        <f>+'8'!D7/1000</f>
        <v>1.07</v>
      </c>
      <c r="AA40" s="53">
        <f>SUM(U40:U43)-SUM(W40:W43)-SUM(Z40:Z43)-SUM(Y40:Y43)</f>
        <v>-1.7219006999999988</v>
      </c>
      <c r="AB40" s="53">
        <f>(SUM(K40:K43)-SUM(W40:W43)-SUM(Y40:Y43)-SUM(Z40:Z43)-SUM(AC40:AC43)-SUM(V40:V43))-AA40</f>
        <v>0.12773499179104375</v>
      </c>
      <c r="AC40" s="41">
        <f>K40-T40</f>
        <v>0.26913600000000315</v>
      </c>
      <c r="AD40" s="41">
        <f>+AM40+BA40</f>
        <v>14</v>
      </c>
      <c r="AE40" s="240" t="s">
        <v>580</v>
      </c>
      <c r="AF40" s="41">
        <v>14</v>
      </c>
      <c r="AG40" s="41"/>
      <c r="AH40" s="41"/>
      <c r="AI40" s="458"/>
      <c r="AJ40" s="41"/>
      <c r="AK40" s="41"/>
      <c r="AL40" s="41"/>
      <c r="AM40" s="41">
        <f>SUM(AF40:AL40)+AT40+AV40+AX40</f>
        <v>14</v>
      </c>
      <c r="AN40" s="41"/>
      <c r="AO40" s="41"/>
      <c r="AP40" s="41"/>
      <c r="AQ40" s="41"/>
      <c r="AR40" s="41">
        <f>SUM(AN40:AQ40)</f>
        <v>0</v>
      </c>
      <c r="AS40" s="41"/>
      <c r="AT40" s="41"/>
      <c r="AU40" s="41"/>
      <c r="AV40" s="41"/>
      <c r="AW40" s="41"/>
      <c r="AX40" s="41"/>
      <c r="AY40" s="41"/>
      <c r="AZ40" s="41"/>
      <c r="BA40" s="41">
        <f>+AR40+AS40+AU40+AW40+AY40+AZ40</f>
        <v>0</v>
      </c>
      <c r="BB40" s="37">
        <v>0</v>
      </c>
      <c r="BC40" s="55"/>
      <c r="BD40" s="55"/>
      <c r="BE40" s="37"/>
      <c r="BF40" s="55"/>
    </row>
    <row r="41" spans="1:58" ht="12.95" customHeight="1">
      <c r="A41" s="344"/>
      <c r="B41" s="45"/>
      <c r="C41" s="449"/>
      <c r="D41" s="45"/>
      <c r="E41" s="46"/>
      <c r="F41" s="46"/>
      <c r="G41" s="462"/>
      <c r="H41" s="48"/>
      <c r="I41" s="49"/>
      <c r="J41" s="88"/>
      <c r="K41" s="88"/>
      <c r="L41" s="39"/>
      <c r="M41" s="39"/>
      <c r="N41" s="50"/>
      <c r="O41" s="51"/>
      <c r="P41" s="52"/>
      <c r="Q41" s="51"/>
      <c r="R41" s="419"/>
      <c r="S41" s="419"/>
      <c r="T41" s="41"/>
      <c r="U41" s="41"/>
      <c r="V41" s="41"/>
      <c r="W41" s="41"/>
      <c r="X41" s="42"/>
      <c r="Y41" s="221"/>
      <c r="Z41" s="41"/>
      <c r="AA41" s="41"/>
      <c r="AB41" s="41"/>
      <c r="AC41" s="41"/>
      <c r="AD41" s="41">
        <f>+AM41+BA41</f>
        <v>0</v>
      </c>
      <c r="AE41" s="240" t="s">
        <v>446</v>
      </c>
      <c r="AF41" s="41"/>
      <c r="AG41" s="41">
        <v>0</v>
      </c>
      <c r="AH41" s="41"/>
      <c r="AI41" s="458"/>
      <c r="AJ41" s="41"/>
      <c r="AK41" s="41"/>
      <c r="AL41" s="41"/>
      <c r="AM41" s="41">
        <f>SUM(AF41:AL41)+AT41+AV41+AX41</f>
        <v>0</v>
      </c>
      <c r="AN41" s="89"/>
      <c r="AO41" s="41"/>
      <c r="AP41" s="41"/>
      <c r="AQ41" s="41"/>
      <c r="AR41" s="41">
        <f>SUM(AN41:AQ41)</f>
        <v>0</v>
      </c>
      <c r="AS41" s="41"/>
      <c r="AT41" s="41"/>
      <c r="AU41" s="41"/>
      <c r="AV41" s="41"/>
      <c r="AW41" s="41"/>
      <c r="AX41" s="41"/>
      <c r="AY41" s="41"/>
      <c r="AZ41" s="41"/>
      <c r="BA41" s="41">
        <f>+AR41+AS41+AU41+AW41+AY41+AZ41</f>
        <v>0</v>
      </c>
      <c r="BB41" s="54"/>
      <c r="BC41" s="55">
        <v>1</v>
      </c>
      <c r="BD41" s="55"/>
      <c r="BE41" s="54"/>
      <c r="BF41" s="55"/>
    </row>
    <row r="42" spans="1:58" ht="12.95" customHeight="1">
      <c r="A42" s="44"/>
      <c r="B42" s="45"/>
      <c r="C42" s="449"/>
      <c r="D42" s="45"/>
      <c r="E42" s="46"/>
      <c r="F42" s="46"/>
      <c r="G42" s="462"/>
      <c r="H42" s="48"/>
      <c r="I42" s="49"/>
      <c r="J42" s="88"/>
      <c r="K42" s="88"/>
      <c r="L42" s="39"/>
      <c r="M42" s="39"/>
      <c r="N42" s="50"/>
      <c r="O42" s="51"/>
      <c r="P42" s="52"/>
      <c r="Q42" s="51"/>
      <c r="R42" s="419"/>
      <c r="S42" s="419"/>
      <c r="T42" s="41"/>
      <c r="U42" s="41"/>
      <c r="V42" s="41"/>
      <c r="W42" s="41"/>
      <c r="X42" s="42"/>
      <c r="Y42" s="221"/>
      <c r="Z42" s="41"/>
      <c r="AA42" s="41"/>
      <c r="AB42" s="41"/>
      <c r="AC42" s="41"/>
      <c r="AD42" s="41">
        <f>+AM42+BA42</f>
        <v>35</v>
      </c>
      <c r="AE42" s="240" t="s">
        <v>581</v>
      </c>
      <c r="AF42" s="37"/>
      <c r="AG42" s="37"/>
      <c r="AH42" s="37">
        <v>35</v>
      </c>
      <c r="AI42" s="458"/>
      <c r="AJ42" s="41"/>
      <c r="AK42" s="41"/>
      <c r="AL42" s="41"/>
      <c r="AM42" s="41">
        <f>SUM(AF42:AL42)+AT42+AV42+AX42</f>
        <v>35</v>
      </c>
      <c r="AN42" s="41"/>
      <c r="AO42" s="41"/>
      <c r="AP42" s="41"/>
      <c r="AQ42" s="41"/>
      <c r="AR42" s="41">
        <f>SUM(AN42:AQ42)</f>
        <v>0</v>
      </c>
      <c r="AS42" s="41"/>
      <c r="AT42" s="41"/>
      <c r="AU42" s="41"/>
      <c r="AV42" s="41"/>
      <c r="AW42" s="41"/>
      <c r="AX42" s="41"/>
      <c r="AY42" s="41"/>
      <c r="AZ42" s="41"/>
      <c r="BA42" s="41">
        <f>+AR42+AS42+AU42+AW42+AY42+AZ42</f>
        <v>0</v>
      </c>
      <c r="BB42" s="37"/>
      <c r="BC42" s="57"/>
      <c r="BD42" s="57"/>
      <c r="BE42" s="37"/>
      <c r="BF42" s="57"/>
    </row>
    <row r="43" spans="1:58" ht="12.95" customHeight="1">
      <c r="A43" s="344"/>
      <c r="B43" s="45"/>
      <c r="C43" s="449"/>
      <c r="D43" s="45"/>
      <c r="E43" s="46"/>
      <c r="F43" s="46"/>
      <c r="G43" s="462"/>
      <c r="H43" s="48"/>
      <c r="I43" s="49"/>
      <c r="J43" s="88"/>
      <c r="K43" s="88"/>
      <c r="L43" s="39"/>
      <c r="M43" s="39"/>
      <c r="N43" s="50"/>
      <c r="O43" s="51"/>
      <c r="P43" s="52"/>
      <c r="Q43" s="51"/>
      <c r="R43" s="419"/>
      <c r="S43" s="419"/>
      <c r="T43" s="41"/>
      <c r="U43" s="41"/>
      <c r="V43" s="41"/>
      <c r="W43" s="41"/>
      <c r="X43" s="416"/>
      <c r="Y43" s="221"/>
      <c r="Z43" s="41"/>
      <c r="AA43" s="53"/>
      <c r="AB43" s="53"/>
      <c r="AC43" s="41"/>
      <c r="AD43" s="41"/>
      <c r="AE43" s="240"/>
      <c r="AF43" s="41"/>
      <c r="AG43" s="41"/>
      <c r="AH43" s="41"/>
      <c r="AI43" s="458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37"/>
      <c r="BC43" s="55"/>
      <c r="BD43" s="55"/>
      <c r="BE43" s="55"/>
      <c r="BF43" s="55"/>
    </row>
    <row r="44" spans="1:58" ht="12.95" customHeight="1">
      <c r="A44" s="344">
        <v>45878</v>
      </c>
      <c r="B44" s="45" t="s">
        <v>231</v>
      </c>
      <c r="C44" s="449">
        <f>(M44*E44*O44*Q44)/100000000</f>
        <v>40.567251924000004</v>
      </c>
      <c r="D44" s="45" t="s">
        <v>566</v>
      </c>
      <c r="E44" s="46">
        <v>14</v>
      </c>
      <c r="F44" s="46">
        <v>1</v>
      </c>
      <c r="G44" s="462">
        <v>1270</v>
      </c>
      <c r="H44" s="48">
        <v>0</v>
      </c>
      <c r="I44" s="49">
        <v>0.88</v>
      </c>
      <c r="J44" s="88">
        <f>E44*G44*(1-H44)*1440/1000000*2.77</f>
        <v>70.920864000000009</v>
      </c>
      <c r="K44" s="88">
        <f>(IF(G44&lt;L44,L44,G44)*(1-IF(H44&lt;N44,H44,N44))*E44*O44*Q44)/100000000</f>
        <v>40.709736000000007</v>
      </c>
      <c r="L44" s="39">
        <v>1340</v>
      </c>
      <c r="M44" s="39">
        <v>1335.31</v>
      </c>
      <c r="N44" s="50">
        <f>1-(M44/L44)</f>
        <v>3.5000000000000586E-3</v>
      </c>
      <c r="O44" s="51">
        <f>+'Trim Rwd'!H30</f>
        <v>267.90476190476193</v>
      </c>
      <c r="P44" s="52">
        <f>O44*(Q44-R44-S44)</f>
        <v>204679.23809523811</v>
      </c>
      <c r="Q44" s="51">
        <v>810</v>
      </c>
      <c r="R44" s="419">
        <v>0</v>
      </c>
      <c r="S44" s="419">
        <v>46</v>
      </c>
      <c r="T44" s="41">
        <f>E44*M44*O44*Q44/100000000</f>
        <v>40.567251924000004</v>
      </c>
      <c r="U44" s="41">
        <f>E44*M44*O44*(Q44-R44-S44)/100000000</f>
        <v>38.263432678933334</v>
      </c>
      <c r="V44" s="41">
        <f>E44*G44*(1-N44)*O44/100*(R44+S44)/1000000</f>
        <v>2.1834704785333336</v>
      </c>
      <c r="W44" s="41">
        <f>+'9'!K11/1000</f>
        <v>52.664000000000001</v>
      </c>
      <c r="X44" s="416">
        <f>SUM(W44:W47)/SUM(K44:K47)</f>
        <v>0.98913092366095912</v>
      </c>
      <c r="Y44" s="221">
        <v>0</v>
      </c>
      <c r="Z44" s="41">
        <f>+('9'!D7+'9'!D16)/1000</f>
        <v>0.76200000000000001</v>
      </c>
      <c r="AA44" s="53">
        <f>SUM(U44:U47)-SUM(W44:W47)-SUM(Z44:Z47)-SUM(Y44:Y47)</f>
        <v>-4.1498641210666705</v>
      </c>
      <c r="AB44" s="53">
        <f>(SUM(K44:K47)-SUM(W44:W47)-SUM(Y44:Y47)-SUM(Z44:Z47)-SUM(AC44:AC47)-SUM(V44:V47))-AA44</f>
        <v>0.28084117653332941</v>
      </c>
      <c r="AC44" s="41">
        <f>K44-T44</f>
        <v>0.14248407600000235</v>
      </c>
      <c r="AD44" s="41">
        <f>+AM44+BA44</f>
        <v>0</v>
      </c>
      <c r="AE44" s="240" t="s">
        <v>277</v>
      </c>
      <c r="AF44" s="41">
        <v>0</v>
      </c>
      <c r="AG44" s="41"/>
      <c r="AH44" s="41"/>
      <c r="AI44" s="458"/>
      <c r="AJ44" s="41"/>
      <c r="AK44" s="41"/>
      <c r="AL44" s="41"/>
      <c r="AM44" s="41">
        <f>SUM(AF44:AL44)+AT44+AV44+AX44</f>
        <v>0</v>
      </c>
      <c r="AN44" s="41"/>
      <c r="AO44" s="41"/>
      <c r="AP44" s="41"/>
      <c r="AQ44" s="41"/>
      <c r="AR44" s="41">
        <f>SUM(AN44:AQ44)</f>
        <v>0</v>
      </c>
      <c r="AS44" s="41"/>
      <c r="AT44" s="41"/>
      <c r="AU44" s="41"/>
      <c r="AV44" s="41"/>
      <c r="AW44" s="41"/>
      <c r="AX44" s="41"/>
      <c r="AY44" s="41"/>
      <c r="AZ44" s="41"/>
      <c r="BA44" s="41">
        <f>+AR44+AS44+AU44+AW44+AY44+AZ44</f>
        <v>0</v>
      </c>
      <c r="BB44" s="37">
        <v>0</v>
      </c>
      <c r="BC44" s="55"/>
      <c r="BD44" s="55"/>
      <c r="BE44" s="37"/>
      <c r="BF44" s="55"/>
    </row>
    <row r="45" spans="1:58" ht="12.95" customHeight="1">
      <c r="A45" s="344"/>
      <c r="B45" s="45" t="s">
        <v>231</v>
      </c>
      <c r="C45" s="449">
        <f>(M45*E45*O45*Q45)/100000000</f>
        <v>34.408188359999997</v>
      </c>
      <c r="D45" s="45" t="s">
        <v>566</v>
      </c>
      <c r="E45" s="46">
        <v>17</v>
      </c>
      <c r="F45" s="46">
        <v>1</v>
      </c>
      <c r="G45" s="462">
        <v>1210</v>
      </c>
      <c r="H45" s="48">
        <v>0</v>
      </c>
      <c r="I45" s="49">
        <v>0.88</v>
      </c>
      <c r="J45" s="88">
        <f>E45*G45*(1-H45)*1440/1000000*2.77</f>
        <v>82.049616</v>
      </c>
      <c r="K45" s="88">
        <f>(IF(G45&lt;L45,L45,G45)*(1-IF(H45&lt;N45,H45,N45))*E45*O45*Q45)/100000000</f>
        <v>34.529040000000002</v>
      </c>
      <c r="L45" s="39">
        <v>1240</v>
      </c>
      <c r="M45" s="39">
        <v>1235.6600000000001</v>
      </c>
      <c r="N45" s="50">
        <f>1-(M45/L45)</f>
        <v>3.4999999999999476E-3</v>
      </c>
      <c r="O45" s="51">
        <f>+'Trim Rwd'!H32</f>
        <v>260</v>
      </c>
      <c r="P45" s="52">
        <f>O45*(Q45-R45-S45)</f>
        <v>156000</v>
      </c>
      <c r="Q45" s="51">
        <v>630</v>
      </c>
      <c r="R45" s="419">
        <v>0</v>
      </c>
      <c r="S45" s="419">
        <v>30</v>
      </c>
      <c r="T45" s="41">
        <f>E45*M45*O45*Q45/100000000</f>
        <v>34.408188359999997</v>
      </c>
      <c r="U45" s="41">
        <f>E45*M45*O45*(Q45-R45-S45)/100000000</f>
        <v>32.769703200000002</v>
      </c>
      <c r="V45" s="41">
        <f>E45*G45*(1-N45)*O45/100*(R45+S45)/1000000</f>
        <v>1.59884439</v>
      </c>
      <c r="W45" s="41">
        <f>+'9'!K12/1000</f>
        <v>21.757000000000001</v>
      </c>
      <c r="X45" s="42"/>
      <c r="Y45" s="221"/>
      <c r="Z45" s="41"/>
      <c r="AA45" s="41"/>
      <c r="AB45" s="41"/>
      <c r="AC45" s="41"/>
      <c r="AD45" s="41">
        <f>+AM45+BA45</f>
        <v>2</v>
      </c>
      <c r="AE45" s="240" t="s">
        <v>567</v>
      </c>
      <c r="AF45" s="41"/>
      <c r="AG45" s="41">
        <v>2</v>
      </c>
      <c r="AH45" s="41"/>
      <c r="AI45" s="458"/>
      <c r="AJ45" s="41"/>
      <c r="AK45" s="41"/>
      <c r="AL45" s="41"/>
      <c r="AM45" s="41">
        <f>SUM(AF45:AL45)+AT45+AV45+AX45</f>
        <v>2</v>
      </c>
      <c r="AN45" s="89"/>
      <c r="AO45" s="41"/>
      <c r="AP45" s="41"/>
      <c r="AQ45" s="41"/>
      <c r="AR45" s="41">
        <f>SUM(AN45:AQ45)</f>
        <v>0</v>
      </c>
      <c r="AS45" s="41"/>
      <c r="AT45" s="41"/>
      <c r="AU45" s="41"/>
      <c r="AV45" s="41"/>
      <c r="AW45" s="41"/>
      <c r="AX45" s="41"/>
      <c r="AY45" s="41"/>
      <c r="AZ45" s="41"/>
      <c r="BA45" s="41">
        <f>+AR45+AS45+AU45+AW45+AY45+AZ45</f>
        <v>0</v>
      </c>
      <c r="BB45" s="54"/>
      <c r="BC45" s="55">
        <v>1</v>
      </c>
      <c r="BD45" s="55"/>
      <c r="BE45" s="54"/>
      <c r="BF45" s="55"/>
    </row>
    <row r="46" spans="1:58" ht="12.95" customHeight="1">
      <c r="A46" s="44"/>
      <c r="B46" s="45"/>
      <c r="C46" s="449"/>
      <c r="D46" s="45"/>
      <c r="E46" s="46"/>
      <c r="F46" s="46"/>
      <c r="G46" s="462"/>
      <c r="H46" s="48"/>
      <c r="I46" s="49"/>
      <c r="J46" s="88"/>
      <c r="K46" s="88"/>
      <c r="L46" s="39"/>
      <c r="M46" s="39"/>
      <c r="N46" s="50"/>
      <c r="O46" s="51"/>
      <c r="P46" s="52"/>
      <c r="Q46" s="51"/>
      <c r="R46" s="419"/>
      <c r="S46" s="419"/>
      <c r="T46" s="41"/>
      <c r="U46" s="41"/>
      <c r="V46" s="41"/>
      <c r="W46" s="41"/>
      <c r="X46" s="42"/>
      <c r="Y46" s="221"/>
      <c r="Z46" s="41"/>
      <c r="AA46" s="41"/>
      <c r="AB46" s="41"/>
      <c r="AC46" s="41"/>
      <c r="AD46" s="41">
        <f>+AM46+BA46</f>
        <v>22</v>
      </c>
      <c r="AE46" s="240" t="s">
        <v>581</v>
      </c>
      <c r="AF46" s="37"/>
      <c r="AG46" s="37"/>
      <c r="AH46" s="37">
        <v>22</v>
      </c>
      <c r="AI46" s="458"/>
      <c r="AJ46" s="41"/>
      <c r="AK46" s="41"/>
      <c r="AL46" s="41"/>
      <c r="AM46" s="41">
        <f>SUM(AF46:AL46)+AT46+AV46+AX46</f>
        <v>22</v>
      </c>
      <c r="AN46" s="41"/>
      <c r="AO46" s="41"/>
      <c r="AP46" s="41"/>
      <c r="AQ46" s="41"/>
      <c r="AR46" s="41">
        <f>SUM(AN46:AQ46)</f>
        <v>0</v>
      </c>
      <c r="AS46" s="41"/>
      <c r="AT46" s="41"/>
      <c r="AU46" s="41"/>
      <c r="AV46" s="41"/>
      <c r="AW46" s="41"/>
      <c r="AX46" s="41"/>
      <c r="AY46" s="41"/>
      <c r="AZ46" s="41"/>
      <c r="BA46" s="41">
        <f>+AR46+AS46+AU46+AW46+AY46+AZ46</f>
        <v>0</v>
      </c>
      <c r="BB46" s="37"/>
      <c r="BC46" s="57"/>
      <c r="BD46" s="57"/>
      <c r="BE46" s="37"/>
      <c r="BF46" s="57"/>
    </row>
    <row r="47" spans="1:58" ht="12.95" customHeight="1">
      <c r="A47" s="44"/>
      <c r="B47" s="45"/>
      <c r="C47" s="449"/>
      <c r="D47" s="45"/>
      <c r="E47" s="46"/>
      <c r="F47" s="46"/>
      <c r="G47" s="462"/>
      <c r="H47" s="48"/>
      <c r="I47" s="49"/>
      <c r="J47" s="88"/>
      <c r="K47" s="88"/>
      <c r="L47" s="39"/>
      <c r="M47" s="39"/>
      <c r="N47" s="50"/>
      <c r="O47" s="51"/>
      <c r="P47" s="52"/>
      <c r="Q47" s="51"/>
      <c r="R47" s="419"/>
      <c r="S47" s="419"/>
      <c r="T47" s="41"/>
      <c r="U47" s="41"/>
      <c r="V47" s="41"/>
      <c r="W47" s="41"/>
      <c r="X47" s="42"/>
      <c r="Y47" s="221"/>
      <c r="Z47" s="41"/>
      <c r="AA47" s="41"/>
      <c r="AB47" s="41"/>
      <c r="AC47" s="41"/>
      <c r="AD47" s="41">
        <f>+AM47+BA47</f>
        <v>52</v>
      </c>
      <c r="AE47" s="243" t="s">
        <v>561</v>
      </c>
      <c r="AF47" s="37"/>
      <c r="AG47" s="37"/>
      <c r="AH47" s="37"/>
      <c r="AI47" s="458"/>
      <c r="AJ47" s="41"/>
      <c r="AK47" s="41">
        <v>52</v>
      </c>
      <c r="AL47" s="41"/>
      <c r="AM47" s="41">
        <f>SUM(AF47:AL47)+AT47+AV47+AX47</f>
        <v>52</v>
      </c>
      <c r="AN47" s="41"/>
      <c r="AO47" s="41"/>
      <c r="AP47" s="41"/>
      <c r="AQ47" s="41"/>
      <c r="AR47" s="41">
        <f>SUM(AN47:AQ47)</f>
        <v>0</v>
      </c>
      <c r="AS47" s="41"/>
      <c r="AT47" s="41"/>
      <c r="AU47" s="41"/>
      <c r="AV47" s="41"/>
      <c r="AW47" s="41"/>
      <c r="AX47" s="41"/>
      <c r="AY47" s="41"/>
      <c r="AZ47" s="41"/>
      <c r="BA47" s="41">
        <f>+AR47+AS47+AU47+AW47+AY47+AZ47</f>
        <v>0</v>
      </c>
      <c r="BB47" s="37"/>
      <c r="BC47" s="57"/>
      <c r="BD47" s="57"/>
      <c r="BE47" s="37"/>
      <c r="BF47" s="57"/>
    </row>
    <row r="48" spans="1:58" ht="12.95" customHeight="1">
      <c r="A48" s="344"/>
      <c r="B48" s="45"/>
      <c r="C48" s="449"/>
      <c r="D48" s="45"/>
      <c r="E48" s="46"/>
      <c r="F48" s="46"/>
      <c r="G48" s="462"/>
      <c r="H48" s="48"/>
      <c r="I48" s="49"/>
      <c r="J48" s="88"/>
      <c r="K48" s="88"/>
      <c r="L48" s="39"/>
      <c r="M48" s="39"/>
      <c r="N48" s="50"/>
      <c r="O48" s="51"/>
      <c r="P48" s="52"/>
      <c r="Q48" s="51"/>
      <c r="R48" s="419"/>
      <c r="S48" s="419"/>
      <c r="T48" s="41"/>
      <c r="U48" s="41"/>
      <c r="V48" s="41"/>
      <c r="W48" s="41"/>
      <c r="X48" s="416"/>
      <c r="Y48" s="221"/>
      <c r="Z48" s="41"/>
      <c r="AA48" s="53"/>
      <c r="AB48" s="53"/>
      <c r="AC48" s="41"/>
      <c r="AD48" s="41"/>
      <c r="AE48" s="240"/>
      <c r="AF48" s="41"/>
      <c r="AG48" s="41"/>
      <c r="AH48" s="41"/>
      <c r="AI48" s="458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37"/>
      <c r="BC48" s="55"/>
      <c r="BD48" s="55"/>
      <c r="BE48" s="55"/>
      <c r="BF48" s="55"/>
    </row>
    <row r="49" spans="1:58" ht="12.95" customHeight="1">
      <c r="A49" s="344">
        <v>45879</v>
      </c>
      <c r="B49" s="45" t="s">
        <v>231</v>
      </c>
      <c r="C49" s="449">
        <f>(M49*E49*O49*Q49)/100000000</f>
        <v>79.915792319999994</v>
      </c>
      <c r="D49" s="45" t="s">
        <v>566</v>
      </c>
      <c r="E49" s="46">
        <v>17</v>
      </c>
      <c r="F49" s="46">
        <v>1</v>
      </c>
      <c r="G49" s="462">
        <v>1210</v>
      </c>
      <c r="H49" s="48">
        <v>0</v>
      </c>
      <c r="I49" s="49">
        <v>0.88</v>
      </c>
      <c r="J49" s="88">
        <f>E49*G49*(1-H49)*1440/1000000*2.77</f>
        <v>82.049616</v>
      </c>
      <c r="K49" s="88">
        <f>(IF(G49&lt;L49,L49,G49)*(1-IF(H49&lt;N49,H49,N49))*E49*O49*Q49)/100000000</f>
        <v>80.196479999999994</v>
      </c>
      <c r="L49" s="39">
        <v>1260</v>
      </c>
      <c r="M49" s="39">
        <v>1255.5899999999999</v>
      </c>
      <c r="N49" s="50">
        <f>1-(M49/L49)</f>
        <v>3.5000000000000586E-3</v>
      </c>
      <c r="O49" s="51">
        <f>+'Trim Rwd'!H34</f>
        <v>260</v>
      </c>
      <c r="P49" s="52">
        <f>O49*(Q49-R49-S49)</f>
        <v>358280</v>
      </c>
      <c r="Q49" s="51">
        <v>1440</v>
      </c>
      <c r="R49" s="419">
        <v>0</v>
      </c>
      <c r="S49" s="419">
        <v>62</v>
      </c>
      <c r="T49" s="41">
        <f>E49*M49*O49*Q49/100000000</f>
        <v>79.915792319999994</v>
      </c>
      <c r="U49" s="41">
        <f>E49*M49*O49*(Q49-R49-S49)/100000000</f>
        <v>76.474973484000003</v>
      </c>
      <c r="V49" s="41">
        <f>E49*G49*(1-N49)*O49/100*(R49+S49)/1000000</f>
        <v>3.304278405999999</v>
      </c>
      <c r="W49" s="41">
        <f>+'10'!K12/1000</f>
        <v>81.748999999999995</v>
      </c>
      <c r="X49" s="416">
        <f>SUM(W49:W52)/SUM(K49:K52)</f>
        <v>1.019358954407974</v>
      </c>
      <c r="Y49" s="221">
        <v>0</v>
      </c>
      <c r="Z49" s="41">
        <f>+'10'!D34/1000</f>
        <v>0.86699999999999999</v>
      </c>
      <c r="AA49" s="53">
        <f>SUM(U49:U52)-SUM(W49:W52)-SUM(Z49:Z52)-SUM(Y49:Y52)</f>
        <v>-6.1410265159999922</v>
      </c>
      <c r="AB49" s="53">
        <f>(SUM(K49:K52)-SUM(W49:W52)-SUM(Y49:Y52)-SUM(Z49:Z52)-SUM(AC49:AC52)-SUM(V49:V52))-AA49</f>
        <v>0.13654042999999216</v>
      </c>
      <c r="AC49" s="41">
        <f>K49-T49</f>
        <v>0.28068767999999977</v>
      </c>
      <c r="AD49" s="41">
        <f>+AM49+BA49</f>
        <v>18</v>
      </c>
      <c r="AE49" s="240" t="s">
        <v>494</v>
      </c>
      <c r="AF49" s="41">
        <v>18</v>
      </c>
      <c r="AG49" s="41"/>
      <c r="AH49" s="41"/>
      <c r="AI49" s="458"/>
      <c r="AJ49" s="41"/>
      <c r="AK49" s="41"/>
      <c r="AL49" s="41"/>
      <c r="AM49" s="41">
        <f>SUM(AF49:AL49)+AT49+AV49+AX49</f>
        <v>18</v>
      </c>
      <c r="AN49" s="41"/>
      <c r="AO49" s="41"/>
      <c r="AP49" s="41"/>
      <c r="AQ49" s="41"/>
      <c r="AR49" s="41">
        <f>SUM(AN49:AQ49)</f>
        <v>0</v>
      </c>
      <c r="AS49" s="41"/>
      <c r="AT49" s="41"/>
      <c r="AU49" s="41"/>
      <c r="AV49" s="41"/>
      <c r="AW49" s="41"/>
      <c r="AX49" s="41"/>
      <c r="AY49" s="41"/>
      <c r="AZ49" s="41"/>
      <c r="BA49" s="41">
        <f>+AR49+AS49+AU49+AW49+AY49+AZ49</f>
        <v>0</v>
      </c>
      <c r="BB49" s="37">
        <v>0</v>
      </c>
      <c r="BC49" s="55"/>
      <c r="BD49" s="55"/>
      <c r="BE49" s="37"/>
      <c r="BF49" s="55"/>
    </row>
    <row r="50" spans="1:58" ht="12.95" customHeight="1">
      <c r="A50" s="344"/>
      <c r="B50" s="45"/>
      <c r="C50" s="449"/>
      <c r="D50" s="45"/>
      <c r="E50" s="46"/>
      <c r="F50" s="46"/>
      <c r="G50" s="462"/>
      <c r="H50" s="48"/>
      <c r="I50" s="49"/>
      <c r="J50" s="88"/>
      <c r="K50" s="88"/>
      <c r="L50" s="39"/>
      <c r="M50" s="39"/>
      <c r="N50" s="50"/>
      <c r="O50" s="51"/>
      <c r="P50" s="52"/>
      <c r="Q50" s="51"/>
      <c r="R50" s="419"/>
      <c r="S50" s="419"/>
      <c r="T50" s="41"/>
      <c r="U50" s="41"/>
      <c r="V50" s="41"/>
      <c r="W50" s="41"/>
      <c r="X50" s="42"/>
      <c r="Y50" s="221"/>
      <c r="Z50" s="41"/>
      <c r="AA50" s="41"/>
      <c r="AB50" s="41"/>
      <c r="AC50" s="41"/>
      <c r="AD50" s="41">
        <f>+AM50+BA50</f>
        <v>0</v>
      </c>
      <c r="AE50" s="240" t="s">
        <v>446</v>
      </c>
      <c r="AF50" s="41"/>
      <c r="AG50" s="41">
        <v>0</v>
      </c>
      <c r="AH50" s="41"/>
      <c r="AI50" s="458"/>
      <c r="AJ50" s="41"/>
      <c r="AK50" s="41"/>
      <c r="AL50" s="41"/>
      <c r="AM50" s="41">
        <f>SUM(AF50:AL50)+AT50+AV50+AX50</f>
        <v>0</v>
      </c>
      <c r="AN50" s="89"/>
      <c r="AO50" s="41"/>
      <c r="AP50" s="41"/>
      <c r="AQ50" s="41"/>
      <c r="AR50" s="41">
        <f>SUM(AN50:AQ50)</f>
        <v>0</v>
      </c>
      <c r="AS50" s="41"/>
      <c r="AT50" s="41"/>
      <c r="AU50" s="41"/>
      <c r="AV50" s="41"/>
      <c r="AW50" s="41"/>
      <c r="AX50" s="41"/>
      <c r="AY50" s="41"/>
      <c r="AZ50" s="41"/>
      <c r="BA50" s="41">
        <f>+AR50+AS50+AU50+AW50+AY50+AZ50</f>
        <v>0</v>
      </c>
      <c r="BB50" s="54"/>
      <c r="BC50" s="55">
        <v>1</v>
      </c>
      <c r="BD50" s="55"/>
      <c r="BE50" s="54"/>
      <c r="BF50" s="55"/>
    </row>
    <row r="51" spans="1:58" ht="12.95" customHeight="1">
      <c r="A51" s="44"/>
      <c r="B51" s="45"/>
      <c r="C51" s="449"/>
      <c r="D51" s="45"/>
      <c r="E51" s="46"/>
      <c r="F51" s="46"/>
      <c r="G51" s="462"/>
      <c r="H51" s="48"/>
      <c r="I51" s="49"/>
      <c r="J51" s="88"/>
      <c r="K51" s="88"/>
      <c r="L51" s="39"/>
      <c r="M51" s="39"/>
      <c r="N51" s="50"/>
      <c r="O51" s="51"/>
      <c r="P51" s="52"/>
      <c r="Q51" s="51"/>
      <c r="R51" s="419"/>
      <c r="S51" s="419"/>
      <c r="T51" s="41"/>
      <c r="U51" s="41"/>
      <c r="V51" s="41"/>
      <c r="W51" s="41"/>
      <c r="X51" s="42"/>
      <c r="Y51" s="221"/>
      <c r="Z51" s="41"/>
      <c r="AA51" s="41"/>
      <c r="AB51" s="41"/>
      <c r="AC51" s="41"/>
      <c r="AD51" s="41">
        <f>+AM51+BA51</f>
        <v>26</v>
      </c>
      <c r="AE51" s="240" t="s">
        <v>596</v>
      </c>
      <c r="AF51" s="37"/>
      <c r="AG51" s="37"/>
      <c r="AH51" s="37">
        <v>26</v>
      </c>
      <c r="AI51" s="458"/>
      <c r="AJ51" s="41"/>
      <c r="AK51" s="41"/>
      <c r="AL51" s="41"/>
      <c r="AM51" s="41">
        <f>SUM(AF51:AL51)+AT51+AV51+AX51</f>
        <v>26</v>
      </c>
      <c r="AN51" s="41"/>
      <c r="AO51" s="41"/>
      <c r="AP51" s="41"/>
      <c r="AQ51" s="41"/>
      <c r="AR51" s="41">
        <f>SUM(AN51:AQ51)</f>
        <v>0</v>
      </c>
      <c r="AS51" s="41"/>
      <c r="AT51" s="41"/>
      <c r="AU51" s="41"/>
      <c r="AV51" s="41"/>
      <c r="AW51" s="41"/>
      <c r="AX51" s="41"/>
      <c r="AY51" s="41"/>
      <c r="AZ51" s="41"/>
      <c r="BA51" s="41">
        <f>+AR51+AS51+AU51+AW51+AY51+AZ51</f>
        <v>0</v>
      </c>
      <c r="BB51" s="37"/>
      <c r="BC51" s="57"/>
      <c r="BD51" s="57"/>
      <c r="BE51" s="37"/>
      <c r="BF51" s="57"/>
    </row>
    <row r="52" spans="1:58" ht="12.95" customHeight="1">
      <c r="A52" s="44"/>
      <c r="B52" s="45"/>
      <c r="C52" s="449"/>
      <c r="D52" s="45"/>
      <c r="E52" s="46"/>
      <c r="F52" s="46"/>
      <c r="G52" s="462"/>
      <c r="H52" s="48"/>
      <c r="I52" s="49"/>
      <c r="J52" s="88"/>
      <c r="K52" s="88"/>
      <c r="L52" s="39"/>
      <c r="M52" s="39"/>
      <c r="N52" s="50"/>
      <c r="O52" s="51"/>
      <c r="P52" s="52"/>
      <c r="Q52" s="51"/>
      <c r="R52" s="419"/>
      <c r="S52" s="419"/>
      <c r="T52" s="41"/>
      <c r="U52" s="41"/>
      <c r="V52" s="41"/>
      <c r="W52" s="41"/>
      <c r="X52" s="42"/>
      <c r="Y52" s="221"/>
      <c r="Z52" s="41"/>
      <c r="AA52" s="41"/>
      <c r="AB52" s="41"/>
      <c r="AC52" s="41"/>
      <c r="AD52" s="41">
        <f>+AM52+BA52</f>
        <v>18</v>
      </c>
      <c r="AE52" s="243" t="s">
        <v>561</v>
      </c>
      <c r="AF52" s="37"/>
      <c r="AG52" s="37"/>
      <c r="AH52" s="37"/>
      <c r="AI52" s="458"/>
      <c r="AJ52" s="41"/>
      <c r="AK52" s="41">
        <v>18</v>
      </c>
      <c r="AL52" s="41"/>
      <c r="AM52" s="41">
        <f>SUM(AF52:AL52)+AT52+AV52+AX52</f>
        <v>18</v>
      </c>
      <c r="AN52" s="41"/>
      <c r="AO52" s="41"/>
      <c r="AP52" s="41"/>
      <c r="AQ52" s="41"/>
      <c r="AR52" s="41">
        <f>SUM(AN52:AQ52)</f>
        <v>0</v>
      </c>
      <c r="AS52" s="41"/>
      <c r="AT52" s="41"/>
      <c r="AU52" s="41"/>
      <c r="AV52" s="41"/>
      <c r="AW52" s="41"/>
      <c r="AX52" s="41"/>
      <c r="AY52" s="41"/>
      <c r="AZ52" s="41"/>
      <c r="BA52" s="41">
        <f>+AR52+AS52+AU52+AW52+AY52+AZ52</f>
        <v>0</v>
      </c>
      <c r="BB52" s="37"/>
      <c r="BC52" s="57"/>
      <c r="BD52" s="57"/>
      <c r="BE52" s="37"/>
      <c r="BF52" s="57"/>
    </row>
    <row r="53" spans="1:58" ht="12.95" customHeight="1">
      <c r="A53" s="344"/>
      <c r="B53" s="45"/>
      <c r="C53" s="449"/>
      <c r="D53" s="45"/>
      <c r="E53" s="46"/>
      <c r="F53" s="46"/>
      <c r="G53" s="462"/>
      <c r="H53" s="48"/>
      <c r="I53" s="49"/>
      <c r="J53" s="88"/>
      <c r="K53" s="88"/>
      <c r="L53" s="39"/>
      <c r="M53" s="39"/>
      <c r="N53" s="50"/>
      <c r="O53" s="51"/>
      <c r="P53" s="52"/>
      <c r="Q53" s="51"/>
      <c r="R53" s="419"/>
      <c r="S53" s="419"/>
      <c r="T53" s="41"/>
      <c r="U53" s="41"/>
      <c r="V53" s="41"/>
      <c r="W53" s="41"/>
      <c r="X53" s="416"/>
      <c r="Y53" s="221"/>
      <c r="Z53" s="41"/>
      <c r="AA53" s="53"/>
      <c r="AB53" s="53"/>
      <c r="AC53" s="41"/>
      <c r="AD53" s="41"/>
      <c r="AE53" s="240"/>
      <c r="AF53" s="41"/>
      <c r="AG53" s="41"/>
      <c r="AH53" s="41"/>
      <c r="AI53" s="458"/>
      <c r="AJ53" s="41"/>
      <c r="AK53" s="41"/>
      <c r="AL53" s="41"/>
      <c r="AM53" s="41"/>
      <c r="AN53" s="89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54"/>
      <c r="BC53" s="55"/>
      <c r="BD53" s="55"/>
      <c r="BE53" s="55"/>
      <c r="BF53" s="55"/>
    </row>
    <row r="54" spans="1:58" ht="12.95" customHeight="1">
      <c r="A54" s="344">
        <v>45880</v>
      </c>
      <c r="B54" s="45" t="s">
        <v>231</v>
      </c>
      <c r="C54" s="449">
        <f>(M54*E54*O54*Q54)/100000000</f>
        <v>15.613134159323074</v>
      </c>
      <c r="D54" s="45" t="s">
        <v>616</v>
      </c>
      <c r="E54" s="46">
        <v>17</v>
      </c>
      <c r="F54" s="46">
        <v>1</v>
      </c>
      <c r="G54" s="462">
        <v>1210</v>
      </c>
      <c r="H54" s="48">
        <v>0</v>
      </c>
      <c r="I54" s="49">
        <v>0.88</v>
      </c>
      <c r="J54" s="88">
        <f>E54*G54*(1-H54)*1440/1000000*2.77</f>
        <v>82.049616</v>
      </c>
      <c r="K54" s="88">
        <f>(IF(G54&lt;L54,L54,G54)*(1-IF(H54&lt;N54,H54,N54))*E54*O54*Q54)/100000000</f>
        <v>15.667972061538462</v>
      </c>
      <c r="L54" s="39">
        <v>1260</v>
      </c>
      <c r="M54" s="39">
        <v>1255.5899999999999</v>
      </c>
      <c r="N54" s="50">
        <f>1-(M54/L54)</f>
        <v>3.5000000000000586E-3</v>
      </c>
      <c r="O54" s="51">
        <f>+'Trim Rwd'!H36</f>
        <v>260.30769230769232</v>
      </c>
      <c r="P54" s="52">
        <f>O54*(Q54-R54-S54)</f>
        <v>69502.153846153844</v>
      </c>
      <c r="Q54" s="51">
        <v>281</v>
      </c>
      <c r="R54" s="419">
        <v>0</v>
      </c>
      <c r="S54" s="419">
        <v>14</v>
      </c>
      <c r="T54" s="41">
        <f>E54*M54*O54*Q54/100000000</f>
        <v>15.613134159323074</v>
      </c>
      <c r="U54" s="41">
        <f>E54*M54*O54*(Q54-R54-S54)/100000000</f>
        <v>14.835255589107692</v>
      </c>
      <c r="V54" s="41">
        <f>E54*G54*(1-N54)*O54/100*(R54+S54)/1000000</f>
        <v>0.74701037298461526</v>
      </c>
      <c r="W54" s="41">
        <f>+('11'!K12+'11'!K9)/1000</f>
        <v>12.068</v>
      </c>
      <c r="X54" s="416">
        <f>SUM(W54:W57)/SUM(K54:K57)</f>
        <v>0.72974618419024206</v>
      </c>
      <c r="Y54" s="221">
        <v>0</v>
      </c>
      <c r="Z54" s="41">
        <v>0</v>
      </c>
      <c r="AA54" s="53">
        <f>SUM(U54:U57)-SUM(W54:W57)-SUM(Z54:Z57)-SUM(Y54:Y57)</f>
        <v>14.58928789989217</v>
      </c>
      <c r="AB54" s="53">
        <f>(SUM(K54:K57)-SUM(W54:W57)-SUM(Y54:Y57)-SUM(Z54:Z57)-SUM(AC54:AC57)-SUM(V54:V57))-AA54</f>
        <v>0.16333642139025351</v>
      </c>
      <c r="AC54" s="41">
        <f>K54-T54</f>
        <v>5.4837902215387757E-2</v>
      </c>
      <c r="AD54" s="41">
        <f>+AM54+BA54</f>
        <v>14</v>
      </c>
      <c r="AE54" s="240" t="s">
        <v>492</v>
      </c>
      <c r="AF54" s="41">
        <v>14</v>
      </c>
      <c r="AG54" s="41"/>
      <c r="AH54" s="41"/>
      <c r="AI54" s="458"/>
      <c r="AJ54" s="41"/>
      <c r="AK54" s="41"/>
      <c r="AL54" s="41"/>
      <c r="AM54" s="41">
        <f>SUM(AF54:AL54)+AT54+AV54+AX54</f>
        <v>14</v>
      </c>
      <c r="AN54" s="41"/>
      <c r="AO54" s="41"/>
      <c r="AP54" s="41"/>
      <c r="AQ54" s="41"/>
      <c r="AR54" s="41">
        <f>SUM(AN54:AQ54)</f>
        <v>0</v>
      </c>
      <c r="AS54" s="41"/>
      <c r="AT54" s="41"/>
      <c r="AU54" s="41"/>
      <c r="AV54" s="41"/>
      <c r="AW54" s="41"/>
      <c r="AX54" s="41"/>
      <c r="AY54" s="41"/>
      <c r="AZ54" s="41"/>
      <c r="BA54" s="41">
        <f>+AR54+AS54+AU54+AW54+AY54+AZ54</f>
        <v>0</v>
      </c>
      <c r="BB54" s="37">
        <v>3</v>
      </c>
      <c r="BC54" s="55"/>
      <c r="BD54" s="55"/>
      <c r="BE54" s="37"/>
      <c r="BF54" s="55"/>
    </row>
    <row r="55" spans="1:58" ht="12.95" customHeight="1">
      <c r="A55" s="344"/>
      <c r="B55" s="45" t="s">
        <v>231</v>
      </c>
      <c r="C55" s="449">
        <f>(M55*E55*O55*Q55)/100000000</f>
        <v>40.781180942600002</v>
      </c>
      <c r="D55" s="45" t="s">
        <v>407</v>
      </c>
      <c r="E55" s="46">
        <v>21</v>
      </c>
      <c r="F55" s="46">
        <v>1</v>
      </c>
      <c r="G55" s="462">
        <v>990</v>
      </c>
      <c r="H55" s="48">
        <v>0</v>
      </c>
      <c r="I55" s="49">
        <v>0.88</v>
      </c>
      <c r="J55" s="88">
        <f>E55*G55*(1-H55)*1440/1000000*2.77</f>
        <v>82.927152000000007</v>
      </c>
      <c r="K55" s="88">
        <f>(IF(G55&lt;L55,L55,G55)*(1-IF(H55&lt;N55,H55,N55))*E55*O55*Q55)/100000000</f>
        <v>40.924416399999998</v>
      </c>
      <c r="L55" s="39">
        <v>1060</v>
      </c>
      <c r="M55" s="39">
        <v>1056.29</v>
      </c>
      <c r="N55" s="50">
        <f>1-(M55/L55)</f>
        <v>3.5000000000000586E-3</v>
      </c>
      <c r="O55" s="51">
        <f>+'Trim Rwd'!H38</f>
        <v>270.76190476190476</v>
      </c>
      <c r="P55" s="52">
        <f>O55*(Q55-R55-S55)</f>
        <v>176536.76190476189</v>
      </c>
      <c r="Q55" s="51">
        <v>679</v>
      </c>
      <c r="R55" s="419">
        <v>0</v>
      </c>
      <c r="S55" s="419">
        <v>27</v>
      </c>
      <c r="T55" s="41">
        <f>E55*M55*O55*Q55/100000000</f>
        <v>40.781180942600002</v>
      </c>
      <c r="U55" s="41">
        <f>E55*M55*O55*(Q55-R55-S55)/100000000</f>
        <v>39.159543408799998</v>
      </c>
      <c r="V55" s="41">
        <f>E55*G55*(1-N55)*O55/100*(R55+S55)/1000000</f>
        <v>1.5145482626999998</v>
      </c>
      <c r="W55" s="41">
        <f>+'11'!K13/1000</f>
        <v>25.294</v>
      </c>
      <c r="X55" s="42"/>
      <c r="Y55" s="221"/>
      <c r="Z55" s="41">
        <f>+'11'!D16/1000</f>
        <v>4.09</v>
      </c>
      <c r="AA55" s="41"/>
      <c r="AB55" s="41"/>
      <c r="AC55" s="41">
        <f>K55-T55</f>
        <v>0.14323545739999588</v>
      </c>
      <c r="AD55" s="41">
        <f>+AM55+BA55</f>
        <v>0</v>
      </c>
      <c r="AE55" s="240" t="s">
        <v>446</v>
      </c>
      <c r="AF55" s="41"/>
      <c r="AG55" s="41">
        <v>0</v>
      </c>
      <c r="AH55" s="41"/>
      <c r="AI55" s="458"/>
      <c r="AJ55" s="41"/>
      <c r="AK55" s="41"/>
      <c r="AL55" s="41"/>
      <c r="AM55" s="41">
        <f>SUM(AF55:AL55)+AT55+AV55+AX55</f>
        <v>0</v>
      </c>
      <c r="AN55" s="89"/>
      <c r="AO55" s="41"/>
      <c r="AP55" s="41"/>
      <c r="AQ55" s="41"/>
      <c r="AR55" s="41">
        <f>SUM(AN55:AQ55)</f>
        <v>0</v>
      </c>
      <c r="AS55" s="41"/>
      <c r="AT55" s="41"/>
      <c r="AU55" s="41"/>
      <c r="AV55" s="41"/>
      <c r="AW55" s="41"/>
      <c r="AX55" s="41"/>
      <c r="AY55" s="41"/>
      <c r="AZ55" s="41"/>
      <c r="BA55" s="41">
        <f>+AR55+AS55+AU55+AW55+AY55+AZ55</f>
        <v>0</v>
      </c>
      <c r="BB55" s="54"/>
      <c r="BC55" s="55">
        <v>0</v>
      </c>
      <c r="BD55" s="55"/>
      <c r="BE55" s="54"/>
      <c r="BF55" s="55"/>
    </row>
    <row r="56" spans="1:58" ht="12.95" customHeight="1">
      <c r="A56" s="44"/>
      <c r="B56" s="45" t="s">
        <v>231</v>
      </c>
      <c r="C56" s="449">
        <f>(M56*E56*O56*Q56)/100000000</f>
        <v>26.92840493048276</v>
      </c>
      <c r="D56" s="45" t="s">
        <v>407</v>
      </c>
      <c r="E56" s="46">
        <v>16.5</v>
      </c>
      <c r="F56" s="46">
        <v>1</v>
      </c>
      <c r="G56" s="462">
        <v>1230</v>
      </c>
      <c r="H56" s="48">
        <v>0</v>
      </c>
      <c r="I56" s="49">
        <v>0.88</v>
      </c>
      <c r="J56" s="88">
        <f>E56*G56*(1-H56)*1440/1000000*2.77</f>
        <v>80.952695999999989</v>
      </c>
      <c r="K56" s="88">
        <f>(IF(G56&lt;L56,L56,G56)*(1-IF(H56&lt;N56,H56,N56))*E56*O56*Q56)/100000000</f>
        <v>27.022985379310345</v>
      </c>
      <c r="L56" s="39">
        <v>1260</v>
      </c>
      <c r="M56" s="39">
        <v>1255.5899999999999</v>
      </c>
      <c r="N56" s="50">
        <f>1-(M56/L56)</f>
        <v>3.5000000000000586E-3</v>
      </c>
      <c r="O56" s="51">
        <f>+'Trim Rwd'!H40</f>
        <v>270.79310344827587</v>
      </c>
      <c r="P56" s="52">
        <f>O56*(Q56-R56-S56)</f>
        <v>124835.62068965517</v>
      </c>
      <c r="Q56" s="51">
        <v>480</v>
      </c>
      <c r="R56" s="419">
        <v>0</v>
      </c>
      <c r="S56" s="419">
        <f>5+14</f>
        <v>19</v>
      </c>
      <c r="T56" s="41">
        <f>E56*M56*O56*Q56/100000000</f>
        <v>26.92840493048276</v>
      </c>
      <c r="U56" s="41">
        <f>E56*M56*O56*(Q56-R56-S56)/100000000</f>
        <v>25.862488901984481</v>
      </c>
      <c r="V56" s="41">
        <f>E56*G56*(1-N56)*O56/100*(R56+S56)/1000000</f>
        <v>1.040537075438793</v>
      </c>
      <c r="W56" s="41">
        <f>+'11'!K10/1000</f>
        <v>23.655999999999999</v>
      </c>
      <c r="X56" s="42"/>
      <c r="Y56" s="221"/>
      <c r="Z56" s="41">
        <f>+'11'!D25/1000</f>
        <v>0.16</v>
      </c>
      <c r="AA56" s="41"/>
      <c r="AB56" s="41"/>
      <c r="AC56" s="41">
        <f>K56-T56</f>
        <v>9.4580448827585428E-2</v>
      </c>
      <c r="AD56" s="41">
        <f>+AM56+BA56</f>
        <v>27</v>
      </c>
      <c r="AE56" s="240" t="s">
        <v>617</v>
      </c>
      <c r="AF56" s="37"/>
      <c r="AG56" s="37"/>
      <c r="AH56" s="37">
        <v>27</v>
      </c>
      <c r="AI56" s="458"/>
      <c r="AJ56" s="41"/>
      <c r="AK56" s="41"/>
      <c r="AL56" s="41"/>
      <c r="AM56" s="41">
        <f>SUM(AF56:AL56)+AT56+AV56+AX56</f>
        <v>27</v>
      </c>
      <c r="AN56" s="41"/>
      <c r="AO56" s="41"/>
      <c r="AP56" s="41"/>
      <c r="AQ56" s="41"/>
      <c r="AR56" s="41">
        <f>SUM(AN56:AQ56)</f>
        <v>0</v>
      </c>
      <c r="AS56" s="41"/>
      <c r="AT56" s="41"/>
      <c r="AU56" s="41"/>
      <c r="AV56" s="41"/>
      <c r="AW56" s="41"/>
      <c r="AX56" s="41"/>
      <c r="AY56" s="41"/>
      <c r="AZ56" s="41"/>
      <c r="BA56" s="41">
        <f>+AR56+AS56+AU56+AW56+AY56+AZ56</f>
        <v>0</v>
      </c>
      <c r="BB56" s="37"/>
      <c r="BC56" s="57"/>
      <c r="BD56" s="57"/>
      <c r="BE56" s="37"/>
      <c r="BF56" s="57"/>
    </row>
    <row r="57" spans="1:58" ht="12.95" customHeight="1">
      <c r="A57" s="44"/>
      <c r="B57" s="45"/>
      <c r="C57" s="449"/>
      <c r="D57" s="45"/>
      <c r="E57" s="46"/>
      <c r="F57" s="46"/>
      <c r="G57" s="462"/>
      <c r="H57" s="48"/>
      <c r="I57" s="49"/>
      <c r="J57" s="88"/>
      <c r="K57" s="88"/>
      <c r="L57" s="39"/>
      <c r="M57" s="39"/>
      <c r="N57" s="50"/>
      <c r="O57" s="51"/>
      <c r="P57" s="52"/>
      <c r="Q57" s="51"/>
      <c r="R57" s="419"/>
      <c r="S57" s="419"/>
      <c r="T57" s="41"/>
      <c r="U57" s="41"/>
      <c r="V57" s="41"/>
      <c r="W57" s="41"/>
      <c r="X57" s="42"/>
      <c r="Y57" s="221"/>
      <c r="Z57" s="41"/>
      <c r="AA57" s="41"/>
      <c r="AB57" s="41"/>
      <c r="AC57" s="41"/>
      <c r="AD57" s="41">
        <f>+AM57+BA57</f>
        <v>5</v>
      </c>
      <c r="AE57" s="243" t="s">
        <v>541</v>
      </c>
      <c r="AF57" s="37"/>
      <c r="AG57" s="37"/>
      <c r="AH57" s="37"/>
      <c r="AI57" s="458">
        <v>5</v>
      </c>
      <c r="AJ57" s="41"/>
      <c r="AK57" s="41"/>
      <c r="AL57" s="41"/>
      <c r="AM57" s="41">
        <f>SUM(AF57:AL57)+AT57+AV57+AX57</f>
        <v>5</v>
      </c>
      <c r="AN57" s="41"/>
      <c r="AO57" s="41"/>
      <c r="AP57" s="41"/>
      <c r="AQ57" s="41"/>
      <c r="AR57" s="41">
        <f>SUM(AN57:AQ57)</f>
        <v>0</v>
      </c>
      <c r="AS57" s="41"/>
      <c r="AT57" s="41"/>
      <c r="AU57" s="41"/>
      <c r="AV57" s="41"/>
      <c r="AW57" s="41"/>
      <c r="AX57" s="41"/>
      <c r="AY57" s="41"/>
      <c r="AZ57" s="41"/>
      <c r="BA57" s="41">
        <f>+AR57+AS57+AU57+AW57+AY57+AZ57</f>
        <v>0</v>
      </c>
      <c r="BB57" s="37"/>
      <c r="BC57" s="57"/>
      <c r="BD57" s="57"/>
      <c r="BE57" s="37"/>
      <c r="BF57" s="57"/>
    </row>
    <row r="58" spans="1:58" ht="12.95" customHeight="1">
      <c r="A58" s="44"/>
      <c r="B58" s="45"/>
      <c r="C58" s="449"/>
      <c r="D58" s="45"/>
      <c r="E58" s="46"/>
      <c r="F58" s="46"/>
      <c r="G58" s="47"/>
      <c r="H58" s="48"/>
      <c r="I58" s="49"/>
      <c r="J58" s="88"/>
      <c r="K58" s="88"/>
      <c r="L58" s="39"/>
      <c r="M58" s="39"/>
      <c r="N58" s="50"/>
      <c r="O58" s="51"/>
      <c r="P58" s="52"/>
      <c r="Q58" s="51"/>
      <c r="R58" s="419"/>
      <c r="S58" s="419"/>
      <c r="T58" s="41"/>
      <c r="U58" s="41"/>
      <c r="V58" s="41"/>
      <c r="W58" s="41"/>
      <c r="X58" s="42"/>
      <c r="Y58" s="221"/>
      <c r="Z58" s="41"/>
      <c r="AA58" s="41"/>
      <c r="AB58" s="41"/>
      <c r="AC58" s="41"/>
      <c r="AD58" s="41">
        <f>+AM58+BA58</f>
        <v>14</v>
      </c>
      <c r="AE58" s="243" t="s">
        <v>561</v>
      </c>
      <c r="AF58" s="37"/>
      <c r="AG58" s="37"/>
      <c r="AH58" s="37"/>
      <c r="AJ58" s="41"/>
      <c r="AK58" s="41">
        <v>14</v>
      </c>
      <c r="AL58" s="41"/>
      <c r="AM58" s="41">
        <f>SUM(AF58:AL58)+AT58+AV58+AX58</f>
        <v>14</v>
      </c>
      <c r="AN58" s="41"/>
      <c r="AO58" s="41"/>
      <c r="AP58" s="41"/>
      <c r="AQ58" s="41"/>
      <c r="AR58" s="41">
        <f>SUM(AN58:AQ58)</f>
        <v>0</v>
      </c>
      <c r="AS58" s="41"/>
      <c r="AT58" s="41"/>
      <c r="AU58" s="41"/>
      <c r="AV58" s="41"/>
      <c r="AW58" s="41"/>
      <c r="AX58" s="41"/>
      <c r="AY58" s="41"/>
      <c r="AZ58" s="41"/>
      <c r="BA58" s="41">
        <f>+AR58+AS58+AU58+AW58+AY58+AZ58</f>
        <v>0</v>
      </c>
      <c r="BB58" s="37"/>
      <c r="BC58" s="57"/>
      <c r="BD58" s="57"/>
      <c r="BE58" s="37"/>
      <c r="BF58" s="57"/>
    </row>
    <row r="59" spans="1:58" ht="12.95" customHeight="1">
      <c r="A59" s="44"/>
      <c r="B59" s="45"/>
      <c r="C59" s="449"/>
      <c r="D59" s="45"/>
      <c r="E59" s="46"/>
      <c r="F59" s="46"/>
      <c r="G59" s="47"/>
      <c r="H59" s="48"/>
      <c r="I59" s="49"/>
      <c r="J59" s="88"/>
      <c r="K59" s="88"/>
      <c r="L59" s="39"/>
      <c r="M59" s="39"/>
      <c r="N59" s="50"/>
      <c r="O59" s="51"/>
      <c r="P59" s="52"/>
      <c r="Q59" s="51"/>
      <c r="R59" s="419"/>
      <c r="S59" s="419"/>
      <c r="T59" s="41"/>
      <c r="U59" s="41"/>
      <c r="V59" s="41"/>
      <c r="W59" s="41"/>
      <c r="X59" s="42"/>
      <c r="Y59" s="221"/>
      <c r="Z59" s="41"/>
      <c r="AA59" s="41"/>
      <c r="AB59" s="41"/>
      <c r="AC59" s="41"/>
      <c r="AD59" s="41"/>
      <c r="AE59" s="243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37"/>
      <c r="BC59" s="55"/>
      <c r="BD59" s="55"/>
      <c r="BE59" s="55"/>
      <c r="BF59" s="55"/>
    </row>
    <row r="60" spans="1:58" ht="12.95" customHeight="1">
      <c r="A60" s="344">
        <v>45881</v>
      </c>
      <c r="B60" s="45" t="s">
        <v>231</v>
      </c>
      <c r="C60" s="449">
        <f>(M60*E60*O60*Q60)/100000000</f>
        <v>2.3882828508</v>
      </c>
      <c r="D60" s="45" t="s">
        <v>407</v>
      </c>
      <c r="E60" s="46">
        <v>16.5</v>
      </c>
      <c r="F60" s="46">
        <v>1</v>
      </c>
      <c r="G60" s="462">
        <v>1230</v>
      </c>
      <c r="H60" s="48">
        <v>0</v>
      </c>
      <c r="I60" s="49">
        <v>0.88</v>
      </c>
      <c r="J60" s="88">
        <f>E60*G60*(1-H60)*1440/1000000*2.77</f>
        <v>80.952695999999989</v>
      </c>
      <c r="K60" s="88">
        <f>(IF(G60&lt;L60,L60,G60)*(1-IF(H60&lt;N60,H60,N60))*E60*O60*Q60)/100000000</f>
        <v>2.3966712000000001</v>
      </c>
      <c r="L60" s="39">
        <v>1260</v>
      </c>
      <c r="M60" s="39">
        <v>1255.5899999999999</v>
      </c>
      <c r="N60" s="50">
        <f>1-(M60/L60)</f>
        <v>3.5000000000000586E-3</v>
      </c>
      <c r="O60" s="51">
        <f>+'Trim Rwd'!H44</f>
        <v>262</v>
      </c>
      <c r="P60" s="52">
        <f>O60*(Q60-R60-S60)</f>
        <v>11528</v>
      </c>
      <c r="Q60" s="51">
        <v>44</v>
      </c>
      <c r="R60" s="419">
        <v>0</v>
      </c>
      <c r="S60" s="419">
        <v>0</v>
      </c>
      <c r="T60" s="41">
        <f>E60*M60*O60*Q60/100000000</f>
        <v>2.3882828508</v>
      </c>
      <c r="U60" s="41">
        <f>E60*M60*O60*(Q60-R60-S60)/100000000</f>
        <v>2.3882828508</v>
      </c>
      <c r="V60" s="41">
        <f>E60*G60*(1-N60)*O60/100*(R60+S60)/1000000</f>
        <v>0</v>
      </c>
      <c r="W60" s="41">
        <f>+'12'!K10/1000</f>
        <v>6.9359999999999999</v>
      </c>
      <c r="X60" s="416">
        <f>SUM(W60:W63)/SUM(K60:K63)</f>
        <v>1.0214101881452593</v>
      </c>
      <c r="Y60" s="221">
        <v>0</v>
      </c>
      <c r="Z60" s="41">
        <v>0</v>
      </c>
      <c r="AA60" s="53">
        <f>SUM(U60:U63)-SUM(W60:W63)-SUM(Z60:Z63)-SUM(Y60:Y63)</f>
        <v>-5.2901841578869462</v>
      </c>
      <c r="AB60" s="53">
        <f>(SUM(K60:K63)-SUM(W60:W63)-SUM(Y60:Y63)-SUM(Z60:Z63)-SUM(AC60:AC63)-SUM(V60:V63))-AA60</f>
        <v>6.8086703513156266E-2</v>
      </c>
      <c r="AC60" s="41">
        <f>K60-T60</f>
        <v>8.3883492000000892E-3</v>
      </c>
      <c r="AD60" s="41">
        <f>+AM60+BA60</f>
        <v>0</v>
      </c>
      <c r="AE60" s="240" t="s">
        <v>277</v>
      </c>
      <c r="AF60" s="41">
        <v>0</v>
      </c>
      <c r="AG60" s="41"/>
      <c r="AH60" s="41"/>
      <c r="AI60" s="458"/>
      <c r="AJ60" s="41"/>
      <c r="AK60" s="41"/>
      <c r="AL60" s="41"/>
      <c r="AM60" s="41">
        <f>SUM(AF60:AL60)+AT60+AV60+AX60</f>
        <v>0</v>
      </c>
      <c r="AN60" s="41"/>
      <c r="AO60" s="41"/>
      <c r="AP60" s="41"/>
      <c r="AQ60" s="41"/>
      <c r="AR60" s="41">
        <f>SUM(AN60:AQ60)</f>
        <v>0</v>
      </c>
      <c r="AS60" s="41"/>
      <c r="AT60" s="41"/>
      <c r="AU60" s="41"/>
      <c r="AV60" s="41"/>
      <c r="AW60" s="41"/>
      <c r="AX60" s="41"/>
      <c r="AY60" s="41"/>
      <c r="AZ60" s="41"/>
      <c r="BA60" s="41">
        <f>+AR60+AS60+AU60+AW60+AY60+AZ60</f>
        <v>0</v>
      </c>
      <c r="BB60" s="37">
        <v>0</v>
      </c>
      <c r="BC60" s="55"/>
      <c r="BD60" s="55"/>
      <c r="BE60" s="37"/>
      <c r="BF60" s="55"/>
    </row>
    <row r="61" spans="1:58" ht="12.95" customHeight="1">
      <c r="A61" s="344"/>
      <c r="B61" s="45" t="s">
        <v>231</v>
      </c>
      <c r="C61" s="449">
        <f>(M61*E61*O61*Q61)/100000000</f>
        <v>3.9913071596999998</v>
      </c>
      <c r="D61" s="45" t="s">
        <v>616</v>
      </c>
      <c r="E61" s="46">
        <v>17</v>
      </c>
      <c r="F61" s="46">
        <v>1</v>
      </c>
      <c r="G61" s="462">
        <v>1210</v>
      </c>
      <c r="H61" s="48">
        <v>0</v>
      </c>
      <c r="I61" s="49">
        <v>0.88</v>
      </c>
      <c r="J61" s="88">
        <f>E61*G61*(1-H61)*1440/1000000*2.77</f>
        <v>82.049616</v>
      </c>
      <c r="K61" s="88">
        <f>(IF(G61&lt;L61,L61,G61)*(1-IF(H61&lt;N61,H61,N61))*E61*O61*Q61)/100000000</f>
        <v>4.0053257999999996</v>
      </c>
      <c r="L61" s="39">
        <v>1260</v>
      </c>
      <c r="M61" s="39">
        <v>1255.5899999999999</v>
      </c>
      <c r="N61" s="50">
        <f>1-(M61/L61)</f>
        <v>3.5000000000000586E-3</v>
      </c>
      <c r="O61" s="51">
        <f>+'Trim Rwd'!H43</f>
        <v>271</v>
      </c>
      <c r="P61" s="52">
        <f>O61*(Q61-R61-S61)</f>
        <v>18699</v>
      </c>
      <c r="Q61" s="51">
        <v>69</v>
      </c>
      <c r="R61" s="419">
        <v>0</v>
      </c>
      <c r="S61" s="419">
        <v>0</v>
      </c>
      <c r="T61" s="41">
        <f>E61*M61*O61*Q61/100000000</f>
        <v>3.9913071596999998</v>
      </c>
      <c r="U61" s="41">
        <f>E61*M61*O61*(Q61-R61-S61)/100000000</f>
        <v>3.9913071596999998</v>
      </c>
      <c r="V61" s="41">
        <f>E61*G61*(1-N61)*O61/100*(R61+S61)/1000000</f>
        <v>0</v>
      </c>
      <c r="W61" s="41">
        <f>+'12'!K12/1000</f>
        <v>5.7859999999999996</v>
      </c>
      <c r="X61" s="42"/>
      <c r="Y61" s="221"/>
      <c r="Z61" s="41">
        <v>0</v>
      </c>
      <c r="AA61" s="41"/>
      <c r="AB61" s="41"/>
      <c r="AC61" s="41">
        <f>K61-T61</f>
        <v>1.4018640299999774E-2</v>
      </c>
      <c r="AD61" s="41">
        <f>+AM61+BA61</f>
        <v>0</v>
      </c>
      <c r="AE61" s="240" t="s">
        <v>446</v>
      </c>
      <c r="AF61" s="41"/>
      <c r="AG61" s="41">
        <v>0</v>
      </c>
      <c r="AH61" s="41"/>
      <c r="AI61" s="458"/>
      <c r="AJ61" s="41"/>
      <c r="AK61" s="41"/>
      <c r="AL61" s="41"/>
      <c r="AM61" s="41">
        <f>SUM(AF61:AL61)+AT61+AV61+AX61</f>
        <v>0</v>
      </c>
      <c r="AN61" s="89"/>
      <c r="AO61" s="41"/>
      <c r="AP61" s="41"/>
      <c r="AQ61" s="41"/>
      <c r="AR61" s="41">
        <f>SUM(AN61:AQ61)</f>
        <v>0</v>
      </c>
      <c r="AS61" s="41"/>
      <c r="AT61" s="41"/>
      <c r="AU61" s="41"/>
      <c r="AV61" s="41"/>
      <c r="AW61" s="41"/>
      <c r="AX61" s="41"/>
      <c r="AY61" s="41"/>
      <c r="AZ61" s="41"/>
      <c r="BA61" s="41">
        <f>+AR61+AS61+AU61+AW61+AY61+AZ61</f>
        <v>0</v>
      </c>
      <c r="BB61" s="54"/>
      <c r="BC61" s="55">
        <v>0</v>
      </c>
      <c r="BD61" s="55"/>
      <c r="BE61" s="54"/>
      <c r="BF61" s="55"/>
    </row>
    <row r="62" spans="1:58" ht="12.95" customHeight="1">
      <c r="A62" s="44"/>
      <c r="B62" s="45" t="s">
        <v>231</v>
      </c>
      <c r="C62" s="449">
        <f>(M62*E62*O62*Q62)/100000000</f>
        <v>76.223523781822109</v>
      </c>
      <c r="D62" s="45" t="s">
        <v>407</v>
      </c>
      <c r="E62" s="46">
        <v>21</v>
      </c>
      <c r="F62" s="46">
        <v>1</v>
      </c>
      <c r="G62" s="462">
        <v>990</v>
      </c>
      <c r="H62" s="48">
        <v>0</v>
      </c>
      <c r="I62" s="49">
        <v>0.88</v>
      </c>
      <c r="J62" s="88">
        <f>E62*G62*(1-H62)*1440/1000000*2.77</f>
        <v>82.927152000000007</v>
      </c>
      <c r="K62" s="88">
        <f>(IF(G62&lt;L62,L62,G62)*(1-IF(H62&lt;N62,H62,N62))*E62*O62*Q62)/100000000</f>
        <v>76.491243132786877</v>
      </c>
      <c r="L62" s="39">
        <v>1022.7656367746797</v>
      </c>
      <c r="M62" s="39">
        <v>1019.1859570459683</v>
      </c>
      <c r="N62" s="50">
        <f>1-(M62/L62)</f>
        <v>3.5000000000000586E-3</v>
      </c>
      <c r="O62" s="51">
        <f>+'Trim Rwd'!H45</f>
        <v>268.37704918032784</v>
      </c>
      <c r="P62" s="52">
        <f>O62*(Q62-R62-S62)</f>
        <v>346206.39344262291</v>
      </c>
      <c r="Q62" s="51">
        <v>1327</v>
      </c>
      <c r="R62" s="419">
        <v>0</v>
      </c>
      <c r="S62" s="419">
        <v>37</v>
      </c>
      <c r="T62" s="41">
        <f>E62*M62*O62*Q62/100000000</f>
        <v>76.223523781822109</v>
      </c>
      <c r="U62" s="41">
        <f>E62*M62*O62*(Q62-R62-S62)/100000000</f>
        <v>74.09822583161305</v>
      </c>
      <c r="V62" s="41">
        <f>E62*G62*(1-N62)*O62/100*(R62+S62)/1000000</f>
        <v>2.0572112466959016</v>
      </c>
      <c r="W62" s="41">
        <f>+'12'!K13/1000</f>
        <v>71.945999999999998</v>
      </c>
      <c r="X62" s="42"/>
      <c r="Y62" s="221"/>
      <c r="Z62" s="41">
        <f>+'12'!D9/1000</f>
        <v>1.1000000000000001</v>
      </c>
      <c r="AA62" s="41"/>
      <c r="AB62" s="41"/>
      <c r="AC62" s="41">
        <f>K62-T62</f>
        <v>0.26771935096476795</v>
      </c>
      <c r="AD62" s="41">
        <f>+AM62+BA62</f>
        <v>12</v>
      </c>
      <c r="AE62" s="240" t="s">
        <v>500</v>
      </c>
      <c r="AF62" s="37"/>
      <c r="AG62" s="37"/>
      <c r="AH62" s="37">
        <v>12</v>
      </c>
      <c r="AI62" s="458"/>
      <c r="AJ62" s="41"/>
      <c r="AK62" s="41"/>
      <c r="AL62" s="41"/>
      <c r="AM62" s="41">
        <f>SUM(AF62:AL62)+AT62+AV62+AX62</f>
        <v>12</v>
      </c>
      <c r="AN62" s="41"/>
      <c r="AO62" s="41"/>
      <c r="AP62" s="41"/>
      <c r="AQ62" s="41"/>
      <c r="AR62" s="41">
        <f>SUM(AN62:AQ62)</f>
        <v>0</v>
      </c>
      <c r="AS62" s="41"/>
      <c r="AT62" s="41"/>
      <c r="AU62" s="41"/>
      <c r="AV62" s="41"/>
      <c r="AW62" s="41"/>
      <c r="AX62" s="41"/>
      <c r="AY62" s="41"/>
      <c r="AZ62" s="41"/>
      <c r="BA62" s="41">
        <f>+AR62+AS62+AU62+AW62+AY62+AZ62</f>
        <v>0</v>
      </c>
      <c r="BB62" s="37"/>
      <c r="BC62" s="57"/>
      <c r="BD62" s="57"/>
      <c r="BE62" s="37"/>
      <c r="BF62" s="57"/>
    </row>
    <row r="63" spans="1:58" ht="12.95" customHeight="1">
      <c r="A63" s="44"/>
      <c r="B63" s="45"/>
      <c r="C63" s="449"/>
      <c r="D63" s="45"/>
      <c r="E63" s="46"/>
      <c r="F63" s="46"/>
      <c r="G63" s="462"/>
      <c r="H63" s="48"/>
      <c r="I63" s="49"/>
      <c r="J63" s="88"/>
      <c r="K63" s="88"/>
      <c r="L63" s="39"/>
      <c r="M63" s="39"/>
      <c r="N63" s="50"/>
      <c r="O63" s="51"/>
      <c r="P63" s="52"/>
      <c r="Q63" s="51"/>
      <c r="R63" s="419"/>
      <c r="S63" s="419"/>
      <c r="T63" s="41"/>
      <c r="U63" s="41"/>
      <c r="V63" s="41"/>
      <c r="W63" s="41"/>
      <c r="X63" s="42"/>
      <c r="Y63" s="221"/>
      <c r="Z63" s="41"/>
      <c r="AA63" s="41"/>
      <c r="AB63" s="41"/>
      <c r="AC63" s="41"/>
      <c r="AD63" s="41">
        <f>+AM63+BA63</f>
        <v>10</v>
      </c>
      <c r="AE63" s="243" t="s">
        <v>541</v>
      </c>
      <c r="AF63" s="37"/>
      <c r="AG63" s="37"/>
      <c r="AH63" s="37"/>
      <c r="AI63" s="458">
        <v>10</v>
      </c>
      <c r="AJ63" s="41"/>
      <c r="AK63" s="41"/>
      <c r="AL63" s="41"/>
      <c r="AM63" s="41">
        <f>SUM(AF63:AL63)+AT63+AV63+AX63</f>
        <v>10</v>
      </c>
      <c r="AN63" s="41"/>
      <c r="AO63" s="41"/>
      <c r="AP63" s="41"/>
      <c r="AQ63" s="41"/>
      <c r="AR63" s="41">
        <f>SUM(AN63:AQ63)</f>
        <v>0</v>
      </c>
      <c r="AS63" s="41"/>
      <c r="AT63" s="41"/>
      <c r="AU63" s="41"/>
      <c r="AV63" s="41"/>
      <c r="AW63" s="41"/>
      <c r="AX63" s="41"/>
      <c r="AY63" s="41"/>
      <c r="AZ63" s="41"/>
      <c r="BA63" s="41">
        <f>+AR63+AS63+AU63+AW63+AY63+AZ63</f>
        <v>0</v>
      </c>
      <c r="BB63" s="37"/>
      <c r="BC63" s="57"/>
      <c r="BD63" s="57"/>
      <c r="BE63" s="37"/>
      <c r="BF63" s="57"/>
    </row>
    <row r="64" spans="1:58" ht="12.95" customHeight="1">
      <c r="A64" s="44"/>
      <c r="B64" s="45"/>
      <c r="C64" s="449"/>
      <c r="D64" s="45"/>
      <c r="E64" s="46"/>
      <c r="F64" s="46"/>
      <c r="G64" s="47"/>
      <c r="H64" s="48"/>
      <c r="I64" s="49"/>
      <c r="J64" s="88"/>
      <c r="K64" s="88"/>
      <c r="L64" s="39"/>
      <c r="M64" s="39"/>
      <c r="N64" s="50"/>
      <c r="O64" s="51"/>
      <c r="P64" s="52"/>
      <c r="Q64" s="51"/>
      <c r="R64" s="419"/>
      <c r="S64" s="419"/>
      <c r="T64" s="41"/>
      <c r="U64" s="41"/>
      <c r="V64" s="41"/>
      <c r="W64" s="41"/>
      <c r="X64" s="42"/>
      <c r="Y64" s="221"/>
      <c r="Z64" s="41"/>
      <c r="AA64" s="41"/>
      <c r="AB64" s="41"/>
      <c r="AC64" s="41"/>
      <c r="AD64" s="41">
        <f>+AM64+BA64</f>
        <v>15</v>
      </c>
      <c r="AE64" s="243" t="s">
        <v>561</v>
      </c>
      <c r="AF64" s="37"/>
      <c r="AG64" s="37"/>
      <c r="AH64" s="37"/>
      <c r="AI64" s="458"/>
      <c r="AJ64" s="41"/>
      <c r="AK64" s="41">
        <v>15</v>
      </c>
      <c r="AL64" s="41"/>
      <c r="AM64" s="41">
        <f>SUM(AF64:AL64)+AT64+AV64+AX64</f>
        <v>15</v>
      </c>
      <c r="AN64" s="41"/>
      <c r="AO64" s="41"/>
      <c r="AP64" s="41"/>
      <c r="AQ64" s="41"/>
      <c r="AR64" s="41">
        <f>SUM(AN64:AQ64)</f>
        <v>0</v>
      </c>
      <c r="AS64" s="41"/>
      <c r="AT64" s="41"/>
      <c r="AU64" s="41"/>
      <c r="AV64" s="41"/>
      <c r="AW64" s="41"/>
      <c r="AX64" s="41"/>
      <c r="AY64" s="41"/>
      <c r="AZ64" s="41"/>
      <c r="BA64" s="41">
        <f>+AR64+AS64+AU64+AW64+AY64+AZ64</f>
        <v>0</v>
      </c>
      <c r="BB64" s="37"/>
      <c r="BC64" s="57"/>
      <c r="BD64" s="57"/>
      <c r="BE64" s="37"/>
      <c r="BF64" s="57"/>
    </row>
    <row r="65" spans="1:58" ht="12.95" customHeight="1">
      <c r="A65" s="44"/>
      <c r="B65" s="45"/>
      <c r="C65" s="449"/>
      <c r="D65" s="45"/>
      <c r="E65" s="46"/>
      <c r="F65" s="46"/>
      <c r="G65" s="47"/>
      <c r="H65" s="48"/>
      <c r="I65" s="49"/>
      <c r="J65" s="88"/>
      <c r="K65" s="88"/>
      <c r="L65" s="39"/>
      <c r="M65" s="39"/>
      <c r="N65" s="50"/>
      <c r="O65" s="51"/>
      <c r="P65" s="52"/>
      <c r="Q65" s="51"/>
      <c r="R65" s="419"/>
      <c r="S65" s="419"/>
      <c r="T65" s="41"/>
      <c r="U65" s="41"/>
      <c r="V65" s="41"/>
      <c r="W65" s="41"/>
      <c r="X65" s="42"/>
      <c r="Y65" s="221"/>
      <c r="Z65" s="41"/>
      <c r="AA65" s="41"/>
      <c r="AB65" s="41"/>
      <c r="AC65" s="41"/>
      <c r="AD65" s="41"/>
      <c r="AE65" s="240"/>
      <c r="AF65" s="37"/>
      <c r="AG65" s="37"/>
      <c r="AH65" s="37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37"/>
      <c r="BC65" s="57"/>
      <c r="BD65" s="55"/>
      <c r="BE65" s="55"/>
      <c r="BF65" s="55"/>
    </row>
    <row r="66" spans="1:58" ht="12.95" customHeight="1">
      <c r="A66" s="344">
        <v>45882</v>
      </c>
      <c r="B66" s="45" t="s">
        <v>231</v>
      </c>
      <c r="C66" s="449">
        <f>(M66*E66*O66*Q66)/100000000</f>
        <v>14.5008256512</v>
      </c>
      <c r="D66" s="45" t="s">
        <v>407</v>
      </c>
      <c r="E66" s="46">
        <v>21</v>
      </c>
      <c r="F66" s="46">
        <v>1</v>
      </c>
      <c r="G66" s="462">
        <v>990</v>
      </c>
      <c r="H66" s="48">
        <v>0</v>
      </c>
      <c r="I66" s="49">
        <v>0.88</v>
      </c>
      <c r="J66" s="88">
        <f>E66*G66*(1-H66)*1440/1000000*2.77</f>
        <v>82.927152000000007</v>
      </c>
      <c r="K66" s="88">
        <f>(IF(G66&lt;L66,L66,G66)*(1-IF(H66&lt;N66,H66,N66))*E66*O66*Q66)/100000000</f>
        <v>14.5517568</v>
      </c>
      <c r="L66" s="39">
        <v>1010</v>
      </c>
      <c r="M66" s="39">
        <f>+L66-L66*0.0035</f>
        <v>1006.465</v>
      </c>
      <c r="N66" s="50">
        <f>1-(M66/L66)</f>
        <v>3.4999999999999476E-3</v>
      </c>
      <c r="O66" s="51">
        <f>+'Trim Rwd'!H51</f>
        <v>268</v>
      </c>
      <c r="P66" s="52">
        <f>O66*(Q66-R66-S66)</f>
        <v>67268</v>
      </c>
      <c r="Q66" s="51">
        <v>256</v>
      </c>
      <c r="R66" s="419">
        <v>0</v>
      </c>
      <c r="S66" s="419">
        <v>5</v>
      </c>
      <c r="T66" s="41">
        <f>E66*M66*O66*Q66/100000000</f>
        <v>14.5008256512</v>
      </c>
      <c r="U66" s="41">
        <f>E66*M66*O66*(Q66-R66-S66)/100000000</f>
        <v>14.217606400199999</v>
      </c>
      <c r="V66" s="41">
        <f>E66*G66*(1-N66)*O66/100*(R66+S66)/1000000</f>
        <v>0.277610949</v>
      </c>
      <c r="W66" s="41">
        <f>+'13'!K13/1000</f>
        <v>19.878</v>
      </c>
      <c r="X66" s="416">
        <f>SUM(W66:W69)/SUM(K66:K69)</f>
        <v>0.96594056400670747</v>
      </c>
      <c r="Y66" s="221">
        <v>0</v>
      </c>
      <c r="Z66" s="41">
        <v>0</v>
      </c>
      <c r="AA66" s="53">
        <f>SUM(U66:U69)-SUM(W66:W69)-SUM(Z66:Z69)-SUM(Y66:Y69)</f>
        <v>0.71177256653334098</v>
      </c>
      <c r="AB66" s="53">
        <f>(SUM(K66:K69)-SUM(W66:W69)-SUM(Y66:Y69)-SUM(Z66:Z69)-SUM(AC66:AC69)-SUM(V66:V69))-AA66</f>
        <v>1.2711353999997232E-2</v>
      </c>
      <c r="AC66" s="41">
        <f>K66-T66</f>
        <v>5.0931148800000159E-2</v>
      </c>
      <c r="AD66" s="41">
        <f>+AM66+BA66</f>
        <v>5</v>
      </c>
      <c r="AE66" s="240" t="s">
        <v>648</v>
      </c>
      <c r="AF66" s="41">
        <v>5</v>
      </c>
      <c r="AG66" s="41"/>
      <c r="AH66" s="41"/>
      <c r="AI66" s="458"/>
      <c r="AJ66" s="41"/>
      <c r="AK66" s="41"/>
      <c r="AL66" s="41"/>
      <c r="AM66" s="41">
        <f>SUM(AF66:AL66)+AT66+AV66+AX66</f>
        <v>5</v>
      </c>
      <c r="AN66" s="41"/>
      <c r="AO66" s="41"/>
      <c r="AP66" s="41"/>
      <c r="AQ66" s="41"/>
      <c r="AR66" s="41">
        <f>SUM(AN66:AQ66)</f>
        <v>0</v>
      </c>
      <c r="AS66" s="41"/>
      <c r="AT66" s="41"/>
      <c r="AU66" s="41"/>
      <c r="AV66" s="41"/>
      <c r="AW66" s="41"/>
      <c r="AX66" s="41"/>
      <c r="AY66" s="41"/>
      <c r="AZ66" s="41"/>
      <c r="BA66" s="41">
        <f>+AR66+AS66+AU66+AW66+AY66+AZ66</f>
        <v>0</v>
      </c>
      <c r="BB66" s="37">
        <v>1</v>
      </c>
      <c r="BC66" s="55"/>
      <c r="BD66" s="55"/>
      <c r="BE66" s="37"/>
      <c r="BF66" s="55"/>
    </row>
    <row r="67" spans="1:58" ht="12.95" customHeight="1">
      <c r="A67" s="344"/>
      <c r="B67" s="45" t="s">
        <v>231</v>
      </c>
      <c r="C67" s="449">
        <f>(M67*E67*O67*Q67)/100000000</f>
        <v>14.288381018999999</v>
      </c>
      <c r="D67" s="45" t="s">
        <v>566</v>
      </c>
      <c r="E67" s="46">
        <v>22</v>
      </c>
      <c r="F67" s="46">
        <v>1</v>
      </c>
      <c r="G67" s="462">
        <v>990</v>
      </c>
      <c r="H67" s="48">
        <v>0</v>
      </c>
      <c r="I67" s="49">
        <v>0.88</v>
      </c>
      <c r="J67" s="88">
        <f>E67*G67*(1-H67)*1440/1000000*2.77</f>
        <v>86.876064</v>
      </c>
      <c r="K67" s="88">
        <f>(IF(G67&lt;L67,L67,G67)*(1-IF(H67&lt;N67,H67,N67))*E67*O67*Q67)/100000000</f>
        <v>14.338566</v>
      </c>
      <c r="L67" s="39">
        <v>1010</v>
      </c>
      <c r="M67" s="39">
        <f>+L67-L67*0.0035</f>
        <v>1006.465</v>
      </c>
      <c r="N67" s="50">
        <f>1-(M67/L67)</f>
        <v>3.4999999999999476E-3</v>
      </c>
      <c r="O67" s="51">
        <f>+'Trim Rwd'!H52</f>
        <v>270</v>
      </c>
      <c r="P67" s="52">
        <f>O67*(Q67-R67-S67)</f>
        <v>62910</v>
      </c>
      <c r="Q67" s="51">
        <v>239</v>
      </c>
      <c r="R67" s="419">
        <v>0</v>
      </c>
      <c r="S67" s="419">
        <v>6</v>
      </c>
      <c r="T67" s="41">
        <f>E67*M67*O67*Q67/100000000</f>
        <v>14.288381018999999</v>
      </c>
      <c r="U67" s="41">
        <f>E67*M67*O67*(Q67-R67-S67)/100000000</f>
        <v>13.929676893</v>
      </c>
      <c r="V67" s="41">
        <f>E67*G67*(1-N67)*O67/100*(R67+S67)/1000000</f>
        <v>0.35160107400000001</v>
      </c>
      <c r="W67" s="41">
        <f>+'13'!K14/1000</f>
        <v>13.084</v>
      </c>
      <c r="X67" s="42"/>
      <c r="Y67" s="221"/>
      <c r="Z67" s="41">
        <v>0</v>
      </c>
      <c r="AA67" s="41"/>
      <c r="AB67" s="41"/>
      <c r="AC67" s="41">
        <f>K67-T67</f>
        <v>5.0184981000001017E-2</v>
      </c>
      <c r="AD67" s="41">
        <f>+AM67+BA67</f>
        <v>2</v>
      </c>
      <c r="AE67" s="240" t="s">
        <v>567</v>
      </c>
      <c r="AF67" s="41"/>
      <c r="AG67" s="41">
        <v>2</v>
      </c>
      <c r="AH67" s="41"/>
      <c r="AI67" s="458"/>
      <c r="AJ67" s="41"/>
      <c r="AK67" s="41"/>
      <c r="AL67" s="41"/>
      <c r="AM67" s="41">
        <f>SUM(AF67:AL67)+AT67+AV67+AX67</f>
        <v>2</v>
      </c>
      <c r="AN67" s="89"/>
      <c r="AO67" s="41"/>
      <c r="AP67" s="41"/>
      <c r="AQ67" s="41"/>
      <c r="AR67" s="41">
        <f>SUM(AN67:AQ67)</f>
        <v>0</v>
      </c>
      <c r="AS67" s="41"/>
      <c r="AT67" s="41"/>
      <c r="AU67" s="41"/>
      <c r="AV67" s="41"/>
      <c r="AW67" s="41"/>
      <c r="AX67" s="41"/>
      <c r="AY67" s="41"/>
      <c r="AZ67" s="41"/>
      <c r="BA67" s="41">
        <f>+AR67+AS67+AU67+AW67+AY67+AZ67</f>
        <v>0</v>
      </c>
      <c r="BB67" s="54"/>
      <c r="BC67" s="55">
        <v>2</v>
      </c>
      <c r="BD67" s="55"/>
      <c r="BE67" s="54"/>
      <c r="BF67" s="55"/>
    </row>
    <row r="68" spans="1:58" ht="12.95" customHeight="1">
      <c r="A68" s="44"/>
      <c r="B68" s="45" t="s">
        <v>231</v>
      </c>
      <c r="C68" s="449">
        <f>(M68*E68*O68*Q68)/100000000</f>
        <v>49.546083635999992</v>
      </c>
      <c r="D68" s="45" t="s">
        <v>566</v>
      </c>
      <c r="E68" s="46">
        <v>16</v>
      </c>
      <c r="F68" s="46">
        <v>1</v>
      </c>
      <c r="G68" s="462">
        <v>1260</v>
      </c>
      <c r="H68" s="48">
        <v>0</v>
      </c>
      <c r="I68" s="49">
        <v>0.88</v>
      </c>
      <c r="J68" s="88">
        <f>E68*G68*(1-H68)*1440/1000000*2.77</f>
        <v>80.414208000000002</v>
      </c>
      <c r="K68" s="88">
        <f>(IF(G68&lt;L68,L68,G68)*(1-IF(H68&lt;N68,H68,N68))*E68*O68*Q68)/100000000</f>
        <v>49.720103999999992</v>
      </c>
      <c r="L68" s="39">
        <v>1260</v>
      </c>
      <c r="M68" s="39">
        <f>+L68-L68*0.0035</f>
        <v>1255.5899999999999</v>
      </c>
      <c r="N68" s="50">
        <f>1-(M68/L68)</f>
        <v>3.5000000000000586E-3</v>
      </c>
      <c r="O68" s="51">
        <f>+'Trim Rwd'!H53</f>
        <v>260.98148148148147</v>
      </c>
      <c r="P68" s="52">
        <f>O68*(Q68-R68-S68)</f>
        <v>241407.87037037036</v>
      </c>
      <c r="Q68" s="51">
        <v>945</v>
      </c>
      <c r="R68" s="419">
        <v>0</v>
      </c>
      <c r="S68" s="419">
        <v>20</v>
      </c>
      <c r="T68" s="41">
        <f>E68*M68*O68*Q68/100000000</f>
        <v>49.546083635999992</v>
      </c>
      <c r="U68" s="41">
        <f>E68*M68*O68*(Q68-R68-S68)/100000000</f>
        <v>48.497489273333329</v>
      </c>
      <c r="V68" s="41">
        <f>E68*G68*(1-N68)*O68/100*(R68+S68)/1000000</f>
        <v>1.0485943626666665</v>
      </c>
      <c r="W68" s="41">
        <f>+'13'!K15/1000</f>
        <v>42.970999999999997</v>
      </c>
      <c r="X68" s="42"/>
      <c r="Y68" s="221"/>
      <c r="Z68" s="41">
        <v>0</v>
      </c>
      <c r="AA68" s="41"/>
      <c r="AB68" s="41"/>
      <c r="AC68" s="41">
        <f>K68-T68</f>
        <v>0.17402036400000043</v>
      </c>
      <c r="AD68" s="41">
        <f>+AM68+BA68</f>
        <v>19</v>
      </c>
      <c r="AE68" s="240" t="s">
        <v>617</v>
      </c>
      <c r="AF68" s="37"/>
      <c r="AG68" s="37"/>
      <c r="AH68" s="37">
        <v>19</v>
      </c>
      <c r="AI68" s="458"/>
      <c r="AJ68" s="41"/>
      <c r="AK68" s="41"/>
      <c r="AL68" s="41"/>
      <c r="AM68" s="41">
        <f>SUM(AF68:AL68)+AT68+AV68+AX68</f>
        <v>19</v>
      </c>
      <c r="AN68" s="41"/>
      <c r="AO68" s="41"/>
      <c r="AP68" s="41"/>
      <c r="AQ68" s="41"/>
      <c r="AR68" s="41">
        <f>SUM(AN68:AQ68)</f>
        <v>0</v>
      </c>
      <c r="AS68" s="41"/>
      <c r="AT68" s="41"/>
      <c r="AU68" s="41"/>
      <c r="AV68" s="41"/>
      <c r="AW68" s="41"/>
      <c r="AX68" s="41"/>
      <c r="AY68" s="41"/>
      <c r="AZ68" s="41"/>
      <c r="BA68" s="41">
        <f>+AR68+AS68+AU68+AW68+AY68+AZ68</f>
        <v>0</v>
      </c>
      <c r="BB68" s="37"/>
      <c r="BC68" s="57"/>
      <c r="BD68" s="57"/>
      <c r="BE68" s="37"/>
      <c r="BF68" s="57"/>
    </row>
    <row r="69" spans="1:58" ht="12.95" customHeight="1">
      <c r="A69" s="44"/>
      <c r="B69" s="45"/>
      <c r="C69" s="449"/>
      <c r="D69" s="45"/>
      <c r="E69" s="46"/>
      <c r="F69" s="46"/>
      <c r="G69" s="462"/>
      <c r="H69" s="48"/>
      <c r="I69" s="49"/>
      <c r="J69" s="88"/>
      <c r="K69" s="88"/>
      <c r="L69" s="39"/>
      <c r="M69" s="39"/>
      <c r="N69" s="50"/>
      <c r="O69" s="51"/>
      <c r="P69" s="52"/>
      <c r="Q69" s="51"/>
      <c r="R69" s="419"/>
      <c r="S69" s="419"/>
      <c r="T69" s="41"/>
      <c r="U69" s="41"/>
      <c r="V69" s="41"/>
      <c r="W69" s="41"/>
      <c r="X69" s="42"/>
      <c r="Y69" s="221"/>
      <c r="Z69" s="41"/>
      <c r="AA69" s="41"/>
      <c r="AB69" s="41"/>
      <c r="AC69" s="41"/>
      <c r="AD69" s="41">
        <f>+AM69+BA69</f>
        <v>5</v>
      </c>
      <c r="AE69" s="243" t="s">
        <v>541</v>
      </c>
      <c r="AF69" s="37"/>
      <c r="AG69" s="37"/>
      <c r="AH69" s="37"/>
      <c r="AI69" s="458">
        <v>5</v>
      </c>
      <c r="AJ69" s="41"/>
      <c r="AK69" s="41"/>
      <c r="AL69" s="41"/>
      <c r="AM69" s="41">
        <f>SUM(AF69:AL69)+AT69+AV69+AX69</f>
        <v>5</v>
      </c>
      <c r="AN69" s="41"/>
      <c r="AO69" s="41"/>
      <c r="AP69" s="41"/>
      <c r="AQ69" s="41"/>
      <c r="AR69" s="41">
        <f>SUM(AN69:AQ69)</f>
        <v>0</v>
      </c>
      <c r="AS69" s="41"/>
      <c r="AT69" s="41"/>
      <c r="AU69" s="41"/>
      <c r="AV69" s="41"/>
      <c r="AW69" s="41"/>
      <c r="AX69" s="41"/>
      <c r="AY69" s="41"/>
      <c r="AZ69" s="41"/>
      <c r="BA69" s="41">
        <f>+AR69+AS69+AU69+AW69+AY69+AZ69</f>
        <v>0</v>
      </c>
      <c r="BB69" s="37"/>
      <c r="BC69" s="57"/>
      <c r="BD69" s="57"/>
      <c r="BE69" s="37"/>
      <c r="BF69" s="57"/>
    </row>
    <row r="70" spans="1:58" ht="12.95" customHeight="1">
      <c r="A70" s="44"/>
      <c r="B70" s="45"/>
      <c r="C70" s="449"/>
      <c r="D70" s="45"/>
      <c r="E70" s="46"/>
      <c r="F70" s="46"/>
      <c r="G70" s="47"/>
      <c r="H70" s="48"/>
      <c r="I70" s="49"/>
      <c r="J70" s="88"/>
      <c r="K70" s="88"/>
      <c r="L70" s="39"/>
      <c r="M70" s="39"/>
      <c r="N70" s="50"/>
      <c r="O70" s="51"/>
      <c r="P70" s="52"/>
      <c r="Q70" s="51"/>
      <c r="R70" s="419"/>
      <c r="S70" s="419"/>
      <c r="T70" s="41"/>
      <c r="U70" s="41"/>
      <c r="V70" s="41"/>
      <c r="W70" s="41"/>
      <c r="X70" s="42"/>
      <c r="Y70" s="221"/>
      <c r="Z70" s="41"/>
      <c r="AA70" s="41"/>
      <c r="AB70" s="41"/>
      <c r="AC70" s="41"/>
      <c r="AD70" s="41"/>
      <c r="AE70" s="243"/>
      <c r="AF70" s="37"/>
      <c r="AG70" s="37"/>
      <c r="AH70" s="37"/>
      <c r="AI70" s="458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37"/>
      <c r="BC70" s="57"/>
      <c r="BD70" s="57"/>
      <c r="BE70" s="37"/>
      <c r="BF70" s="57"/>
    </row>
    <row r="71" spans="1:58" ht="12.95" customHeight="1">
      <c r="A71" s="344">
        <v>45883</v>
      </c>
      <c r="B71" s="45" t="s">
        <v>231</v>
      </c>
      <c r="C71" s="449">
        <f>(M71*E71*O71*Q71)/100000000</f>
        <v>25.168050431999998</v>
      </c>
      <c r="D71" s="45" t="s">
        <v>566</v>
      </c>
      <c r="E71" s="46">
        <v>16</v>
      </c>
      <c r="F71" s="46">
        <v>1</v>
      </c>
      <c r="G71" s="462">
        <v>1260</v>
      </c>
      <c r="H71" s="48">
        <v>0</v>
      </c>
      <c r="I71" s="49">
        <v>0.88</v>
      </c>
      <c r="J71" s="88">
        <f>E71*G71*(1-H71)*1440/1000000*2.77</f>
        <v>80.414208000000002</v>
      </c>
      <c r="K71" s="88">
        <f>(IF(G71&lt;L71,L71,G71)*(1-IF(H71&lt;N71,H71,N71))*E71*O71*Q71)/100000000</f>
        <v>25.256447999999999</v>
      </c>
      <c r="L71" s="39">
        <v>1260</v>
      </c>
      <c r="M71" s="39">
        <f>+L71-L71*0.0035</f>
        <v>1255.5899999999999</v>
      </c>
      <c r="N71" s="50">
        <f>1-(M71/L71)</f>
        <v>3.5000000000000586E-3</v>
      </c>
      <c r="O71" s="51">
        <f>+'Trim Rwd'!H56</f>
        <v>261</v>
      </c>
      <c r="P71" s="52">
        <f>O71*(Q71-R71-S71)</f>
        <v>124758</v>
      </c>
      <c r="Q71" s="51">
        <v>480</v>
      </c>
      <c r="R71" s="419">
        <v>0</v>
      </c>
      <c r="S71" s="419">
        <v>2</v>
      </c>
      <c r="T71" s="41">
        <f>E71*M71*O71*Q71/100000000</f>
        <v>25.168050431999998</v>
      </c>
      <c r="U71" s="41">
        <f>E71*M71*O71*(Q71-R71-S71)/100000000</f>
        <v>25.063183555199998</v>
      </c>
      <c r="V71" s="41">
        <f>E71*G71*(1-N71)*O71/100*(R71+S71)/1000000</f>
        <v>0.10486687679999999</v>
      </c>
      <c r="W71" s="41">
        <f>+'14'!K15/1000</f>
        <v>43.249000000000002</v>
      </c>
      <c r="X71" s="416">
        <f>SUM(W71:W74)/SUM(K71:K74)</f>
        <v>1.0379524466916799</v>
      </c>
      <c r="Y71" s="221">
        <v>0</v>
      </c>
      <c r="Z71" s="41">
        <v>0</v>
      </c>
      <c r="AA71" s="53">
        <f>SUM(U71:U74)-SUM(W71:W74)-SUM(Z71:Z74)-SUM(Y71:Y74)</f>
        <v>-3.6745764030500112</v>
      </c>
      <c r="AB71" s="53">
        <f>(SUM(K71:K74)-SUM(W71:W74)-SUM(Y71:Y74)-SUM(Z71:Z74)-SUM(AC71:AC74)-SUM(V71:V74))-AA71</f>
        <v>0</v>
      </c>
      <c r="AC71" s="41">
        <f>K71-T71</f>
        <v>8.8397568000001314E-2</v>
      </c>
      <c r="AD71" s="41">
        <f>+AM71+BA71</f>
        <v>0</v>
      </c>
      <c r="AE71" s="240" t="s">
        <v>277</v>
      </c>
      <c r="AF71" s="41">
        <v>0</v>
      </c>
      <c r="AG71" s="41"/>
      <c r="AH71" s="41"/>
      <c r="AI71" s="458"/>
      <c r="AJ71" s="41"/>
      <c r="AK71" s="41"/>
      <c r="AL71" s="41"/>
      <c r="AM71" s="41">
        <f>SUM(AF71:AL71)+AT71+AV71+AX71</f>
        <v>0</v>
      </c>
      <c r="AN71" s="41"/>
      <c r="AO71" s="41"/>
      <c r="AP71" s="41"/>
      <c r="AQ71" s="41"/>
      <c r="AR71" s="41">
        <f>SUM(AN71:AQ71)</f>
        <v>0</v>
      </c>
      <c r="AS71" s="41"/>
      <c r="AT71" s="41"/>
      <c r="AU71" s="41"/>
      <c r="AV71" s="41"/>
      <c r="AW71" s="41"/>
      <c r="AX71" s="41"/>
      <c r="AY71" s="41"/>
      <c r="AZ71" s="41"/>
      <c r="BA71" s="41">
        <f>+AR71+AS71+AU71+AW71+AY71+AZ71</f>
        <v>0</v>
      </c>
      <c r="BB71" s="37">
        <v>0</v>
      </c>
      <c r="BC71" s="55"/>
      <c r="BD71" s="55"/>
      <c r="BE71" s="37"/>
      <c r="BF71" s="55"/>
    </row>
    <row r="72" spans="1:58" ht="12.95" customHeight="1">
      <c r="A72" s="344"/>
      <c r="B72" s="45" t="s">
        <v>231</v>
      </c>
      <c r="C72" s="449">
        <f>(M72*E72*O72*Q72)/100000000</f>
        <v>53.897958575999994</v>
      </c>
      <c r="D72" s="45" t="s">
        <v>566</v>
      </c>
      <c r="E72" s="46">
        <v>16.5</v>
      </c>
      <c r="F72" s="46">
        <v>1</v>
      </c>
      <c r="G72" s="462">
        <v>1260</v>
      </c>
      <c r="H72" s="48">
        <v>0</v>
      </c>
      <c r="I72" s="49">
        <v>0.88</v>
      </c>
      <c r="J72" s="88">
        <f>E72*G72*(1-H72)*1440/1000000*2.77</f>
        <v>82.927152000000007</v>
      </c>
      <c r="K72" s="88">
        <f>(IF(G72&lt;L72,L72,G72)*(1-IF(H72&lt;N72,H72,N72))*E72*O72*Q72)/100000000</f>
        <v>54.087263999999998</v>
      </c>
      <c r="L72" s="39">
        <v>1260</v>
      </c>
      <c r="M72" s="39">
        <f>+L72-L72*0.0035</f>
        <v>1255.5899999999999</v>
      </c>
      <c r="N72" s="50">
        <f>1-(M72/L72)</f>
        <v>3.5000000000000586E-3</v>
      </c>
      <c r="O72" s="51">
        <f>+'Trim Rwd'!H57</f>
        <v>271</v>
      </c>
      <c r="P72" s="52">
        <f>O72*(Q72-R72-S72)</f>
        <v>258805</v>
      </c>
      <c r="Q72" s="51">
        <v>960</v>
      </c>
      <c r="R72" s="419">
        <v>0</v>
      </c>
      <c r="S72" s="419">
        <v>5</v>
      </c>
      <c r="T72" s="41">
        <f>E72*M72*O72*Q72/100000000</f>
        <v>53.897958575999994</v>
      </c>
      <c r="U72" s="41">
        <f>E72*M72*O72*(Q72-R72-S72)/100000000</f>
        <v>53.617240041749994</v>
      </c>
      <c r="V72" s="41">
        <f>E72*G72*(1-N72)*O72/100*(R72+S72)/1000000</f>
        <v>0.28071853425000004</v>
      </c>
      <c r="W72" s="41">
        <f>+'14'!K10/1000</f>
        <v>39.106000000000002</v>
      </c>
      <c r="X72" s="42"/>
      <c r="Y72" s="221"/>
      <c r="Z72" s="41">
        <v>0</v>
      </c>
      <c r="AA72" s="41"/>
      <c r="AB72" s="41"/>
      <c r="AC72" s="41">
        <f>K72-T72</f>
        <v>0.18930542400000405</v>
      </c>
      <c r="AD72" s="41">
        <f>+AM72+BA72</f>
        <v>2</v>
      </c>
      <c r="AE72" s="240" t="s">
        <v>567</v>
      </c>
      <c r="AF72" s="41"/>
      <c r="AG72" s="41">
        <v>2</v>
      </c>
      <c r="AH72" s="41"/>
      <c r="AI72" s="458"/>
      <c r="AJ72" s="41"/>
      <c r="AK72" s="41"/>
      <c r="AL72" s="41"/>
      <c r="AM72" s="41">
        <f>SUM(AF72:AL72)+AT72+AV72+AX72</f>
        <v>2</v>
      </c>
      <c r="AN72" s="89"/>
      <c r="AO72" s="41"/>
      <c r="AP72" s="41"/>
      <c r="AQ72" s="41"/>
      <c r="AR72" s="41">
        <f>SUM(AN72:AQ72)</f>
        <v>0</v>
      </c>
      <c r="AS72" s="41"/>
      <c r="AT72" s="41"/>
      <c r="AU72" s="41"/>
      <c r="AV72" s="41"/>
      <c r="AW72" s="41"/>
      <c r="AX72" s="41"/>
      <c r="AY72" s="41"/>
      <c r="AZ72" s="41"/>
      <c r="BA72" s="41">
        <f>+AR72+AS72+AU72+AW72+AY72+AZ72</f>
        <v>0</v>
      </c>
      <c r="BB72" s="54"/>
      <c r="BC72" s="55">
        <v>2</v>
      </c>
      <c r="BD72" s="55"/>
      <c r="BE72" s="54"/>
      <c r="BF72" s="55"/>
    </row>
    <row r="73" spans="1:58" ht="12.95" customHeight="1">
      <c r="A73" s="44"/>
      <c r="B73" s="45"/>
      <c r="C73" s="449"/>
      <c r="D73" s="45"/>
      <c r="E73" s="46"/>
      <c r="F73" s="46"/>
      <c r="G73" s="462"/>
      <c r="H73" s="48"/>
      <c r="I73" s="49"/>
      <c r="J73" s="88"/>
      <c r="K73" s="88"/>
      <c r="L73" s="39"/>
      <c r="M73" s="39"/>
      <c r="N73" s="50"/>
      <c r="O73" s="51"/>
      <c r="P73" s="52"/>
      <c r="Q73" s="51"/>
      <c r="R73" s="419"/>
      <c r="S73" s="419"/>
      <c r="T73" s="41"/>
      <c r="U73" s="41"/>
      <c r="V73" s="41"/>
      <c r="W73" s="41"/>
      <c r="X73" s="42"/>
      <c r="Y73" s="221"/>
      <c r="Z73" s="41"/>
      <c r="AA73" s="41"/>
      <c r="AB73" s="41"/>
      <c r="AC73" s="41"/>
      <c r="AD73" s="41">
        <f>+AM73+BA73</f>
        <v>5</v>
      </c>
      <c r="AE73" s="240" t="s">
        <v>500</v>
      </c>
      <c r="AF73" s="37"/>
      <c r="AG73" s="37"/>
      <c r="AH73" s="37">
        <v>5</v>
      </c>
      <c r="AI73" s="458"/>
      <c r="AJ73" s="41"/>
      <c r="AK73" s="41"/>
      <c r="AL73" s="41"/>
      <c r="AM73" s="41">
        <f>SUM(AF73:AL73)+AT73+AV73+AX73</f>
        <v>5</v>
      </c>
      <c r="AN73" s="41"/>
      <c r="AO73" s="41"/>
      <c r="AP73" s="41"/>
      <c r="AQ73" s="41"/>
      <c r="AR73" s="41">
        <f>SUM(AN73:AQ73)</f>
        <v>0</v>
      </c>
      <c r="AS73" s="41"/>
      <c r="AT73" s="41"/>
      <c r="AU73" s="41"/>
      <c r="AV73" s="41"/>
      <c r="AW73" s="41"/>
      <c r="AX73" s="41"/>
      <c r="AY73" s="41"/>
      <c r="AZ73" s="41"/>
      <c r="BA73" s="41">
        <f>+AR73+AS73+AU73+AW73+AY73+AZ73</f>
        <v>0</v>
      </c>
      <c r="BB73" s="37"/>
      <c r="BC73" s="57"/>
      <c r="BD73" s="57"/>
      <c r="BE73" s="37"/>
      <c r="BF73" s="57"/>
    </row>
    <row r="74" spans="1:58" ht="12.95" customHeight="1">
      <c r="A74" s="44"/>
      <c r="B74" s="45"/>
      <c r="C74" s="449"/>
      <c r="D74" s="45"/>
      <c r="E74" s="46"/>
      <c r="F74" s="46"/>
      <c r="G74" s="47"/>
      <c r="H74" s="48"/>
      <c r="I74" s="49"/>
      <c r="J74" s="88"/>
      <c r="K74" s="88"/>
      <c r="L74" s="39"/>
      <c r="M74" s="39"/>
      <c r="N74" s="50"/>
      <c r="O74" s="51"/>
      <c r="P74" s="52"/>
      <c r="Q74" s="51"/>
      <c r="R74" s="419"/>
      <c r="S74" s="419"/>
      <c r="T74" s="41"/>
      <c r="U74" s="41"/>
      <c r="V74" s="41"/>
      <c r="W74" s="41"/>
      <c r="X74" s="42"/>
      <c r="Y74" s="221"/>
      <c r="Z74" s="41"/>
      <c r="AA74" s="41"/>
      <c r="AB74" s="41"/>
      <c r="AC74" s="41"/>
      <c r="AD74" s="41"/>
      <c r="AE74" s="240"/>
      <c r="AF74" s="37"/>
      <c r="AG74" s="37"/>
      <c r="AH74" s="37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37"/>
      <c r="BC74" s="57"/>
      <c r="BD74" s="55"/>
      <c r="BE74" s="55"/>
      <c r="BF74" s="55"/>
    </row>
    <row r="75" spans="1:58" ht="12.95" customHeight="1">
      <c r="A75" s="344">
        <v>45884</v>
      </c>
      <c r="B75" s="45" t="s">
        <v>231</v>
      </c>
      <c r="C75" s="449">
        <f>(M75*E75*O75*Q75)/100000000</f>
        <v>46.54313297865</v>
      </c>
      <c r="D75" s="45" t="s">
        <v>566</v>
      </c>
      <c r="E75" s="46">
        <v>16.5</v>
      </c>
      <c r="F75" s="46">
        <v>1</v>
      </c>
      <c r="G75" s="462">
        <v>1260</v>
      </c>
      <c r="H75" s="48">
        <v>0</v>
      </c>
      <c r="I75" s="49">
        <v>0.88</v>
      </c>
      <c r="J75" s="88">
        <f>E75*G75*(1-H75)*1440/1000000*2.77</f>
        <v>82.927152000000007</v>
      </c>
      <c r="K75" s="88">
        <f>(IF(G75&lt;L75,L75,G75)*(1-IF(H75&lt;N75,H75,N75))*E75*O75*Q75)/100000000</f>
        <v>46.706606100000002</v>
      </c>
      <c r="L75" s="39">
        <v>1260</v>
      </c>
      <c r="M75" s="39">
        <f>+L75-L75*0.0035</f>
        <v>1255.5899999999999</v>
      </c>
      <c r="N75" s="50">
        <f>1-(M75/L75)</f>
        <v>3.5000000000000586E-3</v>
      </c>
      <c r="O75" s="51">
        <f>+'Trim Rwd'!H59</f>
        <v>271</v>
      </c>
      <c r="P75" s="52">
        <f>O75*(Q75-R75-S75)</f>
        <v>220594</v>
      </c>
      <c r="Q75" s="51">
        <v>829</v>
      </c>
      <c r="R75" s="419">
        <v>0</v>
      </c>
      <c r="S75" s="419">
        <v>15</v>
      </c>
      <c r="T75" s="41">
        <f>E75*M75*O75*Q75/100000000</f>
        <v>46.54313297865</v>
      </c>
      <c r="U75" s="41">
        <f>E75*M75*O75*(Q75-R75-S75)/100000000</f>
        <v>45.700977375899996</v>
      </c>
      <c r="V75" s="41">
        <f>E75*G75*(1-N75)*O75/100*(R75+S75)/1000000</f>
        <v>0.84215560275000012</v>
      </c>
      <c r="W75" s="41">
        <f>+'15'!K10/1000</f>
        <v>51.322000000000003</v>
      </c>
      <c r="X75" s="416">
        <f>SUM(W75:W78)/SUM(K75:K78)</f>
        <v>0.96966855007746189</v>
      </c>
      <c r="Y75" s="221">
        <v>0</v>
      </c>
      <c r="Z75" s="41">
        <f>+('15'!D7+'15'!D16)/1000</f>
        <v>0.39300000000000002</v>
      </c>
      <c r="AA75" s="53">
        <f>SUM(U75:U78)-SUM(W75:W78)-SUM(Z75:Z78)-SUM(Y75:Y78)</f>
        <v>0.44980311669998563</v>
      </c>
      <c r="AB75" s="53">
        <f>(SUM(K75:K78)-SUM(W75:W78)-SUM(Y75:Y78)-SUM(Z75:Z78)-SUM(AC75:AC78)-SUM(V75:V78))-AA75</f>
        <v>5.773159728050814E-15</v>
      </c>
      <c r="AC75" s="41">
        <f>K75-T75</f>
        <v>0.1634731213500018</v>
      </c>
      <c r="AD75" s="41">
        <f>+AM75+BA75</f>
        <v>0</v>
      </c>
      <c r="AE75" s="240" t="s">
        <v>277</v>
      </c>
      <c r="AF75" s="41">
        <v>0</v>
      </c>
      <c r="AG75" s="41"/>
      <c r="AH75" s="41"/>
      <c r="AI75" s="458"/>
      <c r="AJ75" s="41"/>
      <c r="AK75" s="41"/>
      <c r="AL75" s="41"/>
      <c r="AM75" s="41">
        <f>SUM(AF75:AL75)+AT75+AV75+AX75</f>
        <v>0</v>
      </c>
      <c r="AN75" s="41"/>
      <c r="AO75" s="41"/>
      <c r="AP75" s="41"/>
      <c r="AQ75" s="41"/>
      <c r="AR75" s="41">
        <f>SUM(AN75:AQ75)</f>
        <v>0</v>
      </c>
      <c r="AS75" s="41"/>
      <c r="AT75" s="41"/>
      <c r="AU75" s="41"/>
      <c r="AV75" s="41"/>
      <c r="AW75" s="41"/>
      <c r="AX75" s="41"/>
      <c r="AY75" s="41"/>
      <c r="AZ75" s="41"/>
      <c r="BA75" s="41">
        <f>+AR75+AS75+AU75+AW75+AY75+AZ75</f>
        <v>0</v>
      </c>
      <c r="BB75" s="37">
        <v>0</v>
      </c>
      <c r="BC75" s="55"/>
      <c r="BD75" s="55"/>
      <c r="BE75" s="37"/>
      <c r="BF75" s="55"/>
    </row>
    <row r="76" spans="1:58" ht="12.95" customHeight="1">
      <c r="A76" s="344"/>
      <c r="B76" s="45" t="s">
        <v>231</v>
      </c>
      <c r="C76" s="449">
        <f>(M76*E76*O76*Q76)/100000000</f>
        <v>33.387042124799997</v>
      </c>
      <c r="D76" s="45" t="s">
        <v>566</v>
      </c>
      <c r="E76" s="46">
        <v>16</v>
      </c>
      <c r="F76" s="46">
        <v>1</v>
      </c>
      <c r="G76" s="462">
        <v>1260</v>
      </c>
      <c r="H76" s="48">
        <v>0</v>
      </c>
      <c r="I76" s="49">
        <v>0.88</v>
      </c>
      <c r="J76" s="88">
        <f>E76*G76*(1-H76)*1440/1000000*2.77</f>
        <v>80.414208000000002</v>
      </c>
      <c r="K76" s="88">
        <f>(IF(G76&lt;L76,L76,G76)*(1-IF(H76&lt;N76,H76,N76))*E76*O76*Q76)/100000000</f>
        <v>33.5043072</v>
      </c>
      <c r="L76" s="39">
        <v>1260</v>
      </c>
      <c r="M76" s="39">
        <f>+L76-L76*0.0035</f>
        <v>1255.5899999999999</v>
      </c>
      <c r="N76" s="50">
        <f>1-(M76/L76)</f>
        <v>3.5000000000000586E-3</v>
      </c>
      <c r="O76" s="51">
        <f>+'Trim Rwd'!H60</f>
        <v>272</v>
      </c>
      <c r="P76" s="52">
        <f>O76*(Q76-R76-S76)</f>
        <v>164832</v>
      </c>
      <c r="Q76" s="51">
        <v>611</v>
      </c>
      <c r="R76" s="419">
        <v>0</v>
      </c>
      <c r="S76" s="419">
        <v>5</v>
      </c>
      <c r="T76" s="41">
        <f>E76*M76*O76*Q76/100000000</f>
        <v>33.387042124799997</v>
      </c>
      <c r="U76" s="41">
        <f>E76*M76*O76*(Q76-R76-S76)/100000000</f>
        <v>33.113825740799996</v>
      </c>
      <c r="V76" s="41">
        <f>E76*G76*(1-N76)*O76/100*(R76+S76)/1000000</f>
        <v>0.27321638400000003</v>
      </c>
      <c r="W76" s="41">
        <f>+'15'!K15/1000</f>
        <v>26.456</v>
      </c>
      <c r="X76" s="42"/>
      <c r="Y76" s="221"/>
      <c r="Z76" s="41">
        <f>+'15'!D25/1000</f>
        <v>0.19400000000000001</v>
      </c>
      <c r="AA76" s="41"/>
      <c r="AB76" s="41"/>
      <c r="AC76" s="41">
        <f>K76-T76</f>
        <v>0.1172650752000024</v>
      </c>
      <c r="AD76" s="41">
        <f>+AM76+BA76</f>
        <v>0</v>
      </c>
      <c r="AE76" s="240" t="s">
        <v>446</v>
      </c>
      <c r="AF76" s="41"/>
      <c r="AG76" s="41">
        <v>0</v>
      </c>
      <c r="AH76" s="41"/>
      <c r="AI76" s="458"/>
      <c r="AJ76" s="41"/>
      <c r="AK76" s="41"/>
      <c r="AL76" s="41"/>
      <c r="AM76" s="41">
        <f>SUM(AF76:AL76)+AT76+AV76+AX76</f>
        <v>0</v>
      </c>
      <c r="AN76" s="89"/>
      <c r="AO76" s="41"/>
      <c r="AP76" s="41"/>
      <c r="AQ76" s="41"/>
      <c r="AR76" s="41">
        <f>SUM(AN76:AQ76)</f>
        <v>0</v>
      </c>
      <c r="AS76" s="41"/>
      <c r="AT76" s="41"/>
      <c r="AU76" s="41"/>
      <c r="AV76" s="41"/>
      <c r="AW76" s="41"/>
      <c r="AX76" s="41"/>
      <c r="AY76" s="41"/>
      <c r="AZ76" s="41"/>
      <c r="BA76" s="41">
        <f>+AR76+AS76+AU76+AW76+AY76+AZ76</f>
        <v>0</v>
      </c>
      <c r="BB76" s="54"/>
      <c r="BC76" s="55">
        <v>0</v>
      </c>
      <c r="BD76" s="55"/>
      <c r="BE76" s="54"/>
      <c r="BF76" s="55"/>
    </row>
    <row r="77" spans="1:58" ht="12.95" customHeight="1">
      <c r="A77" s="44"/>
      <c r="B77" s="45"/>
      <c r="C77" s="449"/>
      <c r="D77" s="45"/>
      <c r="E77" s="46"/>
      <c r="F77" s="46"/>
      <c r="G77" s="462"/>
      <c r="H77" s="48"/>
      <c r="I77" s="49"/>
      <c r="J77" s="88"/>
      <c r="K77" s="88"/>
      <c r="L77" s="39"/>
      <c r="M77" s="39"/>
      <c r="N77" s="50"/>
      <c r="O77" s="51"/>
      <c r="P77" s="52"/>
      <c r="Q77" s="51"/>
      <c r="R77" s="419"/>
      <c r="S77" s="419"/>
      <c r="T77" s="41"/>
      <c r="U77" s="41"/>
      <c r="V77" s="41"/>
      <c r="W77" s="41"/>
      <c r="X77" s="42"/>
      <c r="Y77" s="221"/>
      <c r="Z77" s="41"/>
      <c r="AA77" s="41"/>
      <c r="AB77" s="41"/>
      <c r="AC77" s="41"/>
      <c r="AD77" s="41">
        <f>+AM77+BA77</f>
        <v>15</v>
      </c>
      <c r="AE77" s="240" t="s">
        <v>596</v>
      </c>
      <c r="AF77" s="37"/>
      <c r="AG77" s="37"/>
      <c r="AH77" s="37">
        <v>15</v>
      </c>
      <c r="AI77" s="458"/>
      <c r="AJ77" s="41"/>
      <c r="AK77" s="41"/>
      <c r="AL77" s="41"/>
      <c r="AM77" s="41">
        <f>SUM(AF77:AL77)+AT77+AV77+AX77</f>
        <v>15</v>
      </c>
      <c r="AN77" s="41"/>
      <c r="AO77" s="41"/>
      <c r="AP77" s="41"/>
      <c r="AQ77" s="41"/>
      <c r="AR77" s="41">
        <f>SUM(AN77:AQ77)</f>
        <v>0</v>
      </c>
      <c r="AS77" s="41"/>
      <c r="AT77" s="41"/>
      <c r="AU77" s="41"/>
      <c r="AV77" s="41"/>
      <c r="AW77" s="41"/>
      <c r="AX77" s="41"/>
      <c r="AY77" s="41"/>
      <c r="AZ77" s="41"/>
      <c r="BA77" s="41">
        <f>+AR77+AS77+AU77+AW77+AY77+AZ77</f>
        <v>0</v>
      </c>
      <c r="BB77" s="37"/>
      <c r="BC77" s="57"/>
      <c r="BD77" s="57"/>
      <c r="BE77" s="37"/>
      <c r="BF77" s="57"/>
    </row>
    <row r="78" spans="1:58" ht="12.95" customHeight="1">
      <c r="A78" s="44"/>
      <c r="B78" s="45"/>
      <c r="C78" s="449"/>
      <c r="D78" s="45"/>
      <c r="E78" s="46"/>
      <c r="F78" s="46"/>
      <c r="G78" s="47"/>
      <c r="H78" s="48"/>
      <c r="I78" s="49"/>
      <c r="J78" s="88"/>
      <c r="K78" s="88"/>
      <c r="L78" s="39"/>
      <c r="M78" s="39"/>
      <c r="N78" s="50"/>
      <c r="O78" s="51"/>
      <c r="P78" s="52"/>
      <c r="Q78" s="51"/>
      <c r="R78" s="419"/>
      <c r="S78" s="419"/>
      <c r="T78" s="41"/>
      <c r="U78" s="41"/>
      <c r="V78" s="41"/>
      <c r="W78" s="41"/>
      <c r="X78" s="42"/>
      <c r="Y78" s="221"/>
      <c r="Z78" s="41"/>
      <c r="AA78" s="41"/>
      <c r="AB78" s="41"/>
      <c r="AC78" s="41"/>
      <c r="AD78" s="41">
        <f>+AM78+BA78</f>
        <v>5</v>
      </c>
      <c r="AE78" s="243" t="s">
        <v>541</v>
      </c>
      <c r="AF78" s="37"/>
      <c r="AG78" s="37"/>
      <c r="AH78" s="37"/>
      <c r="AI78" s="458">
        <v>5</v>
      </c>
      <c r="AJ78" s="41"/>
      <c r="AK78" s="41"/>
      <c r="AL78" s="41"/>
      <c r="AM78" s="41">
        <f>SUM(AF78:AL78)+AT78+AV78+AX78</f>
        <v>5</v>
      </c>
      <c r="AN78" s="41"/>
      <c r="AO78" s="41"/>
      <c r="AP78" s="41"/>
      <c r="AQ78" s="41"/>
      <c r="AR78" s="41">
        <f>SUM(AN78:AQ78)</f>
        <v>0</v>
      </c>
      <c r="AS78" s="41"/>
      <c r="AT78" s="41"/>
      <c r="AU78" s="41"/>
      <c r="AV78" s="41"/>
      <c r="AW78" s="41"/>
      <c r="AX78" s="41"/>
      <c r="AY78" s="41"/>
      <c r="AZ78" s="41"/>
      <c r="BA78" s="41">
        <f>+AR78+AS78+AU78+AW78+AY78+AZ78</f>
        <v>0</v>
      </c>
      <c r="BB78" s="37"/>
      <c r="BC78" s="57"/>
      <c r="BD78" s="57"/>
      <c r="BE78" s="37"/>
      <c r="BF78" s="57"/>
    </row>
    <row r="79" spans="1:58" ht="12.95" customHeight="1">
      <c r="A79" s="44"/>
      <c r="B79" s="45"/>
      <c r="C79" s="449"/>
      <c r="D79" s="45"/>
      <c r="E79" s="46"/>
      <c r="F79" s="46"/>
      <c r="G79" s="47"/>
      <c r="H79" s="48"/>
      <c r="I79" s="49"/>
      <c r="J79" s="88"/>
      <c r="K79" s="88"/>
      <c r="L79" s="39"/>
      <c r="M79" s="39"/>
      <c r="N79" s="50"/>
      <c r="O79" s="51"/>
      <c r="P79" s="52"/>
      <c r="Q79" s="51"/>
      <c r="R79" s="419"/>
      <c r="S79" s="419"/>
      <c r="T79" s="41"/>
      <c r="U79" s="41"/>
      <c r="V79" s="41"/>
      <c r="W79" s="41"/>
      <c r="X79" s="42"/>
      <c r="Y79" s="221"/>
      <c r="Z79" s="41"/>
      <c r="AA79" s="41"/>
      <c r="AB79" s="41"/>
      <c r="AC79" s="41"/>
      <c r="AD79" s="41"/>
      <c r="AE79" s="240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37"/>
      <c r="BC79" s="55"/>
      <c r="BD79" s="55"/>
      <c r="BE79" s="55"/>
      <c r="BF79" s="55"/>
    </row>
    <row r="80" spans="1:58" ht="12.95" customHeight="1">
      <c r="A80" s="344">
        <v>45885</v>
      </c>
      <c r="B80" s="45" t="s">
        <v>231</v>
      </c>
      <c r="C80" s="449">
        <f>(M80*E80*O80*Q80)/100000000</f>
        <v>59.014738943999994</v>
      </c>
      <c r="D80" s="45" t="s">
        <v>566</v>
      </c>
      <c r="E80" s="46">
        <v>16</v>
      </c>
      <c r="F80" s="46">
        <v>1</v>
      </c>
      <c r="G80" s="462">
        <v>1260</v>
      </c>
      <c r="H80" s="48">
        <v>0</v>
      </c>
      <c r="I80" s="49">
        <v>0.88</v>
      </c>
      <c r="J80" s="88">
        <f>E80*G80*(1-H80)*1440/1000000*2.77</f>
        <v>80.414208000000002</v>
      </c>
      <c r="K80" s="88">
        <f>(IF(G80&lt;L80,L80,G80)*(1-IF(H80&lt;N80,H80,N80))*E80*O80*Q80)/100000000</f>
        <v>59.222016000000004</v>
      </c>
      <c r="L80" s="39">
        <v>1260</v>
      </c>
      <c r="M80" s="39">
        <f>+L80-L80*0.0035</f>
        <v>1255.5899999999999</v>
      </c>
      <c r="N80" s="50">
        <f>1-(M80/L80)</f>
        <v>3.5000000000000586E-3</v>
      </c>
      <c r="O80" s="51">
        <f>+'Trim Rwd'!H62</f>
        <v>272</v>
      </c>
      <c r="P80" s="52">
        <f>O80*(Q80-R80-S80)</f>
        <v>290768</v>
      </c>
      <c r="Q80" s="51">
        <v>1080</v>
      </c>
      <c r="R80" s="419">
        <v>0</v>
      </c>
      <c r="S80" s="419">
        <v>11</v>
      </c>
      <c r="T80" s="41">
        <f>E80*M80*O80*Q80/100000000</f>
        <v>59.014738943999994</v>
      </c>
      <c r="U80" s="41">
        <f>E80*M80*O80*(Q80-R80-S80)/100000000</f>
        <v>58.413662899199998</v>
      </c>
      <c r="V80" s="41">
        <f>E80*G80*(1-N80)*O80/100*(R80+S80)/1000000</f>
        <v>0.60107604479999999</v>
      </c>
      <c r="W80" s="41">
        <f>+'16'!K15/1000</f>
        <v>68.632000000000005</v>
      </c>
      <c r="X80" s="416">
        <f>SUM(W80:W83)/SUM(K80:K83)</f>
        <v>1.0021387472367864</v>
      </c>
      <c r="Y80" s="221">
        <v>0</v>
      </c>
      <c r="Z80" s="41">
        <v>0</v>
      </c>
      <c r="AA80" s="53">
        <f>SUM(U80:U83)-SUM(W80:W83)-SUM(Z80:Z83)-SUM(Y80:Y83)</f>
        <v>-1.3435761328000098</v>
      </c>
      <c r="AB80" s="53">
        <f>(SUM(K80:K83)-SUM(W80:W83)-SUM(Y80:Y83)-SUM(Z80:Z83)-SUM(AC80:AC83)-SUM(V80:V83))-AA80</f>
        <v>1.1519539999998329E-2</v>
      </c>
      <c r="AC80" s="41">
        <f>K80-T80</f>
        <v>0.20727705600000945</v>
      </c>
      <c r="AD80" s="41">
        <f>+AM80+BA80</f>
        <v>0</v>
      </c>
      <c r="AE80" s="240" t="s">
        <v>277</v>
      </c>
      <c r="AF80" s="41">
        <v>0</v>
      </c>
      <c r="AG80" s="41"/>
      <c r="AH80" s="41"/>
      <c r="AI80" s="458"/>
      <c r="AJ80" s="41"/>
      <c r="AK80" s="41"/>
      <c r="AL80" s="41"/>
      <c r="AM80" s="41">
        <f>SUM(AF80:AL80)+AT80+AV80+AX80</f>
        <v>0</v>
      </c>
      <c r="AN80" s="41"/>
      <c r="AO80" s="41"/>
      <c r="AP80" s="41"/>
      <c r="AQ80" s="41"/>
      <c r="AR80" s="41">
        <f>SUM(AN80:AQ80)</f>
        <v>0</v>
      </c>
      <c r="AS80" s="41"/>
      <c r="AT80" s="41"/>
      <c r="AU80" s="41"/>
      <c r="AV80" s="41"/>
      <c r="AW80" s="41"/>
      <c r="AX80" s="41"/>
      <c r="AY80" s="41"/>
      <c r="AZ80" s="41"/>
      <c r="BA80" s="41">
        <f>+AR80+AS80+AU80+AW80+AY80+AZ80</f>
        <v>0</v>
      </c>
      <c r="BB80" s="37">
        <v>0</v>
      </c>
      <c r="BC80" s="55"/>
      <c r="BD80" s="55"/>
      <c r="BE80" s="37"/>
      <c r="BF80" s="55"/>
    </row>
    <row r="81" spans="1:58" ht="12.95" customHeight="1">
      <c r="A81" s="344"/>
      <c r="B81" s="45" t="s">
        <v>231</v>
      </c>
      <c r="C81" s="449">
        <f>(M81*E81*O81*Q81)/100000000</f>
        <v>20.901053376</v>
      </c>
      <c r="D81" s="45" t="s">
        <v>566</v>
      </c>
      <c r="E81" s="46">
        <v>17</v>
      </c>
      <c r="F81" s="46">
        <v>1</v>
      </c>
      <c r="G81" s="462">
        <v>1210</v>
      </c>
      <c r="H81" s="48">
        <v>0</v>
      </c>
      <c r="I81" s="49">
        <v>0.88</v>
      </c>
      <c r="J81" s="88">
        <f>E81*G81*(1-H81)*1440/1000000*2.77</f>
        <v>82.049616</v>
      </c>
      <c r="K81" s="88">
        <f>(IF(G81&lt;L81,L81,G81)*(1-IF(H81&lt;N81,H81,N81))*E81*O81*Q81)/100000000</f>
        <v>20.974464000000001</v>
      </c>
      <c r="L81" s="39">
        <v>1260</v>
      </c>
      <c r="M81" s="39">
        <f>+L81-L81*0.0035</f>
        <v>1255.5899999999999</v>
      </c>
      <c r="N81" s="50">
        <f>1-(M81/L81)</f>
        <v>3.5000000000000586E-3</v>
      </c>
      <c r="O81" s="51">
        <f>+'Trim Rwd'!H63</f>
        <v>272</v>
      </c>
      <c r="P81" s="52">
        <f>O81*(Q81-R81-S81)</f>
        <v>96560</v>
      </c>
      <c r="Q81" s="51">
        <v>360</v>
      </c>
      <c r="R81" s="419">
        <v>0</v>
      </c>
      <c r="S81" s="419">
        <v>5</v>
      </c>
      <c r="T81" s="41">
        <f>E81*M81*O81*Q81/100000000</f>
        <v>20.901053376</v>
      </c>
      <c r="U81" s="41">
        <f>E81*M81*O81*(Q81-R81-S81)/100000000</f>
        <v>20.610760968000001</v>
      </c>
      <c r="V81" s="41">
        <f>E81*G81*(1-N81)*O81/100*(R81+S81)/1000000</f>
        <v>0.27877286799999995</v>
      </c>
      <c r="W81" s="41">
        <f>+'16'!K12/1000</f>
        <v>11.736000000000001</v>
      </c>
      <c r="X81" s="42"/>
      <c r="Y81" s="221"/>
      <c r="Z81" s="41"/>
      <c r="AA81" s="41"/>
      <c r="AB81" s="41"/>
      <c r="AC81" s="41">
        <f>K81-T81</f>
        <v>7.3410624000000979E-2</v>
      </c>
      <c r="AD81" s="41">
        <f>+AM81+BA81</f>
        <v>0</v>
      </c>
      <c r="AE81" s="240" t="s">
        <v>446</v>
      </c>
      <c r="AF81" s="41"/>
      <c r="AG81" s="41">
        <v>0</v>
      </c>
      <c r="AH81" s="41"/>
      <c r="AI81" s="458"/>
      <c r="AJ81" s="41"/>
      <c r="AK81" s="41"/>
      <c r="AL81" s="41"/>
      <c r="AM81" s="41">
        <f>SUM(AF81:AL81)+AT81+AV81+AX81</f>
        <v>0</v>
      </c>
      <c r="AN81" s="89"/>
      <c r="AO81" s="41"/>
      <c r="AP81" s="41"/>
      <c r="AQ81" s="41"/>
      <c r="AR81" s="41">
        <f>SUM(AN81:AQ81)</f>
        <v>0</v>
      </c>
      <c r="AS81" s="41"/>
      <c r="AT81" s="41"/>
      <c r="AU81" s="41"/>
      <c r="AV81" s="41"/>
      <c r="AW81" s="41"/>
      <c r="AX81" s="41"/>
      <c r="AY81" s="41"/>
      <c r="AZ81" s="41"/>
      <c r="BA81" s="41">
        <f>+AR81+AS81+AU81+AW81+AY81+AZ81</f>
        <v>0</v>
      </c>
      <c r="BB81" s="54"/>
      <c r="BC81" s="55">
        <v>0</v>
      </c>
      <c r="BD81" s="55"/>
      <c r="BE81" s="54"/>
      <c r="BF81" s="55"/>
    </row>
    <row r="82" spans="1:58" ht="12.95" customHeight="1">
      <c r="A82" s="44"/>
      <c r="B82" s="45"/>
      <c r="C82" s="449"/>
      <c r="D82" s="45"/>
      <c r="E82" s="46"/>
      <c r="F82" s="46"/>
      <c r="G82" s="462"/>
      <c r="H82" s="48"/>
      <c r="I82" s="49"/>
      <c r="J82" s="88"/>
      <c r="K82" s="88"/>
      <c r="L82" s="39"/>
      <c r="M82" s="39"/>
      <c r="N82" s="50"/>
      <c r="O82" s="51"/>
      <c r="P82" s="52"/>
      <c r="Q82" s="51"/>
      <c r="R82" s="419"/>
      <c r="S82" s="419"/>
      <c r="T82" s="41"/>
      <c r="U82" s="41"/>
      <c r="V82" s="41"/>
      <c r="W82" s="41"/>
      <c r="X82" s="42"/>
      <c r="Y82" s="221"/>
      <c r="Z82" s="41"/>
      <c r="AA82" s="41"/>
      <c r="AB82" s="41"/>
      <c r="AC82" s="41"/>
      <c r="AD82" s="41">
        <f>+AM82+BA82</f>
        <v>11</v>
      </c>
      <c r="AE82" s="240" t="s">
        <v>500</v>
      </c>
      <c r="AF82" s="37"/>
      <c r="AG82" s="37"/>
      <c r="AH82" s="37">
        <v>11</v>
      </c>
      <c r="AI82" s="458"/>
      <c r="AJ82" s="41"/>
      <c r="AK82" s="41"/>
      <c r="AL82" s="41"/>
      <c r="AM82" s="41">
        <f>SUM(AF82:AL82)+AT82+AV82+AX82</f>
        <v>11</v>
      </c>
      <c r="AN82" s="41"/>
      <c r="AO82" s="41"/>
      <c r="AP82" s="41"/>
      <c r="AQ82" s="41"/>
      <c r="AR82" s="41">
        <f>SUM(AN82:AQ82)</f>
        <v>0</v>
      </c>
      <c r="AS82" s="41"/>
      <c r="AT82" s="41"/>
      <c r="AU82" s="41"/>
      <c r="AV82" s="41"/>
      <c r="AW82" s="41"/>
      <c r="AX82" s="41"/>
      <c r="AY82" s="41"/>
      <c r="AZ82" s="41"/>
      <c r="BA82" s="41">
        <f>+AR82+AS82+AU82+AW82+AY82+AZ82</f>
        <v>0</v>
      </c>
      <c r="BB82" s="37"/>
      <c r="BC82" s="57"/>
      <c r="BD82" s="57"/>
      <c r="BE82" s="37"/>
      <c r="BF82" s="57"/>
    </row>
    <row r="83" spans="1:58" ht="12.95" customHeight="1">
      <c r="A83" s="44"/>
      <c r="B83" s="45"/>
      <c r="C83" s="449"/>
      <c r="D83" s="45"/>
      <c r="E83" s="46"/>
      <c r="F83" s="46"/>
      <c r="G83" s="462"/>
      <c r="H83" s="48"/>
      <c r="I83" s="49"/>
      <c r="J83" s="88"/>
      <c r="K83" s="88"/>
      <c r="L83" s="39"/>
      <c r="M83" s="39"/>
      <c r="N83" s="50"/>
      <c r="O83" s="51"/>
      <c r="P83" s="52"/>
      <c r="Q83" s="51"/>
      <c r="R83" s="419"/>
      <c r="S83" s="419"/>
      <c r="T83" s="41"/>
      <c r="U83" s="41"/>
      <c r="V83" s="41"/>
      <c r="W83" s="41"/>
      <c r="X83" s="42"/>
      <c r="Y83" s="221"/>
      <c r="Z83" s="41"/>
      <c r="AA83" s="41"/>
      <c r="AB83" s="41"/>
      <c r="AC83" s="41"/>
      <c r="AD83" s="41">
        <f>+AM83+BA83</f>
        <v>5</v>
      </c>
      <c r="AE83" s="240" t="s">
        <v>541</v>
      </c>
      <c r="AF83" s="41"/>
      <c r="AG83" s="41"/>
      <c r="AH83" s="41"/>
      <c r="AI83" s="41">
        <v>5</v>
      </c>
      <c r="AJ83" s="41"/>
      <c r="AK83" s="41"/>
      <c r="AL83" s="41"/>
      <c r="AM83" s="41">
        <f>SUM(AF83:AL83)+AT83+AV83+AX83</f>
        <v>5</v>
      </c>
      <c r="AN83" s="41"/>
      <c r="AO83" s="41"/>
      <c r="AP83" s="41"/>
      <c r="AQ83" s="41"/>
      <c r="AR83" s="41">
        <f>SUM(AN83:AQ83)</f>
        <v>0</v>
      </c>
      <c r="AS83" s="41"/>
      <c r="AT83" s="41"/>
      <c r="AU83" s="41"/>
      <c r="AV83" s="41"/>
      <c r="AW83" s="41"/>
      <c r="AX83" s="41"/>
      <c r="AY83" s="41"/>
      <c r="AZ83" s="41"/>
      <c r="BA83" s="41">
        <f>+AR83+AS83+AU83+AW83+AY83+AZ83</f>
        <v>0</v>
      </c>
      <c r="BB83" s="37"/>
      <c r="BC83" s="57"/>
      <c r="BD83" s="57"/>
      <c r="BE83" s="37"/>
      <c r="BF83" s="57"/>
    </row>
    <row r="84" spans="1:58" ht="12.95" customHeight="1">
      <c r="A84" s="344"/>
      <c r="B84" s="45"/>
      <c r="C84" s="449"/>
      <c r="D84" s="45"/>
      <c r="E84" s="46"/>
      <c r="F84" s="46"/>
      <c r="G84" s="462"/>
      <c r="H84" s="48"/>
      <c r="I84" s="49"/>
      <c r="J84" s="88"/>
      <c r="K84" s="88"/>
      <c r="L84" s="39"/>
      <c r="M84" s="39"/>
      <c r="N84" s="50"/>
      <c r="O84" s="51"/>
      <c r="P84" s="52"/>
      <c r="Q84" s="51"/>
      <c r="R84" s="419"/>
      <c r="S84" s="419"/>
      <c r="T84" s="41"/>
      <c r="U84" s="41"/>
      <c r="V84" s="41"/>
      <c r="W84" s="41"/>
      <c r="X84" s="416"/>
      <c r="Y84" s="221"/>
      <c r="Z84" s="41"/>
      <c r="AA84" s="53"/>
      <c r="AB84" s="53"/>
      <c r="AC84" s="41"/>
      <c r="AD84" s="41"/>
      <c r="AE84" s="240"/>
      <c r="AF84" s="41"/>
      <c r="AG84" s="41"/>
      <c r="AH84" s="41"/>
      <c r="AI84" s="458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37"/>
      <c r="BC84" s="55"/>
      <c r="BD84" s="55"/>
      <c r="BE84" s="37"/>
      <c r="BF84" s="55"/>
    </row>
    <row r="85" spans="1:58" ht="12.95" customHeight="1">
      <c r="A85" s="344">
        <v>45886</v>
      </c>
      <c r="B85" s="45" t="s">
        <v>231</v>
      </c>
      <c r="C85" s="449">
        <f>(M85*E85*O85*Q85)/100000000</f>
        <v>43.419541646699997</v>
      </c>
      <c r="D85" s="45" t="s">
        <v>616</v>
      </c>
      <c r="E85" s="46">
        <v>17</v>
      </c>
      <c r="F85" s="46">
        <v>1</v>
      </c>
      <c r="G85" s="462">
        <v>1210</v>
      </c>
      <c r="H85" s="48">
        <v>0</v>
      </c>
      <c r="I85" s="49">
        <v>0.88</v>
      </c>
      <c r="J85" s="88">
        <f>E85*G85*(1-H85)*1440/1000000*2.77</f>
        <v>82.049616</v>
      </c>
      <c r="K85" s="88">
        <f>(IF(G85&lt;L85,L85,G85)*(1-IF(H85&lt;N85,H85,N85))*E85*O85*Q85)/100000000</f>
        <v>43.57204380000001</v>
      </c>
      <c r="L85" s="39">
        <v>1260</v>
      </c>
      <c r="M85" s="39">
        <v>1255.5899999999999</v>
      </c>
      <c r="N85" s="50">
        <f>1-(M85/L85)</f>
        <v>3.5000000000000586E-3</v>
      </c>
      <c r="O85" s="51">
        <f>+'Trim Rwd'!H65</f>
        <v>270.14285714285717</v>
      </c>
      <c r="P85" s="52">
        <f>O85*(Q85-R85-S85)</f>
        <v>196664.00000000003</v>
      </c>
      <c r="Q85" s="51">
        <v>753</v>
      </c>
      <c r="R85" s="419">
        <v>0</v>
      </c>
      <c r="S85" s="419">
        <v>25</v>
      </c>
      <c r="T85" s="41">
        <f>E85*M85*O85*Q85/100000000</f>
        <v>43.419541646699997</v>
      </c>
      <c r="U85" s="41">
        <f>E85*M85*O85*(Q85-R85-S85)/100000000</f>
        <v>41.977989799200003</v>
      </c>
      <c r="V85" s="41">
        <f>E85*G85*(1-N85)*O85/100*(R85+S85)/1000000</f>
        <v>1.3843474091071428</v>
      </c>
      <c r="W85" s="41">
        <f>+('17'!K9+'17'!K12)/1000</f>
        <v>47.981000000000002</v>
      </c>
      <c r="X85" s="416">
        <f>SUM(W85:W88)/SUM(K85:K88)</f>
        <v>0.99953816659635464</v>
      </c>
      <c r="Y85" s="221">
        <v>0</v>
      </c>
      <c r="Z85" s="41">
        <v>0</v>
      </c>
      <c r="AA85" s="53">
        <f>SUM(U85:U88)-SUM(W85:W88)-SUM(Z85:Z88)-SUM(Y85:Y88)</f>
        <v>-3.3961548999999991</v>
      </c>
      <c r="AB85" s="53">
        <f>(SUM(K85:K88)-SUM(W85:W88)-SUM(Y85:Y88)-SUM(Z85:Z88)-SUM(AC85:AC88)-SUM(V85:V88))-AA85</f>
        <v>2.8436538392857535E-2</v>
      </c>
      <c r="AC85" s="41">
        <f>K85-T85</f>
        <v>0.15250215330001282</v>
      </c>
      <c r="AD85" s="41">
        <f>+AM85+BA85</f>
        <v>0</v>
      </c>
      <c r="AE85" s="240" t="s">
        <v>277</v>
      </c>
      <c r="AF85" s="41">
        <v>0</v>
      </c>
      <c r="AG85" s="41"/>
      <c r="AH85" s="41"/>
      <c r="AI85" s="458"/>
      <c r="AJ85" s="41"/>
      <c r="AK85" s="41"/>
      <c r="AL85" s="41"/>
      <c r="AM85" s="41">
        <f>SUM(AF85:AL85)+AT85+AV85+AX85</f>
        <v>0</v>
      </c>
      <c r="AN85" s="41"/>
      <c r="AO85" s="41"/>
      <c r="AP85" s="41"/>
      <c r="AQ85" s="41"/>
      <c r="AR85" s="41">
        <f>SUM(AN85:AQ85)</f>
        <v>0</v>
      </c>
      <c r="AS85" s="41"/>
      <c r="AT85" s="41"/>
      <c r="AU85" s="41"/>
      <c r="AV85" s="41"/>
      <c r="AW85" s="41"/>
      <c r="AX85" s="41"/>
      <c r="AY85" s="41"/>
      <c r="AZ85" s="41"/>
      <c r="BA85" s="41">
        <f>+AR85+AS85+AU85+AW85+AY85+AZ85</f>
        <v>0</v>
      </c>
      <c r="BB85" s="37">
        <v>0</v>
      </c>
      <c r="BC85" s="55"/>
      <c r="BD85" s="55"/>
      <c r="BE85" s="37"/>
      <c r="BF85" s="55"/>
    </row>
    <row r="86" spans="1:58" ht="12.95" customHeight="1">
      <c r="A86" s="344"/>
      <c r="B86" s="45" t="s">
        <v>231</v>
      </c>
      <c r="C86" s="449">
        <f>(M86*E86*O86*Q86)/100000000</f>
        <v>8.1559610747999987</v>
      </c>
      <c r="D86" s="45" t="s">
        <v>566</v>
      </c>
      <c r="E86" s="46">
        <v>16.5</v>
      </c>
      <c r="F86" s="46">
        <v>1</v>
      </c>
      <c r="G86" s="462">
        <v>1260</v>
      </c>
      <c r="H86" s="48">
        <v>0</v>
      </c>
      <c r="I86" s="49">
        <v>0.88</v>
      </c>
      <c r="J86" s="88">
        <f>E86*G86*(1-H86)*1440/1000000*2.77</f>
        <v>82.927152000000007</v>
      </c>
      <c r="K86" s="88">
        <f>(IF(G86&lt;L86,L86,G86)*(1-IF(H86&lt;N86,H86,N86))*E86*O86*Q86)/100000000</f>
        <v>8.1846072000000003</v>
      </c>
      <c r="L86" s="39">
        <v>1260</v>
      </c>
      <c r="M86" s="39">
        <v>1255.5899999999999</v>
      </c>
      <c r="N86" s="50">
        <f>1-(M86/L86)</f>
        <v>3.5000000000000586E-3</v>
      </c>
      <c r="O86" s="51">
        <f>+'Trim Rwd'!H68</f>
        <v>266</v>
      </c>
      <c r="P86" s="52">
        <f>O86*(Q86-R86-S86)</f>
        <v>38304</v>
      </c>
      <c r="Q86" s="51">
        <v>148</v>
      </c>
      <c r="R86" s="419">
        <v>0</v>
      </c>
      <c r="S86" s="419">
        <v>4</v>
      </c>
      <c r="T86" s="41">
        <f>E86*M86*O86*Q86/100000000</f>
        <v>8.1559610747999987</v>
      </c>
      <c r="U86" s="41">
        <f>E86*M86*O86*(Q86-R86-S86)/100000000</f>
        <v>7.9355296943999978</v>
      </c>
      <c r="V86" s="41">
        <f>E86*G86*(1-N86)*O86/100*(R86+S86)/1000000</f>
        <v>0.22043138039999999</v>
      </c>
      <c r="W86" s="41">
        <f>+'17'!K16/1000</f>
        <v>11.811999999999999</v>
      </c>
      <c r="X86" s="416"/>
      <c r="Y86" s="221"/>
      <c r="Z86" s="41"/>
      <c r="AA86" s="53"/>
      <c r="AB86" s="53"/>
      <c r="AC86" s="41">
        <f>K86-T86</f>
        <v>2.8646125200001649E-2</v>
      </c>
      <c r="AD86" s="41">
        <f>+AM86+BA86</f>
        <v>8</v>
      </c>
      <c r="AE86" s="240" t="s">
        <v>491</v>
      </c>
      <c r="AF86" s="41"/>
      <c r="AG86" s="41">
        <v>8</v>
      </c>
      <c r="AH86" s="41"/>
      <c r="AI86" s="458"/>
      <c r="AJ86" s="41"/>
      <c r="AK86" s="41"/>
      <c r="AL86" s="41"/>
      <c r="AM86" s="41">
        <f>SUM(AF86:AL86)+AT86+AV86+AX86</f>
        <v>8</v>
      </c>
      <c r="AN86" s="89"/>
      <c r="AO86" s="41"/>
      <c r="AP86" s="41"/>
      <c r="AQ86" s="41"/>
      <c r="AR86" s="41">
        <f>SUM(AN86:AQ86)</f>
        <v>0</v>
      </c>
      <c r="AS86" s="41"/>
      <c r="AT86" s="41"/>
      <c r="AU86" s="41"/>
      <c r="AV86" s="41"/>
      <c r="AW86" s="41"/>
      <c r="AX86" s="41"/>
      <c r="AY86" s="41"/>
      <c r="AZ86" s="41"/>
      <c r="BA86" s="41">
        <f>+AR86+AS86+AU86+AW86+AY86+AZ86</f>
        <v>0</v>
      </c>
      <c r="BB86" s="54"/>
      <c r="BC86" s="55">
        <v>8</v>
      </c>
      <c r="BD86" s="55"/>
      <c r="BE86" s="54"/>
      <c r="BF86" s="55"/>
    </row>
    <row r="87" spans="1:58" ht="12.95" customHeight="1">
      <c r="A87" s="44"/>
      <c r="B87" s="45" t="s">
        <v>7</v>
      </c>
      <c r="C87" s="449">
        <f>(M87*E87*O87*Q87)/100000000</f>
        <v>20.8399270464</v>
      </c>
      <c r="D87" s="45" t="s">
        <v>407</v>
      </c>
      <c r="E87" s="46">
        <v>10.3</v>
      </c>
      <c r="F87" s="46">
        <v>1</v>
      </c>
      <c r="G87" s="462">
        <v>1730</v>
      </c>
      <c r="H87" s="48">
        <v>0.16</v>
      </c>
      <c r="I87" s="49">
        <v>0.88</v>
      </c>
      <c r="J87" s="88">
        <f>E87*G87*(1-H87)*1440/1000000*2.77</f>
        <v>59.704198847999997</v>
      </c>
      <c r="K87" s="88">
        <f>(IF(G87&lt;L87,L87,G87)*(1-IF(H87&lt;N87,H87,N87))*E87*O87*Q87)/100000000</f>
        <v>21.460162970400003</v>
      </c>
      <c r="L87" s="39">
        <v>1680</v>
      </c>
      <c r="M87" s="39">
        <v>1411.2</v>
      </c>
      <c r="N87" s="50">
        <f>1-(M87/L87)</f>
        <v>0.15999999999999992</v>
      </c>
      <c r="O87" s="51">
        <f>+'Trim Rwd'!H69</f>
        <v>266</v>
      </c>
      <c r="P87" s="52">
        <f>O87*(Q87-R87-S87)</f>
        <v>136724</v>
      </c>
      <c r="Q87" s="51">
        <v>539</v>
      </c>
      <c r="R87" s="419">
        <v>0</v>
      </c>
      <c r="S87" s="419">
        <v>25</v>
      </c>
      <c r="T87" s="41">
        <f>E87*M87*O87*Q87/100000000</f>
        <v>20.8399270464</v>
      </c>
      <c r="U87" s="41">
        <f>E87*M87*O87*(Q87-R87-S87)/100000000</f>
        <v>19.873325606400002</v>
      </c>
      <c r="V87" s="41">
        <f>E87*G87*(1-N87)*O87/100*(R87+S87)/1000000</f>
        <v>0.99536933999999999</v>
      </c>
      <c r="W87" s="41">
        <f>+'17'!K17/1000</f>
        <v>13.39</v>
      </c>
      <c r="X87" s="42"/>
      <c r="Y87" s="221"/>
      <c r="Z87" s="41"/>
      <c r="AA87" s="41"/>
      <c r="AB87" s="41"/>
      <c r="AC87" s="41">
        <f>K87-T87</f>
        <v>0.62023592400000283</v>
      </c>
      <c r="AD87" s="41">
        <f>+AM87+BA87</f>
        <v>18</v>
      </c>
      <c r="AE87" s="240" t="s">
        <v>617</v>
      </c>
      <c r="AF87" s="37"/>
      <c r="AG87" s="37"/>
      <c r="AH87" s="37">
        <v>18</v>
      </c>
      <c r="AI87" s="458"/>
      <c r="AJ87" s="41"/>
      <c r="AK87" s="41"/>
      <c r="AL87" s="41"/>
      <c r="AM87" s="41">
        <f>SUM(AF87:AL87)+AT87+AV87+AX87</f>
        <v>18</v>
      </c>
      <c r="AN87" s="41"/>
      <c r="AO87" s="41"/>
      <c r="AP87" s="41"/>
      <c r="AQ87" s="41"/>
      <c r="AR87" s="41">
        <f>SUM(AN87:AQ87)</f>
        <v>0</v>
      </c>
      <c r="AS87" s="41"/>
      <c r="AT87" s="41"/>
      <c r="AU87" s="41"/>
      <c r="AV87" s="41"/>
      <c r="AW87" s="41"/>
      <c r="AX87" s="41"/>
      <c r="AY87" s="41"/>
      <c r="AZ87" s="41"/>
      <c r="BA87" s="41">
        <f>+AR87+AS87+AU87+AW87+AY87+AZ87</f>
        <v>0</v>
      </c>
      <c r="BB87" s="37"/>
      <c r="BC87" s="57"/>
      <c r="BD87" s="57"/>
      <c r="BE87" s="37"/>
      <c r="BF87" s="57"/>
    </row>
    <row r="88" spans="1:58" ht="12.95" customHeight="1">
      <c r="A88" s="44"/>
      <c r="B88" s="45"/>
      <c r="C88" s="449"/>
      <c r="D88" s="45"/>
      <c r="E88" s="46"/>
      <c r="F88" s="46"/>
      <c r="G88" s="462"/>
      <c r="H88" s="48"/>
      <c r="I88" s="49"/>
      <c r="J88" s="88"/>
      <c r="K88" s="88"/>
      <c r="L88" s="39"/>
      <c r="M88" s="39"/>
      <c r="N88" s="50"/>
      <c r="O88" s="51"/>
      <c r="P88" s="52"/>
      <c r="Q88" s="51"/>
      <c r="R88" s="419"/>
      <c r="S88" s="419"/>
      <c r="T88" s="41"/>
      <c r="U88" s="41"/>
      <c r="V88" s="41"/>
      <c r="W88" s="41"/>
      <c r="X88" s="42"/>
      <c r="Y88" s="221"/>
      <c r="Z88" s="41"/>
      <c r="AA88" s="41"/>
      <c r="AB88" s="41"/>
      <c r="AC88" s="41"/>
      <c r="AD88" s="41">
        <f>+AM88+BA88</f>
        <v>28</v>
      </c>
      <c r="AE88" s="240" t="s">
        <v>541</v>
      </c>
      <c r="AF88" s="41"/>
      <c r="AG88" s="41"/>
      <c r="AH88" s="41"/>
      <c r="AI88" s="41">
        <v>28</v>
      </c>
      <c r="AJ88" s="41"/>
      <c r="AK88" s="41"/>
      <c r="AL88" s="41"/>
      <c r="AM88" s="41">
        <f>SUM(AF88:AL88)+AT88+AV88+AX88</f>
        <v>28</v>
      </c>
      <c r="AN88" s="41"/>
      <c r="AO88" s="41"/>
      <c r="AP88" s="41"/>
      <c r="AQ88" s="41"/>
      <c r="AR88" s="41">
        <f>SUM(AN88:AQ88)</f>
        <v>0</v>
      </c>
      <c r="AS88" s="41"/>
      <c r="AT88" s="41"/>
      <c r="AU88" s="41"/>
      <c r="AV88" s="41"/>
      <c r="AW88" s="41"/>
      <c r="AX88" s="41"/>
      <c r="AY88" s="41"/>
      <c r="AZ88" s="41"/>
      <c r="BA88" s="41">
        <f>+AR88+AS88+AU88+AW88+AY88+AZ88</f>
        <v>0</v>
      </c>
      <c r="BB88" s="37"/>
      <c r="BC88" s="57"/>
      <c r="BD88" s="57"/>
      <c r="BE88" s="37"/>
      <c r="BF88" s="57"/>
    </row>
    <row r="89" spans="1:58" ht="12.95" customHeight="1">
      <c r="A89" s="44"/>
      <c r="B89" s="45"/>
      <c r="C89" s="449"/>
      <c r="D89" s="45"/>
      <c r="E89" s="46"/>
      <c r="F89" s="46"/>
      <c r="G89" s="462"/>
      <c r="H89" s="48"/>
      <c r="I89" s="49"/>
      <c r="J89" s="88"/>
      <c r="K89" s="88"/>
      <c r="L89" s="39"/>
      <c r="M89" s="39"/>
      <c r="N89" s="50"/>
      <c r="O89" s="51"/>
      <c r="P89" s="52"/>
      <c r="Q89" s="51"/>
      <c r="R89" s="419"/>
      <c r="S89" s="419"/>
      <c r="T89" s="41"/>
      <c r="U89" s="41"/>
      <c r="V89" s="41"/>
      <c r="W89" s="41"/>
      <c r="X89" s="42"/>
      <c r="Y89" s="221"/>
      <c r="Z89" s="41"/>
      <c r="AA89" s="41"/>
      <c r="AB89" s="41"/>
      <c r="AC89" s="41"/>
      <c r="AD89" s="41"/>
      <c r="AE89" s="243"/>
      <c r="AF89" s="41"/>
      <c r="AG89" s="41"/>
      <c r="AH89" s="41"/>
      <c r="AI89" s="41"/>
      <c r="AJ89" s="41"/>
      <c r="AK89" s="41"/>
      <c r="AL89" s="41"/>
      <c r="AM89" s="41"/>
      <c r="AN89" s="58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37"/>
      <c r="BC89" s="55"/>
      <c r="BD89" s="55"/>
      <c r="BE89" s="55"/>
      <c r="BF89" s="55"/>
    </row>
    <row r="90" spans="1:58" ht="12.75" customHeight="1">
      <c r="A90" s="344">
        <v>45887</v>
      </c>
      <c r="B90" s="45" t="s">
        <v>7</v>
      </c>
      <c r="C90" s="449">
        <f>(M90*E90*O90*Q90)/100000000</f>
        <v>57.222805248000014</v>
      </c>
      <c r="D90" s="45" t="s">
        <v>407</v>
      </c>
      <c r="E90" s="46">
        <v>10.3</v>
      </c>
      <c r="F90" s="46">
        <v>1</v>
      </c>
      <c r="G90" s="462">
        <v>1730</v>
      </c>
      <c r="H90" s="48">
        <v>0.16</v>
      </c>
      <c r="I90" s="49">
        <v>0.88</v>
      </c>
      <c r="J90" s="88">
        <f>E90*G90*(1-H90)*1440/1000000*2.77</f>
        <v>59.704198847999997</v>
      </c>
      <c r="K90" s="88">
        <f>(IF(G90&lt;L90,L90,G90)*(1-IF(H90&lt;N90,H90,N90))*E90*O90*Q90)/100000000</f>
        <v>57.333273984000009</v>
      </c>
      <c r="L90" s="39">
        <v>1726.6666666666667</v>
      </c>
      <c r="M90" s="39">
        <v>1450.4</v>
      </c>
      <c r="N90" s="50">
        <f>1-(M90/L90)</f>
        <v>0.16000000000000003</v>
      </c>
      <c r="O90" s="51">
        <f>+'Trim Rwd'!H72</f>
        <v>266</v>
      </c>
      <c r="P90" s="52">
        <f>O90*(Q90-R90-S90)</f>
        <v>363888</v>
      </c>
      <c r="Q90" s="51">
        <v>1440</v>
      </c>
      <c r="R90" s="419">
        <v>0</v>
      </c>
      <c r="S90" s="419">
        <v>72</v>
      </c>
      <c r="T90" s="41">
        <f>E90*M90*O90*Q90/100000000</f>
        <v>57.222805248000014</v>
      </c>
      <c r="U90" s="41">
        <f>E90*M90*O90*(Q90-R90-S90)/100000000</f>
        <v>54.361664985600015</v>
      </c>
      <c r="V90" s="41">
        <f>E90*G90*(1-N90)*O90/100*(R90+S90)/1000000</f>
        <v>2.8666636992000001</v>
      </c>
      <c r="W90" s="41">
        <f>+'18'!K34/1000</f>
        <v>56.569000000000003</v>
      </c>
      <c r="X90" s="416">
        <f>SUM(W90:W93)/SUM(K90:K93)</f>
        <v>0.9866696260148462</v>
      </c>
      <c r="Y90" s="221">
        <v>0</v>
      </c>
      <c r="Z90" s="41">
        <v>0</v>
      </c>
      <c r="AA90" s="53">
        <f>SUM(U90:U93)-SUM(W90:W93)-SUM(Z90:Z93)-SUM(Y90:Y93)</f>
        <v>-2.2073350143999875</v>
      </c>
      <c r="AB90" s="53">
        <f>(SUM(K90:K93)-SUM(W90:W93)-SUM(Y90:Y93)-SUM(Z90:Z93)-SUM(AC90:AC93)-SUM(V90:V93))-AA90</f>
        <v>-5.5234368000007805E-3</v>
      </c>
      <c r="AC90" s="41">
        <f>K90-T90</f>
        <v>0.11046873599999429</v>
      </c>
      <c r="AD90" s="41">
        <f>+AM90+BA90</f>
        <v>20</v>
      </c>
      <c r="AE90" s="240" t="s">
        <v>447</v>
      </c>
      <c r="AF90" s="41">
        <v>20</v>
      </c>
      <c r="AG90" s="41"/>
      <c r="AH90" s="41"/>
      <c r="AI90" s="458"/>
      <c r="AJ90" s="41"/>
      <c r="AK90" s="41"/>
      <c r="AL90" s="41"/>
      <c r="AM90" s="41">
        <f>SUM(AF90:AL90)+AT90+AV90+AX90</f>
        <v>20</v>
      </c>
      <c r="AN90" s="41"/>
      <c r="AO90" s="41"/>
      <c r="AP90" s="41"/>
      <c r="AQ90" s="41"/>
      <c r="AR90" s="41">
        <f>SUM(AN90:AQ90)</f>
        <v>0</v>
      </c>
      <c r="AS90" s="41"/>
      <c r="AT90" s="41"/>
      <c r="AU90" s="41"/>
      <c r="AV90" s="41"/>
      <c r="AW90" s="41"/>
      <c r="AX90" s="41"/>
      <c r="AY90" s="41"/>
      <c r="AZ90" s="41"/>
      <c r="BA90" s="41">
        <f>+AR90+AS90+AU90+AW90+AY90+AZ90</f>
        <v>0</v>
      </c>
      <c r="BB90" s="37">
        <v>4</v>
      </c>
      <c r="BC90" s="55"/>
      <c r="BD90" s="55"/>
      <c r="BE90" s="37"/>
      <c r="BF90" s="55"/>
    </row>
    <row r="91" spans="1:58" ht="12.95" customHeight="1">
      <c r="A91" s="344"/>
      <c r="B91" s="45"/>
      <c r="C91" s="449"/>
      <c r="D91" s="45"/>
      <c r="E91" s="46"/>
      <c r="F91" s="46"/>
      <c r="G91" s="462"/>
      <c r="H91" s="48"/>
      <c r="I91" s="49"/>
      <c r="J91" s="88"/>
      <c r="K91" s="88"/>
      <c r="L91" s="39"/>
      <c r="M91" s="39"/>
      <c r="N91" s="50"/>
      <c r="O91" s="51"/>
      <c r="P91" s="52"/>
      <c r="Q91" s="51"/>
      <c r="R91" s="419"/>
      <c r="S91" s="419"/>
      <c r="T91" s="41"/>
      <c r="U91" s="41"/>
      <c r="V91" s="41"/>
      <c r="W91" s="41"/>
      <c r="X91" s="416"/>
      <c r="Y91" s="221"/>
      <c r="Z91" s="41"/>
      <c r="AA91" s="53"/>
      <c r="AB91" s="53"/>
      <c r="AC91" s="41"/>
      <c r="AD91" s="41">
        <f>+AM91+BA91</f>
        <v>23</v>
      </c>
      <c r="AE91" s="240" t="s">
        <v>684</v>
      </c>
      <c r="AF91" s="41"/>
      <c r="AG91" s="41">
        <v>23</v>
      </c>
      <c r="AH91" s="41"/>
      <c r="AI91" s="458"/>
      <c r="AJ91" s="41"/>
      <c r="AK91" s="41"/>
      <c r="AL91" s="41"/>
      <c r="AM91" s="41">
        <f>SUM(AF91:AL91)+AT91+AV91+AX91</f>
        <v>23</v>
      </c>
      <c r="AN91" s="89"/>
      <c r="AO91" s="41"/>
      <c r="AP91" s="41"/>
      <c r="AQ91" s="41"/>
      <c r="AR91" s="41">
        <f>SUM(AN91:AQ91)</f>
        <v>0</v>
      </c>
      <c r="AS91" s="41"/>
      <c r="AT91" s="41"/>
      <c r="AU91" s="41"/>
      <c r="AV91" s="41"/>
      <c r="AW91" s="41"/>
      <c r="AX91" s="41"/>
      <c r="AY91" s="41"/>
      <c r="AZ91" s="41"/>
      <c r="BA91" s="41">
        <f>+AR91+AS91+AU91+AW91+AY91+AZ91</f>
        <v>0</v>
      </c>
      <c r="BB91" s="54"/>
      <c r="BC91" s="55">
        <v>19</v>
      </c>
      <c r="BD91" s="55"/>
      <c r="BE91" s="54"/>
      <c r="BF91" s="55"/>
    </row>
    <row r="92" spans="1:58" ht="12.95" customHeight="1">
      <c r="A92" s="44"/>
      <c r="B92" s="45"/>
      <c r="C92" s="449"/>
      <c r="D92" s="45"/>
      <c r="E92" s="46"/>
      <c r="F92" s="46"/>
      <c r="G92" s="462"/>
      <c r="H92" s="48"/>
      <c r="I92" s="49"/>
      <c r="J92" s="88"/>
      <c r="K92" s="88"/>
      <c r="L92" s="39"/>
      <c r="M92" s="39"/>
      <c r="N92" s="50"/>
      <c r="O92" s="51"/>
      <c r="P92" s="52"/>
      <c r="Q92" s="51"/>
      <c r="R92" s="419"/>
      <c r="S92" s="419"/>
      <c r="T92" s="41"/>
      <c r="U92" s="41"/>
      <c r="V92" s="41"/>
      <c r="W92" s="41"/>
      <c r="X92" s="42"/>
      <c r="Y92" s="221"/>
      <c r="Z92" s="41"/>
      <c r="AA92" s="41"/>
      <c r="AB92" s="41"/>
      <c r="AC92" s="41"/>
      <c r="AD92" s="41">
        <f>+AM92+BA92</f>
        <v>29</v>
      </c>
      <c r="AE92" s="240" t="s">
        <v>685</v>
      </c>
      <c r="AF92" s="37"/>
      <c r="AG92" s="37"/>
      <c r="AH92" s="37">
        <v>29</v>
      </c>
      <c r="AI92" s="458"/>
      <c r="AJ92" s="41"/>
      <c r="AK92" s="41"/>
      <c r="AL92" s="41"/>
      <c r="AM92" s="41">
        <f>SUM(AF92:AL92)+AT92+AV92+AX92</f>
        <v>29</v>
      </c>
      <c r="AN92" s="41"/>
      <c r="AO92" s="41"/>
      <c r="AP92" s="41"/>
      <c r="AQ92" s="41"/>
      <c r="AR92" s="41">
        <f>SUM(AN92:AQ92)</f>
        <v>0</v>
      </c>
      <c r="AS92" s="41"/>
      <c r="AT92" s="41"/>
      <c r="AU92" s="41"/>
      <c r="AV92" s="41"/>
      <c r="AW92" s="41"/>
      <c r="AX92" s="41"/>
      <c r="AY92" s="41"/>
      <c r="AZ92" s="41"/>
      <c r="BA92" s="41">
        <f>+AR92+AS92+AU92+AW92+AY92+AZ92</f>
        <v>0</v>
      </c>
      <c r="BB92" s="37"/>
      <c r="BC92" s="57"/>
      <c r="BD92" s="57"/>
      <c r="BE92" s="37"/>
      <c r="BF92" s="57"/>
    </row>
    <row r="93" spans="1:58" ht="12.95" customHeight="1">
      <c r="A93" s="44"/>
      <c r="B93" s="45"/>
      <c r="C93" s="449"/>
      <c r="D93" s="45"/>
      <c r="E93" s="46"/>
      <c r="F93" s="46"/>
      <c r="G93" s="462"/>
      <c r="H93" s="48"/>
      <c r="I93" s="49"/>
      <c r="J93" s="88"/>
      <c r="K93" s="88"/>
      <c r="L93" s="39"/>
      <c r="M93" s="39"/>
      <c r="N93" s="50"/>
      <c r="O93" s="51"/>
      <c r="P93" s="52"/>
      <c r="Q93" s="51"/>
      <c r="R93" s="419"/>
      <c r="S93" s="419"/>
      <c r="T93" s="41"/>
      <c r="U93" s="41"/>
      <c r="V93" s="41"/>
      <c r="W93" s="41"/>
      <c r="X93" s="42"/>
      <c r="Y93" s="221"/>
      <c r="Z93" s="41"/>
      <c r="AA93" s="41"/>
      <c r="AB93" s="41"/>
      <c r="AC93" s="41"/>
      <c r="AD93" s="41"/>
      <c r="AE93" s="240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37"/>
      <c r="BC93" s="57"/>
      <c r="BD93" s="57"/>
      <c r="BE93" s="37"/>
      <c r="BF93" s="57"/>
    </row>
    <row r="94" spans="1:58" ht="12.75" customHeight="1">
      <c r="A94" s="344">
        <v>45888</v>
      </c>
      <c r="B94" s="45" t="s">
        <v>7</v>
      </c>
      <c r="C94" s="449">
        <f>(M94*E94*O94*Q94)/100000000</f>
        <v>57.168327064800003</v>
      </c>
      <c r="D94" s="45" t="s">
        <v>407</v>
      </c>
      <c r="E94" s="46">
        <v>10.3</v>
      </c>
      <c r="F94" s="46">
        <v>1</v>
      </c>
      <c r="G94" s="462">
        <v>1730</v>
      </c>
      <c r="H94" s="609">
        <f>+N94</f>
        <v>0.16241666666666665</v>
      </c>
      <c r="I94" s="49">
        <v>0.88</v>
      </c>
      <c r="J94" s="88">
        <f>E94*G94*(1-H94)*1440/1000000*2.77</f>
        <v>59.532430815600001</v>
      </c>
      <c r="K94" s="88">
        <f>(IF(G94&lt;L94,L94,G94)*(1-IF(H94&lt;N94,H94,N94))*E94*O94*Q94)/100000000</f>
        <v>57.168327064800003</v>
      </c>
      <c r="L94" s="39">
        <v>1730</v>
      </c>
      <c r="M94" s="39">
        <v>1449.0191666666667</v>
      </c>
      <c r="N94" s="50">
        <f>1-(M94/L94)</f>
        <v>0.16241666666666665</v>
      </c>
      <c r="O94" s="51">
        <f>+'Trim Rwd'!H74</f>
        <v>266</v>
      </c>
      <c r="P94" s="52">
        <f>O94*(Q94-R94-S94)</f>
        <v>362824</v>
      </c>
      <c r="Q94" s="51">
        <v>1440</v>
      </c>
      <c r="R94" s="419">
        <v>0</v>
      </c>
      <c r="S94" s="419">
        <f>20+26+30</f>
        <v>76</v>
      </c>
      <c r="T94" s="41">
        <f>E94*M94*O94*Q94/100000000</f>
        <v>57.168327064800003</v>
      </c>
      <c r="U94" s="41">
        <f>E94*M94*O94*(Q94-R94-S94)/100000000</f>
        <v>54.151109803046673</v>
      </c>
      <c r="V94" s="41">
        <f>E94*G94*(1-N94)*O94/100*(R94+S94)/1000000</f>
        <v>3.0172172617533333</v>
      </c>
      <c r="W94" s="41">
        <f>+'19'!K34/1000</f>
        <v>55.167999999999999</v>
      </c>
      <c r="X94" s="416">
        <f>SUM(W94:W97)/SUM(K94:K97)</f>
        <v>0.96500987229287571</v>
      </c>
      <c r="Y94" s="221">
        <v>0</v>
      </c>
      <c r="Z94" s="41">
        <f>+'19'!D34/1000</f>
        <v>1.36</v>
      </c>
      <c r="AA94" s="53">
        <f>SUM(U94:U97)-SUM(W94:W97)-SUM(Z94:Z97)-SUM(Y94:Y97)</f>
        <v>-2.3768901969533269</v>
      </c>
      <c r="AB94" s="53">
        <f>(SUM(K94:K97)-SUM(W94:W97)-SUM(Y94:Y97)-SUM(Z94:Z97)-SUM(AC94:AC97)-SUM(V94:V97))-AA94</f>
        <v>0</v>
      </c>
      <c r="AC94" s="41">
        <f>K94-T94</f>
        <v>0</v>
      </c>
      <c r="AD94" s="41">
        <f>+AM94+BA94</f>
        <v>20</v>
      </c>
      <c r="AE94" s="240" t="s">
        <v>447</v>
      </c>
      <c r="AF94" s="41">
        <v>20</v>
      </c>
      <c r="AG94" s="41"/>
      <c r="AH94" s="41"/>
      <c r="AI94" s="458"/>
      <c r="AJ94" s="41"/>
      <c r="AK94" s="41"/>
      <c r="AL94" s="41"/>
      <c r="AM94" s="41">
        <f>SUM(AF94:AL94)+AT94+AV94+AX94</f>
        <v>20</v>
      </c>
      <c r="AN94" s="41"/>
      <c r="AO94" s="41"/>
      <c r="AP94" s="41"/>
      <c r="AQ94" s="41"/>
      <c r="AR94" s="41">
        <f>SUM(AN94:AQ94)</f>
        <v>0</v>
      </c>
      <c r="AS94" s="41"/>
      <c r="AT94" s="41"/>
      <c r="AU94" s="41"/>
      <c r="AV94" s="41"/>
      <c r="AW94" s="41"/>
      <c r="AX94" s="41"/>
      <c r="AY94" s="41"/>
      <c r="AZ94" s="41"/>
      <c r="BA94" s="41">
        <f>+AR94+AS94+AU94+AW94+AY94+AZ94</f>
        <v>0</v>
      </c>
      <c r="BB94" s="37">
        <v>4</v>
      </c>
      <c r="BC94" s="55"/>
      <c r="BD94" s="55"/>
      <c r="BE94" s="37"/>
      <c r="BF94" s="55"/>
    </row>
    <row r="95" spans="1:58" ht="12.95" customHeight="1">
      <c r="A95" s="344"/>
      <c r="B95" s="45"/>
      <c r="C95" s="449"/>
      <c r="D95" s="45"/>
      <c r="E95" s="46"/>
      <c r="F95" s="46"/>
      <c r="G95" s="462"/>
      <c r="H95" s="48"/>
      <c r="I95" s="49"/>
      <c r="J95" s="88"/>
      <c r="K95" s="88"/>
      <c r="L95" s="39"/>
      <c r="M95" s="39"/>
      <c r="N95" s="50"/>
      <c r="O95" s="51"/>
      <c r="P95" s="52"/>
      <c r="Q95" s="51"/>
      <c r="R95" s="419"/>
      <c r="S95" s="419"/>
      <c r="T95" s="41"/>
      <c r="U95" s="41"/>
      <c r="V95" s="41"/>
      <c r="W95" s="41"/>
      <c r="X95" s="416"/>
      <c r="Y95" s="221"/>
      <c r="Z95" s="41"/>
      <c r="AA95" s="53"/>
      <c r="AB95" s="53"/>
      <c r="AC95" s="41"/>
      <c r="AD95" s="41">
        <f>+AM95+BA95</f>
        <v>26</v>
      </c>
      <c r="AE95" s="240" t="s">
        <v>694</v>
      </c>
      <c r="AF95" s="41"/>
      <c r="AG95" s="41">
        <v>26</v>
      </c>
      <c r="AH95" s="41"/>
      <c r="AI95" s="458"/>
      <c r="AJ95" s="41"/>
      <c r="AK95" s="41"/>
      <c r="AL95" s="41"/>
      <c r="AM95" s="41">
        <f>SUM(AF95:AL95)+AT95+AV95+AX95</f>
        <v>26</v>
      </c>
      <c r="AN95" s="89"/>
      <c r="AO95" s="41"/>
      <c r="AP95" s="41"/>
      <c r="AQ95" s="41"/>
      <c r="AR95" s="41">
        <f>SUM(AN95:AQ95)</f>
        <v>0</v>
      </c>
      <c r="AS95" s="41"/>
      <c r="AT95" s="41"/>
      <c r="AU95" s="41"/>
      <c r="AV95" s="41"/>
      <c r="AW95" s="41"/>
      <c r="AX95" s="41"/>
      <c r="AY95" s="41"/>
      <c r="AZ95" s="41"/>
      <c r="BA95" s="41">
        <f>+AR95+AS95+AU95+AW95+AY95+AZ95</f>
        <v>0</v>
      </c>
      <c r="BB95" s="54"/>
      <c r="BC95" s="55">
        <v>23</v>
      </c>
      <c r="BD95" s="55"/>
      <c r="BE95" s="54"/>
      <c r="BF95" s="55"/>
    </row>
    <row r="96" spans="1:58" ht="12.95" customHeight="1">
      <c r="A96" s="44"/>
      <c r="B96" s="45"/>
      <c r="C96" s="449"/>
      <c r="D96" s="45"/>
      <c r="E96" s="46"/>
      <c r="F96" s="46"/>
      <c r="G96" s="462"/>
      <c r="H96" s="48"/>
      <c r="I96" s="49"/>
      <c r="J96" s="88"/>
      <c r="K96" s="88"/>
      <c r="L96" s="39"/>
      <c r="M96" s="39"/>
      <c r="N96" s="50"/>
      <c r="O96" s="51"/>
      <c r="P96" s="52"/>
      <c r="Q96" s="51"/>
      <c r="R96" s="419"/>
      <c r="S96" s="419"/>
      <c r="T96" s="41"/>
      <c r="U96" s="41"/>
      <c r="V96" s="41"/>
      <c r="W96" s="41"/>
      <c r="X96" s="42"/>
      <c r="Y96" s="221"/>
      <c r="Z96" s="41"/>
      <c r="AA96" s="41"/>
      <c r="AB96" s="41"/>
      <c r="AC96" s="41"/>
      <c r="AD96" s="41">
        <f>+AM96+BA96</f>
        <v>30</v>
      </c>
      <c r="AE96" s="240" t="s">
        <v>540</v>
      </c>
      <c r="AF96" s="37"/>
      <c r="AG96" s="37"/>
      <c r="AH96" s="37">
        <v>30</v>
      </c>
      <c r="AI96" s="458"/>
      <c r="AJ96" s="41"/>
      <c r="AK96" s="41"/>
      <c r="AL96" s="41"/>
      <c r="AM96" s="41">
        <f>SUM(AF96:AL96)+AT96+AV96+AX96</f>
        <v>30</v>
      </c>
      <c r="AN96" s="41"/>
      <c r="AO96" s="41"/>
      <c r="AP96" s="41"/>
      <c r="AQ96" s="41"/>
      <c r="AR96" s="41">
        <f>SUM(AN96:AQ96)</f>
        <v>0</v>
      </c>
      <c r="AS96" s="41"/>
      <c r="AT96" s="41"/>
      <c r="AU96" s="41"/>
      <c r="AV96" s="41"/>
      <c r="AW96" s="41"/>
      <c r="AX96" s="41"/>
      <c r="AY96" s="41"/>
      <c r="AZ96" s="41"/>
      <c r="BA96" s="41">
        <f>+AR96+AS96+AU96+AW96+AY96+AZ96</f>
        <v>0</v>
      </c>
      <c r="BB96" s="37"/>
      <c r="BC96" s="57"/>
      <c r="BD96" s="57"/>
      <c r="BE96" s="37"/>
      <c r="BF96" s="57"/>
    </row>
    <row r="97" spans="1:58" ht="12.95" customHeight="1">
      <c r="A97" s="44"/>
      <c r="B97" s="45"/>
      <c r="C97" s="449"/>
      <c r="D97" s="45"/>
      <c r="E97" s="46"/>
      <c r="F97" s="46"/>
      <c r="G97" s="462"/>
      <c r="H97" s="48"/>
      <c r="I97" s="49"/>
      <c r="J97" s="88"/>
      <c r="K97" s="88"/>
      <c r="L97" s="39"/>
      <c r="M97" s="39"/>
      <c r="N97" s="50"/>
      <c r="O97" s="51"/>
      <c r="P97" s="52"/>
      <c r="Q97" s="51"/>
      <c r="R97" s="419"/>
      <c r="S97" s="419"/>
      <c r="T97" s="41"/>
      <c r="U97" s="41"/>
      <c r="V97" s="41"/>
      <c r="W97" s="41"/>
      <c r="X97" s="42"/>
      <c r="Y97" s="221"/>
      <c r="Z97" s="41"/>
      <c r="AA97" s="41"/>
      <c r="AB97" s="41"/>
      <c r="AC97" s="41"/>
      <c r="AD97" s="41"/>
      <c r="AE97" s="240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37"/>
      <c r="BC97" s="57"/>
      <c r="BD97" s="57"/>
      <c r="BE97" s="37"/>
      <c r="BF97" s="57"/>
    </row>
    <row r="98" spans="1:58" ht="12.75" customHeight="1">
      <c r="A98" s="344">
        <v>45889</v>
      </c>
      <c r="B98" s="45" t="s">
        <v>7</v>
      </c>
      <c r="C98" s="449">
        <f>(M98*E98*O98*Q98)/100000000</f>
        <v>56.151315200000006</v>
      </c>
      <c r="D98" s="45" t="s">
        <v>407</v>
      </c>
      <c r="E98" s="46">
        <v>10.3</v>
      </c>
      <c r="F98" s="46">
        <v>1</v>
      </c>
      <c r="G98" s="462">
        <v>1730</v>
      </c>
      <c r="H98" s="610">
        <v>0.2</v>
      </c>
      <c r="I98" s="49">
        <v>0.88</v>
      </c>
      <c r="J98" s="88">
        <f>E98*G98*(1-H98)*1440/1000000*2.77</f>
        <v>56.861141760000002</v>
      </c>
      <c r="K98" s="88">
        <f>(IF(G98&lt;L98,L98,G98)*(1-IF(H98&lt;N98,H98,N98))*E98*O98*Q98)/100000000</f>
        <v>56.587441920000003</v>
      </c>
      <c r="L98" s="39">
        <v>1716.6666666666667</v>
      </c>
      <c r="M98" s="39">
        <v>1373.3333333333333</v>
      </c>
      <c r="N98" s="50">
        <f>1-(M98/L98)</f>
        <v>0.20000000000000007</v>
      </c>
      <c r="O98" s="51">
        <f>+'Trim Rwd'!H77</f>
        <v>275.66666666666669</v>
      </c>
      <c r="P98" s="52">
        <f>O98*(Q98-R98-S98)</f>
        <v>369944.66666666669</v>
      </c>
      <c r="Q98" s="51">
        <v>1440</v>
      </c>
      <c r="R98" s="419">
        <v>0</v>
      </c>
      <c r="S98" s="419">
        <v>98</v>
      </c>
      <c r="T98" s="41">
        <f>E98*M98*O98*Q98/100000000</f>
        <v>56.151315200000006</v>
      </c>
      <c r="U98" s="41">
        <f>E98*M98*O98*(Q98-R98-S98)/100000000</f>
        <v>52.329906248888896</v>
      </c>
      <c r="V98" s="41">
        <f>E98*G98*(1-N98)*O98/100*(R98+S98)/1000000</f>
        <v>3.8510897973333336</v>
      </c>
      <c r="W98" s="41">
        <f>+'20'!K34/1000</f>
        <v>55.423000000000002</v>
      </c>
      <c r="X98" s="416">
        <f>SUM(W98:W101)/SUM(K98:K101)</f>
        <v>0.97942225553071971</v>
      </c>
      <c r="Y98" s="221">
        <v>0</v>
      </c>
      <c r="Z98" s="41">
        <f>+'20'!D34/1000</f>
        <v>1.28</v>
      </c>
      <c r="AA98" s="53">
        <f>SUM(U98:U101)-SUM(W98:W101)-SUM(Z98:Z101)-SUM(Y98:Y101)</f>
        <v>-4.3730937511111057</v>
      </c>
      <c r="AB98" s="53">
        <f>(SUM(K98:K101)-SUM(W98:W101)-SUM(Y98:Y101)-SUM(Z98:Z101)-SUM(AC98:AC101)-SUM(V98:V101))-AA98</f>
        <v>-2.9680846222223778E-2</v>
      </c>
      <c r="AC98" s="41">
        <f>K98-T98</f>
        <v>0.43612671999999719</v>
      </c>
      <c r="AD98" s="41">
        <f>+AM98+BA98</f>
        <v>50</v>
      </c>
      <c r="AE98" s="240" t="s">
        <v>701</v>
      </c>
      <c r="AF98" s="41">
        <v>50</v>
      </c>
      <c r="AG98" s="41"/>
      <c r="AH98" s="41"/>
      <c r="AI98" s="458"/>
      <c r="AJ98" s="41"/>
      <c r="AK98" s="41"/>
      <c r="AL98" s="41"/>
      <c r="AM98" s="41">
        <f>SUM(AF98:AL98)+AT98+AV98+AX98</f>
        <v>50</v>
      </c>
      <c r="AN98" s="41"/>
      <c r="AO98" s="41"/>
      <c r="AP98" s="41"/>
      <c r="AQ98" s="41"/>
      <c r="AR98" s="41">
        <f>SUM(AN98:AQ98)</f>
        <v>0</v>
      </c>
      <c r="AS98" s="41"/>
      <c r="AT98" s="41"/>
      <c r="AU98" s="41"/>
      <c r="AV98" s="41"/>
      <c r="AW98" s="41"/>
      <c r="AX98" s="41"/>
      <c r="AY98" s="41"/>
      <c r="AZ98" s="41"/>
      <c r="BA98" s="41">
        <f>+AR98+AS98+AU98+AW98+AY98+AZ98</f>
        <v>0</v>
      </c>
      <c r="BB98" s="37">
        <v>10</v>
      </c>
      <c r="BC98" s="55"/>
      <c r="BD98" s="55"/>
      <c r="BE98" s="37"/>
      <c r="BF98" s="55"/>
    </row>
    <row r="99" spans="1:58" ht="12.95" customHeight="1">
      <c r="A99" s="344"/>
      <c r="B99" s="45"/>
      <c r="C99" s="449"/>
      <c r="D99" s="45"/>
      <c r="E99" s="46"/>
      <c r="F99" s="46"/>
      <c r="G99" s="462"/>
      <c r="H99" s="48"/>
      <c r="I99" s="49"/>
      <c r="J99" s="88"/>
      <c r="K99" s="88"/>
      <c r="L99" s="39"/>
      <c r="M99" s="39"/>
      <c r="N99" s="50"/>
      <c r="O99" s="51"/>
      <c r="P99" s="52"/>
      <c r="Q99" s="51"/>
      <c r="R99" s="419"/>
      <c r="S99" s="419"/>
      <c r="T99" s="41"/>
      <c r="U99" s="41"/>
      <c r="V99" s="41"/>
      <c r="W99" s="41"/>
      <c r="X99" s="416"/>
      <c r="Y99" s="221"/>
      <c r="Z99" s="41"/>
      <c r="AA99" s="53"/>
      <c r="AB99" s="53"/>
      <c r="AC99" s="41"/>
      <c r="AD99" s="41">
        <f>+AM99+BA99</f>
        <v>18</v>
      </c>
      <c r="AE99" s="240" t="s">
        <v>702</v>
      </c>
      <c r="AF99" s="41"/>
      <c r="AG99" s="41">
        <v>18</v>
      </c>
      <c r="AH99" s="41"/>
      <c r="AI99" s="458"/>
      <c r="AJ99" s="41"/>
      <c r="AK99" s="41"/>
      <c r="AL99" s="41"/>
      <c r="AM99" s="41">
        <f>SUM(AF99:AL99)+AT99+AV99+AX99</f>
        <v>18</v>
      </c>
      <c r="AN99" s="89"/>
      <c r="AO99" s="41"/>
      <c r="AP99" s="41"/>
      <c r="AQ99" s="41"/>
      <c r="AR99" s="41">
        <f>SUM(AN99:AQ99)</f>
        <v>0</v>
      </c>
      <c r="AS99" s="41"/>
      <c r="AT99" s="41"/>
      <c r="AU99" s="41"/>
      <c r="AV99" s="41"/>
      <c r="AW99" s="41"/>
      <c r="AX99" s="41"/>
      <c r="AY99" s="41"/>
      <c r="AZ99" s="41"/>
      <c r="BA99" s="41">
        <f>+AR99+AS99+AU99+AW99+AY99+AZ99</f>
        <v>0</v>
      </c>
      <c r="BB99" s="54"/>
      <c r="BC99" s="55">
        <v>18</v>
      </c>
      <c r="BD99" s="55"/>
      <c r="BE99" s="54"/>
      <c r="BF99" s="55"/>
    </row>
    <row r="100" spans="1:58" ht="12.95" customHeight="1">
      <c r="A100" s="44"/>
      <c r="B100" s="45"/>
      <c r="C100" s="449"/>
      <c r="D100" s="45"/>
      <c r="E100" s="46"/>
      <c r="F100" s="46"/>
      <c r="G100" s="462"/>
      <c r="H100" s="48"/>
      <c r="I100" s="49"/>
      <c r="J100" s="88"/>
      <c r="K100" s="88"/>
      <c r="L100" s="39"/>
      <c r="M100" s="39"/>
      <c r="N100" s="50"/>
      <c r="O100" s="51"/>
      <c r="P100" s="52"/>
      <c r="Q100" s="51"/>
      <c r="R100" s="419"/>
      <c r="S100" s="419"/>
      <c r="T100" s="41"/>
      <c r="U100" s="41"/>
      <c r="V100" s="41"/>
      <c r="W100" s="41"/>
      <c r="X100" s="42"/>
      <c r="Y100" s="221"/>
      <c r="Z100" s="41"/>
      <c r="AA100" s="41"/>
      <c r="AB100" s="41"/>
      <c r="AC100" s="41"/>
      <c r="AD100" s="41">
        <f>+AM100+BA100</f>
        <v>30</v>
      </c>
      <c r="AE100" s="240" t="s">
        <v>498</v>
      </c>
      <c r="AF100" s="37"/>
      <c r="AG100" s="37"/>
      <c r="AH100" s="37">
        <v>30</v>
      </c>
      <c r="AI100" s="458"/>
      <c r="AJ100" s="41"/>
      <c r="AK100" s="41"/>
      <c r="AL100" s="41"/>
      <c r="AM100" s="41">
        <f>SUM(AF100:AL100)+AT100+AV100+AX100</f>
        <v>30</v>
      </c>
      <c r="AN100" s="41"/>
      <c r="AO100" s="41"/>
      <c r="AP100" s="41"/>
      <c r="AQ100" s="41"/>
      <c r="AR100" s="41">
        <f>SUM(AN100:AQ100)</f>
        <v>0</v>
      </c>
      <c r="AS100" s="41"/>
      <c r="AT100" s="41"/>
      <c r="AU100" s="41"/>
      <c r="AV100" s="41"/>
      <c r="AW100" s="41"/>
      <c r="AX100" s="41"/>
      <c r="AY100" s="41"/>
      <c r="AZ100" s="41"/>
      <c r="BA100" s="41">
        <f>+AR100+AS100+AU100+AW100+AY100+AZ100</f>
        <v>0</v>
      </c>
      <c r="BB100" s="37"/>
      <c r="BC100" s="57"/>
      <c r="BD100" s="57"/>
      <c r="BE100" s="37"/>
      <c r="BF100" s="57"/>
    </row>
    <row r="101" spans="1:58" ht="12.95" customHeight="1">
      <c r="A101" s="44"/>
      <c r="B101" s="45"/>
      <c r="C101" s="449"/>
      <c r="D101" s="45"/>
      <c r="E101" s="46"/>
      <c r="F101" s="46"/>
      <c r="G101" s="462"/>
      <c r="H101" s="48"/>
      <c r="I101" s="49"/>
      <c r="J101" s="88"/>
      <c r="K101" s="88"/>
      <c r="L101" s="39"/>
      <c r="M101" s="39"/>
      <c r="N101" s="50"/>
      <c r="O101" s="51"/>
      <c r="P101" s="52"/>
      <c r="Q101" s="51"/>
      <c r="R101" s="419"/>
      <c r="S101" s="419"/>
      <c r="T101" s="41"/>
      <c r="U101" s="41"/>
      <c r="V101" s="41"/>
      <c r="W101" s="41"/>
      <c r="X101" s="42"/>
      <c r="Y101" s="221"/>
      <c r="Z101" s="41"/>
      <c r="AA101" s="41"/>
      <c r="AB101" s="41"/>
      <c r="AC101" s="41"/>
      <c r="AD101" s="41"/>
      <c r="AE101" s="240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37"/>
      <c r="BC101" s="57"/>
      <c r="BD101" s="57"/>
      <c r="BE101" s="37"/>
      <c r="BF101" s="57"/>
    </row>
    <row r="102" spans="1:58" ht="12.75" customHeight="1">
      <c r="A102" s="344">
        <v>45890</v>
      </c>
      <c r="B102" s="45" t="s">
        <v>7</v>
      </c>
      <c r="C102" s="449">
        <f>(M102*E102*O102*Q102)/100000000</f>
        <v>56.203787519999999</v>
      </c>
      <c r="D102" s="45" t="s">
        <v>407</v>
      </c>
      <c r="E102" s="46">
        <v>10.3</v>
      </c>
      <c r="F102" s="46">
        <v>1</v>
      </c>
      <c r="G102" s="462">
        <v>1730</v>
      </c>
      <c r="H102" s="610">
        <v>0.2</v>
      </c>
      <c r="I102" s="49">
        <v>0.88</v>
      </c>
      <c r="J102" s="88">
        <f>E102*G102*(1-H102)*1440/1000000*2.77</f>
        <v>56.861141760000002</v>
      </c>
      <c r="K102" s="88">
        <f>(IF(G102&lt;L102,L102,G102)*(1-IF(H102&lt;N102,H102,N102))*E102*O102*Q102)/100000000</f>
        <v>56.86114176000001</v>
      </c>
      <c r="L102" s="39">
        <v>1710</v>
      </c>
      <c r="M102" s="39">
        <f>+L102-L102*0.2</f>
        <v>1368</v>
      </c>
      <c r="N102" s="50">
        <f>1-(M102/L102)</f>
        <v>0.19999999999999996</v>
      </c>
      <c r="O102" s="51">
        <f>+'Trim Rwd'!H80</f>
        <v>277</v>
      </c>
      <c r="P102" s="52">
        <f>O102*(Q102-R102-S102)</f>
        <v>378659</v>
      </c>
      <c r="Q102" s="51">
        <v>1440</v>
      </c>
      <c r="R102" s="419">
        <v>0</v>
      </c>
      <c r="S102" s="419">
        <v>73</v>
      </c>
      <c r="T102" s="41">
        <f>E102*M102*O102*Q102/100000000</f>
        <v>56.203787519999999</v>
      </c>
      <c r="U102" s="41">
        <f>E102*M102*O102*(Q102-R102-S102)/100000000</f>
        <v>53.354567736000007</v>
      </c>
      <c r="V102" s="41">
        <f>E102*G102*(1-N102)*O102/100*(R102+S102)/1000000</f>
        <v>2.882543992</v>
      </c>
      <c r="W102" s="41">
        <f>+'21'!K34/1000</f>
        <v>56.616</v>
      </c>
      <c r="X102" s="416">
        <f>SUM(W102:W105)/SUM(K102:K105)</f>
        <v>0.99568876472732981</v>
      </c>
      <c r="Y102" s="221">
        <v>0</v>
      </c>
      <c r="Z102" s="41">
        <v>0</v>
      </c>
      <c r="AA102" s="53">
        <f>SUM(U102:U105)-SUM(W102:W105)-SUM(Z102:Z105)-SUM(Y102:Y105)</f>
        <v>-3.2614322639999926</v>
      </c>
      <c r="AB102" s="53">
        <f>(SUM(K102:K105)-SUM(W102:W105)-SUM(Y102:Y105)-SUM(Z102:Z105)-SUM(AC102:AC105)-SUM(V102:V105))-AA102</f>
        <v>-3.3324208000008237E-2</v>
      </c>
      <c r="AC102" s="41">
        <f>K102-T102</f>
        <v>0.65735424000001075</v>
      </c>
      <c r="AD102" s="41">
        <f>+AM102+BA102</f>
        <v>20</v>
      </c>
      <c r="AE102" s="240" t="s">
        <v>447</v>
      </c>
      <c r="AF102" s="41">
        <v>20</v>
      </c>
      <c r="AG102" s="41"/>
      <c r="AH102" s="41"/>
      <c r="AI102" s="458"/>
      <c r="AJ102" s="41"/>
      <c r="AK102" s="41"/>
      <c r="AL102" s="41"/>
      <c r="AM102" s="41">
        <f>SUM(AF102:AL102)+AT102+AV102+AX102</f>
        <v>20</v>
      </c>
      <c r="AN102" s="41"/>
      <c r="AO102" s="41"/>
      <c r="AP102" s="41"/>
      <c r="AQ102" s="41"/>
      <c r="AR102" s="41">
        <f>SUM(AN102:AQ102)</f>
        <v>0</v>
      </c>
      <c r="AS102" s="41"/>
      <c r="AT102" s="41"/>
      <c r="AU102" s="41"/>
      <c r="AV102" s="41"/>
      <c r="AW102" s="41"/>
      <c r="AX102" s="41"/>
      <c r="AY102" s="41"/>
      <c r="AZ102" s="41"/>
      <c r="BA102" s="41">
        <f>+AR102+AS102+AU102+AW102+AY102+AZ102</f>
        <v>0</v>
      </c>
      <c r="BB102" s="37">
        <v>4</v>
      </c>
      <c r="BC102" s="55"/>
      <c r="BD102" s="55"/>
      <c r="BE102" s="37"/>
      <c r="BF102" s="55"/>
    </row>
    <row r="103" spans="1:58" ht="12.95" customHeight="1">
      <c r="A103" s="344"/>
      <c r="B103" s="45"/>
      <c r="C103" s="449"/>
      <c r="D103" s="45"/>
      <c r="E103" s="46"/>
      <c r="F103" s="46"/>
      <c r="G103" s="462"/>
      <c r="H103" s="48"/>
      <c r="I103" s="49"/>
      <c r="J103" s="88"/>
      <c r="K103" s="88"/>
      <c r="L103" s="39"/>
      <c r="M103" s="39"/>
      <c r="N103" s="50"/>
      <c r="O103" s="51"/>
      <c r="P103" s="52"/>
      <c r="Q103" s="51"/>
      <c r="R103" s="419"/>
      <c r="S103" s="419"/>
      <c r="T103" s="41"/>
      <c r="U103" s="41"/>
      <c r="V103" s="41"/>
      <c r="W103" s="41"/>
      <c r="X103" s="416"/>
      <c r="Y103" s="221"/>
      <c r="Z103" s="41"/>
      <c r="AA103" s="53"/>
      <c r="AB103" s="53"/>
      <c r="AC103" s="41"/>
      <c r="AD103" s="41">
        <f>+AM103+BA103</f>
        <v>21</v>
      </c>
      <c r="AE103" s="240" t="s">
        <v>702</v>
      </c>
      <c r="AF103" s="41"/>
      <c r="AG103" s="41">
        <v>21</v>
      </c>
      <c r="AH103" s="41"/>
      <c r="AI103" s="458"/>
      <c r="AJ103" s="41"/>
      <c r="AK103" s="41"/>
      <c r="AL103" s="41"/>
      <c r="AM103" s="41">
        <f>SUM(AF103:AL103)+AT103+AV103+AX103</f>
        <v>21</v>
      </c>
      <c r="AN103" s="89"/>
      <c r="AO103" s="41"/>
      <c r="AP103" s="41"/>
      <c r="AQ103" s="41"/>
      <c r="AR103" s="41">
        <f>SUM(AN103:AQ103)</f>
        <v>0</v>
      </c>
      <c r="AS103" s="41"/>
      <c r="AT103" s="41"/>
      <c r="AU103" s="41"/>
      <c r="AV103" s="41"/>
      <c r="AW103" s="41"/>
      <c r="AX103" s="41"/>
      <c r="AY103" s="41"/>
      <c r="AZ103" s="41"/>
      <c r="BA103" s="41">
        <f>+AR103+AS103+AU103+AW103+AY103+AZ103</f>
        <v>0</v>
      </c>
      <c r="BB103" s="54"/>
      <c r="BC103" s="55">
        <v>18</v>
      </c>
      <c r="BD103" s="55"/>
      <c r="BE103" s="54"/>
      <c r="BF103" s="55"/>
    </row>
    <row r="104" spans="1:58" ht="12.95" customHeight="1">
      <c r="A104" s="44"/>
      <c r="B104" s="45"/>
      <c r="C104" s="449"/>
      <c r="D104" s="45"/>
      <c r="E104" s="46"/>
      <c r="F104" s="46"/>
      <c r="G104" s="462"/>
      <c r="H104" s="48"/>
      <c r="I104" s="49"/>
      <c r="J104" s="88"/>
      <c r="K104" s="88"/>
      <c r="L104" s="39"/>
      <c r="M104" s="39"/>
      <c r="N104" s="50"/>
      <c r="O104" s="51"/>
      <c r="P104" s="52"/>
      <c r="Q104" s="51"/>
      <c r="R104" s="419"/>
      <c r="S104" s="419"/>
      <c r="T104" s="41"/>
      <c r="U104" s="41"/>
      <c r="V104" s="41"/>
      <c r="W104" s="41"/>
      <c r="X104" s="42"/>
      <c r="Y104" s="221"/>
      <c r="Z104" s="41"/>
      <c r="AA104" s="41"/>
      <c r="AB104" s="41"/>
      <c r="AC104" s="41"/>
      <c r="AD104" s="41">
        <f>+AM104+BA104</f>
        <v>32</v>
      </c>
      <c r="AE104" s="240" t="s">
        <v>705</v>
      </c>
      <c r="AF104" s="37"/>
      <c r="AG104" s="37"/>
      <c r="AH104" s="37">
        <v>32</v>
      </c>
      <c r="AI104" s="458"/>
      <c r="AJ104" s="41"/>
      <c r="AK104" s="41"/>
      <c r="AL104" s="41"/>
      <c r="AM104" s="41">
        <f>SUM(AF104:AL104)+AT104+AV104+AX104</f>
        <v>32</v>
      </c>
      <c r="AN104" s="41"/>
      <c r="AO104" s="41"/>
      <c r="AP104" s="41"/>
      <c r="AQ104" s="41"/>
      <c r="AR104" s="41">
        <f>SUM(AN104:AQ104)</f>
        <v>0</v>
      </c>
      <c r="AS104" s="41"/>
      <c r="AT104" s="41"/>
      <c r="AU104" s="41"/>
      <c r="AV104" s="41"/>
      <c r="AW104" s="41"/>
      <c r="AX104" s="41"/>
      <c r="AY104" s="41"/>
      <c r="AZ104" s="41"/>
      <c r="BA104" s="41">
        <f>+AR104+AS104+AU104+AW104+AY104+AZ104</f>
        <v>0</v>
      </c>
      <c r="BB104" s="37"/>
      <c r="BC104" s="57"/>
      <c r="BD104" s="57"/>
      <c r="BE104" s="37"/>
      <c r="BF104" s="57"/>
    </row>
    <row r="105" spans="1:58" ht="12.95" customHeight="1">
      <c r="A105" s="344"/>
      <c r="B105" s="45"/>
      <c r="C105" s="449"/>
      <c r="D105" s="45"/>
      <c r="E105" s="46"/>
      <c r="F105" s="46"/>
      <c r="G105" s="462"/>
      <c r="H105" s="48"/>
      <c r="I105" s="49"/>
      <c r="J105" s="88"/>
      <c r="K105" s="88"/>
      <c r="L105" s="39"/>
      <c r="M105" s="39"/>
      <c r="N105" s="50"/>
      <c r="O105" s="51"/>
      <c r="P105" s="52"/>
      <c r="Q105" s="51"/>
      <c r="R105" s="419"/>
      <c r="S105" s="419"/>
      <c r="T105" s="41"/>
      <c r="U105" s="41"/>
      <c r="V105" s="41"/>
      <c r="W105" s="41"/>
      <c r="X105" s="416"/>
      <c r="Y105" s="221"/>
      <c r="Z105" s="41"/>
      <c r="AA105" s="53"/>
      <c r="AB105" s="53"/>
      <c r="AC105" s="41"/>
      <c r="AD105" s="41"/>
      <c r="AE105" s="240"/>
      <c r="AF105" s="41"/>
      <c r="AG105" s="41"/>
      <c r="AH105" s="41"/>
      <c r="AI105" s="458"/>
      <c r="AJ105" s="41"/>
      <c r="AK105" s="41"/>
      <c r="AL105" s="41"/>
      <c r="AM105" s="41"/>
      <c r="AN105" s="89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54"/>
      <c r="BC105" s="55"/>
      <c r="BD105" s="55"/>
      <c r="BE105" s="55"/>
      <c r="BF105" s="55"/>
    </row>
    <row r="106" spans="1:58" ht="12.75" customHeight="1">
      <c r="A106" s="344">
        <v>45891</v>
      </c>
      <c r="B106" s="45" t="s">
        <v>7</v>
      </c>
      <c r="C106" s="449">
        <f>(M106*E106*O106*Q106)/100000000</f>
        <v>55.388806200000012</v>
      </c>
      <c r="D106" s="45" t="s">
        <v>407</v>
      </c>
      <c r="E106" s="46">
        <v>10.3</v>
      </c>
      <c r="F106" s="46">
        <v>1</v>
      </c>
      <c r="G106" s="462">
        <v>1730</v>
      </c>
      <c r="H106" s="610">
        <v>0.2</v>
      </c>
      <c r="I106" s="49">
        <v>0.88</v>
      </c>
      <c r="J106" s="88">
        <f>E106*G106*(1-H106)*1440/1000000*2.77</f>
        <v>56.861141760000002</v>
      </c>
      <c r="K106" s="88">
        <f>(IF(G106&lt;L106,L106,G106)*(1-IF(H106&lt;N106,H106,N106))*E106*O106*Q106)/100000000</f>
        <v>56.578888800000001</v>
      </c>
      <c r="L106" s="39">
        <v>1693.6111111111111</v>
      </c>
      <c r="M106" s="39">
        <v>1354.8888888888889</v>
      </c>
      <c r="N106" s="50">
        <f>1-(M106/L106)</f>
        <v>0.19999999999999996</v>
      </c>
      <c r="O106" s="51">
        <f>+'Trim Rwd'!H82</f>
        <v>275.625</v>
      </c>
      <c r="P106" s="52">
        <f>O106*(Q106-R106-S106)</f>
        <v>359139.375</v>
      </c>
      <c r="Q106" s="51">
        <v>1440</v>
      </c>
      <c r="R106" s="419">
        <v>0</v>
      </c>
      <c r="S106" s="419">
        <v>137</v>
      </c>
      <c r="T106" s="41">
        <f>E106*M106*O106*Q106/100000000</f>
        <v>55.388806200000012</v>
      </c>
      <c r="U106" s="41">
        <f>E106*M106*O106*(Q106-R106-S106)/100000000</f>
        <v>50.119176721250007</v>
      </c>
      <c r="V106" s="41">
        <f>E106*G106*(1-N106)*O106/100*(R106+S106)/1000000</f>
        <v>5.3828526149999991</v>
      </c>
      <c r="W106" s="41">
        <f>+'22'!K34/1000</f>
        <v>55.46</v>
      </c>
      <c r="X106" s="416">
        <f>SUM(W106:W109)/SUM(K106:K109)</f>
        <v>0.98022427050564487</v>
      </c>
      <c r="Y106" s="221">
        <v>0</v>
      </c>
      <c r="Z106" s="41">
        <v>0</v>
      </c>
      <c r="AA106" s="53">
        <f>SUM(U106:U109)-SUM(W106:W109)-SUM(Z106:Z109)-SUM(Y106:Y109)</f>
        <v>-5.3408232787499941</v>
      </c>
      <c r="AB106" s="53">
        <f>(SUM(K106:K109)-SUM(W106:W109)-SUM(Y106:Y109)-SUM(Z106:Z109)-SUM(AC106:AC109)-SUM(V106:V109))-AA106</f>
        <v>-0.11322313624999403</v>
      </c>
      <c r="AC106" s="41">
        <f>K106-T106</f>
        <v>1.1900825999999896</v>
      </c>
      <c r="AD106" s="41">
        <f>+AM106+BA106</f>
        <v>51</v>
      </c>
      <c r="AE106" s="240" t="s">
        <v>701</v>
      </c>
      <c r="AF106" s="41">
        <v>51</v>
      </c>
      <c r="AG106" s="41"/>
      <c r="AH106" s="41"/>
      <c r="AI106" s="458"/>
      <c r="AJ106" s="41"/>
      <c r="AK106" s="41"/>
      <c r="AL106" s="41"/>
      <c r="AM106" s="41">
        <f>SUM(AF106:AL106)+AT106+AV106+AX106</f>
        <v>51</v>
      </c>
      <c r="AN106" s="41"/>
      <c r="AO106" s="41"/>
      <c r="AP106" s="41"/>
      <c r="AQ106" s="41"/>
      <c r="AR106" s="41">
        <f>SUM(AN106:AQ106)</f>
        <v>0</v>
      </c>
      <c r="AS106" s="41"/>
      <c r="AT106" s="41"/>
      <c r="AU106" s="41"/>
      <c r="AV106" s="41"/>
      <c r="AW106" s="41"/>
      <c r="AX106" s="41"/>
      <c r="AY106" s="41"/>
      <c r="AZ106" s="41"/>
      <c r="BA106" s="41">
        <f>+AR106+AS106+AU106+AW106+AY106+AZ106</f>
        <v>0</v>
      </c>
      <c r="BB106" s="37">
        <v>10</v>
      </c>
      <c r="BC106" s="55"/>
      <c r="BD106" s="55"/>
      <c r="BE106" s="37"/>
      <c r="BF106" s="55"/>
    </row>
    <row r="107" spans="1:58" ht="12.95" customHeight="1">
      <c r="A107" s="344"/>
      <c r="B107" s="45"/>
      <c r="C107" s="449"/>
      <c r="D107" s="45"/>
      <c r="E107" s="46"/>
      <c r="F107" s="46"/>
      <c r="G107" s="462"/>
      <c r="H107" s="48"/>
      <c r="I107" s="49"/>
      <c r="J107" s="88"/>
      <c r="K107" s="88"/>
      <c r="L107" s="39"/>
      <c r="M107" s="39"/>
      <c r="N107" s="50"/>
      <c r="O107" s="51"/>
      <c r="P107" s="52"/>
      <c r="Q107" s="51"/>
      <c r="R107" s="419"/>
      <c r="S107" s="419"/>
      <c r="T107" s="41"/>
      <c r="U107" s="41"/>
      <c r="V107" s="41"/>
      <c r="W107" s="41"/>
      <c r="X107" s="416"/>
      <c r="Y107" s="221"/>
      <c r="Z107" s="41"/>
      <c r="AA107" s="53"/>
      <c r="AB107" s="53"/>
      <c r="AC107" s="41"/>
      <c r="AD107" s="41">
        <f>+AM107+BA107</f>
        <v>19</v>
      </c>
      <c r="AE107" s="240" t="s">
        <v>684</v>
      </c>
      <c r="AF107" s="41"/>
      <c r="AG107" s="41">
        <v>19</v>
      </c>
      <c r="AH107" s="41"/>
      <c r="AI107" s="458"/>
      <c r="AJ107" s="41"/>
      <c r="AK107" s="41"/>
      <c r="AL107" s="41"/>
      <c r="AM107" s="41">
        <f>SUM(AF107:AL107)+AT107+AV107+AX107</f>
        <v>19</v>
      </c>
      <c r="AN107" s="89"/>
      <c r="AO107" s="41"/>
      <c r="AP107" s="41"/>
      <c r="AQ107" s="41"/>
      <c r="AR107" s="41">
        <f>SUM(AN107:AQ107)</f>
        <v>0</v>
      </c>
      <c r="AS107" s="41"/>
      <c r="AT107" s="41"/>
      <c r="AU107" s="41"/>
      <c r="AV107" s="41"/>
      <c r="AW107" s="41"/>
      <c r="AX107" s="41"/>
      <c r="AY107" s="41"/>
      <c r="AZ107" s="41"/>
      <c r="BA107" s="41">
        <f>+AR107+AS107+AU107+AW107+AY107+AZ107</f>
        <v>0</v>
      </c>
      <c r="BB107" s="54"/>
      <c r="BC107" s="55">
        <v>19</v>
      </c>
      <c r="BD107" s="55"/>
      <c r="BE107" s="54"/>
      <c r="BF107" s="55"/>
    </row>
    <row r="108" spans="1:58" ht="12.95" customHeight="1">
      <c r="A108" s="44"/>
      <c r="B108" s="45"/>
      <c r="C108" s="449"/>
      <c r="D108" s="45"/>
      <c r="E108" s="46"/>
      <c r="F108" s="46"/>
      <c r="G108" s="462"/>
      <c r="H108" s="48"/>
      <c r="I108" s="49"/>
      <c r="J108" s="88"/>
      <c r="K108" s="88"/>
      <c r="L108" s="39"/>
      <c r="M108" s="39"/>
      <c r="N108" s="50"/>
      <c r="O108" s="51"/>
      <c r="P108" s="52"/>
      <c r="Q108" s="51"/>
      <c r="R108" s="419"/>
      <c r="S108" s="419"/>
      <c r="T108" s="41"/>
      <c r="U108" s="41"/>
      <c r="V108" s="41"/>
      <c r="W108" s="41"/>
      <c r="X108" s="42"/>
      <c r="Y108" s="221"/>
      <c r="Z108" s="41"/>
      <c r="AA108" s="41"/>
      <c r="AB108" s="41"/>
      <c r="AC108" s="41"/>
      <c r="AD108" s="41">
        <f>+AM108+BA108</f>
        <v>36</v>
      </c>
      <c r="AE108" s="240" t="s">
        <v>715</v>
      </c>
      <c r="AF108" s="37"/>
      <c r="AG108" s="37"/>
      <c r="AH108" s="37">
        <v>36</v>
      </c>
      <c r="AI108" s="458"/>
      <c r="AJ108" s="41"/>
      <c r="AK108" s="41"/>
      <c r="AL108" s="41"/>
      <c r="AM108" s="41">
        <f>SUM(AF108:AL108)+AT108+AV108+AX108</f>
        <v>36</v>
      </c>
      <c r="AN108" s="41"/>
      <c r="AO108" s="41"/>
      <c r="AP108" s="41"/>
      <c r="AQ108" s="41"/>
      <c r="AR108" s="41">
        <f>SUM(AN108:AQ108)</f>
        <v>0</v>
      </c>
      <c r="AS108" s="41"/>
      <c r="AT108" s="41"/>
      <c r="AU108" s="41"/>
      <c r="AV108" s="41"/>
      <c r="AW108" s="41"/>
      <c r="AX108" s="41"/>
      <c r="AY108" s="41"/>
      <c r="AZ108" s="41"/>
      <c r="BA108" s="41">
        <f>+AR108+AS108+AU108+AW108+AY108+AZ108</f>
        <v>0</v>
      </c>
      <c r="BB108" s="37"/>
      <c r="BC108" s="57"/>
      <c r="BD108" s="57"/>
      <c r="BE108" s="37"/>
      <c r="BF108" s="57"/>
    </row>
    <row r="109" spans="1:58" ht="12.95" customHeight="1">
      <c r="A109" s="344"/>
      <c r="B109" s="45"/>
      <c r="C109" s="449"/>
      <c r="D109" s="45"/>
      <c r="E109" s="46"/>
      <c r="F109" s="46"/>
      <c r="G109" s="462"/>
      <c r="H109" s="48"/>
      <c r="I109" s="49"/>
      <c r="J109" s="88"/>
      <c r="K109" s="88"/>
      <c r="L109" s="39"/>
      <c r="M109" s="39"/>
      <c r="N109" s="50"/>
      <c r="O109" s="51"/>
      <c r="P109" s="52"/>
      <c r="Q109" s="51"/>
      <c r="R109" s="419"/>
      <c r="S109" s="419"/>
      <c r="T109" s="41"/>
      <c r="U109" s="41"/>
      <c r="V109" s="41"/>
      <c r="W109" s="41"/>
      <c r="X109" s="416"/>
      <c r="Y109" s="221"/>
      <c r="Z109" s="41"/>
      <c r="AA109" s="53"/>
      <c r="AB109" s="53"/>
      <c r="AC109" s="41"/>
      <c r="AD109" s="41">
        <f>+AM109+BA109</f>
        <v>31</v>
      </c>
      <c r="AE109" s="243" t="s">
        <v>716</v>
      </c>
      <c r="AF109" s="41"/>
      <c r="AG109" s="41"/>
      <c r="AH109" s="41"/>
      <c r="AI109" s="458"/>
      <c r="AJ109" s="41">
        <v>31</v>
      </c>
      <c r="AK109" s="41"/>
      <c r="AL109" s="41"/>
      <c r="AM109" s="41">
        <f>SUM(AF109:AL109)+AT109+AV109+AX109</f>
        <v>31</v>
      </c>
      <c r="AN109" s="41"/>
      <c r="AO109" s="41"/>
      <c r="AP109" s="41"/>
      <c r="AQ109" s="41"/>
      <c r="AR109" s="41">
        <f>SUM(AN109:AQ109)</f>
        <v>0</v>
      </c>
      <c r="AS109" s="41"/>
      <c r="AT109" s="41"/>
      <c r="AU109" s="41"/>
      <c r="AV109" s="41"/>
      <c r="AW109" s="41"/>
      <c r="AX109" s="41"/>
      <c r="AY109" s="41"/>
      <c r="AZ109" s="41"/>
      <c r="BA109" s="41">
        <f>+AR109+AS109+AU109+AW109+AY109+AZ109</f>
        <v>0</v>
      </c>
      <c r="BB109" s="37"/>
      <c r="BC109" s="57"/>
      <c r="BD109" s="57"/>
      <c r="BE109" s="37"/>
      <c r="BF109" s="57"/>
    </row>
    <row r="110" spans="1:58" ht="12.95" customHeight="1">
      <c r="A110" s="44"/>
      <c r="B110" s="45"/>
      <c r="C110" s="449"/>
      <c r="D110" s="45"/>
      <c r="E110" s="46"/>
      <c r="F110" s="46"/>
      <c r="G110" s="462"/>
      <c r="H110" s="48"/>
      <c r="I110" s="49"/>
      <c r="J110" s="88"/>
      <c r="K110" s="88"/>
      <c r="L110" s="39"/>
      <c r="M110" s="39"/>
      <c r="N110" s="50"/>
      <c r="O110" s="51"/>
      <c r="P110" s="52"/>
      <c r="Q110" s="51"/>
      <c r="R110" s="419"/>
      <c r="S110" s="419"/>
      <c r="T110" s="41"/>
      <c r="U110" s="41"/>
      <c r="V110" s="41"/>
      <c r="W110" s="41"/>
      <c r="X110" s="42"/>
      <c r="Y110" s="221"/>
      <c r="Z110" s="41"/>
      <c r="AA110" s="41"/>
      <c r="AB110" s="41"/>
      <c r="AC110" s="41"/>
      <c r="AD110" s="41"/>
      <c r="AE110" s="240"/>
      <c r="AF110" s="37"/>
      <c r="AG110" s="37"/>
      <c r="AH110" s="37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37"/>
      <c r="BC110" s="57"/>
      <c r="BD110" s="55"/>
      <c r="BE110" s="55"/>
      <c r="BF110" s="55"/>
    </row>
    <row r="111" spans="1:58" ht="12.75" customHeight="1">
      <c r="A111" s="344">
        <v>45892</v>
      </c>
      <c r="B111" s="45" t="s">
        <v>7</v>
      </c>
      <c r="C111" s="449">
        <f>(M111*E111*O111*Q111)/100000000</f>
        <v>3.6431851213333339</v>
      </c>
      <c r="D111" s="45" t="s">
        <v>407</v>
      </c>
      <c r="E111" s="46">
        <v>10.3</v>
      </c>
      <c r="F111" s="46">
        <v>1</v>
      </c>
      <c r="G111" s="462">
        <v>1730</v>
      </c>
      <c r="H111" s="610">
        <v>0.2</v>
      </c>
      <c r="I111" s="49">
        <v>0.88</v>
      </c>
      <c r="J111" s="88">
        <f>E111*G111*(1-H111)*1440/1000000*2.77</f>
        <v>56.861141760000002</v>
      </c>
      <c r="K111" s="88">
        <f>(IF(G111&lt;L111,L111,G111)*(1-IF(H111&lt;N111,H111,N111))*E111*O111*Q111)/100000000</f>
        <v>3.7214625120000004</v>
      </c>
      <c r="L111" s="39">
        <v>1693.6111111111111</v>
      </c>
      <c r="M111" s="39">
        <v>1354.8888888888889</v>
      </c>
      <c r="N111" s="50">
        <f>1-(M111/L111)</f>
        <v>0.19999999999999996</v>
      </c>
      <c r="O111" s="51">
        <f>+'Trim Rwd'!H85</f>
        <v>274.8</v>
      </c>
      <c r="P111" s="52">
        <f>O111*(Q111-R111-S111)</f>
        <v>25831.200000000001</v>
      </c>
      <c r="Q111" s="51">
        <v>95</v>
      </c>
      <c r="R111" s="419">
        <v>0</v>
      </c>
      <c r="S111" s="419">
        <v>1</v>
      </c>
      <c r="T111" s="41">
        <f>E111*M111*O111*Q111/100000000</f>
        <v>3.6431851213333339</v>
      </c>
      <c r="U111" s="41">
        <f>E111*M111*O111*(Q111-R111-S111)/100000000</f>
        <v>3.6048358042666675</v>
      </c>
      <c r="V111" s="41">
        <f>E111*G111*(1-N111)*O111/100*(R111+S111)/1000000</f>
        <v>3.9173289600000001E-2</v>
      </c>
      <c r="W111" s="41">
        <f>+'23'!K17/1000</f>
        <v>8.3339999999999996</v>
      </c>
      <c r="X111" s="416">
        <f>SUM(W111:W114)/SUM(K111:K114)</f>
        <v>0.80290783777060137</v>
      </c>
      <c r="Y111" s="221">
        <v>0</v>
      </c>
      <c r="Z111" s="41">
        <v>0</v>
      </c>
      <c r="AA111" s="53">
        <f>SUM(U111:U114)-SUM(W111:W114)-SUM(Z111:Z114)-SUM(Y111:Y114)</f>
        <v>6.0535947966330834</v>
      </c>
      <c r="AB111" s="53">
        <f>(SUM(K111:K114)-SUM(W111:W114)-SUM(Y111:Y114)-SUM(Z111:Z114)-SUM(AC111:AC114)-SUM(V111:V114))-AA111</f>
        <v>-8.2397253333965637E-4</v>
      </c>
      <c r="AC111" s="41">
        <f>K111-T111</f>
        <v>7.8277390666666502E-2</v>
      </c>
      <c r="AD111" s="41">
        <f>+AM111+BA111</f>
        <v>10</v>
      </c>
      <c r="AE111" s="240" t="s">
        <v>522</v>
      </c>
      <c r="AF111" s="41">
        <v>10</v>
      </c>
      <c r="AG111" s="41"/>
      <c r="AH111" s="41"/>
      <c r="AI111" s="458"/>
      <c r="AJ111" s="41"/>
      <c r="AK111" s="41"/>
      <c r="AL111" s="41"/>
      <c r="AM111" s="41">
        <f>SUM(AF111:AL111)+AT111+AV111+AX111</f>
        <v>10</v>
      </c>
      <c r="AN111" s="41"/>
      <c r="AO111" s="41"/>
      <c r="AP111" s="41"/>
      <c r="AQ111" s="41"/>
      <c r="AR111" s="41">
        <f>SUM(AN111:AQ111)</f>
        <v>0</v>
      </c>
      <c r="AS111" s="41"/>
      <c r="AT111" s="41"/>
      <c r="AU111" s="41"/>
      <c r="AV111" s="41"/>
      <c r="AW111" s="41"/>
      <c r="AX111" s="41"/>
      <c r="AY111" s="41"/>
      <c r="AZ111" s="41"/>
      <c r="BA111" s="41">
        <f>+AR111+AS111+AU111+AW111+AY111+AZ111</f>
        <v>0</v>
      </c>
      <c r="BB111" s="37">
        <v>2</v>
      </c>
      <c r="BC111" s="55"/>
      <c r="BD111" s="55"/>
      <c r="BE111" s="37"/>
      <c r="BF111" s="55"/>
    </row>
    <row r="112" spans="1:58" ht="12.95" customHeight="1">
      <c r="A112" s="344"/>
      <c r="B112" s="45" t="s">
        <v>721</v>
      </c>
      <c r="C112" s="449">
        <f>(M112*E112*O112*Q112)/100000000</f>
        <v>48.26084235114503</v>
      </c>
      <c r="D112" s="45" t="s">
        <v>407</v>
      </c>
      <c r="E112" s="46">
        <v>13</v>
      </c>
      <c r="F112" s="46">
        <v>1</v>
      </c>
      <c r="G112" s="462">
        <v>1300</v>
      </c>
      <c r="H112" s="48">
        <v>0.2</v>
      </c>
      <c r="I112" s="49">
        <v>0.88</v>
      </c>
      <c r="J112" s="88">
        <f>E112*G112*(1-H112)*1440/1000000*2.77</f>
        <v>53.928576000000007</v>
      </c>
      <c r="K112" s="88">
        <f>(IF(G112&lt;L112,L112,G112)*(1-IF(H112&lt;N112,H112,N112))*E112*O112*Q112)/100000000</f>
        <v>48.26084235114503</v>
      </c>
      <c r="L112" s="39">
        <v>1300</v>
      </c>
      <c r="M112" s="39">
        <f>+L112-L112*0.2</f>
        <v>1040</v>
      </c>
      <c r="N112" s="50">
        <f>1-(M112/L112)</f>
        <v>0.19999999999999996</v>
      </c>
      <c r="O112" s="51">
        <f>+'Trim Rwd'!H87</f>
        <v>265.39694656488547</v>
      </c>
      <c r="P112" s="52">
        <f>O112*(Q112-R112-S112)</f>
        <v>343689.04580152669</v>
      </c>
      <c r="Q112" s="51">
        <v>1345</v>
      </c>
      <c r="R112" s="419">
        <v>0</v>
      </c>
      <c r="S112" s="419">
        <v>50</v>
      </c>
      <c r="T112" s="41">
        <f>E112*M112*O112*Q112/100000000</f>
        <v>48.26084235114503</v>
      </c>
      <c r="U112" s="41">
        <f>E112*M112*O112*(Q112-R112-S112)/100000000</f>
        <v>46.466758992366408</v>
      </c>
      <c r="V112" s="41">
        <f>E112*G112*(1-N112)*O112/100*(R112+S112)/1000000</f>
        <v>1.7940833587786256</v>
      </c>
      <c r="W112" s="41">
        <f>+'23'!K18/1000</f>
        <v>33.402999999999999</v>
      </c>
      <c r="X112" s="416"/>
      <c r="Y112" s="221"/>
      <c r="Z112" s="41">
        <f>+'23'!D34/1000</f>
        <v>2.2810000000000001</v>
      </c>
      <c r="AA112" s="53"/>
      <c r="AB112" s="53"/>
      <c r="AC112" s="41">
        <f>K112-T112</f>
        <v>0</v>
      </c>
      <c r="AD112" s="41">
        <f>+AM112+BA112</f>
        <v>9</v>
      </c>
      <c r="AE112" s="240" t="s">
        <v>722</v>
      </c>
      <c r="AF112" s="41"/>
      <c r="AG112" s="41">
        <v>9</v>
      </c>
      <c r="AH112" s="41"/>
      <c r="AI112" s="458"/>
      <c r="AJ112" s="41"/>
      <c r="AK112" s="41"/>
      <c r="AL112" s="41"/>
      <c r="AM112" s="41">
        <f>SUM(AF112:AL112)+AT112+AV112+AX112</f>
        <v>9</v>
      </c>
      <c r="AN112" s="89"/>
      <c r="AO112" s="41"/>
      <c r="AP112" s="41"/>
      <c r="AQ112" s="41"/>
      <c r="AR112" s="41">
        <f>SUM(AN112:AQ112)</f>
        <v>0</v>
      </c>
      <c r="AS112" s="41"/>
      <c r="AT112" s="41"/>
      <c r="AU112" s="41"/>
      <c r="AV112" s="41"/>
      <c r="AW112" s="41"/>
      <c r="AX112" s="41"/>
      <c r="AY112" s="41"/>
      <c r="AZ112" s="41"/>
      <c r="BA112" s="41">
        <f>+AR112+AS112+AU112+AW112+AY112+AZ112</f>
        <v>0</v>
      </c>
      <c r="BB112" s="54"/>
      <c r="BC112" s="55">
        <v>13</v>
      </c>
      <c r="BD112" s="55"/>
      <c r="BE112" s="54"/>
      <c r="BF112" s="55"/>
    </row>
    <row r="113" spans="1:58" ht="12.95" customHeight="1">
      <c r="A113" s="44"/>
      <c r="B113" s="45"/>
      <c r="C113" s="449"/>
      <c r="D113" s="45"/>
      <c r="E113" s="46"/>
      <c r="F113" s="46"/>
      <c r="G113" s="462"/>
      <c r="H113" s="48"/>
      <c r="I113" s="49"/>
      <c r="J113" s="88"/>
      <c r="K113" s="88"/>
      <c r="L113" s="39"/>
      <c r="M113" s="39"/>
      <c r="N113" s="50"/>
      <c r="O113" s="51"/>
      <c r="P113" s="52"/>
      <c r="Q113" s="51"/>
      <c r="R113" s="419"/>
      <c r="S113" s="419"/>
      <c r="T113" s="41"/>
      <c r="U113" s="41"/>
      <c r="V113" s="41"/>
      <c r="W113" s="41"/>
      <c r="X113" s="42"/>
      <c r="Y113" s="221"/>
      <c r="Z113" s="41"/>
      <c r="AA113" s="41"/>
      <c r="AB113" s="41"/>
      <c r="AC113" s="41"/>
      <c r="AD113" s="41">
        <f>+AM113+BA113</f>
        <v>22</v>
      </c>
      <c r="AE113" s="240" t="s">
        <v>540</v>
      </c>
      <c r="AF113" s="37"/>
      <c r="AG113" s="37"/>
      <c r="AH113" s="37">
        <v>22</v>
      </c>
      <c r="AI113" s="458"/>
      <c r="AJ113" s="41"/>
      <c r="AK113" s="41"/>
      <c r="AL113" s="41"/>
      <c r="AM113" s="41">
        <f>SUM(AF113:AL113)+AT113+AV113+AX113</f>
        <v>22</v>
      </c>
      <c r="AN113" s="41"/>
      <c r="AO113" s="41"/>
      <c r="AP113" s="41"/>
      <c r="AQ113" s="41"/>
      <c r="AR113" s="41">
        <f>SUM(AN113:AQ113)</f>
        <v>0</v>
      </c>
      <c r="AS113" s="41"/>
      <c r="AT113" s="41"/>
      <c r="AU113" s="41"/>
      <c r="AV113" s="41"/>
      <c r="AW113" s="41"/>
      <c r="AX113" s="41"/>
      <c r="AY113" s="41"/>
      <c r="AZ113" s="41"/>
      <c r="BA113" s="41">
        <f>+AR113+AS113+AU113+AW113+AY113+AZ113</f>
        <v>0</v>
      </c>
      <c r="BB113" s="37"/>
      <c r="BC113" s="57"/>
      <c r="BD113" s="57"/>
      <c r="BE113" s="37"/>
      <c r="BF113" s="57"/>
    </row>
    <row r="114" spans="1:58" ht="12.95" customHeight="1">
      <c r="A114" s="344"/>
      <c r="B114" s="45"/>
      <c r="C114" s="449"/>
      <c r="D114" s="45"/>
      <c r="E114" s="46"/>
      <c r="F114" s="46"/>
      <c r="G114" s="462"/>
      <c r="H114" s="48"/>
      <c r="I114" s="49"/>
      <c r="J114" s="88"/>
      <c r="K114" s="88"/>
      <c r="L114" s="39"/>
      <c r="M114" s="39"/>
      <c r="N114" s="50"/>
      <c r="O114" s="51"/>
      <c r="P114" s="52"/>
      <c r="Q114" s="51"/>
      <c r="R114" s="419"/>
      <c r="S114" s="419"/>
      <c r="T114" s="41"/>
      <c r="U114" s="41"/>
      <c r="V114" s="41"/>
      <c r="W114" s="41"/>
      <c r="X114" s="416"/>
      <c r="Y114" s="221"/>
      <c r="Z114" s="41"/>
      <c r="AA114" s="53"/>
      <c r="AB114" s="53"/>
      <c r="AC114" s="41"/>
      <c r="AD114" s="41">
        <f>+AM114+BA114</f>
        <v>10</v>
      </c>
      <c r="AE114" s="243" t="s">
        <v>541</v>
      </c>
      <c r="AF114" s="41"/>
      <c r="AG114" s="41"/>
      <c r="AH114" s="41"/>
      <c r="AI114" s="458">
        <v>10</v>
      </c>
      <c r="AJ114" s="41"/>
      <c r="AK114" s="41"/>
      <c r="AL114" s="41"/>
      <c r="AM114" s="41">
        <f>SUM(AF114:AL114)+AT114+AV114+AX114</f>
        <v>10</v>
      </c>
      <c r="AN114" s="41"/>
      <c r="AO114" s="41"/>
      <c r="AP114" s="41"/>
      <c r="AQ114" s="41"/>
      <c r="AR114" s="41">
        <f>SUM(AN114:AQ114)</f>
        <v>0</v>
      </c>
      <c r="AS114" s="41"/>
      <c r="AT114" s="41"/>
      <c r="AU114" s="41"/>
      <c r="AV114" s="41"/>
      <c r="AW114" s="41"/>
      <c r="AX114" s="41"/>
      <c r="AY114" s="41"/>
      <c r="AZ114" s="41"/>
      <c r="BA114" s="41">
        <f>+AR114+AS114+AU114+AW114+AY114+AZ114</f>
        <v>0</v>
      </c>
      <c r="BB114" s="37"/>
      <c r="BC114" s="57"/>
      <c r="BD114" s="57"/>
      <c r="BE114" s="37"/>
      <c r="BF114" s="57"/>
    </row>
    <row r="115" spans="1:58" ht="12.75" customHeight="1">
      <c r="A115" s="44"/>
      <c r="B115" s="45"/>
      <c r="C115" s="449"/>
      <c r="D115" s="45"/>
      <c r="E115" s="46"/>
      <c r="F115" s="46"/>
      <c r="G115" s="462"/>
      <c r="H115" s="48"/>
      <c r="I115" s="49"/>
      <c r="J115" s="88"/>
      <c r="K115" s="88"/>
      <c r="L115" s="39"/>
      <c r="M115" s="39"/>
      <c r="N115" s="50"/>
      <c r="O115" s="51"/>
      <c r="P115" s="52"/>
      <c r="Q115" s="51"/>
      <c r="R115" s="419"/>
      <c r="S115" s="419"/>
      <c r="T115" s="41"/>
      <c r="U115" s="41"/>
      <c r="V115" s="41"/>
      <c r="W115" s="41"/>
      <c r="X115" s="42"/>
      <c r="Y115" s="221"/>
      <c r="Z115" s="41"/>
      <c r="AA115" s="41"/>
      <c r="AB115" s="41"/>
      <c r="AC115" s="41"/>
      <c r="AD115" s="41"/>
      <c r="AE115" s="240"/>
      <c r="AF115" s="37"/>
      <c r="AG115" s="37"/>
      <c r="AH115" s="37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37"/>
      <c r="BC115" s="57"/>
      <c r="BD115" s="55"/>
      <c r="BE115" s="55"/>
      <c r="BF115" s="55"/>
    </row>
    <row r="116" spans="1:58" ht="12.75" customHeight="1">
      <c r="A116" s="344">
        <v>45893</v>
      </c>
      <c r="B116" s="45" t="s">
        <v>721</v>
      </c>
      <c r="C116" s="449">
        <f>(M116*E116*O116*Q116)/100000000</f>
        <v>51.089069886792458</v>
      </c>
      <c r="D116" s="45" t="s">
        <v>407</v>
      </c>
      <c r="E116" s="46">
        <v>13</v>
      </c>
      <c r="F116" s="46">
        <v>1</v>
      </c>
      <c r="G116" s="462">
        <v>1300</v>
      </c>
      <c r="H116" s="48">
        <v>0.2</v>
      </c>
      <c r="I116" s="49">
        <v>0.88</v>
      </c>
      <c r="J116" s="88">
        <f>E116*G116*(1-H116)*1440/1000000*2.77</f>
        <v>53.928576000000007</v>
      </c>
      <c r="K116" s="88">
        <f>(IF(G116&lt;L116,L116,G116)*(1-IF(H116&lt;N116,H116,N116))*E116*O116*Q116)/100000000</f>
        <v>51.089069886792458</v>
      </c>
      <c r="L116" s="39">
        <v>1300</v>
      </c>
      <c r="M116" s="39">
        <f>+L116-L116*0.2</f>
        <v>1040</v>
      </c>
      <c r="N116" s="50">
        <f>1-(M116/L116)</f>
        <v>0.19999999999999996</v>
      </c>
      <c r="O116" s="51">
        <f>+'Trim Rwd'!H90</f>
        <v>262.41509433962267</v>
      </c>
      <c r="P116" s="52">
        <f>O116*(Q116-R116-S116)</f>
        <v>367643.54716981138</v>
      </c>
      <c r="Q116" s="51">
        <v>1440</v>
      </c>
      <c r="R116" s="419">
        <v>0</v>
      </c>
      <c r="S116" s="419">
        <v>39</v>
      </c>
      <c r="T116" s="41">
        <f>E116*M116*O116*Q116/100000000</f>
        <v>51.089069886792458</v>
      </c>
      <c r="U116" s="41">
        <f>E116*M116*O116*(Q116-R116-S116)/100000000</f>
        <v>49.705407577358493</v>
      </c>
      <c r="V116" s="41">
        <f>E116*G116*(1-N116)*O116/100*(R116+S116)/1000000</f>
        <v>1.3836623094339624</v>
      </c>
      <c r="W116" s="41">
        <f>+'24'!K34/1000</f>
        <v>44.899000000000001</v>
      </c>
      <c r="X116" s="416">
        <f>SUM(W116:W119)/SUM(K116:K119)</f>
        <v>0.87883768679858632</v>
      </c>
      <c r="Y116" s="221">
        <v>0</v>
      </c>
      <c r="Z116" s="41">
        <f>+'24'!D34/1000</f>
        <v>1.054</v>
      </c>
      <c r="AA116" s="53">
        <f>SUM(U116:U119)-SUM(W116:W119)-SUM(Z116:Z119)-SUM(Y116:Y119)</f>
        <v>3.7524075773584915</v>
      </c>
      <c r="AB116" s="53">
        <f>(SUM(K116:K119)-SUM(W116:W119)-SUM(Y116:Y119)-SUM(Z116:Z119)-SUM(AC116:AC119)-SUM(V116:V119))-AA116</f>
        <v>3.5527136788005009E-15</v>
      </c>
      <c r="AC116" s="41">
        <f>K116-T116</f>
        <v>0</v>
      </c>
      <c r="AD116" s="41">
        <f>+AM116+BA116</f>
        <v>15</v>
      </c>
      <c r="AE116" s="240" t="s">
        <v>492</v>
      </c>
      <c r="AF116" s="41">
        <v>15</v>
      </c>
      <c r="AG116" s="41"/>
      <c r="AH116" s="41"/>
      <c r="AI116" s="458"/>
      <c r="AJ116" s="41"/>
      <c r="AK116" s="41"/>
      <c r="AL116" s="41"/>
      <c r="AM116" s="41">
        <f>SUM(AF116:AL116)+AT116+AV116+AX116</f>
        <v>15</v>
      </c>
      <c r="AN116" s="41"/>
      <c r="AO116" s="41"/>
      <c r="AP116" s="41"/>
      <c r="AQ116" s="41"/>
      <c r="AR116" s="41">
        <f>SUM(AN116:AQ116)</f>
        <v>0</v>
      </c>
      <c r="AS116" s="41"/>
      <c r="AT116" s="41"/>
      <c r="AU116" s="41"/>
      <c r="AV116" s="41"/>
      <c r="AW116" s="41"/>
      <c r="AX116" s="41"/>
      <c r="AY116" s="41"/>
      <c r="AZ116" s="41"/>
      <c r="BA116" s="41">
        <f>+AR116+AS116+AU116+AW116+AY116+AZ116</f>
        <v>0</v>
      </c>
      <c r="BB116" s="37">
        <v>3</v>
      </c>
      <c r="BC116" s="55"/>
      <c r="BD116" s="55"/>
      <c r="BE116" s="37"/>
      <c r="BF116" s="55"/>
    </row>
    <row r="117" spans="1:58" ht="12.95" customHeight="1">
      <c r="A117" s="344"/>
      <c r="B117" s="45"/>
      <c r="C117" s="449"/>
      <c r="D117" s="45"/>
      <c r="E117" s="46"/>
      <c r="F117" s="46"/>
      <c r="G117" s="462"/>
      <c r="H117" s="48"/>
      <c r="I117" s="49"/>
      <c r="J117" s="88"/>
      <c r="K117" s="88"/>
      <c r="L117" s="39"/>
      <c r="M117" s="39"/>
      <c r="N117" s="50"/>
      <c r="O117" s="51"/>
      <c r="P117" s="52"/>
      <c r="Q117" s="51"/>
      <c r="R117" s="419"/>
      <c r="S117" s="419"/>
      <c r="T117" s="41"/>
      <c r="U117" s="41"/>
      <c r="V117" s="41"/>
      <c r="W117" s="41"/>
      <c r="X117" s="416"/>
      <c r="Y117" s="221"/>
      <c r="Z117" s="41"/>
      <c r="AA117" s="53"/>
      <c r="AB117" s="53"/>
      <c r="AC117" s="41"/>
      <c r="AD117" s="41">
        <f>+AM117+BA117</f>
        <v>6</v>
      </c>
      <c r="AE117" s="240" t="s">
        <v>481</v>
      </c>
      <c r="AF117" s="41"/>
      <c r="AG117" s="41">
        <v>6</v>
      </c>
      <c r="AH117" s="41"/>
      <c r="AI117" s="458"/>
      <c r="AJ117" s="41"/>
      <c r="AK117" s="41"/>
      <c r="AL117" s="41"/>
      <c r="AM117" s="41">
        <f>SUM(AF117:AL117)+AT117+AV117+AX117</f>
        <v>6</v>
      </c>
      <c r="AN117" s="89"/>
      <c r="AO117" s="41"/>
      <c r="AP117" s="41"/>
      <c r="AQ117" s="41"/>
      <c r="AR117" s="41">
        <f>SUM(AN117:AQ117)</f>
        <v>0</v>
      </c>
      <c r="AS117" s="41"/>
      <c r="AT117" s="41"/>
      <c r="AU117" s="41"/>
      <c r="AV117" s="41"/>
      <c r="AW117" s="41"/>
      <c r="AX117" s="41"/>
      <c r="AY117" s="41"/>
      <c r="AZ117" s="41"/>
      <c r="BA117" s="41">
        <f>+AR117+AS117+AU117+AW117+AY117+AZ117</f>
        <v>0</v>
      </c>
      <c r="BB117" s="54"/>
      <c r="BC117" s="55">
        <v>3</v>
      </c>
      <c r="BD117" s="55"/>
      <c r="BE117" s="54"/>
      <c r="BF117" s="55"/>
    </row>
    <row r="118" spans="1:58" ht="12.95" customHeight="1">
      <c r="A118" s="44"/>
      <c r="B118" s="45"/>
      <c r="C118" s="449"/>
      <c r="D118" s="45"/>
      <c r="E118" s="46"/>
      <c r="F118" s="46"/>
      <c r="G118" s="462"/>
      <c r="H118" s="48"/>
      <c r="I118" s="49"/>
      <c r="J118" s="88"/>
      <c r="K118" s="88"/>
      <c r="L118" s="39"/>
      <c r="M118" s="39"/>
      <c r="N118" s="50"/>
      <c r="O118" s="51"/>
      <c r="P118" s="52"/>
      <c r="Q118" s="51"/>
      <c r="R118" s="419"/>
      <c r="S118" s="419"/>
      <c r="T118" s="41"/>
      <c r="U118" s="41"/>
      <c r="V118" s="41"/>
      <c r="W118" s="41"/>
      <c r="X118" s="42"/>
      <c r="Y118" s="221"/>
      <c r="Z118" s="41"/>
      <c r="AA118" s="41"/>
      <c r="AB118" s="41"/>
      <c r="AC118" s="41"/>
      <c r="AD118" s="41">
        <f>+AM118+BA118</f>
        <v>18</v>
      </c>
      <c r="AE118" s="240" t="s">
        <v>723</v>
      </c>
      <c r="AF118" s="37"/>
      <c r="AG118" s="37"/>
      <c r="AH118" s="37">
        <v>18</v>
      </c>
      <c r="AI118" s="458"/>
      <c r="AJ118" s="41"/>
      <c r="AK118" s="41"/>
      <c r="AL118" s="41"/>
      <c r="AM118" s="41">
        <f>SUM(AF118:AL118)+AT118+AV118+AX118</f>
        <v>18</v>
      </c>
      <c r="AN118" s="41"/>
      <c r="AO118" s="41"/>
      <c r="AP118" s="41"/>
      <c r="AQ118" s="41"/>
      <c r="AR118" s="41">
        <f>SUM(AN118:AQ118)</f>
        <v>0</v>
      </c>
      <c r="AS118" s="41"/>
      <c r="AT118" s="41"/>
      <c r="AU118" s="41"/>
      <c r="AV118" s="41"/>
      <c r="AW118" s="41"/>
      <c r="AX118" s="41"/>
      <c r="AY118" s="41"/>
      <c r="AZ118" s="41"/>
      <c r="BA118" s="41">
        <f>+AR118+AS118+AU118+AW118+AY118+AZ118</f>
        <v>0</v>
      </c>
      <c r="BB118" s="37"/>
      <c r="BC118" s="57"/>
      <c r="BD118" s="57"/>
      <c r="BE118" s="37"/>
      <c r="BF118" s="57"/>
    </row>
    <row r="119" spans="1:58" ht="12.95" customHeight="1">
      <c r="A119" s="344"/>
      <c r="B119" s="45"/>
      <c r="C119" s="449"/>
      <c r="D119" s="45"/>
      <c r="E119" s="46"/>
      <c r="F119" s="46"/>
      <c r="G119" s="462"/>
      <c r="H119" s="48"/>
      <c r="I119" s="49"/>
      <c r="J119" s="88"/>
      <c r="K119" s="88"/>
      <c r="L119" s="39"/>
      <c r="M119" s="39"/>
      <c r="N119" s="50"/>
      <c r="O119" s="51"/>
      <c r="P119" s="52"/>
      <c r="Q119" s="51"/>
      <c r="R119" s="419"/>
      <c r="S119" s="419"/>
      <c r="T119" s="41"/>
      <c r="U119" s="41"/>
      <c r="V119" s="41"/>
      <c r="W119" s="41"/>
      <c r="X119" s="416"/>
      <c r="Y119" s="221"/>
      <c r="Z119" s="41"/>
      <c r="AA119" s="53"/>
      <c r="AB119" s="53"/>
      <c r="AC119" s="41"/>
      <c r="AD119" s="41"/>
      <c r="AE119" s="243"/>
      <c r="AF119" s="41"/>
      <c r="AG119" s="41"/>
      <c r="AH119" s="41"/>
      <c r="AI119" s="458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37"/>
      <c r="BC119" s="57"/>
      <c r="BD119" s="57"/>
      <c r="BE119" s="37"/>
      <c r="BF119" s="57"/>
    </row>
    <row r="120" spans="1:58" ht="12.75" customHeight="1">
      <c r="A120" s="344">
        <v>45894</v>
      </c>
      <c r="B120" s="45" t="s">
        <v>721</v>
      </c>
      <c r="C120" s="449">
        <f>(M120*E120*O120*Q120)/100000000</f>
        <v>35.977405521126755</v>
      </c>
      <c r="D120" s="45" t="s">
        <v>407</v>
      </c>
      <c r="E120" s="46">
        <v>13</v>
      </c>
      <c r="F120" s="46">
        <v>1</v>
      </c>
      <c r="G120" s="462">
        <v>1300</v>
      </c>
      <c r="H120" s="48">
        <v>0.2</v>
      </c>
      <c r="I120" s="49">
        <v>0.88</v>
      </c>
      <c r="J120" s="88">
        <f>E120*G120*(1-H120)*1440/1000000*2.77</f>
        <v>53.928576000000007</v>
      </c>
      <c r="K120" s="88">
        <f>(IF(G120&lt;L120,L120,G120)*(1-IF(H120&lt;N120,H120,N120))*E120*O120*Q120)/100000000</f>
        <v>35.977405521126755</v>
      </c>
      <c r="L120" s="39">
        <v>1300</v>
      </c>
      <c r="M120" s="39">
        <f>+L120-L120*0.2</f>
        <v>1040</v>
      </c>
      <c r="N120" s="50">
        <f>1-(M120/L120)</f>
        <v>0.19999999999999996</v>
      </c>
      <c r="O120" s="51">
        <f>+'Trim Rwd'!H93</f>
        <v>260.88732394366195</v>
      </c>
      <c r="P120" s="52">
        <f>O120*(Q120-R120-S120)</f>
        <v>260887.32394366196</v>
      </c>
      <c r="Q120" s="51">
        <v>1020</v>
      </c>
      <c r="R120" s="419">
        <v>0</v>
      </c>
      <c r="S120" s="419">
        <v>20</v>
      </c>
      <c r="T120" s="41">
        <f>E120*M120*O120*Q120/100000000</f>
        <v>35.977405521126755</v>
      </c>
      <c r="U120" s="41">
        <f>E120*M120*O120*(Q120-R120-S120)/100000000</f>
        <v>35.271966197183097</v>
      </c>
      <c r="V120" s="41">
        <f>E120*G120*(1-N120)*O120/100*(R120+S120)/1000000</f>
        <v>0.70543932394366182</v>
      </c>
      <c r="W120" s="41">
        <f>+'25'!K18/1000</f>
        <v>35.593000000000004</v>
      </c>
      <c r="X120" s="416">
        <f>SUM(W120:W123)/SUM(K120:K123)</f>
        <v>0.77499150997452293</v>
      </c>
      <c r="Y120" s="221">
        <v>0</v>
      </c>
      <c r="Z120" s="41">
        <f>+'25'!D34/1000</f>
        <v>3.5270000000000001</v>
      </c>
      <c r="AA120" s="53">
        <f>SUM(U120:U123)-SUM(W120:W123)-SUM(Z120:Z123)-SUM(Y120:Y123)</f>
        <v>6.6132269971830917</v>
      </c>
      <c r="AB120" s="53">
        <f>(SUM(K120:K123)-SUM(W120:W123)-SUM(Y120:Y123)-SUM(Z120:Z123)-SUM(AC120:AC123)-SUM(V120:V123))-AA120</f>
        <v>0</v>
      </c>
      <c r="AC120" s="41">
        <f>K120-T120</f>
        <v>0</v>
      </c>
      <c r="AD120" s="41">
        <f>+AM120+BA120</f>
        <v>10</v>
      </c>
      <c r="AE120" s="240" t="s">
        <v>522</v>
      </c>
      <c r="AF120" s="41">
        <v>10</v>
      </c>
      <c r="AG120" s="41"/>
      <c r="AH120" s="41"/>
      <c r="AI120" s="458"/>
      <c r="AJ120" s="41"/>
      <c r="AK120" s="41"/>
      <c r="AL120" s="41"/>
      <c r="AM120" s="41">
        <f>SUM(AF120:AL120)+AT120+AV120+AX120</f>
        <v>10</v>
      </c>
      <c r="AN120" s="41"/>
      <c r="AO120" s="41"/>
      <c r="AP120" s="41"/>
      <c r="AQ120" s="41"/>
      <c r="AR120" s="41">
        <f>SUM(AN120:AQ120)</f>
        <v>0</v>
      </c>
      <c r="AS120" s="41"/>
      <c r="AT120" s="41"/>
      <c r="AU120" s="41"/>
      <c r="AV120" s="41"/>
      <c r="AW120" s="41"/>
      <c r="AX120" s="41"/>
      <c r="AY120" s="41"/>
      <c r="AZ120" s="41"/>
      <c r="BA120" s="41">
        <f>+AR120+AS120+AU120+AW120+AY120+AZ120</f>
        <v>0</v>
      </c>
      <c r="BB120" s="37">
        <v>2</v>
      </c>
      <c r="BC120" s="55"/>
      <c r="BD120" s="55"/>
      <c r="BE120" s="37"/>
      <c r="BF120" s="55"/>
    </row>
    <row r="121" spans="1:58" ht="12.95" customHeight="1">
      <c r="A121" s="344"/>
      <c r="B121" s="45" t="s">
        <v>721</v>
      </c>
      <c r="C121" s="449">
        <f>(M121*E121*O121*Q121)/100000000</f>
        <v>15.716063999999999</v>
      </c>
      <c r="D121" s="45" t="s">
        <v>407</v>
      </c>
      <c r="E121" s="46">
        <v>14</v>
      </c>
      <c r="F121" s="46">
        <v>1</v>
      </c>
      <c r="G121" s="462">
        <v>1300</v>
      </c>
      <c r="H121" s="48">
        <v>0.2</v>
      </c>
      <c r="I121" s="49">
        <v>0.88</v>
      </c>
      <c r="J121" s="88">
        <f>E121*G121*(1-H121)*1440/1000000*2.77</f>
        <v>58.076928000000002</v>
      </c>
      <c r="K121" s="88">
        <f>(IF(G121&lt;L121,L121,G121)*(1-IF(H121&lt;N121,H121,N121))*E121*O121*Q121)/100000000</f>
        <v>15.716063999999999</v>
      </c>
      <c r="L121" s="39">
        <v>1300</v>
      </c>
      <c r="M121" s="39">
        <f>+L121-L121*0.2</f>
        <v>1040</v>
      </c>
      <c r="N121" s="50">
        <f>1-(M121/L121)</f>
        <v>0.19999999999999996</v>
      </c>
      <c r="O121" s="51">
        <f>+'Trim Rwd'!H95</f>
        <v>257</v>
      </c>
      <c r="P121" s="52">
        <f>O121*(Q121-R121-S121)</f>
        <v>102543</v>
      </c>
      <c r="Q121" s="51">
        <v>420</v>
      </c>
      <c r="R121" s="419">
        <v>0</v>
      </c>
      <c r="S121" s="419">
        <v>21</v>
      </c>
      <c r="T121" s="41">
        <f>E121*M121*O121*Q121/100000000</f>
        <v>15.716063999999999</v>
      </c>
      <c r="U121" s="41">
        <f>E121*M121*O121*(Q121-R121-S121)/100000000</f>
        <v>14.930260799999999</v>
      </c>
      <c r="V121" s="41">
        <f>E121*G121*(1-N121)*O121/100*(R121+S121)/1000000</f>
        <v>0.78580319999999992</v>
      </c>
      <c r="W121" s="41">
        <f>+'25'!K19/1000</f>
        <v>4.4690000000000003</v>
      </c>
      <c r="X121" s="416"/>
      <c r="Y121" s="221"/>
      <c r="Z121" s="41"/>
      <c r="AA121" s="53"/>
      <c r="AB121" s="53"/>
      <c r="AC121" s="41">
        <f>K121-T121</f>
        <v>0</v>
      </c>
      <c r="AD121" s="41">
        <f>+AM121+BA121</f>
        <v>10</v>
      </c>
      <c r="AE121" s="240" t="s">
        <v>482</v>
      </c>
      <c r="AF121" s="41"/>
      <c r="AG121" s="41">
        <v>10</v>
      </c>
      <c r="AH121" s="41"/>
      <c r="AI121" s="458"/>
      <c r="AJ121" s="41"/>
      <c r="AK121" s="41"/>
      <c r="AL121" s="41"/>
      <c r="AM121" s="41">
        <f>SUM(AF121:AL121)+AT121+AV121+AX121</f>
        <v>10</v>
      </c>
      <c r="AN121" s="89"/>
      <c r="AO121" s="41"/>
      <c r="AP121" s="41"/>
      <c r="AQ121" s="41"/>
      <c r="AR121" s="41">
        <f>SUM(AN121:AQ121)</f>
        <v>0</v>
      </c>
      <c r="AS121" s="41"/>
      <c r="AT121" s="41"/>
      <c r="AU121" s="41"/>
      <c r="AV121" s="41"/>
      <c r="AW121" s="41"/>
      <c r="AX121" s="41"/>
      <c r="AY121" s="41"/>
      <c r="AZ121" s="41"/>
      <c r="BA121" s="41">
        <f>+AR121+AS121+AU121+AW121+AY121+AZ121</f>
        <v>0</v>
      </c>
      <c r="BB121" s="54"/>
      <c r="BC121" s="55">
        <v>6</v>
      </c>
      <c r="BD121" s="55"/>
      <c r="BE121" s="54"/>
      <c r="BF121" s="55"/>
    </row>
    <row r="122" spans="1:58" ht="12.95" customHeight="1">
      <c r="A122" s="44"/>
      <c r="B122" s="45"/>
      <c r="C122" s="449"/>
      <c r="D122" s="45"/>
      <c r="E122" s="46"/>
      <c r="F122" s="46"/>
      <c r="G122" s="462"/>
      <c r="H122" s="48"/>
      <c r="I122" s="49"/>
      <c r="J122" s="88"/>
      <c r="K122" s="88"/>
      <c r="L122" s="39"/>
      <c r="M122" s="39"/>
      <c r="N122" s="50"/>
      <c r="O122" s="51"/>
      <c r="P122" s="52"/>
      <c r="Q122" s="51"/>
      <c r="R122" s="419"/>
      <c r="S122" s="419"/>
      <c r="T122" s="41"/>
      <c r="U122" s="41"/>
      <c r="V122" s="41"/>
      <c r="W122" s="41"/>
      <c r="X122" s="42"/>
      <c r="Y122" s="221"/>
      <c r="Z122" s="41"/>
      <c r="AA122" s="41"/>
      <c r="AB122" s="41"/>
      <c r="AC122" s="41"/>
      <c r="AD122" s="41">
        <f>+AM122+BA122</f>
        <v>21</v>
      </c>
      <c r="AE122" s="240" t="s">
        <v>732</v>
      </c>
      <c r="AF122" s="37"/>
      <c r="AG122" s="37"/>
      <c r="AH122" s="37">
        <v>21</v>
      </c>
      <c r="AI122" s="458"/>
      <c r="AJ122" s="41"/>
      <c r="AK122" s="41"/>
      <c r="AL122" s="41"/>
      <c r="AM122" s="41">
        <f>SUM(AF122:AL122)+AT122+AV122+AX122</f>
        <v>21</v>
      </c>
      <c r="AN122" s="41"/>
      <c r="AO122" s="41"/>
      <c r="AP122" s="41"/>
      <c r="AQ122" s="41"/>
      <c r="AR122" s="41">
        <f>SUM(AN122:AQ122)</f>
        <v>0</v>
      </c>
      <c r="AS122" s="41"/>
      <c r="AT122" s="41"/>
      <c r="AU122" s="41"/>
      <c r="AV122" s="41"/>
      <c r="AW122" s="41"/>
      <c r="AX122" s="41"/>
      <c r="AY122" s="41"/>
      <c r="AZ122" s="41"/>
      <c r="BA122" s="41">
        <f>+AR122+AS122+AU122+AW122+AY122+AZ122</f>
        <v>0</v>
      </c>
      <c r="BB122" s="37"/>
      <c r="BC122" s="57"/>
      <c r="BD122" s="57"/>
      <c r="BE122" s="37"/>
      <c r="BF122" s="57"/>
    </row>
    <row r="123" spans="1:58" ht="12.95" customHeight="1">
      <c r="A123" s="44"/>
      <c r="B123" s="3"/>
      <c r="C123" s="449"/>
      <c r="D123" s="45"/>
      <c r="E123" s="46"/>
      <c r="F123" s="46"/>
      <c r="G123" s="47"/>
      <c r="H123" s="48"/>
      <c r="I123" s="49"/>
      <c r="J123" s="88"/>
      <c r="K123" s="88"/>
      <c r="L123" s="39"/>
      <c r="M123" s="39"/>
      <c r="N123" s="50"/>
      <c r="O123" s="51"/>
      <c r="P123" s="52"/>
      <c r="Q123" s="38"/>
      <c r="R123" s="419"/>
      <c r="S123" s="419"/>
      <c r="T123" s="41"/>
      <c r="U123" s="41"/>
      <c r="V123" s="41"/>
      <c r="W123" s="41"/>
      <c r="X123" s="42"/>
      <c r="Y123" s="42"/>
      <c r="Z123" s="41"/>
      <c r="AA123" s="53"/>
      <c r="AB123" s="53"/>
      <c r="AC123" s="41"/>
      <c r="AD123" s="41"/>
      <c r="AE123" s="243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37"/>
      <c r="BC123" s="55"/>
      <c r="BD123" s="55"/>
      <c r="BE123" s="55"/>
      <c r="BF123" s="55"/>
    </row>
    <row r="124" spans="1:58" ht="12.75" customHeight="1">
      <c r="A124" s="344">
        <v>45895</v>
      </c>
      <c r="B124" s="45" t="s">
        <v>721</v>
      </c>
      <c r="C124" s="449">
        <f>(M124*E124*O124*Q124)/100000000</f>
        <v>27.116903449999999</v>
      </c>
      <c r="D124" s="45" t="s">
        <v>407</v>
      </c>
      <c r="E124" s="46">
        <v>14</v>
      </c>
      <c r="F124" s="46">
        <v>1</v>
      </c>
      <c r="G124" s="462">
        <v>1300</v>
      </c>
      <c r="H124" s="48">
        <v>0.2</v>
      </c>
      <c r="I124" s="49">
        <v>0.88</v>
      </c>
      <c r="J124" s="88">
        <f>E124*G124*(1-H124)*1440/1000000*2.77</f>
        <v>58.076928000000002</v>
      </c>
      <c r="K124" s="88">
        <f>(IF(G124&lt;L124,L124,G124)*(1-IF(H124&lt;N124,H124,N124))*E124*O124*Q124)/100000000</f>
        <v>27.116903449999999</v>
      </c>
      <c r="L124" s="39">
        <v>1300</v>
      </c>
      <c r="M124" s="39">
        <f>+L124-L124*0.2</f>
        <v>1040</v>
      </c>
      <c r="N124" s="50">
        <f>1-(M124/L124)</f>
        <v>0.19999999999999996</v>
      </c>
      <c r="O124" s="51">
        <f>+'Trim Rwd'!H97</f>
        <v>259.390625</v>
      </c>
      <c r="P124" s="52">
        <f>O124*(Q124-R124-S124)</f>
        <v>182351.609375</v>
      </c>
      <c r="Q124" s="51">
        <v>718</v>
      </c>
      <c r="R124" s="419">
        <v>0</v>
      </c>
      <c r="S124" s="419">
        <v>15</v>
      </c>
      <c r="T124" s="41">
        <f>E124*M124*O124*Q124/100000000</f>
        <v>27.116903449999999</v>
      </c>
      <c r="U124" s="41">
        <f>E124*M124*O124*(Q124-R124-S124)/100000000</f>
        <v>26.550394324999999</v>
      </c>
      <c r="V124" s="41">
        <f>E124*G124*(1-N124)*O124/100*(R124+S124)/1000000</f>
        <v>0.56650912499999995</v>
      </c>
      <c r="W124" s="41">
        <f>+'26'!K19/1000</f>
        <v>39.264000000000003</v>
      </c>
      <c r="X124" s="416">
        <f>SUM(W124:W127)/SUM(K124:K127)</f>
        <v>0.85579198215296204</v>
      </c>
      <c r="Y124" s="221">
        <v>0</v>
      </c>
      <c r="Z124" s="41">
        <f>+('26'!D7+'26'!D16)/1000</f>
        <v>0.86</v>
      </c>
      <c r="AA124" s="53">
        <f>SUM(U124:U127)-SUM(W124:W127)-SUM(Z124:Z127)-SUM(Y124:Y127)</f>
        <v>5.521526325</v>
      </c>
      <c r="AB124" s="53">
        <f>(SUM(K124:K127)-SUM(W124:W127)-SUM(Y124:Y127)-SUM(Z124:Z127)-SUM(AC124:AC127)-SUM(V124:V127))-AA124</f>
        <v>0</v>
      </c>
      <c r="AC124" s="41">
        <f>K124-T124</f>
        <v>0</v>
      </c>
      <c r="AD124" s="41">
        <f>+AM124+BA124</f>
        <v>0</v>
      </c>
      <c r="AE124" s="240" t="s">
        <v>277</v>
      </c>
      <c r="AF124" s="41">
        <v>0</v>
      </c>
      <c r="AG124" s="41"/>
      <c r="AH124" s="41"/>
      <c r="AI124" s="458"/>
      <c r="AJ124" s="41"/>
      <c r="AK124" s="41"/>
      <c r="AL124" s="41"/>
      <c r="AM124" s="41">
        <f>SUM(AF124:AL124)+AT124+AV124+AX124</f>
        <v>0</v>
      </c>
      <c r="AN124" s="41"/>
      <c r="AO124" s="41"/>
      <c r="AP124" s="41"/>
      <c r="AQ124" s="41"/>
      <c r="AR124" s="41">
        <f>SUM(AN124:AQ124)</f>
        <v>0</v>
      </c>
      <c r="AS124" s="41"/>
      <c r="AT124" s="41"/>
      <c r="AU124" s="41"/>
      <c r="AV124" s="41"/>
      <c r="AW124" s="41"/>
      <c r="AX124" s="41"/>
      <c r="AY124" s="41"/>
      <c r="AZ124" s="41"/>
      <c r="BA124" s="41">
        <f>+AR124+AS124+AU124+AW124+AY124+AZ124</f>
        <v>0</v>
      </c>
      <c r="BB124" s="37">
        <v>0</v>
      </c>
      <c r="BC124" s="55"/>
      <c r="BD124" s="55"/>
      <c r="BE124" s="37"/>
      <c r="BF124" s="55"/>
    </row>
    <row r="125" spans="1:58" ht="12.95" customHeight="1">
      <c r="A125" s="344"/>
      <c r="B125" s="45" t="s">
        <v>721</v>
      </c>
      <c r="C125" s="449">
        <f>(M125*E125*O125*Q125)/100000000</f>
        <v>30.523271999999999</v>
      </c>
      <c r="D125" s="45" t="s">
        <v>407</v>
      </c>
      <c r="E125" s="46">
        <v>15</v>
      </c>
      <c r="F125" s="46">
        <v>1</v>
      </c>
      <c r="G125" s="462">
        <v>1300</v>
      </c>
      <c r="H125" s="48">
        <v>0.2</v>
      </c>
      <c r="I125" s="49">
        <v>0.88</v>
      </c>
      <c r="J125" s="88">
        <f>E125*G125*(1-H125)*1440/1000000*2.77</f>
        <v>62.225279999999998</v>
      </c>
      <c r="K125" s="88">
        <f>(IF(G125&lt;L125,L125,G125)*(1-IF(H125&lt;N125,H125,N125))*E125*O125*Q125)/100000000</f>
        <v>30.523271999999999</v>
      </c>
      <c r="L125" s="39">
        <v>1300</v>
      </c>
      <c r="M125" s="39">
        <f>+L125-L125*0.2</f>
        <v>1040</v>
      </c>
      <c r="N125" s="50">
        <f>1-(M125/L125)</f>
        <v>0.19999999999999996</v>
      </c>
      <c r="O125" s="51">
        <f>+'Trim Rwd'!H101</f>
        <v>271</v>
      </c>
      <c r="P125" s="52">
        <f>O125*(Q125-R125-S125)</f>
        <v>191597</v>
      </c>
      <c r="Q125" s="51">
        <v>722</v>
      </c>
      <c r="R125" s="419">
        <v>0</v>
      </c>
      <c r="S125" s="419">
        <v>15</v>
      </c>
      <c r="T125" s="41">
        <f>E125*M125*O125*Q125/100000000</f>
        <v>30.523271999999999</v>
      </c>
      <c r="U125" s="41">
        <f>E125*M125*O125*(Q125-R125-S125)/100000000</f>
        <v>29.889132</v>
      </c>
      <c r="V125" s="41">
        <f>E125*G125*(1-N125)*O125/100*(R125+S125)/1000000</f>
        <v>0.63414000000000004</v>
      </c>
      <c r="W125" s="41">
        <f>+'26'!K20/1000</f>
        <v>5.1159999999999997</v>
      </c>
      <c r="X125" s="416"/>
      <c r="Y125" s="221"/>
      <c r="Z125" s="41">
        <f>+'26'!D26/1000</f>
        <v>0.114</v>
      </c>
      <c r="AA125" s="53"/>
      <c r="AB125" s="53"/>
      <c r="AC125" s="41">
        <f>K125-T125</f>
        <v>0</v>
      </c>
      <c r="AD125" s="41">
        <f>+AM125+BA125</f>
        <v>12</v>
      </c>
      <c r="AE125" s="240" t="s">
        <v>737</v>
      </c>
      <c r="AF125" s="41"/>
      <c r="AG125" s="41">
        <v>12</v>
      </c>
      <c r="AH125" s="41"/>
      <c r="AI125" s="458"/>
      <c r="AJ125" s="41"/>
      <c r="AK125" s="41"/>
      <c r="AL125" s="41"/>
      <c r="AM125" s="41">
        <f>SUM(AF125:AL125)+AT125+AV125+AX125</f>
        <v>12</v>
      </c>
      <c r="AN125" s="89"/>
      <c r="AO125" s="41"/>
      <c r="AP125" s="41"/>
      <c r="AQ125" s="41"/>
      <c r="AR125" s="41">
        <f>SUM(AN125:AQ125)</f>
        <v>0</v>
      </c>
      <c r="AS125" s="41"/>
      <c r="AT125" s="41"/>
      <c r="AU125" s="41"/>
      <c r="AV125" s="41"/>
      <c r="AW125" s="41"/>
      <c r="AX125" s="41"/>
      <c r="AY125" s="41"/>
      <c r="AZ125" s="41"/>
      <c r="BA125" s="41">
        <f>+AR125+AS125+AU125+AW125+AY125+AZ125</f>
        <v>0</v>
      </c>
      <c r="BB125" s="54"/>
      <c r="BC125" s="55">
        <v>15</v>
      </c>
      <c r="BD125" s="55"/>
      <c r="BE125" s="54"/>
      <c r="BF125" s="55"/>
    </row>
    <row r="126" spans="1:58" ht="12.95" customHeight="1">
      <c r="A126" s="44"/>
      <c r="B126" s="45" t="s">
        <v>721</v>
      </c>
      <c r="C126" s="449"/>
      <c r="D126" s="45"/>
      <c r="E126" s="46">
        <v>13</v>
      </c>
      <c r="F126" s="46"/>
      <c r="G126" s="462"/>
      <c r="H126" s="48"/>
      <c r="I126" s="49"/>
      <c r="J126" s="88"/>
      <c r="K126" s="88"/>
      <c r="L126" s="39"/>
      <c r="M126" s="39"/>
      <c r="N126" s="50"/>
      <c r="O126" s="51"/>
      <c r="P126" s="52"/>
      <c r="Q126" s="51"/>
      <c r="R126" s="419"/>
      <c r="S126" s="419"/>
      <c r="T126" s="41"/>
      <c r="U126" s="41"/>
      <c r="V126" s="41"/>
      <c r="W126" s="41">
        <f>+'26'!K18/1000</f>
        <v>4.9480000000000004</v>
      </c>
      <c r="X126" s="42"/>
      <c r="Y126" s="221"/>
      <c r="Z126" s="41">
        <f>+'26'!D8/1000</f>
        <v>0.61599999999999999</v>
      </c>
      <c r="AA126" s="41"/>
      <c r="AB126" s="41"/>
      <c r="AC126" s="41"/>
      <c r="AD126" s="41">
        <f>+AM126+BA126</f>
        <v>18</v>
      </c>
      <c r="AE126" s="240" t="s">
        <v>738</v>
      </c>
      <c r="AF126" s="37"/>
      <c r="AG126" s="37"/>
      <c r="AH126" s="37">
        <v>18</v>
      </c>
      <c r="AI126" s="458"/>
      <c r="AJ126" s="41"/>
      <c r="AK126" s="41"/>
      <c r="AL126" s="41"/>
      <c r="AM126" s="41">
        <f>SUM(AF126:AL126)+AT126+AV126+AX126</f>
        <v>18</v>
      </c>
      <c r="AN126" s="41"/>
      <c r="AO126" s="41"/>
      <c r="AP126" s="41"/>
      <c r="AQ126" s="41"/>
      <c r="AR126" s="41">
        <f>SUM(AN126:AQ126)</f>
        <v>0</v>
      </c>
      <c r="AS126" s="41"/>
      <c r="AT126" s="41"/>
      <c r="AU126" s="41"/>
      <c r="AV126" s="41"/>
      <c r="AW126" s="41"/>
      <c r="AX126" s="41"/>
      <c r="AY126" s="41"/>
      <c r="AZ126" s="41"/>
      <c r="BA126" s="41">
        <f>+AR126+AS126+AU126+AW126+AY126+AZ126</f>
        <v>0</v>
      </c>
      <c r="BB126" s="37"/>
      <c r="BC126" s="57"/>
      <c r="BD126" s="57"/>
      <c r="BE126" s="37"/>
      <c r="BF126" s="57"/>
    </row>
    <row r="127" spans="1:58" ht="12.95" customHeight="1">
      <c r="A127" s="44"/>
      <c r="B127" s="584"/>
      <c r="C127" s="449"/>
      <c r="D127" s="45"/>
      <c r="E127" s="46"/>
      <c r="F127" s="46"/>
      <c r="G127" s="47"/>
      <c r="H127" s="48"/>
      <c r="I127" s="49"/>
      <c r="J127" s="88"/>
      <c r="K127" s="88"/>
      <c r="L127" s="39"/>
      <c r="M127" s="39"/>
      <c r="N127" s="50"/>
      <c r="O127" s="51"/>
      <c r="P127" s="52"/>
      <c r="Q127" s="38"/>
      <c r="R127" s="419"/>
      <c r="S127" s="419"/>
      <c r="T127" s="41"/>
      <c r="U127" s="41"/>
      <c r="V127" s="41"/>
      <c r="W127" s="41"/>
      <c r="X127" s="42"/>
      <c r="Y127" s="42"/>
      <c r="Z127" s="41"/>
      <c r="AA127" s="53"/>
      <c r="AB127" s="53"/>
      <c r="AC127" s="41"/>
      <c r="AD127" s="41"/>
      <c r="AE127" s="243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37"/>
      <c r="BC127" s="55"/>
      <c r="BD127" s="55"/>
      <c r="BE127" s="55"/>
      <c r="BF127" s="55"/>
    </row>
    <row r="128" spans="1:58" ht="12.75" customHeight="1">
      <c r="A128" s="344">
        <v>45896</v>
      </c>
      <c r="B128" s="45" t="s">
        <v>721</v>
      </c>
      <c r="C128" s="449">
        <f>(M128*E128*O128*Q128)/100000000</f>
        <v>60.671520000000001</v>
      </c>
      <c r="D128" s="45" t="s">
        <v>407</v>
      </c>
      <c r="E128" s="46">
        <v>15</v>
      </c>
      <c r="F128" s="46">
        <v>1</v>
      </c>
      <c r="G128" s="462">
        <v>1300</v>
      </c>
      <c r="H128" s="48">
        <v>0.2</v>
      </c>
      <c r="I128" s="49">
        <v>0.88</v>
      </c>
      <c r="J128" s="88">
        <f>E128*G128*(1-H128)*1440/1000000*2.77</f>
        <v>62.225279999999998</v>
      </c>
      <c r="K128" s="88">
        <f>(IF(G128&lt;L128,L128,G128)*(1-IF(H128&lt;N128,H128,N128))*E128*O128*Q128)/100000000</f>
        <v>60.671520000000001</v>
      </c>
      <c r="L128" s="39">
        <v>1300</v>
      </c>
      <c r="M128" s="39">
        <f>+L128-L128*0.2</f>
        <v>1040</v>
      </c>
      <c r="N128" s="50">
        <f>1-(M128/L128)</f>
        <v>0.19999999999999996</v>
      </c>
      <c r="O128" s="51">
        <f>+'Trim Rwd'!H105</f>
        <v>270.08333333333331</v>
      </c>
      <c r="P128" s="52">
        <f>O128*(Q128-R128-S128)</f>
        <v>379737.16666666663</v>
      </c>
      <c r="Q128" s="51">
        <v>1440</v>
      </c>
      <c r="R128" s="419">
        <v>0</v>
      </c>
      <c r="S128" s="419">
        <v>34</v>
      </c>
      <c r="T128" s="41">
        <f>E128*M128*O128*Q128/100000000</f>
        <v>60.671520000000001</v>
      </c>
      <c r="U128" s="41">
        <f>E128*M128*O128*(Q128-R128-S128)/100000000</f>
        <v>59.238998000000002</v>
      </c>
      <c r="V128" s="41">
        <f>E128*G128*(1-N128)*O128/100*(R128+S128)/1000000</f>
        <v>1.4325220000000001</v>
      </c>
      <c r="W128" s="41">
        <f>+'27'!K34/1000</f>
        <v>56.872999999999998</v>
      </c>
      <c r="X128" s="416">
        <f>SUM(W128:W131)/SUM(K128:K131)</f>
        <v>0.9373920416037046</v>
      </c>
      <c r="Y128" s="221">
        <v>0</v>
      </c>
      <c r="Z128" s="41">
        <f>+'27'!D34/1000</f>
        <v>1.33</v>
      </c>
      <c r="AA128" s="53">
        <f>SUM(U128:U131)-SUM(W128:W131)-SUM(Z128:Z131)-SUM(Y128:Y131)</f>
        <v>1.0359980000000046</v>
      </c>
      <c r="AB128" s="53">
        <f>(SUM(K128:K131)-SUM(W128:W131)-SUM(Y128:Y131)-SUM(Z128:Z131)-SUM(AC128:AC131)-SUM(V128:V131))-AA128</f>
        <v>0</v>
      </c>
      <c r="AC128" s="41">
        <f>K128-T128</f>
        <v>0</v>
      </c>
      <c r="AD128" s="41">
        <f>+AM128+BA128</f>
        <v>0</v>
      </c>
      <c r="AE128" s="240" t="s">
        <v>277</v>
      </c>
      <c r="AF128" s="41">
        <v>0</v>
      </c>
      <c r="AG128" s="41"/>
      <c r="AH128" s="41"/>
      <c r="AI128" s="458"/>
      <c r="AJ128" s="41"/>
      <c r="AK128" s="41"/>
      <c r="AL128" s="41"/>
      <c r="AM128" s="41">
        <f>SUM(AF128:AL128)+AT128+AV128+AX128</f>
        <v>0</v>
      </c>
      <c r="AN128" s="41"/>
      <c r="AO128" s="41"/>
      <c r="AP128" s="41"/>
      <c r="AQ128" s="41"/>
      <c r="AR128" s="41">
        <f>SUM(AN128:AQ128)</f>
        <v>0</v>
      </c>
      <c r="AS128" s="41"/>
      <c r="AT128" s="41"/>
      <c r="AU128" s="41"/>
      <c r="AV128" s="41"/>
      <c r="AW128" s="41"/>
      <c r="AX128" s="41"/>
      <c r="AY128" s="41"/>
      <c r="AZ128" s="41"/>
      <c r="BA128" s="41">
        <f>+AR128+AS128+AU128+AW128+AY128+AZ128</f>
        <v>0</v>
      </c>
      <c r="BB128" s="37">
        <v>0</v>
      </c>
      <c r="BC128" s="55"/>
      <c r="BD128" s="55"/>
      <c r="BE128" s="37"/>
      <c r="BF128" s="55"/>
    </row>
    <row r="129" spans="1:58" ht="12.95" customHeight="1">
      <c r="A129" s="344"/>
      <c r="B129" s="45"/>
      <c r="C129" s="449"/>
      <c r="D129" s="45"/>
      <c r="E129" s="46"/>
      <c r="F129" s="46"/>
      <c r="G129" s="462"/>
      <c r="H129" s="48"/>
      <c r="I129" s="49"/>
      <c r="J129" s="88"/>
      <c r="K129" s="88"/>
      <c r="L129" s="39"/>
      <c r="M129" s="39"/>
      <c r="N129" s="50"/>
      <c r="O129" s="51"/>
      <c r="P129" s="52"/>
      <c r="Q129" s="51"/>
      <c r="R129" s="419"/>
      <c r="S129" s="419"/>
      <c r="T129" s="41"/>
      <c r="U129" s="41"/>
      <c r="V129" s="41"/>
      <c r="W129" s="41"/>
      <c r="X129" s="416"/>
      <c r="Y129" s="221"/>
      <c r="Z129" s="41"/>
      <c r="AA129" s="53"/>
      <c r="AB129" s="53"/>
      <c r="AC129" s="41"/>
      <c r="AD129" s="41">
        <f>+AM129+BA129</f>
        <v>14</v>
      </c>
      <c r="AE129" s="240" t="s">
        <v>754</v>
      </c>
      <c r="AF129" s="41"/>
      <c r="AG129" s="41">
        <v>14</v>
      </c>
      <c r="AH129" s="41"/>
      <c r="AI129" s="458"/>
      <c r="AJ129" s="41"/>
      <c r="AK129" s="41"/>
      <c r="AL129" s="41"/>
      <c r="AM129" s="41">
        <f>SUM(AF129:AL129)+AT129+AV129+AX129</f>
        <v>14</v>
      </c>
      <c r="AN129" s="89"/>
      <c r="AO129" s="41"/>
      <c r="AP129" s="41"/>
      <c r="AQ129" s="41"/>
      <c r="AR129" s="41">
        <f>SUM(AN129:AQ129)</f>
        <v>0</v>
      </c>
      <c r="AS129" s="41"/>
      <c r="AT129" s="41"/>
      <c r="AU129" s="41"/>
      <c r="AV129" s="41"/>
      <c r="AW129" s="41"/>
      <c r="AX129" s="41"/>
      <c r="AY129" s="41"/>
      <c r="AZ129" s="41"/>
      <c r="BA129" s="41">
        <f>+AR129+AS129+AU129+AW129+AY129+AZ129</f>
        <v>0</v>
      </c>
      <c r="BB129" s="54"/>
      <c r="BC129" s="55">
        <v>16</v>
      </c>
      <c r="BD129" s="55"/>
      <c r="BE129" s="54"/>
      <c r="BF129" s="55"/>
    </row>
    <row r="130" spans="1:58" ht="12.95" customHeight="1">
      <c r="A130" s="44"/>
      <c r="B130" s="45"/>
      <c r="C130" s="449"/>
      <c r="D130" s="45"/>
      <c r="E130" s="46"/>
      <c r="F130" s="46"/>
      <c r="G130" s="462"/>
      <c r="H130" s="48"/>
      <c r="I130" s="49"/>
      <c r="J130" s="88"/>
      <c r="K130" s="88"/>
      <c r="L130" s="39"/>
      <c r="M130" s="39"/>
      <c r="N130" s="50"/>
      <c r="O130" s="51"/>
      <c r="P130" s="52"/>
      <c r="Q130" s="51"/>
      <c r="R130" s="419"/>
      <c r="S130" s="419"/>
      <c r="T130" s="41"/>
      <c r="U130" s="41"/>
      <c r="V130" s="41"/>
      <c r="W130" s="41"/>
      <c r="X130" s="42"/>
      <c r="Y130" s="221"/>
      <c r="Z130" s="41"/>
      <c r="AA130" s="41"/>
      <c r="AB130" s="41"/>
      <c r="AC130" s="41"/>
      <c r="AD130" s="41">
        <f>+AM130+BA130</f>
        <v>20</v>
      </c>
      <c r="AE130" s="240" t="s">
        <v>732</v>
      </c>
      <c r="AF130" s="37"/>
      <c r="AG130" s="37"/>
      <c r="AH130" s="37">
        <v>20</v>
      </c>
      <c r="AI130" s="458"/>
      <c r="AJ130" s="41"/>
      <c r="AK130" s="41"/>
      <c r="AL130" s="41"/>
      <c r="AM130" s="41">
        <f>SUM(AF130:AL130)+AT130+AV130+AX130</f>
        <v>20</v>
      </c>
      <c r="AN130" s="41"/>
      <c r="AO130" s="41"/>
      <c r="AP130" s="41"/>
      <c r="AQ130" s="41"/>
      <c r="AR130" s="41">
        <f>SUM(AN130:AQ130)</f>
        <v>0</v>
      </c>
      <c r="AS130" s="41"/>
      <c r="AT130" s="41"/>
      <c r="AU130" s="41"/>
      <c r="AV130" s="41"/>
      <c r="AW130" s="41"/>
      <c r="AX130" s="41"/>
      <c r="AY130" s="41"/>
      <c r="AZ130" s="41"/>
      <c r="BA130" s="41">
        <f>+AR130+AS130+AU130+AW130+AY130+AZ130</f>
        <v>0</v>
      </c>
      <c r="BB130" s="37"/>
      <c r="BC130" s="57"/>
      <c r="BD130" s="57"/>
      <c r="BE130" s="37"/>
      <c r="BF130" s="57"/>
    </row>
    <row r="131" spans="1:58" ht="12.95" customHeight="1">
      <c r="A131" s="44"/>
      <c r="B131" s="584"/>
      <c r="C131" s="449"/>
      <c r="D131" s="45"/>
      <c r="E131" s="46"/>
      <c r="F131" s="46"/>
      <c r="G131" s="47"/>
      <c r="H131" s="48"/>
      <c r="I131" s="49"/>
      <c r="J131" s="88"/>
      <c r="K131" s="88"/>
      <c r="L131" s="39"/>
      <c r="M131" s="39"/>
      <c r="N131" s="50"/>
      <c r="O131" s="51"/>
      <c r="P131" s="52"/>
      <c r="Q131" s="38"/>
      <c r="R131" s="419"/>
      <c r="S131" s="419"/>
      <c r="T131" s="41"/>
      <c r="U131" s="41"/>
      <c r="V131" s="41"/>
      <c r="W131" s="41"/>
      <c r="X131" s="42"/>
      <c r="Y131" s="42"/>
      <c r="Z131" s="41"/>
      <c r="AA131" s="53"/>
      <c r="AB131" s="53"/>
      <c r="AC131" s="41"/>
      <c r="AD131" s="41"/>
      <c r="AE131" s="243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37"/>
      <c r="BC131" s="55"/>
      <c r="BD131" s="55"/>
      <c r="BE131" s="55"/>
      <c r="BF131" s="55"/>
    </row>
    <row r="132" spans="1:58" ht="12.75" customHeight="1">
      <c r="A132" s="344">
        <v>45897</v>
      </c>
      <c r="B132" s="45" t="s">
        <v>721</v>
      </c>
      <c r="C132" s="449">
        <f>(M132*E132*O132*Q132)/100000000</f>
        <v>23.967279401069522</v>
      </c>
      <c r="D132" s="45" t="s">
        <v>407</v>
      </c>
      <c r="E132" s="46">
        <v>15</v>
      </c>
      <c r="F132" s="46">
        <v>1</v>
      </c>
      <c r="G132" s="462">
        <v>1300</v>
      </c>
      <c r="H132" s="48">
        <v>0.2</v>
      </c>
      <c r="I132" s="49">
        <v>0.88</v>
      </c>
      <c r="J132" s="88">
        <f>E132*G132*(1-H132)*1440/1000000*2.77</f>
        <v>62.225279999999998</v>
      </c>
      <c r="K132" s="88">
        <f>(IF(G132&lt;L132,L132,G132)*(1-IF(H132&lt;N132,H132,N132))*E132*O132*Q132)/100000000</f>
        <v>23.967279401069522</v>
      </c>
      <c r="L132" s="39">
        <v>1300</v>
      </c>
      <c r="M132" s="39">
        <f>+L132-L132*0.2</f>
        <v>1040</v>
      </c>
      <c r="N132" s="50">
        <f>1-(M132/L132)</f>
        <v>0.19999999999999996</v>
      </c>
      <c r="O132" s="51">
        <f>+'Trim Rwd'!H109</f>
        <v>270.48663101604279</v>
      </c>
      <c r="P132" s="52">
        <f>O132*(Q132-R132-S132)</f>
        <v>150931.54010695187</v>
      </c>
      <c r="Q132" s="51">
        <v>568</v>
      </c>
      <c r="R132" s="419">
        <v>0</v>
      </c>
      <c r="S132" s="419">
        <v>10</v>
      </c>
      <c r="T132" s="41">
        <f>E132*M132*O132*Q132/100000000</f>
        <v>23.967279401069522</v>
      </c>
      <c r="U132" s="41">
        <f>E132*M132*O132*(Q132-R132-S132)/100000000</f>
        <v>23.545320256684494</v>
      </c>
      <c r="V132" s="41">
        <f>E132*G132*(1-N132)*O132/100*(R132+S132)/1000000</f>
        <v>0.42195914438502674</v>
      </c>
      <c r="W132" s="41">
        <f>+'28'!K20/1000</f>
        <v>46.872</v>
      </c>
      <c r="X132" s="416">
        <f>SUM(W132:W135)/SUM(K132:K135)</f>
        <v>0.93879878219169854</v>
      </c>
      <c r="Y132" s="221">
        <v>0</v>
      </c>
      <c r="Z132" s="41">
        <f>+('28'!D7+'28'!D16+'28'!D25)/1000</f>
        <v>1.2450000000000001</v>
      </c>
      <c r="AA132" s="53">
        <f>SUM(U132:U135)-SUM(W132:W135)-SUM(Z132:Z135)-SUM(Y132:Y135)</f>
        <v>-0.40199574331550836</v>
      </c>
      <c r="AB132" s="53">
        <f>(SUM(K132:K135)-SUM(W132:W135)-SUM(Y132:Y135)-SUM(Z132:Z135)-SUM(AC132:AC135)-SUM(V132:V135))-AA132</f>
        <v>-1.8525000000003677E-2</v>
      </c>
      <c r="AC132" s="41">
        <f>K132-T132</f>
        <v>0</v>
      </c>
      <c r="AD132" s="41">
        <f>+AM132+BA132</f>
        <v>0</v>
      </c>
      <c r="AE132" s="240" t="s">
        <v>277</v>
      </c>
      <c r="AF132" s="41">
        <v>0</v>
      </c>
      <c r="AG132" s="41"/>
      <c r="AH132" s="41"/>
      <c r="AI132" s="458"/>
      <c r="AJ132" s="41"/>
      <c r="AK132" s="41"/>
      <c r="AL132" s="41"/>
      <c r="AM132" s="41">
        <f>SUM(AF132:AL132)+AT132+AV132+AX132</f>
        <v>0</v>
      </c>
      <c r="AN132" s="41"/>
      <c r="AO132" s="41"/>
      <c r="AP132" s="41"/>
      <c r="AQ132" s="41"/>
      <c r="AR132" s="41">
        <f>SUM(AN132:AQ132)</f>
        <v>0</v>
      </c>
      <c r="AS132" s="41"/>
      <c r="AT132" s="41"/>
      <c r="AU132" s="41"/>
      <c r="AV132" s="41"/>
      <c r="AW132" s="41"/>
      <c r="AX132" s="41"/>
      <c r="AY132" s="41"/>
      <c r="AZ132" s="41"/>
      <c r="BA132" s="41">
        <f>+AR132+AS132+AU132+AW132+AY132+AZ132</f>
        <v>0</v>
      </c>
      <c r="BB132" s="37">
        <v>0</v>
      </c>
      <c r="BC132" s="55"/>
      <c r="BD132" s="55"/>
      <c r="BE132" s="37"/>
      <c r="BF132" s="55"/>
    </row>
    <row r="133" spans="1:58" ht="12.95" customHeight="1">
      <c r="A133" s="344"/>
      <c r="B133" s="45" t="s">
        <v>721</v>
      </c>
      <c r="C133" s="449">
        <f>(M133*E133*O133*Q133)/100000000</f>
        <v>7.7725439999999999</v>
      </c>
      <c r="D133" s="45" t="s">
        <v>407</v>
      </c>
      <c r="E133" s="46">
        <v>16</v>
      </c>
      <c r="F133" s="46">
        <v>1</v>
      </c>
      <c r="G133" s="462">
        <v>1300</v>
      </c>
      <c r="H133" s="48">
        <v>0.2</v>
      </c>
      <c r="I133" s="49">
        <v>0.88</v>
      </c>
      <c r="J133" s="88">
        <f>E133*G133*(1-H133)*1440/1000000*2.77</f>
        <v>66.373632000000001</v>
      </c>
      <c r="K133" s="88">
        <f>(IF(G133&lt;L133,L133,G133)*(1-IF(H133&lt;N133,H133,N133))*E133*O133*Q133)/100000000</f>
        <v>7.7725439999999999</v>
      </c>
      <c r="L133" s="39">
        <v>1300</v>
      </c>
      <c r="M133" s="39">
        <f>+L133-L133*0.2</f>
        <v>1040</v>
      </c>
      <c r="N133" s="50">
        <f>1-(M133/L133)</f>
        <v>0.19999999999999996</v>
      </c>
      <c r="O133" s="51">
        <f>+'Trim Rwd'!H111</f>
        <v>270</v>
      </c>
      <c r="P133" s="52">
        <f>O133*(Q133-R133-S133)</f>
        <v>44010</v>
      </c>
      <c r="Q133" s="51">
        <v>173</v>
      </c>
      <c r="R133" s="419">
        <v>0</v>
      </c>
      <c r="S133" s="419">
        <v>10</v>
      </c>
      <c r="T133" s="41">
        <f>E133*M133*O133*Q133/100000000</f>
        <v>7.7725439999999999</v>
      </c>
      <c r="U133" s="41">
        <f>E133*M133*O133*(Q133-R133-S133)/100000000</f>
        <v>7.323264</v>
      </c>
      <c r="V133" s="41">
        <f>E133*G133*(1-N133)*O133/100*(R133+S133)/1000000</f>
        <v>0.44928000000000001</v>
      </c>
      <c r="W133" s="41">
        <f>+'28'!K21/1000</f>
        <v>0</v>
      </c>
      <c r="X133" s="416"/>
      <c r="Y133" s="221"/>
      <c r="Z133" s="41">
        <v>0</v>
      </c>
      <c r="AA133" s="53"/>
      <c r="AB133" s="53"/>
      <c r="AC133" s="41">
        <f>K133-T133</f>
        <v>0</v>
      </c>
      <c r="AD133" s="41">
        <f>+AM133+BA133</f>
        <v>13</v>
      </c>
      <c r="AE133" s="240" t="s">
        <v>737</v>
      </c>
      <c r="AF133" s="41"/>
      <c r="AG133" s="41">
        <v>13</v>
      </c>
      <c r="AH133" s="41"/>
      <c r="AI133" s="458"/>
      <c r="AJ133" s="41"/>
      <c r="AK133" s="41"/>
      <c r="AL133" s="41"/>
      <c r="AM133" s="41">
        <f>SUM(AF133:AL133)+AT133+AV133+AX133</f>
        <v>13</v>
      </c>
      <c r="AN133" s="89"/>
      <c r="AO133" s="41"/>
      <c r="AP133" s="41"/>
      <c r="AQ133" s="41"/>
      <c r="AR133" s="41">
        <f>SUM(AN133:AQ133)</f>
        <v>0</v>
      </c>
      <c r="AS133" s="41"/>
      <c r="AT133" s="41"/>
      <c r="AU133" s="41"/>
      <c r="AV133" s="41"/>
      <c r="AW133" s="41"/>
      <c r="AX133" s="41"/>
      <c r="AY133" s="41"/>
      <c r="AZ133" s="41"/>
      <c r="BA133" s="41">
        <f>+AR133+AS133+AU133+AW133+AY133+AZ133</f>
        <v>0</v>
      </c>
      <c r="BB133" s="54"/>
      <c r="BC133" s="55">
        <v>15</v>
      </c>
      <c r="BD133" s="55"/>
      <c r="BE133" s="54"/>
      <c r="BF133" s="55"/>
    </row>
    <row r="134" spans="1:58" ht="12.95" customHeight="1">
      <c r="A134" s="44"/>
      <c r="B134" s="45" t="s">
        <v>7</v>
      </c>
      <c r="C134" s="449">
        <f>(M134*E134*O134*Q134)/100000000</f>
        <v>28.487745</v>
      </c>
      <c r="D134" s="45" t="s">
        <v>407</v>
      </c>
      <c r="E134" s="46">
        <v>12.5</v>
      </c>
      <c r="F134" s="46">
        <v>1</v>
      </c>
      <c r="G134" s="462">
        <v>1700</v>
      </c>
      <c r="H134" s="604">
        <f>+N134</f>
        <v>0.24</v>
      </c>
      <c r="I134" s="49">
        <v>0.88</v>
      </c>
      <c r="J134" s="88">
        <f>E134*G134*(1-H134)*1440/1000000*2.77</f>
        <v>64.419120000000007</v>
      </c>
      <c r="K134" s="88">
        <f>(IF(G134&lt;L134,L134,G134)*(1-IF(H134&lt;N134,H134,N134))*E134*O134*Q134)/100000000</f>
        <v>29.351009999999999</v>
      </c>
      <c r="L134" s="39">
        <v>1650</v>
      </c>
      <c r="M134" s="39">
        <f>+L134-L134*0.24</f>
        <v>1254</v>
      </c>
      <c r="N134" s="50">
        <f>1-(M134/L134)</f>
        <v>0.24</v>
      </c>
      <c r="O134" s="51">
        <f>+'Trim Rwd'!H112</f>
        <v>260</v>
      </c>
      <c r="P134" s="52">
        <f>O134*(Q134-R134-S134)</f>
        <v>177840</v>
      </c>
      <c r="Q134" s="51">
        <v>699</v>
      </c>
      <c r="R134" s="419">
        <v>0</v>
      </c>
      <c r="S134" s="419">
        <v>15</v>
      </c>
      <c r="T134" s="41">
        <f>E134*M134*O134*Q134/100000000</f>
        <v>28.487745</v>
      </c>
      <c r="U134" s="41">
        <f>E134*M134*O134*(Q134-R134-S134)/100000000</f>
        <v>27.87642</v>
      </c>
      <c r="V134" s="41">
        <f>E134*G134*(1-N134)*O134/100*(R134+S134)/1000000</f>
        <v>0.62985000000000002</v>
      </c>
      <c r="W134" s="41">
        <f>+'28'!K22/1000</f>
        <v>10.48</v>
      </c>
      <c r="X134" s="42"/>
      <c r="Y134" s="221"/>
      <c r="Z134" s="41">
        <f>+'28'!D26/1000</f>
        <v>0.55000000000000004</v>
      </c>
      <c r="AA134" s="41"/>
      <c r="AB134" s="41"/>
      <c r="AC134" s="41">
        <f>K134-T134</f>
        <v>0.86326499999999839</v>
      </c>
      <c r="AD134" s="41">
        <f>+AM134+BA134</f>
        <v>22</v>
      </c>
      <c r="AE134" s="240" t="s">
        <v>765</v>
      </c>
      <c r="AF134" s="37"/>
      <c r="AG134" s="37"/>
      <c r="AH134" s="37">
        <v>22</v>
      </c>
      <c r="AI134" s="458"/>
      <c r="AJ134" s="41"/>
      <c r="AK134" s="41"/>
      <c r="AL134" s="41"/>
      <c r="AM134" s="41">
        <f>SUM(AF134:AL134)+AT134+AV134+AX134</f>
        <v>22</v>
      </c>
      <c r="AN134" s="41"/>
      <c r="AO134" s="41"/>
      <c r="AP134" s="41"/>
      <c r="AQ134" s="41"/>
      <c r="AR134" s="41">
        <f>SUM(AN134:AQ134)</f>
        <v>0</v>
      </c>
      <c r="AS134" s="41"/>
      <c r="AT134" s="41"/>
      <c r="AU134" s="41"/>
      <c r="AV134" s="41"/>
      <c r="AW134" s="41"/>
      <c r="AX134" s="41"/>
      <c r="AY134" s="41"/>
      <c r="AZ134" s="41"/>
      <c r="BA134" s="41">
        <f>+AR134+AS134+AU134+AW134+AY134+AZ134</f>
        <v>0</v>
      </c>
      <c r="BB134" s="37"/>
      <c r="BC134" s="57"/>
      <c r="BD134" s="57"/>
      <c r="BE134" s="37"/>
      <c r="BF134" s="57"/>
    </row>
    <row r="135" spans="1:58" ht="12.95" customHeight="1">
      <c r="A135" s="44"/>
      <c r="B135" s="584"/>
      <c r="C135" s="449"/>
      <c r="D135" s="45"/>
      <c r="E135" s="46"/>
      <c r="F135" s="46"/>
      <c r="G135" s="47"/>
      <c r="H135" s="48"/>
      <c r="I135" s="49"/>
      <c r="J135" s="88"/>
      <c r="K135" s="88"/>
      <c r="L135" s="39"/>
      <c r="M135" s="39"/>
      <c r="N135" s="50"/>
      <c r="O135" s="51"/>
      <c r="P135" s="52"/>
      <c r="Q135" s="38"/>
      <c r="R135" s="419"/>
      <c r="S135" s="419"/>
      <c r="T135" s="41"/>
      <c r="U135" s="41"/>
      <c r="V135" s="41"/>
      <c r="W135" s="41"/>
      <c r="X135" s="42"/>
      <c r="Y135" s="42"/>
      <c r="Z135" s="41"/>
      <c r="AA135" s="53"/>
      <c r="AB135" s="53"/>
      <c r="AC135" s="41"/>
      <c r="AD135" s="41"/>
      <c r="AE135" s="243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37"/>
      <c r="BC135" s="55"/>
      <c r="BD135" s="55"/>
      <c r="BE135" s="55"/>
      <c r="BF135" s="55"/>
    </row>
    <row r="136" spans="1:58" ht="12.75" customHeight="1">
      <c r="A136" s="344">
        <v>45898</v>
      </c>
      <c r="B136" s="45" t="s">
        <v>7</v>
      </c>
      <c r="C136" s="449">
        <f>(M136*E136*O136*Q136)/100000000</f>
        <v>42.792749999999998</v>
      </c>
      <c r="D136" s="45" t="s">
        <v>407</v>
      </c>
      <c r="E136" s="46">
        <v>12.5</v>
      </c>
      <c r="F136" s="46">
        <v>1</v>
      </c>
      <c r="G136" s="462">
        <v>1700</v>
      </c>
      <c r="H136" s="604">
        <f>+N136</f>
        <v>0.24</v>
      </c>
      <c r="I136" s="49">
        <v>0.88</v>
      </c>
      <c r="J136" s="88">
        <f>E136*G136*(1-H136)*1440/1000000*2.77</f>
        <v>64.419120000000007</v>
      </c>
      <c r="K136" s="88">
        <f>(IF(G136&lt;L136,L136,G136)*(1-IF(H136&lt;N136,H136,N136))*E136*O136*Q136)/100000000</f>
        <v>44.089500000000001</v>
      </c>
      <c r="L136" s="39">
        <v>1650</v>
      </c>
      <c r="M136" s="39">
        <f>+L136-L136*0.24</f>
        <v>1254</v>
      </c>
      <c r="N136" s="50">
        <f>1-(M136/L136)</f>
        <v>0.24</v>
      </c>
      <c r="O136" s="51">
        <f>+'Trim Rwd'!H114</f>
        <v>260</v>
      </c>
      <c r="P136" s="52">
        <f>O136*(Q136-R136-S136)</f>
        <v>259740</v>
      </c>
      <c r="Q136" s="51">
        <v>1050</v>
      </c>
      <c r="R136" s="419">
        <v>0</v>
      </c>
      <c r="S136" s="419">
        <f>10+16+25</f>
        <v>51</v>
      </c>
      <c r="T136" s="41">
        <f>E136*M136*O136*Q136/100000000</f>
        <v>42.792749999999998</v>
      </c>
      <c r="U136" s="41">
        <f>E136*M136*O136*(Q136-R136-S136)/100000000</f>
        <v>40.714244999999998</v>
      </c>
      <c r="V136" s="41">
        <f>E136*G136*(1-N136)*O136/100*(R136+S136)/1000000</f>
        <v>2.1414900000000001</v>
      </c>
      <c r="W136" s="41">
        <f>+'29'!K22/1000</f>
        <v>48.052999999999997</v>
      </c>
      <c r="X136" s="416">
        <f>SUM(W136:W139)/SUM(K136:K139)</f>
        <v>1.3003677406153011</v>
      </c>
      <c r="Y136" s="221">
        <v>0</v>
      </c>
      <c r="Z136" s="41">
        <f>+'29'!D7/1000</f>
        <v>1.1220000000000001</v>
      </c>
      <c r="AA136" s="53">
        <f>SUM(U136:U139)-SUM(W136:W139)-SUM(Z136:Z139)-SUM(Y136:Y139)</f>
        <v>-23.806694879999988</v>
      </c>
      <c r="AB136" s="53">
        <f>(SUM(K136:K139)-SUM(W136:W139)-SUM(Y136:Y139)-SUM(Z136:Z139)-SUM(AC136:AC139)-SUM(V136:V139))-AA136</f>
        <v>-7.7935656000004627E-2</v>
      </c>
      <c r="AC136" s="41">
        <f>K136-T136</f>
        <v>1.296750000000003</v>
      </c>
      <c r="AD136" s="41">
        <f>+AM136+BA136</f>
        <v>10</v>
      </c>
      <c r="AE136" s="240" t="s">
        <v>522</v>
      </c>
      <c r="AF136" s="41">
        <v>10</v>
      </c>
      <c r="AG136" s="41"/>
      <c r="AH136" s="41"/>
      <c r="AI136" s="458"/>
      <c r="AJ136" s="41"/>
      <c r="AK136" s="41"/>
      <c r="AL136" s="41"/>
      <c r="AM136" s="41">
        <f>SUM(AF136:AL136)+AT136+AV136+AX136</f>
        <v>10</v>
      </c>
      <c r="AN136" s="41"/>
      <c r="AO136" s="41"/>
      <c r="AP136" s="41"/>
      <c r="AQ136" s="41"/>
      <c r="AR136" s="41">
        <f>SUM(AN136:AQ136)</f>
        <v>0</v>
      </c>
      <c r="AS136" s="41"/>
      <c r="AT136" s="41"/>
      <c r="AU136" s="41"/>
      <c r="AV136" s="41"/>
      <c r="AW136" s="41"/>
      <c r="AX136" s="41"/>
      <c r="AY136" s="41"/>
      <c r="AZ136" s="41"/>
      <c r="BA136" s="41">
        <f>+AR136+AS136+AU136+AW136+AY136+AZ136</f>
        <v>0</v>
      </c>
      <c r="BB136" s="37">
        <v>2</v>
      </c>
      <c r="BC136" s="55"/>
      <c r="BD136" s="55"/>
      <c r="BE136" s="37"/>
      <c r="BF136" s="55"/>
    </row>
    <row r="137" spans="1:58" ht="12.95" customHeight="1">
      <c r="A137" s="344"/>
      <c r="B137" s="45" t="s">
        <v>7</v>
      </c>
      <c r="C137" s="449">
        <f>(M137*E137*O137*Q137)/100000000</f>
        <v>15.032417400000002</v>
      </c>
      <c r="D137" s="45" t="s">
        <v>407</v>
      </c>
      <c r="E137" s="46">
        <v>10.3</v>
      </c>
      <c r="F137" s="46">
        <v>1</v>
      </c>
      <c r="G137" s="462">
        <v>1730</v>
      </c>
      <c r="H137" s="48">
        <v>0.16</v>
      </c>
      <c r="I137" s="49">
        <v>0.88</v>
      </c>
      <c r="J137" s="88">
        <f>E137*G137*(1-H137)*1440/1000000*2.77</f>
        <v>59.704198847999997</v>
      </c>
      <c r="K137" s="88">
        <f>(IF(G137&lt;L137,L137,G137)*(1-IF(H137&lt;N137,H137,N137))*E137*O137*Q137)/100000000</f>
        <v>15.761261879999999</v>
      </c>
      <c r="L137" s="39">
        <v>1650</v>
      </c>
      <c r="M137" s="39">
        <f>+L137-L137*0.16</f>
        <v>1386</v>
      </c>
      <c r="N137" s="50">
        <f>1-(M137/L137)</f>
        <v>0.16000000000000003</v>
      </c>
      <c r="O137" s="51">
        <f>+'Trim Rwd'!H115</f>
        <v>270</v>
      </c>
      <c r="P137" s="52">
        <f>O137*(Q137-R137-S137)</f>
        <v>103140</v>
      </c>
      <c r="Q137" s="51">
        <v>390</v>
      </c>
      <c r="R137" s="419">
        <v>0</v>
      </c>
      <c r="S137" s="419">
        <v>8</v>
      </c>
      <c r="T137" s="41">
        <f>E137*M137*O137*Q137/100000000</f>
        <v>15.032417400000002</v>
      </c>
      <c r="U137" s="41">
        <f>E137*M137*O137*(Q137-R137-S137)/100000000</f>
        <v>14.724060120000003</v>
      </c>
      <c r="V137" s="41">
        <f>E137*G137*(1-N137)*O137/100*(R137+S137)/1000000</f>
        <v>0.32330793599999996</v>
      </c>
      <c r="W137" s="41">
        <f>+'29'!K17/1000</f>
        <v>14.753</v>
      </c>
      <c r="X137" s="416"/>
      <c r="Y137" s="221"/>
      <c r="Z137" s="41">
        <v>0</v>
      </c>
      <c r="AA137" s="53"/>
      <c r="AB137" s="53"/>
      <c r="AC137" s="41">
        <f>K137-T137</f>
        <v>0.72884447999999757</v>
      </c>
      <c r="AD137" s="41">
        <f>+AM137+BA137</f>
        <v>16</v>
      </c>
      <c r="AE137" s="240" t="s">
        <v>779</v>
      </c>
      <c r="AF137" s="41"/>
      <c r="AG137" s="41">
        <v>16</v>
      </c>
      <c r="AH137" s="41"/>
      <c r="AI137" s="458"/>
      <c r="AJ137" s="41"/>
      <c r="AK137" s="41"/>
      <c r="AL137" s="41"/>
      <c r="AM137" s="41">
        <f>SUM(AF137:AL137)+AT137+AV137+AX137</f>
        <v>16</v>
      </c>
      <c r="AN137" s="89"/>
      <c r="AO137" s="41"/>
      <c r="AP137" s="41"/>
      <c r="AQ137" s="41"/>
      <c r="AR137" s="41">
        <f>SUM(AN137:AQ137)</f>
        <v>0</v>
      </c>
      <c r="AS137" s="41"/>
      <c r="AT137" s="41"/>
      <c r="AU137" s="41"/>
      <c r="AV137" s="41"/>
      <c r="AW137" s="41"/>
      <c r="AX137" s="41"/>
      <c r="AY137" s="41"/>
      <c r="AZ137" s="41"/>
      <c r="BA137" s="41">
        <f>+AR137+AS137+AU137+AW137+AY137+AZ137</f>
        <v>0</v>
      </c>
      <c r="BB137" s="54"/>
      <c r="BC137" s="55">
        <v>12</v>
      </c>
      <c r="BD137" s="55"/>
      <c r="BE137" s="54"/>
      <c r="BF137" s="55"/>
    </row>
    <row r="138" spans="1:58" ht="12.95" customHeight="1">
      <c r="A138" s="44"/>
      <c r="B138" s="45" t="s">
        <v>721</v>
      </c>
      <c r="C138" s="449"/>
      <c r="D138" s="45"/>
      <c r="E138" s="46">
        <v>15</v>
      </c>
      <c r="F138" s="46"/>
      <c r="G138" s="462"/>
      <c r="H138" s="48"/>
      <c r="I138" s="49"/>
      <c r="J138" s="88"/>
      <c r="K138" s="88"/>
      <c r="L138" s="39"/>
      <c r="M138" s="39"/>
      <c r="N138" s="50"/>
      <c r="O138" s="51"/>
      <c r="P138" s="52"/>
      <c r="Q138" s="51"/>
      <c r="R138" s="419"/>
      <c r="S138" s="419"/>
      <c r="T138" s="41"/>
      <c r="U138" s="41"/>
      <c r="V138" s="41"/>
      <c r="W138" s="41">
        <f>+'29'!K20/1000</f>
        <v>3.996</v>
      </c>
      <c r="X138" s="42"/>
      <c r="Y138" s="221"/>
      <c r="Z138" s="41">
        <f>+'29'!D8/1000</f>
        <v>0.111</v>
      </c>
      <c r="AA138" s="41"/>
      <c r="AB138" s="41"/>
      <c r="AC138" s="41"/>
      <c r="AD138" s="41">
        <f>+AM138+BA138</f>
        <v>25</v>
      </c>
      <c r="AE138" s="240" t="s">
        <v>581</v>
      </c>
      <c r="AF138" s="37"/>
      <c r="AG138" s="37"/>
      <c r="AH138" s="37">
        <v>25</v>
      </c>
      <c r="AI138" s="458"/>
      <c r="AJ138" s="41"/>
      <c r="AK138" s="41"/>
      <c r="AL138" s="41"/>
      <c r="AM138" s="41">
        <f>SUM(AF138:AL138)+AT138+AV138+AX138</f>
        <v>25</v>
      </c>
      <c r="AN138" s="41"/>
      <c r="AO138" s="41"/>
      <c r="AP138" s="41"/>
      <c r="AQ138" s="41"/>
      <c r="AR138" s="41">
        <f>SUM(AN138:AQ138)</f>
        <v>0</v>
      </c>
      <c r="AS138" s="41"/>
      <c r="AT138" s="41"/>
      <c r="AU138" s="41"/>
      <c r="AV138" s="41"/>
      <c r="AW138" s="41"/>
      <c r="AX138" s="41"/>
      <c r="AY138" s="41"/>
      <c r="AZ138" s="41"/>
      <c r="BA138" s="41">
        <f>+AR138+AS138+AU138+AW138+AY138+AZ138</f>
        <v>0</v>
      </c>
      <c r="BB138" s="37"/>
      <c r="BC138" s="57"/>
      <c r="BD138" s="57"/>
      <c r="BE138" s="37"/>
      <c r="BF138" s="57"/>
    </row>
    <row r="139" spans="1:58" ht="12.95" customHeight="1">
      <c r="A139" s="44"/>
      <c r="B139" s="45" t="s">
        <v>721</v>
      </c>
      <c r="C139" s="449"/>
      <c r="D139" s="45"/>
      <c r="E139" s="46">
        <v>16</v>
      </c>
      <c r="F139" s="46"/>
      <c r="G139" s="47"/>
      <c r="H139" s="48"/>
      <c r="I139" s="49"/>
      <c r="J139" s="88"/>
      <c r="K139" s="88"/>
      <c r="L139" s="39"/>
      <c r="M139" s="39"/>
      <c r="N139" s="50"/>
      <c r="O139" s="51"/>
      <c r="P139" s="52"/>
      <c r="Q139" s="38"/>
      <c r="R139" s="419"/>
      <c r="S139" s="419"/>
      <c r="T139" s="41"/>
      <c r="U139" s="41"/>
      <c r="V139" s="41"/>
      <c r="W139" s="41">
        <f>+'29'!K21/1000</f>
        <v>11.026</v>
      </c>
      <c r="X139" s="42"/>
      <c r="Y139" s="42"/>
      <c r="Z139" s="41">
        <f>+('29'!D9+'29'!D17)/1000</f>
        <v>0.184</v>
      </c>
      <c r="AA139" s="53"/>
      <c r="AB139" s="53"/>
      <c r="AC139" s="41"/>
      <c r="AD139" s="41">
        <f>+AM139+BA139</f>
        <v>8</v>
      </c>
      <c r="AE139" s="243" t="s">
        <v>541</v>
      </c>
      <c r="AF139" s="37"/>
      <c r="AG139" s="37"/>
      <c r="AH139" s="37"/>
      <c r="AI139" s="458">
        <v>8</v>
      </c>
      <c r="AJ139" s="41"/>
      <c r="AK139" s="41"/>
      <c r="AL139" s="41"/>
      <c r="AM139" s="41">
        <f>SUM(AF139:AL139)+AT139+AV139+AX139</f>
        <v>8</v>
      </c>
      <c r="AN139" s="41"/>
      <c r="AO139" s="41"/>
      <c r="AP139" s="41"/>
      <c r="AQ139" s="41"/>
      <c r="AR139" s="41">
        <f>SUM(AN139:AQ139)</f>
        <v>0</v>
      </c>
      <c r="AS139" s="41"/>
      <c r="AT139" s="41"/>
      <c r="AU139" s="41"/>
      <c r="AV139" s="41"/>
      <c r="AW139" s="41"/>
      <c r="AX139" s="41"/>
      <c r="AY139" s="41"/>
      <c r="AZ139" s="41"/>
      <c r="BA139" s="41">
        <f>+AR139+AS139+AU139+AW139+AY139+AZ139</f>
        <v>0</v>
      </c>
      <c r="BB139" s="37"/>
      <c r="BC139" s="57"/>
      <c r="BD139" s="57"/>
      <c r="BE139" s="37"/>
      <c r="BF139" s="57"/>
    </row>
    <row r="140" spans="1:58" ht="12.95" customHeight="1">
      <c r="A140" s="44"/>
      <c r="B140" s="3"/>
      <c r="C140" s="449"/>
      <c r="D140" s="45"/>
      <c r="E140" s="257"/>
      <c r="F140" s="46"/>
      <c r="G140" s="47"/>
      <c r="H140" s="48"/>
      <c r="I140" s="49"/>
      <c r="J140" s="88"/>
      <c r="K140" s="88"/>
      <c r="L140" s="39"/>
      <c r="M140" s="39"/>
      <c r="N140" s="50"/>
      <c r="O140" s="51"/>
      <c r="P140" s="52"/>
      <c r="Q140" s="349"/>
      <c r="R140" s="54"/>
      <c r="S140" s="54"/>
      <c r="T140" s="41"/>
      <c r="U140" s="41"/>
      <c r="V140" s="41"/>
      <c r="W140" s="37"/>
      <c r="X140" s="42"/>
      <c r="Y140" s="42"/>
      <c r="Z140" s="616"/>
      <c r="AA140" s="53"/>
      <c r="AB140" s="53"/>
      <c r="AC140" s="41"/>
      <c r="AD140" s="41"/>
      <c r="AE140" s="22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37"/>
      <c r="BC140" s="55"/>
      <c r="BD140" s="55"/>
      <c r="BE140" s="55"/>
      <c r="BF140" s="55"/>
    </row>
    <row r="141" spans="1:58" ht="12.75" customHeight="1">
      <c r="A141" s="344">
        <v>45899</v>
      </c>
      <c r="B141" s="45" t="s">
        <v>7</v>
      </c>
      <c r="C141" s="449">
        <f>(M141*E141*O141*Q141)/100000000</f>
        <v>55.824852464639996</v>
      </c>
      <c r="D141" s="45" t="s">
        <v>407</v>
      </c>
      <c r="E141" s="46">
        <v>10.3</v>
      </c>
      <c r="F141" s="46">
        <v>1</v>
      </c>
      <c r="G141" s="462">
        <v>1730</v>
      </c>
      <c r="H141" s="48">
        <v>0.16</v>
      </c>
      <c r="I141" s="49">
        <v>0.88</v>
      </c>
      <c r="J141" s="88">
        <f>E141*G141*(1-H141)*1440/1000000*2.77</f>
        <v>59.704198847999997</v>
      </c>
      <c r="K141" s="88">
        <f>(IF(G141&lt;L141,L141,G141)*(1-IF(H141&lt;N141,H141,N141))*E141*O141*Q141)/100000000</f>
        <v>57.807458956799991</v>
      </c>
      <c r="L141" s="39">
        <v>1670.6666666666667</v>
      </c>
      <c r="M141" s="39">
        <v>1403.36</v>
      </c>
      <c r="N141" s="50">
        <f>1-(M141/L141)</f>
        <v>0.16000000000000014</v>
      </c>
      <c r="O141" s="51">
        <f>+'Trim Rwd'!H119</f>
        <v>268.2</v>
      </c>
      <c r="P141" s="52">
        <f>O141*(Q141-R141-S141)</f>
        <v>377089.2</v>
      </c>
      <c r="Q141" s="51">
        <v>1440</v>
      </c>
      <c r="R141" s="419">
        <v>0</v>
      </c>
      <c r="S141" s="419">
        <v>34</v>
      </c>
      <c r="T141" s="41">
        <f>E141*M141*O141*Q141/100000000</f>
        <v>55.824852464639996</v>
      </c>
      <c r="U141" s="41">
        <f>E141*M141*O141*(Q141-R141-S141)/100000000</f>
        <v>54.506765670336002</v>
      </c>
      <c r="V141" s="41">
        <f>E141*G141*(1-N141)*O141/100*(R141+S141)/1000000</f>
        <v>1.3648983364799996</v>
      </c>
      <c r="W141" s="41">
        <f>+'30'!K17/1000</f>
        <v>54.697000000000003</v>
      </c>
      <c r="X141" s="416">
        <f>SUM(W141:W144)/SUM(K141:K144)</f>
        <v>1.0587561035287552</v>
      </c>
      <c r="Y141" s="221">
        <v>0</v>
      </c>
      <c r="Z141" s="41">
        <v>0</v>
      </c>
      <c r="AA141" s="53">
        <f>SUM(U141:U144)-SUM(W141:W144)-SUM(Z141:Z144)-SUM(Y141:Y144)</f>
        <v>-6.9372343296639993</v>
      </c>
      <c r="AB141" s="53">
        <f>(SUM(K141:K144)-SUM(W141:W144)-SUM(Y141:Y144)-SUM(Z141:Z144)-SUM(AC141:AC144)-SUM(V141:V144))-AA141</f>
        <v>-4.6811542176005361E-2</v>
      </c>
      <c r="AC141" s="41">
        <f>K141-T141</f>
        <v>1.9826064921599951</v>
      </c>
      <c r="AD141" s="41">
        <f>+AM141+BA141</f>
        <v>0</v>
      </c>
      <c r="AE141" s="240" t="s">
        <v>277</v>
      </c>
      <c r="AF141" s="41">
        <v>0</v>
      </c>
      <c r="AG141" s="41"/>
      <c r="AH141" s="41"/>
      <c r="AI141" s="458"/>
      <c r="AJ141" s="41"/>
      <c r="AK141" s="41"/>
      <c r="AL141" s="41"/>
      <c r="AM141" s="41">
        <f>SUM(AF141:AL141)+AT141+AV141+AX141</f>
        <v>0</v>
      </c>
      <c r="AN141" s="41"/>
      <c r="AO141" s="41"/>
      <c r="AP141" s="41"/>
      <c r="AQ141" s="41"/>
      <c r="AR141" s="41">
        <f>SUM(AN141:AQ141)</f>
        <v>0</v>
      </c>
      <c r="AS141" s="41"/>
      <c r="AT141" s="41"/>
      <c r="AU141" s="41"/>
      <c r="AV141" s="41"/>
      <c r="AW141" s="41"/>
      <c r="AX141" s="41"/>
      <c r="AY141" s="41"/>
      <c r="AZ141" s="41"/>
      <c r="BA141" s="41">
        <f>+AR141+AS141+AU141+AW141+AY141+AZ141</f>
        <v>0</v>
      </c>
      <c r="BB141" s="37">
        <v>0</v>
      </c>
      <c r="BC141" s="55"/>
      <c r="BD141" s="55"/>
      <c r="BE141" s="37"/>
      <c r="BF141" s="55"/>
    </row>
    <row r="142" spans="1:58" ht="12.95" customHeight="1">
      <c r="A142" s="344"/>
      <c r="B142" s="45"/>
      <c r="C142" s="449"/>
      <c r="D142" s="45"/>
      <c r="E142" s="46"/>
      <c r="F142" s="46"/>
      <c r="G142" s="462"/>
      <c r="H142" s="48"/>
      <c r="I142" s="49"/>
      <c r="J142" s="88"/>
      <c r="K142" s="88"/>
      <c r="L142" s="39"/>
      <c r="M142" s="39"/>
      <c r="N142" s="50"/>
      <c r="O142" s="51"/>
      <c r="P142" s="52"/>
      <c r="Q142" s="51"/>
      <c r="R142" s="419"/>
      <c r="S142" s="419"/>
      <c r="T142" s="41"/>
      <c r="U142" s="41"/>
      <c r="V142" s="41"/>
      <c r="W142" s="41">
        <f>+'30'!K22/1000</f>
        <v>6.5069999999999997</v>
      </c>
      <c r="X142" s="416"/>
      <c r="Y142" s="221"/>
      <c r="Z142" s="41">
        <f>+'30'!D8/1000</f>
        <v>0.24</v>
      </c>
      <c r="AA142" s="53"/>
      <c r="AB142" s="53"/>
      <c r="AC142" s="41"/>
      <c r="AD142" s="41">
        <f>+AM142+BA142</f>
        <v>10</v>
      </c>
      <c r="AE142" s="240" t="s">
        <v>702</v>
      </c>
      <c r="AF142" s="41"/>
      <c r="AG142" s="41">
        <v>10</v>
      </c>
      <c r="AH142" s="41"/>
      <c r="AI142" s="458"/>
      <c r="AJ142" s="41"/>
      <c r="AK142" s="41"/>
      <c r="AL142" s="41"/>
      <c r="AM142" s="41">
        <f>SUM(AF142:AL142)+AT142+AV142+AX142</f>
        <v>10</v>
      </c>
      <c r="AN142" s="89"/>
      <c r="AO142" s="41"/>
      <c r="AP142" s="41"/>
      <c r="AQ142" s="41"/>
      <c r="AR142" s="41">
        <f>SUM(AN142:AQ142)</f>
        <v>0</v>
      </c>
      <c r="AS142" s="41"/>
      <c r="AT142" s="41"/>
      <c r="AU142" s="41"/>
      <c r="AV142" s="41"/>
      <c r="AW142" s="41"/>
      <c r="AX142" s="41"/>
      <c r="AY142" s="41"/>
      <c r="AZ142" s="41"/>
      <c r="BA142" s="41">
        <f>+AR142+AS142+AU142+AW142+AY142+AZ142</f>
        <v>0</v>
      </c>
      <c r="BB142" s="54"/>
      <c r="BC142" s="55">
        <v>18</v>
      </c>
      <c r="BD142" s="55"/>
      <c r="BE142" s="54"/>
      <c r="BF142" s="55"/>
    </row>
    <row r="143" spans="1:58" ht="12.95" customHeight="1">
      <c r="A143" s="44"/>
      <c r="B143" s="45"/>
      <c r="C143" s="449"/>
      <c r="D143" s="45"/>
      <c r="E143" s="46"/>
      <c r="F143" s="46"/>
      <c r="G143" s="462"/>
      <c r="H143" s="48"/>
      <c r="I143" s="49"/>
      <c r="J143" s="88"/>
      <c r="K143" s="88"/>
      <c r="L143" s="39"/>
      <c r="M143" s="39"/>
      <c r="N143" s="50"/>
      <c r="O143" s="51"/>
      <c r="P143" s="52"/>
      <c r="Q143" s="51"/>
      <c r="R143" s="419"/>
      <c r="S143" s="419"/>
      <c r="T143" s="41"/>
      <c r="U143" s="41"/>
      <c r="V143" s="41"/>
      <c r="W143" s="41"/>
      <c r="X143" s="42"/>
      <c r="Y143" s="221"/>
      <c r="Z143" s="41"/>
      <c r="AA143" s="41"/>
      <c r="AB143" s="41"/>
      <c r="AC143" s="41"/>
      <c r="AD143" s="41">
        <f>+AM143+BA143</f>
        <v>10</v>
      </c>
      <c r="AE143" s="240" t="s">
        <v>723</v>
      </c>
      <c r="AF143" s="37"/>
      <c r="AG143" s="37"/>
      <c r="AH143" s="37">
        <v>10</v>
      </c>
      <c r="AI143" s="458"/>
      <c r="AJ143" s="41"/>
      <c r="AK143" s="41"/>
      <c r="AL143" s="41"/>
      <c r="AM143" s="41">
        <f>SUM(AF143:AL143)+AT143+AV143+AX143</f>
        <v>10</v>
      </c>
      <c r="AN143" s="41"/>
      <c r="AO143" s="41"/>
      <c r="AP143" s="41"/>
      <c r="AQ143" s="41"/>
      <c r="AR143" s="41">
        <f>SUM(AN143:AQ143)</f>
        <v>0</v>
      </c>
      <c r="AS143" s="41"/>
      <c r="AT143" s="41"/>
      <c r="AU143" s="41"/>
      <c r="AV143" s="41"/>
      <c r="AW143" s="41"/>
      <c r="AX143" s="41"/>
      <c r="AY143" s="41"/>
      <c r="AZ143" s="41"/>
      <c r="BA143" s="41">
        <f>+AR143+AS143+AU143+AW143+AY143+AZ143</f>
        <v>0</v>
      </c>
      <c r="BB143" s="37"/>
      <c r="BC143" s="57"/>
      <c r="BD143" s="57"/>
      <c r="BE143" s="37"/>
      <c r="BF143" s="57"/>
    </row>
    <row r="144" spans="1:58" ht="12.95" customHeight="1">
      <c r="A144" s="44"/>
      <c r="B144" s="3"/>
      <c r="C144" s="449"/>
      <c r="D144" s="45"/>
      <c r="E144" s="257"/>
      <c r="F144" s="46"/>
      <c r="G144" s="47"/>
      <c r="H144" s="48"/>
      <c r="I144" s="49"/>
      <c r="J144" s="88"/>
      <c r="K144" s="88"/>
      <c r="L144" s="39"/>
      <c r="M144" s="39"/>
      <c r="N144" s="50"/>
      <c r="O144" s="51"/>
      <c r="P144" s="52"/>
      <c r="Q144" s="349"/>
      <c r="R144" s="54"/>
      <c r="S144" s="54"/>
      <c r="T144" s="41"/>
      <c r="U144" s="41"/>
      <c r="V144" s="41"/>
      <c r="W144" s="37"/>
      <c r="X144" s="42"/>
      <c r="Y144" s="42"/>
      <c r="Z144" s="616"/>
      <c r="AA144" s="53"/>
      <c r="AB144" s="53"/>
      <c r="AC144" s="41"/>
      <c r="AD144" s="41"/>
      <c r="AE144" s="22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37"/>
      <c r="BC144" s="55"/>
      <c r="BD144" s="55"/>
      <c r="BE144" s="55"/>
      <c r="BF144" s="55"/>
    </row>
    <row r="145" spans="1:58" ht="12.75" customHeight="1">
      <c r="A145" s="344">
        <v>45900</v>
      </c>
      <c r="B145" s="45" t="s">
        <v>7</v>
      </c>
      <c r="C145" s="449">
        <f>(M145*E145*O145*Q145)/100000000</f>
        <v>38.581729997023253</v>
      </c>
      <c r="D145" s="45" t="s">
        <v>407</v>
      </c>
      <c r="E145" s="46">
        <v>10.3</v>
      </c>
      <c r="F145" s="46">
        <v>1</v>
      </c>
      <c r="G145" s="462">
        <v>1730</v>
      </c>
      <c r="H145" s="48">
        <v>0.16</v>
      </c>
      <c r="I145" s="49">
        <v>0.88</v>
      </c>
      <c r="J145" s="88">
        <f>E145*G145*(1-H145)*1440/1000000*2.77</f>
        <v>59.704198847999997</v>
      </c>
      <c r="K145" s="88">
        <f>(IF(G145&lt;L145,L145,G145)*(1-IF(H145&lt;N145,H145,N145))*E145*O145*Q145)/100000000</f>
        <v>39.729995770744182</v>
      </c>
      <c r="L145" s="39">
        <v>1680</v>
      </c>
      <c r="M145" s="39">
        <f>+L145-L145*0.16</f>
        <v>1411.2</v>
      </c>
      <c r="N145" s="50">
        <f>1-(M145/L145)</f>
        <v>0.15999999999999992</v>
      </c>
      <c r="O145" s="51">
        <f>+'Trim Rwd'!H123</f>
        <v>266.76744186046511</v>
      </c>
      <c r="P145" s="52">
        <f>O145*(Q145-R145-S145)</f>
        <v>262765.93023255811</v>
      </c>
      <c r="Q145" s="51">
        <v>995</v>
      </c>
      <c r="R145" s="419">
        <v>0</v>
      </c>
      <c r="S145" s="419">
        <v>10</v>
      </c>
      <c r="T145" s="41">
        <f>E145*M145*O145*Q145/100000000</f>
        <v>38.581729997023253</v>
      </c>
      <c r="U145" s="41">
        <f>E145*M145*O145*(Q145-R145-S145)/100000000</f>
        <v>38.19397391665116</v>
      </c>
      <c r="V145" s="41">
        <f>E145*G145*(1-N145)*O145/100*(R145+S145)/1000000</f>
        <v>0.39929643990697677</v>
      </c>
      <c r="W145" s="41">
        <f>+'31'!K17/1000</f>
        <v>44.966000000000001</v>
      </c>
      <c r="X145" s="416">
        <f>SUM(W145:W148)/SUM(K145:K148)</f>
        <v>0.81840225842820513</v>
      </c>
      <c r="Y145" s="221">
        <f>+SUM(RBP!$AG$3:$AG$4)</f>
        <v>14.096</v>
      </c>
      <c r="Z145" s="41">
        <v>0</v>
      </c>
      <c r="AA145" s="53">
        <f>SUM(U145:U148)-SUM(W145:W148)-SUM(Z145:Z148)-SUM(Y145:Y148)</f>
        <v>-5.5653172833488433</v>
      </c>
      <c r="AB145" s="53">
        <f>(SUM(K145:K148)-SUM(W145:W148)-SUM(Y145:Y148)-SUM(Z145:Z148)-SUM(AC145:AC148)-SUM(V145:V148))-AA145</f>
        <v>-1.6647559534886724E-2</v>
      </c>
      <c r="AC145" s="41">
        <f>K145-T145</f>
        <v>1.1482657737209294</v>
      </c>
      <c r="AD145" s="41">
        <f>+AM145+BA145</f>
        <v>0</v>
      </c>
      <c r="AE145" s="240" t="s">
        <v>277</v>
      </c>
      <c r="AF145" s="41">
        <v>0</v>
      </c>
      <c r="AG145" s="41"/>
      <c r="AH145" s="41"/>
      <c r="AI145" s="458"/>
      <c r="AJ145" s="41"/>
      <c r="AK145" s="41"/>
      <c r="AL145" s="41"/>
      <c r="AM145" s="41">
        <f>SUM(AF145:AL145)+AT145+AV145+AX145</f>
        <v>0</v>
      </c>
      <c r="AN145" s="41"/>
      <c r="AO145" s="41"/>
      <c r="AP145" s="41"/>
      <c r="AQ145" s="41"/>
      <c r="AR145" s="41">
        <f>SUM(AN145:AQ145)</f>
        <v>0</v>
      </c>
      <c r="AS145" s="41"/>
      <c r="AT145" s="41"/>
      <c r="AU145" s="41"/>
      <c r="AV145" s="41"/>
      <c r="AW145" s="41"/>
      <c r="AX145" s="41"/>
      <c r="AY145" s="41"/>
      <c r="AZ145" s="41"/>
      <c r="BA145" s="41">
        <f>+AR145+AS145+AU145+AW145+AY145+AZ145</f>
        <v>0</v>
      </c>
      <c r="BB145" s="37">
        <v>0</v>
      </c>
      <c r="BC145" s="55"/>
      <c r="BD145" s="55"/>
      <c r="BE145" s="37"/>
      <c r="BF145" s="55"/>
    </row>
    <row r="146" spans="1:58" ht="12.95" customHeight="1">
      <c r="A146" s="344"/>
      <c r="B146" s="45" t="s">
        <v>7</v>
      </c>
      <c r="C146" s="449">
        <f>(M146*E146*O146*Q146)/100000000</f>
        <v>19.090713600000001</v>
      </c>
      <c r="D146" s="45" t="s">
        <v>407</v>
      </c>
      <c r="E146" s="46">
        <v>12</v>
      </c>
      <c r="F146" s="46">
        <v>1</v>
      </c>
      <c r="G146" s="462">
        <v>1700</v>
      </c>
      <c r="H146" s="48">
        <v>0.2</v>
      </c>
      <c r="I146" s="49">
        <v>0.88</v>
      </c>
      <c r="J146" s="88">
        <f>E146*G146*(1-H146)*1440/1000000*2.77</f>
        <v>65.097216000000003</v>
      </c>
      <c r="K146" s="88">
        <f>(IF(G146&lt;L146,L146,G146)*(1-IF(H146&lt;N146,H146,N146))*E146*O146*Q146)/100000000</f>
        <v>19.317983999999999</v>
      </c>
      <c r="L146" s="39">
        <v>1680</v>
      </c>
      <c r="M146" s="39">
        <f>+L146-L146*0.2</f>
        <v>1344</v>
      </c>
      <c r="N146" s="50">
        <f>1-(M146/L146)</f>
        <v>0.19999999999999996</v>
      </c>
      <c r="O146" s="51">
        <f>+'Trim Rwd'!H125</f>
        <v>266</v>
      </c>
      <c r="P146" s="52">
        <f>O146*(Q146-R146-S146)</f>
        <v>115710</v>
      </c>
      <c r="Q146" s="51">
        <v>445</v>
      </c>
      <c r="R146" s="419">
        <v>0</v>
      </c>
      <c r="S146" s="419">
        <v>10</v>
      </c>
      <c r="T146" s="41">
        <f>E146*M146*O146*Q146/100000000</f>
        <v>19.090713600000001</v>
      </c>
      <c r="U146" s="41">
        <f>E146*M146*O146*(Q146-R146-S146)/100000000</f>
        <v>18.6617088</v>
      </c>
      <c r="V146" s="41">
        <f>E146*G146*(1-N146)*O146/100*(R146+S146)/1000000</f>
        <v>0.434112</v>
      </c>
      <c r="W146" s="41">
        <f>+'31'!K23/1000</f>
        <v>3.359</v>
      </c>
      <c r="X146" s="416"/>
      <c r="Y146" s="221"/>
      <c r="Z146" s="41">
        <v>0</v>
      </c>
      <c r="AA146" s="53"/>
      <c r="AB146" s="53"/>
      <c r="AC146" s="41">
        <f>K146-T146</f>
        <v>0.22727039999999832</v>
      </c>
      <c r="AD146" s="41">
        <f>+AM146+BA146</f>
        <v>14</v>
      </c>
      <c r="AE146" s="240" t="s">
        <v>722</v>
      </c>
      <c r="AF146" s="41"/>
      <c r="AG146" s="41">
        <v>14</v>
      </c>
      <c r="AH146" s="41"/>
      <c r="AI146" s="458"/>
      <c r="AJ146" s="41"/>
      <c r="AK146" s="41"/>
      <c r="AL146" s="41"/>
      <c r="AM146" s="41">
        <f>SUM(AF146:AL146)+AT146+AV146+AX146</f>
        <v>14</v>
      </c>
      <c r="AN146" s="89"/>
      <c r="AO146" s="41"/>
      <c r="AP146" s="41"/>
      <c r="AQ146" s="41"/>
      <c r="AR146" s="41">
        <f>SUM(AN146:AQ146)</f>
        <v>0</v>
      </c>
      <c r="AS146" s="41"/>
      <c r="AT146" s="41"/>
      <c r="AU146" s="41"/>
      <c r="AV146" s="41"/>
      <c r="AW146" s="41"/>
      <c r="AX146" s="41"/>
      <c r="AY146" s="41"/>
      <c r="AZ146" s="41"/>
      <c r="BA146" s="41">
        <f>+AR146+AS146+AU146+AW146+AY146+AZ146</f>
        <v>0</v>
      </c>
      <c r="BB146" s="54"/>
      <c r="BC146" s="55">
        <v>13</v>
      </c>
      <c r="BD146" s="55"/>
      <c r="BE146" s="54"/>
      <c r="BF146" s="55"/>
    </row>
    <row r="147" spans="1:58" ht="12.95" customHeight="1">
      <c r="A147" s="44"/>
      <c r="B147" s="45"/>
      <c r="C147" s="449"/>
      <c r="D147" s="45"/>
      <c r="E147" s="46"/>
      <c r="F147" s="46"/>
      <c r="G147" s="462"/>
      <c r="H147" s="48"/>
      <c r="I147" s="49"/>
      <c r="J147" s="88"/>
      <c r="K147" s="88"/>
      <c r="L147" s="39"/>
      <c r="M147" s="39"/>
      <c r="N147" s="50"/>
      <c r="O147" s="51"/>
      <c r="P147" s="52"/>
      <c r="Q147" s="51"/>
      <c r="R147" s="419"/>
      <c r="S147" s="419"/>
      <c r="T147" s="41"/>
      <c r="U147" s="41"/>
      <c r="V147" s="41"/>
      <c r="W147" s="41"/>
      <c r="X147" s="42"/>
      <c r="Y147" s="221"/>
      <c r="Z147" s="41"/>
      <c r="AA147" s="41"/>
      <c r="AB147" s="41"/>
      <c r="AC147" s="41"/>
      <c r="AD147" s="41">
        <f>+AM147+BA147</f>
        <v>20</v>
      </c>
      <c r="AE147" s="240" t="s">
        <v>685</v>
      </c>
      <c r="AF147" s="37"/>
      <c r="AG147" s="37"/>
      <c r="AH147" s="37">
        <v>20</v>
      </c>
      <c r="AI147" s="458"/>
      <c r="AJ147" s="41"/>
      <c r="AK147" s="41"/>
      <c r="AL147" s="41"/>
      <c r="AM147" s="41">
        <f>SUM(AF147:AL147)+AT147+AV147+AX147</f>
        <v>20</v>
      </c>
      <c r="AN147" s="41"/>
      <c r="AO147" s="41"/>
      <c r="AP147" s="41"/>
      <c r="AQ147" s="41"/>
      <c r="AR147" s="41">
        <f>SUM(AN147:AQ147)</f>
        <v>0</v>
      </c>
      <c r="AS147" s="41"/>
      <c r="AT147" s="41"/>
      <c r="AU147" s="41"/>
      <c r="AV147" s="41"/>
      <c r="AW147" s="41"/>
      <c r="AX147" s="41"/>
      <c r="AY147" s="41"/>
      <c r="AZ147" s="41"/>
      <c r="BA147" s="41">
        <f>+AR147+AS147+AU147+AW147+AY147+AZ147</f>
        <v>0</v>
      </c>
      <c r="BB147" s="37"/>
      <c r="BC147" s="57"/>
      <c r="BD147" s="57"/>
      <c r="BE147" s="37"/>
      <c r="BF147" s="57"/>
    </row>
    <row r="148" spans="1:58" ht="12.95" customHeight="1">
      <c r="A148" s="44"/>
      <c r="B148" s="3"/>
      <c r="C148" s="449"/>
      <c r="D148" s="45"/>
      <c r="E148" s="257"/>
      <c r="F148" s="46"/>
      <c r="G148" s="47"/>
      <c r="H148" s="48"/>
      <c r="I148" s="49"/>
      <c r="J148" s="88"/>
      <c r="K148" s="88"/>
      <c r="L148" s="39"/>
      <c r="M148" s="39"/>
      <c r="N148" s="50"/>
      <c r="O148" s="51"/>
      <c r="P148" s="52"/>
      <c r="Q148" s="349"/>
      <c r="R148" s="54"/>
      <c r="S148" s="54"/>
      <c r="T148" s="41"/>
      <c r="U148" s="41"/>
      <c r="V148" s="41"/>
      <c r="W148" s="37"/>
      <c r="X148" s="42"/>
      <c r="Y148" s="42"/>
      <c r="Z148" s="616"/>
      <c r="AA148" s="53"/>
      <c r="AB148" s="53"/>
      <c r="AC148" s="41"/>
      <c r="AD148" s="41"/>
      <c r="AE148" s="22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37"/>
      <c r="BC148" s="55"/>
      <c r="BD148" s="55"/>
      <c r="BE148" s="55"/>
      <c r="BF148" s="55"/>
    </row>
    <row r="149" spans="1:58">
      <c r="R149" s="420"/>
      <c r="S149" s="420"/>
      <c r="AA149" s="258">
        <f>U149-W149-Z149</f>
        <v>0</v>
      </c>
      <c r="AB149" s="258"/>
      <c r="AC149" s="259">
        <f>K149-T149</f>
        <v>0</v>
      </c>
      <c r="AD149" s="41"/>
      <c r="AF149" s="56"/>
      <c r="AG149" s="56"/>
      <c r="AH149" s="56"/>
      <c r="AI149" s="56"/>
      <c r="AJ149" s="56"/>
      <c r="AK149" s="56"/>
      <c r="AL149" s="56"/>
      <c r="AM149" s="41"/>
      <c r="AN149" s="56"/>
      <c r="AO149" s="56"/>
      <c r="AP149" s="56"/>
      <c r="AQ149" s="56"/>
      <c r="AR149" s="41"/>
      <c r="AS149" s="56"/>
      <c r="AT149" s="56"/>
      <c r="AU149" s="56"/>
      <c r="AV149" s="56"/>
      <c r="AW149" s="56"/>
      <c r="AX149" s="56"/>
      <c r="AY149" s="56"/>
      <c r="AZ149" s="56"/>
      <c r="BA149" s="41"/>
      <c r="BB149" s="37"/>
      <c r="BC149" s="55"/>
      <c r="BD149" s="55"/>
      <c r="BE149" s="55"/>
      <c r="BF149" s="55"/>
    </row>
    <row r="150" spans="1:58" s="29" customFormat="1" ht="12.95" customHeight="1">
      <c r="A150" s="62"/>
      <c r="B150" s="63"/>
      <c r="C150" s="450">
        <f>SUM(C6:C148)</f>
        <v>2005.8228487202475</v>
      </c>
      <c r="D150" s="63"/>
      <c r="E150" s="64"/>
      <c r="F150" s="64"/>
      <c r="G150" s="65"/>
      <c r="H150" s="65"/>
      <c r="I150" s="66">
        <v>0.85</v>
      </c>
      <c r="J150" s="88"/>
      <c r="K150" s="90">
        <f>SUM(K6:K148)</f>
        <v>2073.1035041757914</v>
      </c>
      <c r="L150" s="68"/>
      <c r="M150" s="68"/>
      <c r="N150" s="69"/>
      <c r="O150" s="70">
        <f>P150/(Q150-R150-S150)</f>
        <v>267.12615626106486</v>
      </c>
      <c r="P150" s="67">
        <f>SUM(P6:P148)</f>
        <v>11141831.977649016</v>
      </c>
      <c r="Q150" s="351">
        <f>SUM(Q6:Q149)</f>
        <v>44640</v>
      </c>
      <c r="R150" s="67">
        <f t="shared" ref="R150:W150" si="0">SUM(R6:R148)</f>
        <v>1195</v>
      </c>
      <c r="S150" s="67">
        <f t="shared" si="0"/>
        <v>1735</v>
      </c>
      <c r="T150" s="67">
        <f t="shared" si="0"/>
        <v>2005.8228487202475</v>
      </c>
      <c r="U150" s="67">
        <f t="shared" si="0"/>
        <v>1890.0759244943233</v>
      </c>
      <c r="V150" s="376">
        <f t="shared" si="0"/>
        <v>133.83836779635098</v>
      </c>
      <c r="W150" s="461">
        <f t="shared" si="0"/>
        <v>1865.5170000000003</v>
      </c>
      <c r="X150" s="380">
        <f>W150/K150</f>
        <v>0.89986679210292408</v>
      </c>
      <c r="Y150" s="377">
        <f>SUM(Y6:Y148)</f>
        <v>14.096</v>
      </c>
      <c r="Z150" s="67">
        <f>SUM(Z6:Z148)</f>
        <v>33.051000000000002</v>
      </c>
      <c r="AA150" s="67">
        <f>SUM(AA6:AA148)</f>
        <v>-22.588075505677335</v>
      </c>
      <c r="AB150" s="67">
        <f>SUM(AB6:AB148)</f>
        <v>-17.970591930426473</v>
      </c>
      <c r="AC150" s="67">
        <f>SUM(AC6:AC148)</f>
        <v>67.159803815544208</v>
      </c>
      <c r="AD150" s="41">
        <f>SUM(AD6:AD149)</f>
        <v>2930</v>
      </c>
      <c r="AE150" s="71"/>
      <c r="AF150" s="67">
        <f t="shared" ref="AF150:BF150" si="1">SUM(AF6:AF149)</f>
        <v>441</v>
      </c>
      <c r="AG150" s="67">
        <f t="shared" si="1"/>
        <v>306</v>
      </c>
      <c r="AH150" s="67">
        <f t="shared" si="1"/>
        <v>703</v>
      </c>
      <c r="AI150" s="67">
        <f t="shared" si="1"/>
        <v>101</v>
      </c>
      <c r="AJ150" s="67">
        <f t="shared" si="1"/>
        <v>70</v>
      </c>
      <c r="AK150" s="67">
        <f t="shared" si="1"/>
        <v>114</v>
      </c>
      <c r="AL150" s="67">
        <f t="shared" si="1"/>
        <v>0</v>
      </c>
      <c r="AM150" s="67">
        <f t="shared" si="1"/>
        <v>1735</v>
      </c>
      <c r="AN150" s="56">
        <f t="shared" si="1"/>
        <v>0</v>
      </c>
      <c r="AO150" s="56">
        <f t="shared" si="1"/>
        <v>0</v>
      </c>
      <c r="AP150" s="56">
        <f t="shared" si="1"/>
        <v>105</v>
      </c>
      <c r="AQ150" s="56">
        <f t="shared" si="1"/>
        <v>0</v>
      </c>
      <c r="AR150" s="67">
        <f t="shared" si="1"/>
        <v>105</v>
      </c>
      <c r="AS150" s="67">
        <f t="shared" si="1"/>
        <v>1090</v>
      </c>
      <c r="AT150" s="67">
        <f t="shared" si="1"/>
        <v>0</v>
      </c>
      <c r="AU150" s="67">
        <f t="shared" si="1"/>
        <v>0</v>
      </c>
      <c r="AV150" s="67">
        <f t="shared" si="1"/>
        <v>0</v>
      </c>
      <c r="AW150" s="67">
        <f t="shared" si="1"/>
        <v>0</v>
      </c>
      <c r="AX150" s="67">
        <f t="shared" si="1"/>
        <v>0</v>
      </c>
      <c r="AY150" s="67">
        <f t="shared" si="1"/>
        <v>0</v>
      </c>
      <c r="AZ150" s="67">
        <f t="shared" si="1"/>
        <v>0</v>
      </c>
      <c r="BA150" s="67">
        <f t="shared" si="1"/>
        <v>1195</v>
      </c>
      <c r="BB150" s="56">
        <f t="shared" si="1"/>
        <v>82</v>
      </c>
      <c r="BC150" s="56">
        <f t="shared" si="1"/>
        <v>282</v>
      </c>
      <c r="BD150" s="56">
        <f t="shared" si="1"/>
        <v>0</v>
      </c>
      <c r="BE150" s="56">
        <f t="shared" si="1"/>
        <v>0</v>
      </c>
      <c r="BF150" s="56">
        <f t="shared" si="1"/>
        <v>0</v>
      </c>
    </row>
    <row r="151" spans="1:58" s="29" customFormat="1" ht="12.95" customHeight="1">
      <c r="A151" s="62"/>
      <c r="B151" s="63"/>
      <c r="C151" s="63"/>
      <c r="D151" s="63"/>
      <c r="E151" s="64"/>
      <c r="F151" s="64"/>
      <c r="G151" s="65"/>
      <c r="H151" s="65"/>
      <c r="I151" s="65"/>
      <c r="J151" s="91"/>
      <c r="K151" s="91"/>
      <c r="L151" s="68"/>
      <c r="M151" s="68"/>
      <c r="N151" s="69"/>
      <c r="O151" s="904"/>
      <c r="P151" s="905"/>
      <c r="Q151" s="65">
        <f>31*1440-Q150</f>
        <v>0</v>
      </c>
      <c r="R151" s="72">
        <f>R150/Q150</f>
        <v>2.6769713261648745E-2</v>
      </c>
      <c r="S151" s="72">
        <f>S150/Q150</f>
        <v>3.8866487455197135E-2</v>
      </c>
      <c r="T151" s="362"/>
      <c r="U151" s="362"/>
      <c r="V151" s="364">
        <f>V150/K150</f>
        <v>6.4559423842931285E-2</v>
      </c>
      <c r="W151" s="381" t="s">
        <v>173</v>
      </c>
      <c r="X151" s="382">
        <v>0.85</v>
      </c>
      <c r="Y151" s="378">
        <f>Y150/K150</f>
        <v>6.7994675478608964E-3</v>
      </c>
      <c r="Z151" s="618">
        <f>Z150/K150</f>
        <v>1.594276404117129E-2</v>
      </c>
      <c r="AA151" s="73">
        <f>AA150/K150</f>
        <v>-1.0895777977403848E-2</v>
      </c>
      <c r="AB151" s="73">
        <f>AB150/K150</f>
        <v>-8.6684489675642531E-3</v>
      </c>
      <c r="AC151" s="96">
        <f>AC150/K150</f>
        <v>3.2395779410080677E-2</v>
      </c>
      <c r="AD151" s="365"/>
      <c r="AE151" s="43"/>
      <c r="AF151" s="73">
        <f>AF150/$AD$150*$V$151</f>
        <v>9.7169644760179853E-3</v>
      </c>
      <c r="AG151" s="73">
        <f>AG150/$AD$150*$V$151</f>
        <v>6.7423835139716632E-3</v>
      </c>
      <c r="AH151" s="73">
        <f>AH150/$AD$150*$V$151</f>
        <v>1.5489854935693069E-2</v>
      </c>
      <c r="AI151" s="73">
        <f>AI150/$AD$150*$V$151</f>
        <v>2.2254272382716926E-3</v>
      </c>
      <c r="AJ151" s="73">
        <f t="shared" ref="AJ151:AS151" si="2">AJ150/$AD$150*$V$151</f>
        <v>1.5423753136536485E-3</v>
      </c>
      <c r="AK151" s="73">
        <f t="shared" si="2"/>
        <v>2.5118683679502271E-3</v>
      </c>
      <c r="AL151" s="73">
        <f>AL150/$AD$150*$V$151</f>
        <v>0</v>
      </c>
      <c r="AM151" s="73">
        <f t="shared" si="2"/>
        <v>3.8228873845558287E-2</v>
      </c>
      <c r="AN151" s="73">
        <f t="shared" si="2"/>
        <v>0</v>
      </c>
      <c r="AO151" s="73">
        <f t="shared" si="2"/>
        <v>0</v>
      </c>
      <c r="AP151" s="73">
        <f t="shared" si="2"/>
        <v>2.3135629704804728E-3</v>
      </c>
      <c r="AQ151" s="73">
        <f>AQ150/$AD$150*$V$151</f>
        <v>0</v>
      </c>
      <c r="AR151" s="73">
        <f t="shared" si="2"/>
        <v>2.3135629704804728E-3</v>
      </c>
      <c r="AS151" s="73">
        <f t="shared" si="2"/>
        <v>2.4016987026892526E-2</v>
      </c>
      <c r="AT151" s="73">
        <f t="shared" ref="AT151:BA151" si="3">AT150/$AD$150*$V$151</f>
        <v>0</v>
      </c>
      <c r="AU151" s="73">
        <f t="shared" si="3"/>
        <v>0</v>
      </c>
      <c r="AV151" s="73">
        <f t="shared" si="3"/>
        <v>0</v>
      </c>
      <c r="AW151" s="73">
        <f t="shared" si="3"/>
        <v>0</v>
      </c>
      <c r="AX151" s="73">
        <f t="shared" si="3"/>
        <v>0</v>
      </c>
      <c r="AY151" s="73">
        <f t="shared" si="3"/>
        <v>0</v>
      </c>
      <c r="AZ151" s="73">
        <f t="shared" si="3"/>
        <v>0</v>
      </c>
      <c r="BA151" s="73">
        <f t="shared" si="3"/>
        <v>2.6330549997372998E-2</v>
      </c>
      <c r="BB151" s="38" t="s">
        <v>172</v>
      </c>
      <c r="BC151" s="38" t="s">
        <v>172</v>
      </c>
      <c r="BD151" s="38" t="s">
        <v>415</v>
      </c>
      <c r="BE151" s="38" t="s">
        <v>415</v>
      </c>
      <c r="BF151" s="38" t="s">
        <v>415</v>
      </c>
    </row>
    <row r="152" spans="1:58" ht="12.95" customHeight="1">
      <c r="A152" s="62"/>
      <c r="B152" s="63"/>
      <c r="C152" s="63"/>
      <c r="D152" s="63"/>
      <c r="E152" s="64"/>
      <c r="F152" s="64"/>
      <c r="G152" s="38"/>
      <c r="H152" s="38"/>
      <c r="I152" s="38"/>
      <c r="J152" s="88"/>
      <c r="K152" s="88"/>
      <c r="L152" s="39"/>
      <c r="M152" s="39"/>
      <c r="N152" s="37"/>
      <c r="O152" s="40"/>
      <c r="P152" s="32"/>
      <c r="Q152" s="38"/>
      <c r="R152" s="95">
        <f>R150-(BA150)</f>
        <v>0</v>
      </c>
      <c r="S152" s="95">
        <f>+S150-AM150</f>
        <v>0</v>
      </c>
      <c r="T152" s="37"/>
      <c r="U152" s="37"/>
      <c r="V152" s="37"/>
      <c r="W152" s="41">
        <f>+W150-'31'!$M$34/1000</f>
        <v>0</v>
      </c>
      <c r="X152" s="379"/>
      <c r="Y152" s="74">
        <f>+Y150-SUM(RBP!AG3:AG4)</f>
        <v>0</v>
      </c>
      <c r="Z152" s="41">
        <f>+Z150-'31'!J56/1000</f>
        <v>0</v>
      </c>
      <c r="AA152" s="37"/>
      <c r="AB152" s="37"/>
      <c r="AC152" s="37"/>
      <c r="AD152" s="37"/>
      <c r="AE152" s="43"/>
      <c r="AF152" s="352"/>
      <c r="AG152" s="352"/>
      <c r="AH152" s="352"/>
      <c r="AI152" s="352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93">
        <f>BB150/($Q$150/1440)/2</f>
        <v>1.3225806451612903</v>
      </c>
      <c r="BC152" s="93">
        <f>BC150/($Q$150/1440)/2</f>
        <v>4.5483870967741939</v>
      </c>
      <c r="BD152" s="93">
        <f>BD150/($Q$150/1440)</f>
        <v>0</v>
      </c>
      <c r="BE152" s="93">
        <f>BE150/($Q$150/1440)</f>
        <v>0</v>
      </c>
      <c r="BF152" s="93">
        <f>BF150/($Q$150/1440)</f>
        <v>0</v>
      </c>
    </row>
    <row r="153" spans="1:58">
      <c r="A153" s="75"/>
      <c r="B153" s="76"/>
      <c r="C153" s="76"/>
      <c r="D153" s="76"/>
      <c r="E153" s="77"/>
      <c r="F153" s="77"/>
      <c r="G153" s="78"/>
      <c r="H153" s="78"/>
      <c r="I153" s="78"/>
      <c r="J153" s="92"/>
      <c r="K153" s="92"/>
      <c r="O153" s="79"/>
      <c r="P153" s="80"/>
      <c r="Q153" s="78"/>
      <c r="R153" s="59"/>
      <c r="S153" s="59"/>
      <c r="U153" s="81"/>
      <c r="V153" s="81"/>
      <c r="W153" s="82" t="s">
        <v>120</v>
      </c>
      <c r="X153" s="94">
        <f>W150/U150</f>
        <v>0.98700638203150826</v>
      </c>
      <c r="Y153" s="94"/>
      <c r="Z153" s="59"/>
      <c r="AD153" s="89"/>
      <c r="AE153" s="84"/>
      <c r="AF153" s="85"/>
      <c r="AG153" s="85"/>
      <c r="AH153" s="85"/>
      <c r="AI153" s="85"/>
      <c r="AJ153" s="85"/>
      <c r="AK153" s="85"/>
      <c r="AL153" s="85"/>
      <c r="AM153" s="85"/>
      <c r="AN153" s="83"/>
      <c r="AO153" s="83"/>
      <c r="AP153" s="83"/>
      <c r="AQ153" s="83"/>
      <c r="AR153" s="83"/>
      <c r="AS153" s="85"/>
      <c r="AT153" s="85"/>
      <c r="AU153" s="85"/>
      <c r="AV153" s="85"/>
      <c r="AW153" s="85"/>
      <c r="AX153" s="85"/>
      <c r="AY153" s="85"/>
      <c r="AZ153" s="85"/>
      <c r="BA153" s="83"/>
      <c r="BB153" s="29"/>
      <c r="BC153" s="83"/>
      <c r="BD153" s="83"/>
      <c r="BE153" s="29"/>
      <c r="BF153" s="83"/>
    </row>
    <row r="154" spans="1:58">
      <c r="A154" s="75"/>
      <c r="B154" s="76"/>
      <c r="C154" s="76"/>
      <c r="D154" s="76"/>
      <c r="E154" s="77"/>
      <c r="F154" s="77"/>
      <c r="G154" s="78"/>
      <c r="H154" s="78"/>
      <c r="I154" s="78"/>
      <c r="J154" s="92"/>
      <c r="K154" s="92"/>
      <c r="O154" s="79"/>
      <c r="P154" s="80"/>
      <c r="Q154" s="78"/>
      <c r="R154" s="59"/>
      <c r="S154" s="59"/>
      <c r="U154" s="81"/>
      <c r="V154" s="81"/>
      <c r="W154" s="82"/>
      <c r="X154" s="83"/>
      <c r="Y154" s="83"/>
      <c r="Z154" s="59"/>
      <c r="AA154" s="99"/>
      <c r="AB154" s="99"/>
      <c r="AD154" s="89"/>
      <c r="AE154" s="84"/>
      <c r="AF154" s="85"/>
      <c r="AG154" s="85"/>
      <c r="AH154" s="85"/>
      <c r="AI154" s="85"/>
      <c r="AJ154" s="85"/>
      <c r="AK154" s="85"/>
      <c r="AL154" s="85"/>
      <c r="AM154" s="85"/>
      <c r="AN154" s="85"/>
      <c r="AO154" s="83"/>
      <c r="AP154" s="83"/>
      <c r="AQ154" s="83"/>
      <c r="AR154" s="85"/>
      <c r="AS154" s="83"/>
      <c r="AT154" s="83"/>
      <c r="AU154" s="83"/>
      <c r="AV154" s="83"/>
      <c r="AW154" s="83"/>
      <c r="AX154" s="83"/>
      <c r="AY154" s="83"/>
      <c r="AZ154" s="83"/>
      <c r="BA154" s="83"/>
      <c r="BB154" s="29"/>
      <c r="BC154" s="83"/>
      <c r="BD154" s="83"/>
      <c r="BE154" s="29"/>
      <c r="BF154" s="83"/>
    </row>
    <row r="155" spans="1:58">
      <c r="A155" s="75"/>
      <c r="B155" s="76"/>
      <c r="C155" s="76"/>
      <c r="D155" s="76"/>
      <c r="E155" s="77"/>
      <c r="F155" s="77"/>
      <c r="G155" s="78"/>
      <c r="H155" s="78"/>
      <c r="I155" s="78"/>
      <c r="J155" s="92"/>
      <c r="K155" s="92"/>
      <c r="O155" s="79"/>
      <c r="P155" s="80"/>
      <c r="Q155" s="78"/>
      <c r="R155" s="363"/>
      <c r="S155" s="59"/>
      <c r="U155" s="81"/>
      <c r="V155" s="81"/>
      <c r="W155" s="82" t="s">
        <v>143</v>
      </c>
      <c r="X155" s="352">
        <f>+W150+Y150</f>
        <v>1879.6130000000003</v>
      </c>
      <c r="Y155" s="83"/>
      <c r="Z155" s="59"/>
      <c r="AD155" s="89"/>
      <c r="AE155" s="84"/>
      <c r="AF155" s="89"/>
      <c r="AG155" s="89"/>
      <c r="AH155" s="89"/>
      <c r="AI155" s="89"/>
      <c r="AJ155" s="83"/>
      <c r="AK155" s="83"/>
      <c r="AL155" s="83"/>
      <c r="AM155" s="85"/>
      <c r="AN155" s="83"/>
      <c r="AO155" s="83"/>
      <c r="AP155" s="83"/>
      <c r="AQ155" s="83"/>
      <c r="AR155" s="85"/>
      <c r="AS155" s="83"/>
      <c r="AT155" s="83"/>
      <c r="AU155" s="83"/>
      <c r="AV155" s="83"/>
      <c r="AW155" s="83"/>
      <c r="AX155" s="83"/>
      <c r="AY155" s="83"/>
      <c r="AZ155" s="83"/>
      <c r="BA155" s="83"/>
      <c r="BB155" s="29"/>
      <c r="BC155" s="83"/>
      <c r="BD155" s="83"/>
      <c r="BE155" s="29"/>
      <c r="BF155" s="83"/>
    </row>
    <row r="156" spans="1:58">
      <c r="A156" s="75"/>
      <c r="C156" s="76" t="s">
        <v>232</v>
      </c>
      <c r="D156" s="76"/>
      <c r="E156" s="77"/>
      <c r="F156" s="77"/>
      <c r="G156" s="78"/>
      <c r="H156" s="78"/>
      <c r="I156" s="78"/>
      <c r="J156" s="92"/>
      <c r="K156" s="92"/>
      <c r="O156" s="79"/>
      <c r="P156" s="80"/>
      <c r="Q156" s="78"/>
      <c r="R156" s="363"/>
      <c r="S156" s="59"/>
      <c r="U156" s="81"/>
      <c r="V156" s="374"/>
      <c r="W156" s="375"/>
      <c r="X156" s="368"/>
      <c r="Y156" s="375"/>
      <c r="Z156" s="368"/>
      <c r="AD156" s="361"/>
      <c r="AE156" s="84"/>
      <c r="AF156" s="361"/>
      <c r="AG156" s="361"/>
      <c r="AH156" s="361"/>
      <c r="AI156" s="361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29"/>
      <c r="BC156" s="83"/>
      <c r="BD156" s="83"/>
      <c r="BE156" s="29"/>
      <c r="BF156" s="83"/>
    </row>
    <row r="157" spans="1:58">
      <c r="A157" s="75"/>
      <c r="B157" s="76"/>
      <c r="C157" s="76" t="s">
        <v>235</v>
      </c>
      <c r="D157" s="76"/>
      <c r="E157" s="77"/>
      <c r="F157" s="77"/>
      <c r="G157" s="78"/>
      <c r="H157" s="78"/>
      <c r="I157" s="78"/>
      <c r="J157" s="92"/>
      <c r="K157" s="92"/>
      <c r="O157" s="79"/>
      <c r="P157" s="80"/>
      <c r="Q157" s="78"/>
      <c r="R157" s="363"/>
      <c r="S157" s="59"/>
      <c r="V157" s="366"/>
      <c r="W157" s="367" t="s">
        <v>230</v>
      </c>
      <c r="X157" s="366"/>
      <c r="Y157" s="366"/>
      <c r="Z157" s="368"/>
      <c r="AE157" s="84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29"/>
      <c r="BE157" s="29"/>
    </row>
    <row r="158" spans="1:58">
      <c r="A158" s="75"/>
      <c r="B158" s="76"/>
      <c r="C158" s="76"/>
      <c r="D158" s="76"/>
      <c r="E158" s="77"/>
      <c r="F158" s="77"/>
      <c r="G158" s="78"/>
      <c r="H158" s="78"/>
      <c r="I158" s="78"/>
      <c r="J158" s="92"/>
      <c r="K158" s="92"/>
      <c r="O158" s="79"/>
      <c r="P158" s="80"/>
      <c r="Q158" s="78"/>
      <c r="R158" s="363"/>
      <c r="S158" s="59"/>
      <c r="V158" s="366"/>
      <c r="W158" s="369" t="s">
        <v>329</v>
      </c>
      <c r="X158" s="373">
        <f>Y151</f>
        <v>6.7994675478608964E-3</v>
      </c>
      <c r="Y158" s="370"/>
      <c r="Z158" s="368"/>
      <c r="AE158" s="84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29"/>
      <c r="BE158" s="29"/>
    </row>
    <row r="159" spans="1:58">
      <c r="R159" s="99"/>
      <c r="V159" s="366"/>
      <c r="W159" s="369" t="s">
        <v>152</v>
      </c>
      <c r="X159" s="372">
        <f>Z151</f>
        <v>1.594276404117129E-2</v>
      </c>
      <c r="Y159" s="371"/>
      <c r="Z159" s="619"/>
    </row>
    <row r="160" spans="1:58">
      <c r="R160" s="99"/>
      <c r="V160" s="366"/>
      <c r="W160" s="369" t="s">
        <v>153</v>
      </c>
      <c r="X160" s="372">
        <f>AC151</f>
        <v>3.2395779410080677E-2</v>
      </c>
      <c r="Y160" s="372"/>
      <c r="Z160" s="619"/>
    </row>
    <row r="161" spans="18:26">
      <c r="R161" s="99"/>
      <c r="V161" s="366"/>
      <c r="W161" s="369" t="s">
        <v>154</v>
      </c>
      <c r="X161" s="372">
        <f>AA151</f>
        <v>-1.0895777977403848E-2</v>
      </c>
      <c r="Y161" s="371"/>
      <c r="Z161" s="619"/>
    </row>
    <row r="162" spans="18:26">
      <c r="V162" s="366"/>
      <c r="W162" s="369" t="s">
        <v>170</v>
      </c>
      <c r="X162" s="372">
        <f>AB151</f>
        <v>-8.6684489675642531E-3</v>
      </c>
      <c r="Y162" s="371" t="s">
        <v>168</v>
      </c>
      <c r="Z162" s="619"/>
    </row>
    <row r="163" spans="18:26">
      <c r="V163" s="366"/>
      <c r="W163" s="369" t="s">
        <v>206</v>
      </c>
      <c r="X163" s="372">
        <f>AF151</f>
        <v>9.7169644760179853E-3</v>
      </c>
      <c r="Y163" s="371"/>
      <c r="Z163" s="619"/>
    </row>
    <row r="164" spans="18:26">
      <c r="V164" s="366"/>
      <c r="W164" s="369" t="s">
        <v>207</v>
      </c>
      <c r="X164" s="372">
        <f>+AG151</f>
        <v>6.7423835139716632E-3</v>
      </c>
      <c r="Y164" s="371"/>
      <c r="Z164" s="619"/>
    </row>
    <row r="165" spans="18:26">
      <c r="V165" s="366"/>
      <c r="W165" s="369" t="s">
        <v>208</v>
      </c>
      <c r="X165" s="372">
        <f>+AH151</f>
        <v>1.5489854935693069E-2</v>
      </c>
      <c r="Y165" s="371"/>
      <c r="Z165" s="619"/>
    </row>
    <row r="166" spans="18:26">
      <c r="V166" s="366"/>
      <c r="W166" s="369" t="s">
        <v>209</v>
      </c>
      <c r="X166" s="372">
        <f>+AI151</f>
        <v>2.2254272382716926E-3</v>
      </c>
      <c r="Y166" s="371"/>
      <c r="Z166" s="619"/>
    </row>
    <row r="167" spans="18:26">
      <c r="V167" s="366"/>
      <c r="W167" s="369" t="s">
        <v>161</v>
      </c>
      <c r="X167" s="372">
        <f>+AJ151</f>
        <v>1.5423753136536485E-3</v>
      </c>
      <c r="Y167" s="371"/>
      <c r="Z167" s="619"/>
    </row>
    <row r="168" spans="18:26">
      <c r="V168" s="366"/>
      <c r="W168" s="369" t="s">
        <v>163</v>
      </c>
      <c r="X168" s="372">
        <f>+AK151</f>
        <v>2.5118683679502271E-3</v>
      </c>
      <c r="Y168" s="371"/>
      <c r="Z168" s="619"/>
    </row>
    <row r="169" spans="18:26">
      <c r="V169" s="366"/>
      <c r="W169" s="369" t="s">
        <v>162</v>
      </c>
      <c r="X169" s="372">
        <f>+AL151</f>
        <v>0</v>
      </c>
      <c r="Y169" s="371"/>
      <c r="Z169" s="619"/>
    </row>
    <row r="170" spans="18:26">
      <c r="V170" s="366"/>
      <c r="W170" s="369" t="s">
        <v>155</v>
      </c>
      <c r="X170" s="372">
        <f>+AN151</f>
        <v>0</v>
      </c>
      <c r="Y170" s="371"/>
      <c r="Z170" s="619"/>
    </row>
    <row r="171" spans="18:26">
      <c r="V171" s="366"/>
      <c r="W171" s="369" t="s">
        <v>165</v>
      </c>
      <c r="X171" s="372">
        <f>+AO151</f>
        <v>0</v>
      </c>
      <c r="Y171" s="371"/>
      <c r="Z171" s="619"/>
    </row>
    <row r="172" spans="18:26">
      <c r="V172" s="366"/>
      <c r="W172" s="369" t="s">
        <v>156</v>
      </c>
      <c r="X172" s="372">
        <f>+AP151</f>
        <v>2.3135629704804728E-3</v>
      </c>
      <c r="Y172" s="371"/>
      <c r="Z172" s="619"/>
    </row>
    <row r="173" spans="18:26">
      <c r="V173" s="366"/>
      <c r="W173" s="369" t="s">
        <v>164</v>
      </c>
      <c r="X173" s="372">
        <f>+AQ151</f>
        <v>0</v>
      </c>
      <c r="Y173" s="371"/>
      <c r="Z173" s="619"/>
    </row>
    <row r="174" spans="18:26">
      <c r="V174" s="366"/>
      <c r="W174" s="369" t="s">
        <v>167</v>
      </c>
      <c r="X174" s="372">
        <f>+AS151</f>
        <v>2.4016987026892526E-2</v>
      </c>
      <c r="Y174" s="371"/>
      <c r="Z174" s="619"/>
    </row>
    <row r="175" spans="18:26">
      <c r="V175" s="366"/>
      <c r="W175" s="369" t="s">
        <v>330</v>
      </c>
      <c r="X175" s="372">
        <f>+AT151</f>
        <v>0</v>
      </c>
      <c r="Y175" s="371"/>
      <c r="Z175" s="619"/>
    </row>
    <row r="176" spans="18:26">
      <c r="V176" s="366"/>
      <c r="W176" s="369" t="s">
        <v>247</v>
      </c>
      <c r="X176" s="372">
        <f>+AU151</f>
        <v>0</v>
      </c>
      <c r="Y176" s="371"/>
      <c r="Z176" s="619"/>
    </row>
    <row r="177" spans="22:26">
      <c r="V177" s="366"/>
      <c r="W177" s="369" t="s">
        <v>335</v>
      </c>
      <c r="X177" s="372">
        <f>AV151</f>
        <v>0</v>
      </c>
      <c r="Y177" s="371"/>
      <c r="Z177" s="619"/>
    </row>
    <row r="178" spans="22:26">
      <c r="V178" s="366"/>
      <c r="W178" s="369" t="s">
        <v>336</v>
      </c>
      <c r="X178" s="372">
        <f>AW151</f>
        <v>0</v>
      </c>
      <c r="Y178" s="371"/>
      <c r="Z178" s="619"/>
    </row>
    <row r="179" spans="22:26">
      <c r="V179" s="366"/>
      <c r="W179" s="366" t="s">
        <v>166</v>
      </c>
      <c r="X179" s="372">
        <f>AX151+AY151</f>
        <v>0</v>
      </c>
      <c r="Y179" s="372"/>
      <c r="Z179" s="619"/>
    </row>
    <row r="180" spans="22:26">
      <c r="V180" s="366"/>
      <c r="W180" s="366" t="s">
        <v>334</v>
      </c>
      <c r="X180" s="372">
        <f>AZ151</f>
        <v>0</v>
      </c>
      <c r="Y180" s="366"/>
      <c r="Z180" s="619"/>
    </row>
    <row r="181" spans="22:26">
      <c r="V181" s="366"/>
      <c r="W181" s="366"/>
      <c r="X181" s="530">
        <f>SUM(X158:X180)</f>
        <v>0.10013320789707605</v>
      </c>
      <c r="Y181" s="366"/>
      <c r="Z181" s="619"/>
    </row>
    <row r="183" spans="22:26">
      <c r="X183" s="99">
        <f>+X181+X150</f>
        <v>1.0000000000000002</v>
      </c>
    </row>
  </sheetData>
  <mergeCells count="50">
    <mergeCell ref="BD3:BD5"/>
    <mergeCell ref="BE3:BE5"/>
    <mergeCell ref="BF3:BF5"/>
    <mergeCell ref="F3:F5"/>
    <mergeCell ref="Y3:Y5"/>
    <mergeCell ref="AA3:AA5"/>
    <mergeCell ref="AB3:AB5"/>
    <mergeCell ref="L3:N4"/>
    <mergeCell ref="O3:O5"/>
    <mergeCell ref="Q3:Q5"/>
    <mergeCell ref="R3:R5"/>
    <mergeCell ref="AM3:AM5"/>
    <mergeCell ref="BA3:BA5"/>
    <mergeCell ref="AF4:AH4"/>
    <mergeCell ref="AI4:AI5"/>
    <mergeCell ref="G3:K4"/>
    <mergeCell ref="C3:C5"/>
    <mergeCell ref="A3:A5"/>
    <mergeCell ref="B3:B5"/>
    <mergeCell ref="D3:D5"/>
    <mergeCell ref="E3:E5"/>
    <mergeCell ref="O151:P151"/>
    <mergeCell ref="AC3:AC5"/>
    <mergeCell ref="AE3:AE5"/>
    <mergeCell ref="AD3:AD5"/>
    <mergeCell ref="AF3:AL3"/>
    <mergeCell ref="AJ4:AJ5"/>
    <mergeCell ref="V3:V5"/>
    <mergeCell ref="AK4:AK5"/>
    <mergeCell ref="AL4:AL5"/>
    <mergeCell ref="U3:U5"/>
    <mergeCell ref="W3:W5"/>
    <mergeCell ref="X3:X5"/>
    <mergeCell ref="Z3:Z5"/>
    <mergeCell ref="S3:S5"/>
    <mergeCell ref="T3:T5"/>
    <mergeCell ref="P3:P5"/>
    <mergeCell ref="BB3:BB5"/>
    <mergeCell ref="BC3:BC5"/>
    <mergeCell ref="AN4:AN5"/>
    <mergeCell ref="AO4:AO5"/>
    <mergeCell ref="AP4:AP5"/>
    <mergeCell ref="AR4:AR5"/>
    <mergeCell ref="AN3:AR3"/>
    <mergeCell ref="AS3:AS5"/>
    <mergeCell ref="AQ4:AQ5"/>
    <mergeCell ref="AT3:AU4"/>
    <mergeCell ref="AV3:AW3"/>
    <mergeCell ref="AX3:AY3"/>
    <mergeCell ref="AZ3:AZ5"/>
  </mergeCells>
  <phoneticPr fontId="31" type="noConversion"/>
  <conditionalFormatting sqref="B6:C6 B8:C9 B39:C39 B98:C98 B113:C113 B123:C123 B129:C131 C151 B140:C140 B144:C144 B148:B151 C148:C149">
    <cfRule type="cellIs" dxfId="9719" priority="10235" stopIfTrue="1" operator="equal">
      <formula>"Napkin Hs"</formula>
    </cfRule>
  </conditionalFormatting>
  <conditionalFormatting sqref="B6:C6 B8:C9 B39:C39 B98:C98 B113:C113 B123:C123 B129:C131 C151 B140:C140 B144:C144 B148:B151 C148:C149">
    <cfRule type="cellIs" dxfId="9718" priority="10234" stopIfTrue="1" operator="equal">
      <formula>"Towel"</formula>
    </cfRule>
  </conditionalFormatting>
  <conditionalFormatting sqref="B15:C15 C148">
    <cfRule type="cellIs" dxfId="9717" priority="9703" stopIfTrue="1" operator="equal">
      <formula>"Towel"</formula>
    </cfRule>
    <cfRule type="cellIs" dxfId="9716" priority="9704" stopIfTrue="1" operator="equal">
      <formula>"Napkin Hs"</formula>
    </cfRule>
  </conditionalFormatting>
  <conditionalFormatting sqref="B38:C38">
    <cfRule type="cellIs" dxfId="9715" priority="10089" stopIfTrue="1" operator="equal">
      <formula>"Towel"</formula>
    </cfRule>
    <cfRule type="cellIs" dxfId="9714" priority="10090" stopIfTrue="1" operator="equal">
      <formula>"Napkin Hs"</formula>
    </cfRule>
  </conditionalFormatting>
  <conditionalFormatting sqref="C114:C115">
    <cfRule type="cellIs" dxfId="9713" priority="9771" stopIfTrue="1" operator="equal">
      <formula>"Towel"</formula>
    </cfRule>
    <cfRule type="cellIs" dxfId="9712" priority="9772" stopIfTrue="1" operator="equal">
      <formula>"Napkin Hs"</formula>
    </cfRule>
  </conditionalFormatting>
  <conditionalFormatting sqref="B79:C79">
    <cfRule type="cellIs" dxfId="9711" priority="9955" stopIfTrue="1" operator="equal">
      <formula>"Towel"</formula>
    </cfRule>
    <cfRule type="cellIs" dxfId="9710" priority="9956" stopIfTrue="1" operator="equal">
      <formula>"Napkin Hs"</formula>
    </cfRule>
  </conditionalFormatting>
  <conditionalFormatting sqref="B83:C83">
    <cfRule type="cellIs" dxfId="9709" priority="9931" stopIfTrue="1" operator="equal">
      <formula>"Towel"</formula>
    </cfRule>
    <cfRule type="cellIs" dxfId="9708" priority="9932" stopIfTrue="1" operator="equal">
      <formula>"Napkin Hs"</formula>
    </cfRule>
  </conditionalFormatting>
  <conditionalFormatting sqref="B101:C101">
    <cfRule type="cellIs" dxfId="9707" priority="9843" stopIfTrue="1" operator="equal">
      <formula>"Towel"</formula>
    </cfRule>
    <cfRule type="cellIs" dxfId="9706" priority="9844" stopIfTrue="1" operator="equal">
      <formula>"Napkin Hs"</formula>
    </cfRule>
  </conditionalFormatting>
  <conditionalFormatting sqref="B107:C107">
    <cfRule type="cellIs" dxfId="9705" priority="9809" stopIfTrue="1" operator="equal">
      <formula>"Towel"</formula>
    </cfRule>
    <cfRule type="cellIs" dxfId="9704" priority="9810" stopIfTrue="1" operator="equal">
      <formula>"Napkin Hs"</formula>
    </cfRule>
  </conditionalFormatting>
  <conditionalFormatting sqref="B111:C111">
    <cfRule type="cellIs" dxfId="9703" priority="9785" stopIfTrue="1" operator="equal">
      <formula>"Towel"</formula>
    </cfRule>
    <cfRule type="cellIs" dxfId="9702" priority="9786" stopIfTrue="1" operator="equal">
      <formula>"Napkin Hs"</formula>
    </cfRule>
  </conditionalFormatting>
  <conditionalFormatting sqref="B114:C114">
    <cfRule type="cellIs" dxfId="9701" priority="9779" stopIfTrue="1" operator="equal">
      <formula>"Towel"</formula>
    </cfRule>
    <cfRule type="cellIs" dxfId="9700" priority="9780" stopIfTrue="1" operator="equal">
      <formula>"Napkin Hs"</formula>
    </cfRule>
  </conditionalFormatting>
  <conditionalFormatting sqref="B115:C115">
    <cfRule type="cellIs" dxfId="9699" priority="9773" stopIfTrue="1" operator="equal">
      <formula>"Towel"</formula>
    </cfRule>
    <cfRule type="cellIs" dxfId="9698" priority="9774" stopIfTrue="1" operator="equal">
      <formula>"Napkin Hs"</formula>
    </cfRule>
  </conditionalFormatting>
  <conditionalFormatting sqref="C38">
    <cfRule type="cellIs" dxfId="9697" priority="9553" stopIfTrue="1" operator="equal">
      <formula>"Towel"</formula>
    </cfRule>
    <cfRule type="cellIs" dxfId="9696" priority="9554" stopIfTrue="1" operator="equal">
      <formula>"Napkin Hs"</formula>
    </cfRule>
  </conditionalFormatting>
  <conditionalFormatting sqref="C38">
    <cfRule type="cellIs" dxfId="9695" priority="9539" stopIfTrue="1" operator="equal">
      <formula>"Towel"</formula>
    </cfRule>
    <cfRule type="cellIs" dxfId="9694" priority="9540" stopIfTrue="1" operator="equal">
      <formula>"Napkin Hs"</formula>
    </cfRule>
  </conditionalFormatting>
  <conditionalFormatting sqref="C6 C8:C9 C39 C98 C113 C123 C129:C131 C140 C144">
    <cfRule type="cellIs" dxfId="9693" priority="10222" stopIfTrue="1" operator="equal">
      <formula>"Napkin Hs"</formula>
    </cfRule>
  </conditionalFormatting>
  <conditionalFormatting sqref="C6 C8:C9">
    <cfRule type="cellIs" dxfId="9692" priority="9683" stopIfTrue="1" operator="equal">
      <formula>"Towel"</formula>
    </cfRule>
    <cfRule type="cellIs" dxfId="9691" priority="9684" stopIfTrue="1" operator="equal">
      <formula>"Napkin Hs"</formula>
    </cfRule>
  </conditionalFormatting>
  <conditionalFormatting sqref="C15">
    <cfRule type="cellIs" dxfId="9690" priority="9701" stopIfTrue="1" operator="equal">
      <formula>"Towel"</formula>
    </cfRule>
    <cfRule type="cellIs" dxfId="9689" priority="9702" stopIfTrue="1" operator="equal">
      <formula>"Napkin Hs"</formula>
    </cfRule>
  </conditionalFormatting>
  <conditionalFormatting sqref="C15">
    <cfRule type="cellIs" dxfId="9688" priority="9699" stopIfTrue="1" operator="equal">
      <formula>"Towel"</formula>
    </cfRule>
    <cfRule type="cellIs" dxfId="9687" priority="9700" stopIfTrue="1" operator="equal">
      <formula>"Napkin Hs"</formula>
    </cfRule>
  </conditionalFormatting>
  <conditionalFormatting sqref="C39 C98 C113 C123 C129:C131 C6 C8:C9 C140 C144">
    <cfRule type="cellIs" dxfId="9686" priority="10221" stopIfTrue="1" operator="equal">
      <formula>"Towel"</formula>
    </cfRule>
  </conditionalFormatting>
  <conditionalFormatting sqref="C38:C39">
    <cfRule type="cellIs" dxfId="9685" priority="10087" stopIfTrue="1" operator="equal">
      <formula>"Towel"</formula>
    </cfRule>
    <cfRule type="cellIs" dxfId="9684" priority="10088" stopIfTrue="1" operator="equal">
      <formula>"Napkin Hs"</formula>
    </cfRule>
  </conditionalFormatting>
  <conditionalFormatting sqref="C38">
    <cfRule type="cellIs" dxfId="9683" priority="10085" stopIfTrue="1" operator="equal">
      <formula>"Towel"</formula>
    </cfRule>
    <cfRule type="cellIs" dxfId="9682" priority="10086" stopIfTrue="1" operator="equal">
      <formula>"Napkin Hs"</formula>
    </cfRule>
  </conditionalFormatting>
  <conditionalFormatting sqref="C101">
    <cfRule type="cellIs" dxfId="9681" priority="9837" stopIfTrue="1" operator="equal">
      <formula>"Towel"</formula>
    </cfRule>
    <cfRule type="cellIs" dxfId="9680" priority="9838" stopIfTrue="1" operator="equal">
      <formula>"Napkin Hs"</formula>
    </cfRule>
  </conditionalFormatting>
  <conditionalFormatting sqref="C79">
    <cfRule type="cellIs" dxfId="9679" priority="9941" stopIfTrue="1" operator="equal">
      <formula>"Towel"</formula>
    </cfRule>
    <cfRule type="cellIs" dxfId="9678" priority="9942" stopIfTrue="1" operator="equal">
      <formula>"Napkin Hs"</formula>
    </cfRule>
  </conditionalFormatting>
  <conditionalFormatting sqref="C79">
    <cfRule type="cellIs" dxfId="9677" priority="9953" stopIfTrue="1" operator="equal">
      <formula>"Towel"</formula>
    </cfRule>
    <cfRule type="cellIs" dxfId="9676" priority="9954" stopIfTrue="1" operator="equal">
      <formula>"Napkin Hs"</formula>
    </cfRule>
  </conditionalFormatting>
  <conditionalFormatting sqref="C83">
    <cfRule type="cellIs" dxfId="9675" priority="9929" stopIfTrue="1" operator="equal">
      <formula>"Towel"</formula>
    </cfRule>
    <cfRule type="cellIs" dxfId="9674" priority="9930" stopIfTrue="1" operator="equal">
      <formula>"Napkin Hs"</formula>
    </cfRule>
  </conditionalFormatting>
  <conditionalFormatting sqref="C83">
    <cfRule type="cellIs" dxfId="9673" priority="9925" stopIfTrue="1" operator="equal">
      <formula>"Towel"</formula>
    </cfRule>
    <cfRule type="cellIs" dxfId="9672" priority="9926" stopIfTrue="1" operator="equal">
      <formula>"Napkin Hs"</formula>
    </cfRule>
  </conditionalFormatting>
  <conditionalFormatting sqref="C98">
    <cfRule type="cellIs" dxfId="9671" priority="9855" stopIfTrue="1" operator="equal">
      <formula>"Towel"</formula>
    </cfRule>
    <cfRule type="cellIs" dxfId="9670" priority="9856" stopIfTrue="1" operator="equal">
      <formula>"Napkin Hs"</formula>
    </cfRule>
  </conditionalFormatting>
  <conditionalFormatting sqref="C101">
    <cfRule type="cellIs" dxfId="9669" priority="9841" stopIfTrue="1" operator="equal">
      <formula>"Towel"</formula>
    </cfRule>
    <cfRule type="cellIs" dxfId="9668" priority="9842" stopIfTrue="1" operator="equal">
      <formula>"Napkin Hs"</formula>
    </cfRule>
  </conditionalFormatting>
  <conditionalFormatting sqref="C107">
    <cfRule type="cellIs" dxfId="9667" priority="9811" stopIfTrue="1" operator="equal">
      <formula>"Towel"</formula>
    </cfRule>
    <cfRule type="cellIs" dxfId="9666" priority="9812" stopIfTrue="1" operator="equal">
      <formula>"Napkin Hs"</formula>
    </cfRule>
  </conditionalFormatting>
  <conditionalFormatting sqref="C107">
    <cfRule type="cellIs" dxfId="9665" priority="9803" stopIfTrue="1" operator="equal">
      <formula>"Towel"</formula>
    </cfRule>
    <cfRule type="cellIs" dxfId="9664" priority="9804" stopIfTrue="1" operator="equal">
      <formula>"Napkin Hs"</formula>
    </cfRule>
  </conditionalFormatting>
  <conditionalFormatting sqref="C111">
    <cfRule type="cellIs" dxfId="9663" priority="9783" stopIfTrue="1" operator="equal">
      <formula>"Towel"</formula>
    </cfRule>
    <cfRule type="cellIs" dxfId="9662" priority="9784" stopIfTrue="1" operator="equal">
      <formula>"Napkin Hs"</formula>
    </cfRule>
  </conditionalFormatting>
  <conditionalFormatting sqref="C111">
    <cfRule type="cellIs" dxfId="9661" priority="9781" stopIfTrue="1" operator="equal">
      <formula>"Towel"</formula>
    </cfRule>
    <cfRule type="cellIs" dxfId="9660" priority="9782" stopIfTrue="1" operator="equal">
      <formula>"Napkin Hs"</formula>
    </cfRule>
  </conditionalFormatting>
  <conditionalFormatting sqref="C113">
    <cfRule type="cellIs" dxfId="9659" priority="9795" stopIfTrue="1" operator="equal">
      <formula>"Towel"</formula>
    </cfRule>
    <cfRule type="cellIs" dxfId="9658" priority="9796" stopIfTrue="1" operator="equal">
      <formula>"Napkin Hs"</formula>
    </cfRule>
  </conditionalFormatting>
  <conditionalFormatting sqref="C114">
    <cfRule type="cellIs" dxfId="9657" priority="9777" stopIfTrue="1" operator="equal">
      <formula>"Towel"</formula>
    </cfRule>
    <cfRule type="cellIs" dxfId="9656" priority="9778" stopIfTrue="1" operator="equal">
      <formula>"Napkin Hs"</formula>
    </cfRule>
  </conditionalFormatting>
  <conditionalFormatting sqref="C115">
    <cfRule type="cellIs" dxfId="9655" priority="9767" stopIfTrue="1" operator="equal">
      <formula>"Towel"</formula>
    </cfRule>
    <cfRule type="cellIs" dxfId="9654" priority="9768" stopIfTrue="1" operator="equal">
      <formula>"Napkin Hs"</formula>
    </cfRule>
  </conditionalFormatting>
  <conditionalFormatting sqref="C123">
    <cfRule type="cellIs" dxfId="9653" priority="9727" stopIfTrue="1" operator="equal">
      <formula>"Towel"</formula>
    </cfRule>
    <cfRule type="cellIs" dxfId="9652" priority="9728" stopIfTrue="1" operator="equal">
      <formula>"Napkin Hs"</formula>
    </cfRule>
  </conditionalFormatting>
  <conditionalFormatting sqref="B39:C39">
    <cfRule type="cellIs" dxfId="9651" priority="9537" stopIfTrue="1" operator="equal">
      <formula>"Towel"</formula>
    </cfRule>
    <cfRule type="cellIs" dxfId="9650" priority="9538" stopIfTrue="1" operator="equal">
      <formula>"Napkin Hs"</formula>
    </cfRule>
  </conditionalFormatting>
  <conditionalFormatting sqref="C129:C131 C140 C144">
    <cfRule type="cellIs" dxfId="9649" priority="9719" stopIfTrue="1" operator="equal">
      <formula>"Towel"</formula>
    </cfRule>
    <cfRule type="cellIs" dxfId="9648" priority="9720" stopIfTrue="1" operator="equal">
      <formula>"Napkin Hs"</formula>
    </cfRule>
  </conditionalFormatting>
  <conditionalFormatting sqref="B10:C10">
    <cfRule type="cellIs" dxfId="9647" priority="9662" stopIfTrue="1" operator="equal">
      <formula>"Napkin Hs"</formula>
    </cfRule>
  </conditionalFormatting>
  <conditionalFormatting sqref="B10:C10">
    <cfRule type="cellIs" dxfId="9646" priority="9661" stopIfTrue="1" operator="equal">
      <formula>"Towel"</formula>
    </cfRule>
  </conditionalFormatting>
  <conditionalFormatting sqref="C10">
    <cfRule type="cellIs" dxfId="9645" priority="9660" stopIfTrue="1" operator="equal">
      <formula>"Napkin Hs"</formula>
    </cfRule>
  </conditionalFormatting>
  <conditionalFormatting sqref="C10">
    <cfRule type="cellIs" dxfId="9644" priority="9655" stopIfTrue="1" operator="equal">
      <formula>"Towel"</formula>
    </cfRule>
    <cfRule type="cellIs" dxfId="9643" priority="9656" stopIfTrue="1" operator="equal">
      <formula>"Napkin Hs"</formula>
    </cfRule>
  </conditionalFormatting>
  <conditionalFormatting sqref="C10">
    <cfRule type="cellIs" dxfId="9642" priority="9659" stopIfTrue="1" operator="equal">
      <formula>"Towel"</formula>
    </cfRule>
  </conditionalFormatting>
  <conditionalFormatting sqref="B16:C16">
    <cfRule type="cellIs" dxfId="9641" priority="9652" stopIfTrue="1" operator="equal">
      <formula>"Napkin Hs"</formula>
    </cfRule>
  </conditionalFormatting>
  <conditionalFormatting sqref="B16:C16">
    <cfRule type="cellIs" dxfId="9640" priority="9651" stopIfTrue="1" operator="equal">
      <formula>"Towel"</formula>
    </cfRule>
  </conditionalFormatting>
  <conditionalFormatting sqref="C16">
    <cfRule type="cellIs" dxfId="9639" priority="9650" stopIfTrue="1" operator="equal">
      <formula>"Napkin Hs"</formula>
    </cfRule>
  </conditionalFormatting>
  <conditionalFormatting sqref="C16">
    <cfRule type="cellIs" dxfId="9638" priority="9645" stopIfTrue="1" operator="equal">
      <formula>"Towel"</formula>
    </cfRule>
    <cfRule type="cellIs" dxfId="9637" priority="9646" stopIfTrue="1" operator="equal">
      <formula>"Napkin Hs"</formula>
    </cfRule>
  </conditionalFormatting>
  <conditionalFormatting sqref="C16">
    <cfRule type="cellIs" dxfId="9636" priority="9649" stopIfTrue="1" operator="equal">
      <formula>"Towel"</formula>
    </cfRule>
  </conditionalFormatting>
  <conditionalFormatting sqref="B29:C29">
    <cfRule type="cellIs" dxfId="9635" priority="9612" stopIfTrue="1" operator="equal">
      <formula>"Napkin Hs"</formula>
    </cfRule>
  </conditionalFormatting>
  <conditionalFormatting sqref="B29:C29">
    <cfRule type="cellIs" dxfId="9634" priority="9611" stopIfTrue="1" operator="equal">
      <formula>"Towel"</formula>
    </cfRule>
  </conditionalFormatting>
  <conditionalFormatting sqref="C29">
    <cfRule type="cellIs" dxfId="9633" priority="9610" stopIfTrue="1" operator="equal">
      <formula>"Napkin Hs"</formula>
    </cfRule>
  </conditionalFormatting>
  <conditionalFormatting sqref="C29">
    <cfRule type="cellIs" dxfId="9632" priority="9607" stopIfTrue="1" operator="equal">
      <formula>"Towel"</formula>
    </cfRule>
    <cfRule type="cellIs" dxfId="9631" priority="9608" stopIfTrue="1" operator="equal">
      <formula>"Napkin Hs"</formula>
    </cfRule>
  </conditionalFormatting>
  <conditionalFormatting sqref="C29">
    <cfRule type="cellIs" dxfId="9630" priority="9609" stopIfTrue="1" operator="equal">
      <formula>"Towel"</formula>
    </cfRule>
  </conditionalFormatting>
  <conditionalFormatting sqref="B38:C38">
    <cfRule type="cellIs" dxfId="9629" priority="9568" stopIfTrue="1" operator="equal">
      <formula>"Napkin Hs"</formula>
    </cfRule>
  </conditionalFormatting>
  <conditionalFormatting sqref="B38:C38">
    <cfRule type="cellIs" dxfId="9628" priority="9567" stopIfTrue="1" operator="equal">
      <formula>"Towel"</formula>
    </cfRule>
  </conditionalFormatting>
  <conditionalFormatting sqref="B39:C39">
    <cfRule type="cellIs" dxfId="9627" priority="9549" stopIfTrue="1" operator="equal">
      <formula>"Towel"</formula>
    </cfRule>
    <cfRule type="cellIs" dxfId="9626" priority="9550" stopIfTrue="1" operator="equal">
      <formula>"Napkin Hs"</formula>
    </cfRule>
  </conditionalFormatting>
  <conditionalFormatting sqref="C38">
    <cfRule type="cellIs" dxfId="9625" priority="9566" stopIfTrue="1" operator="equal">
      <formula>"Napkin Hs"</formula>
    </cfRule>
  </conditionalFormatting>
  <conditionalFormatting sqref="C38">
    <cfRule type="cellIs" dxfId="9624" priority="9565" stopIfTrue="1" operator="equal">
      <formula>"Towel"</formula>
    </cfRule>
  </conditionalFormatting>
  <conditionalFormatting sqref="C39">
    <cfRule type="cellIs" dxfId="9623" priority="9547" stopIfTrue="1" operator="equal">
      <formula>"Towel"</formula>
    </cfRule>
    <cfRule type="cellIs" dxfId="9622" priority="9548" stopIfTrue="1" operator="equal">
      <formula>"Napkin Hs"</formula>
    </cfRule>
  </conditionalFormatting>
  <conditionalFormatting sqref="C39">
    <cfRule type="cellIs" dxfId="9621" priority="9543" stopIfTrue="1" operator="equal">
      <formula>"Towel"</formula>
    </cfRule>
    <cfRule type="cellIs" dxfId="9620" priority="9544" stopIfTrue="1" operator="equal">
      <formula>"Napkin Hs"</formula>
    </cfRule>
  </conditionalFormatting>
  <conditionalFormatting sqref="C39">
    <cfRule type="cellIs" dxfId="9619" priority="9535" stopIfTrue="1" operator="equal">
      <formula>"Towel"</formula>
    </cfRule>
    <cfRule type="cellIs" dxfId="9618" priority="9536" stopIfTrue="1" operator="equal">
      <formula>"Napkin Hs"</formula>
    </cfRule>
  </conditionalFormatting>
  <conditionalFormatting sqref="C39">
    <cfRule type="cellIs" dxfId="9617" priority="9533" stopIfTrue="1" operator="equal">
      <formula>"Towel"</formula>
    </cfRule>
    <cfRule type="cellIs" dxfId="9616" priority="9534" stopIfTrue="1" operator="equal">
      <formula>"Napkin Hs"</formula>
    </cfRule>
  </conditionalFormatting>
  <conditionalFormatting sqref="B39:C39">
    <cfRule type="cellIs" dxfId="9615" priority="9513" stopIfTrue="1" operator="equal">
      <formula>"Towel"</formula>
    </cfRule>
    <cfRule type="cellIs" dxfId="9614" priority="9514" stopIfTrue="1" operator="equal">
      <formula>"Napkin Hs"</formula>
    </cfRule>
  </conditionalFormatting>
  <conditionalFormatting sqref="C39">
    <cfRule type="cellIs" dxfId="9613" priority="9511" stopIfTrue="1" operator="equal">
      <formula>"Towel"</formula>
    </cfRule>
    <cfRule type="cellIs" dxfId="9612" priority="9512" stopIfTrue="1" operator="equal">
      <formula>"Napkin Hs"</formula>
    </cfRule>
  </conditionalFormatting>
  <conditionalFormatting sqref="C39">
    <cfRule type="cellIs" dxfId="9611" priority="9507" stopIfTrue="1" operator="equal">
      <formula>"Towel"</formula>
    </cfRule>
    <cfRule type="cellIs" dxfId="9610" priority="9508" stopIfTrue="1" operator="equal">
      <formula>"Napkin Hs"</formula>
    </cfRule>
  </conditionalFormatting>
  <conditionalFormatting sqref="B39:C39">
    <cfRule type="cellIs" dxfId="9609" priority="9495" stopIfTrue="1" operator="equal">
      <formula>"Towel"</formula>
    </cfRule>
    <cfRule type="cellIs" dxfId="9608" priority="9496" stopIfTrue="1" operator="equal">
      <formula>"Napkin Hs"</formula>
    </cfRule>
  </conditionalFormatting>
  <conditionalFormatting sqref="C39">
    <cfRule type="cellIs" dxfId="9607" priority="9493" stopIfTrue="1" operator="equal">
      <formula>"Towel"</formula>
    </cfRule>
    <cfRule type="cellIs" dxfId="9606" priority="9494" stopIfTrue="1" operator="equal">
      <formula>"Napkin Hs"</formula>
    </cfRule>
  </conditionalFormatting>
  <conditionalFormatting sqref="C39">
    <cfRule type="cellIs" dxfId="9605" priority="9491" stopIfTrue="1" operator="equal">
      <formula>"Towel"</formula>
    </cfRule>
    <cfRule type="cellIs" dxfId="9604" priority="9492" stopIfTrue="1" operator="equal">
      <formula>"Napkin Hs"</formula>
    </cfRule>
  </conditionalFormatting>
  <conditionalFormatting sqref="B39:C39">
    <cfRule type="cellIs" dxfId="9603" priority="9485" stopIfTrue="1" operator="equal">
      <formula>"Towel"</formula>
    </cfRule>
    <cfRule type="cellIs" dxfId="9602" priority="9486" stopIfTrue="1" operator="equal">
      <formula>"Napkin Hs"</formula>
    </cfRule>
  </conditionalFormatting>
  <conditionalFormatting sqref="C39">
    <cfRule type="cellIs" dxfId="9601" priority="9483" stopIfTrue="1" operator="equal">
      <formula>"Towel"</formula>
    </cfRule>
    <cfRule type="cellIs" dxfId="9600" priority="9484" stopIfTrue="1" operator="equal">
      <formula>"Napkin Hs"</formula>
    </cfRule>
  </conditionalFormatting>
  <conditionalFormatting sqref="C39">
    <cfRule type="cellIs" dxfId="9599" priority="9479" stopIfTrue="1" operator="equal">
      <formula>"Towel"</formula>
    </cfRule>
    <cfRule type="cellIs" dxfId="9598" priority="9480" stopIfTrue="1" operator="equal">
      <formula>"Napkin Hs"</formula>
    </cfRule>
  </conditionalFormatting>
  <conditionalFormatting sqref="B39:C39">
    <cfRule type="cellIs" dxfId="9597" priority="9446" stopIfTrue="1" operator="equal">
      <formula>"Napkin Hs"</formula>
    </cfRule>
  </conditionalFormatting>
  <conditionalFormatting sqref="B39:C39">
    <cfRule type="cellIs" dxfId="9596" priority="9445" stopIfTrue="1" operator="equal">
      <formula>"Towel"</formula>
    </cfRule>
  </conditionalFormatting>
  <conditionalFormatting sqref="C39">
    <cfRule type="cellIs" dxfId="9595" priority="9444" stopIfTrue="1" operator="equal">
      <formula>"Napkin Hs"</formula>
    </cfRule>
  </conditionalFormatting>
  <conditionalFormatting sqref="C39">
    <cfRule type="cellIs" dxfId="9594" priority="9441" stopIfTrue="1" operator="equal">
      <formula>"Towel"</formula>
    </cfRule>
    <cfRule type="cellIs" dxfId="9593" priority="9442" stopIfTrue="1" operator="equal">
      <formula>"Napkin Hs"</formula>
    </cfRule>
  </conditionalFormatting>
  <conditionalFormatting sqref="C39">
    <cfRule type="cellIs" dxfId="9592" priority="9443" stopIfTrue="1" operator="equal">
      <formula>"Towel"</formula>
    </cfRule>
  </conditionalFormatting>
  <conditionalFormatting sqref="B43:C43">
    <cfRule type="cellIs" dxfId="9591" priority="9292" stopIfTrue="1" operator="equal">
      <formula>"Napkin Hs"</formula>
    </cfRule>
  </conditionalFormatting>
  <conditionalFormatting sqref="B43:C43">
    <cfRule type="cellIs" dxfId="9590" priority="9291" stopIfTrue="1" operator="equal">
      <formula>"Towel"</formula>
    </cfRule>
  </conditionalFormatting>
  <conditionalFormatting sqref="C43">
    <cfRule type="cellIs" dxfId="9589" priority="9290" stopIfTrue="1" operator="equal">
      <formula>"Napkin Hs"</formula>
    </cfRule>
  </conditionalFormatting>
  <conditionalFormatting sqref="C43">
    <cfRule type="cellIs" dxfId="9588" priority="9289" stopIfTrue="1" operator="equal">
      <formula>"Towel"</formula>
    </cfRule>
  </conditionalFormatting>
  <conditionalFormatting sqref="C43">
    <cfRule type="cellIs" dxfId="9587" priority="9287" stopIfTrue="1" operator="equal">
      <formula>"Towel"</formula>
    </cfRule>
    <cfRule type="cellIs" dxfId="9586" priority="9288" stopIfTrue="1" operator="equal">
      <formula>"Napkin Hs"</formula>
    </cfRule>
  </conditionalFormatting>
  <conditionalFormatting sqref="B43:C43">
    <cfRule type="cellIs" dxfId="9585" priority="9285" stopIfTrue="1" operator="equal">
      <formula>"Towel"</formula>
    </cfRule>
    <cfRule type="cellIs" dxfId="9584" priority="9286" stopIfTrue="1" operator="equal">
      <formula>"Napkin Hs"</formula>
    </cfRule>
  </conditionalFormatting>
  <conditionalFormatting sqref="C43">
    <cfRule type="cellIs" dxfId="9583" priority="9283" stopIfTrue="1" operator="equal">
      <formula>"Towel"</formula>
    </cfRule>
    <cfRule type="cellIs" dxfId="9582" priority="9284" stopIfTrue="1" operator="equal">
      <formula>"Napkin Hs"</formula>
    </cfRule>
  </conditionalFormatting>
  <conditionalFormatting sqref="C43">
    <cfRule type="cellIs" dxfId="9581" priority="9281" stopIfTrue="1" operator="equal">
      <formula>"Towel"</formula>
    </cfRule>
    <cfRule type="cellIs" dxfId="9580" priority="9282" stopIfTrue="1" operator="equal">
      <formula>"Napkin Hs"</formula>
    </cfRule>
  </conditionalFormatting>
  <conditionalFormatting sqref="B43:C43">
    <cfRule type="cellIs" dxfId="9579" priority="9279" stopIfTrue="1" operator="equal">
      <formula>"Towel"</formula>
    </cfRule>
    <cfRule type="cellIs" dxfId="9578" priority="9280" stopIfTrue="1" operator="equal">
      <formula>"Napkin Hs"</formula>
    </cfRule>
  </conditionalFormatting>
  <conditionalFormatting sqref="C43">
    <cfRule type="cellIs" dxfId="9577" priority="9277" stopIfTrue="1" operator="equal">
      <formula>"Towel"</formula>
    </cfRule>
    <cfRule type="cellIs" dxfId="9576" priority="9278" stopIfTrue="1" operator="equal">
      <formula>"Napkin Hs"</formula>
    </cfRule>
  </conditionalFormatting>
  <conditionalFormatting sqref="C43">
    <cfRule type="cellIs" dxfId="9575" priority="9275" stopIfTrue="1" operator="equal">
      <formula>"Towel"</formula>
    </cfRule>
    <cfRule type="cellIs" dxfId="9574" priority="9276" stopIfTrue="1" operator="equal">
      <formula>"Napkin Hs"</formula>
    </cfRule>
  </conditionalFormatting>
  <conditionalFormatting sqref="B43:C43">
    <cfRule type="cellIs" dxfId="9573" priority="9273" stopIfTrue="1" operator="equal">
      <formula>"Towel"</formula>
    </cfRule>
    <cfRule type="cellIs" dxfId="9572" priority="9274" stopIfTrue="1" operator="equal">
      <formula>"Napkin Hs"</formula>
    </cfRule>
  </conditionalFormatting>
  <conditionalFormatting sqref="C43">
    <cfRule type="cellIs" dxfId="9571" priority="9271" stopIfTrue="1" operator="equal">
      <formula>"Towel"</formula>
    </cfRule>
    <cfRule type="cellIs" dxfId="9570" priority="9272" stopIfTrue="1" operator="equal">
      <formula>"Napkin Hs"</formula>
    </cfRule>
  </conditionalFormatting>
  <conditionalFormatting sqref="C43">
    <cfRule type="cellIs" dxfId="9569" priority="9269" stopIfTrue="1" operator="equal">
      <formula>"Towel"</formula>
    </cfRule>
    <cfRule type="cellIs" dxfId="9568" priority="9270" stopIfTrue="1" operator="equal">
      <formula>"Napkin Hs"</formula>
    </cfRule>
  </conditionalFormatting>
  <conditionalFormatting sqref="B43:C43">
    <cfRule type="cellIs" dxfId="9567" priority="9267" stopIfTrue="1" operator="equal">
      <formula>"Towel"</formula>
    </cfRule>
    <cfRule type="cellIs" dxfId="9566" priority="9268" stopIfTrue="1" operator="equal">
      <formula>"Napkin Hs"</formula>
    </cfRule>
  </conditionalFormatting>
  <conditionalFormatting sqref="C43">
    <cfRule type="cellIs" dxfId="9565" priority="9265" stopIfTrue="1" operator="equal">
      <formula>"Towel"</formula>
    </cfRule>
    <cfRule type="cellIs" dxfId="9564" priority="9266" stopIfTrue="1" operator="equal">
      <formula>"Napkin Hs"</formula>
    </cfRule>
  </conditionalFormatting>
  <conditionalFormatting sqref="C43">
    <cfRule type="cellIs" dxfId="9563" priority="9263" stopIfTrue="1" operator="equal">
      <formula>"Towel"</formula>
    </cfRule>
    <cfRule type="cellIs" dxfId="9562" priority="9264" stopIfTrue="1" operator="equal">
      <formula>"Napkin Hs"</formula>
    </cfRule>
  </conditionalFormatting>
  <conditionalFormatting sqref="B43:C43">
    <cfRule type="cellIs" dxfId="9561" priority="9261" stopIfTrue="1" operator="equal">
      <formula>"Towel"</formula>
    </cfRule>
    <cfRule type="cellIs" dxfId="9560" priority="9262" stopIfTrue="1" operator="equal">
      <formula>"Napkin Hs"</formula>
    </cfRule>
  </conditionalFormatting>
  <conditionalFormatting sqref="C43">
    <cfRule type="cellIs" dxfId="9559" priority="9259" stopIfTrue="1" operator="equal">
      <formula>"Towel"</formula>
    </cfRule>
    <cfRule type="cellIs" dxfId="9558" priority="9260" stopIfTrue="1" operator="equal">
      <formula>"Napkin Hs"</formula>
    </cfRule>
  </conditionalFormatting>
  <conditionalFormatting sqref="C43">
    <cfRule type="cellIs" dxfId="9557" priority="9257" stopIfTrue="1" operator="equal">
      <formula>"Towel"</formula>
    </cfRule>
    <cfRule type="cellIs" dxfId="9556" priority="9258" stopIfTrue="1" operator="equal">
      <formula>"Napkin Hs"</formula>
    </cfRule>
  </conditionalFormatting>
  <conditionalFormatting sqref="B43:C43">
    <cfRule type="cellIs" dxfId="9555" priority="9256" stopIfTrue="1" operator="equal">
      <formula>"Napkin Hs"</formula>
    </cfRule>
  </conditionalFormatting>
  <conditionalFormatting sqref="B43:C43">
    <cfRule type="cellIs" dxfId="9554" priority="9255" stopIfTrue="1" operator="equal">
      <formula>"Towel"</formula>
    </cfRule>
  </conditionalFormatting>
  <conditionalFormatting sqref="C43">
    <cfRule type="cellIs" dxfId="9553" priority="9254" stopIfTrue="1" operator="equal">
      <formula>"Napkin Hs"</formula>
    </cfRule>
  </conditionalFormatting>
  <conditionalFormatting sqref="C43">
    <cfRule type="cellIs" dxfId="9552" priority="9251" stopIfTrue="1" operator="equal">
      <formula>"Towel"</formula>
    </cfRule>
    <cfRule type="cellIs" dxfId="9551" priority="9252" stopIfTrue="1" operator="equal">
      <formula>"Napkin Hs"</formula>
    </cfRule>
  </conditionalFormatting>
  <conditionalFormatting sqref="C43">
    <cfRule type="cellIs" dxfId="9550" priority="9253" stopIfTrue="1" operator="equal">
      <formula>"Towel"</formula>
    </cfRule>
  </conditionalFormatting>
  <conditionalFormatting sqref="B65:C65">
    <cfRule type="cellIs" dxfId="9549" priority="8755" stopIfTrue="1" operator="equal">
      <formula>"Towel"</formula>
    </cfRule>
    <cfRule type="cellIs" dxfId="9548" priority="8756" stopIfTrue="1" operator="equal">
      <formula>"Napkin Hs"</formula>
    </cfRule>
  </conditionalFormatting>
  <conditionalFormatting sqref="C65">
    <cfRule type="cellIs" dxfId="9547" priority="8749" stopIfTrue="1" operator="equal">
      <formula>"Towel"</formula>
    </cfRule>
    <cfRule type="cellIs" dxfId="9546" priority="8750" stopIfTrue="1" operator="equal">
      <formula>"Napkin Hs"</formula>
    </cfRule>
  </conditionalFormatting>
  <conditionalFormatting sqref="C65">
    <cfRule type="cellIs" dxfId="9545" priority="8753" stopIfTrue="1" operator="equal">
      <formula>"Towel"</formula>
    </cfRule>
    <cfRule type="cellIs" dxfId="9544" priority="8754" stopIfTrue="1" operator="equal">
      <formula>"Napkin Hs"</formula>
    </cfRule>
  </conditionalFormatting>
  <conditionalFormatting sqref="B65:C65">
    <cfRule type="cellIs" dxfId="9543" priority="8745" stopIfTrue="1" operator="equal">
      <formula>"Towel"</formula>
    </cfRule>
    <cfRule type="cellIs" dxfId="9542" priority="8746" stopIfTrue="1" operator="equal">
      <formula>"Napkin Hs"</formula>
    </cfRule>
  </conditionalFormatting>
  <conditionalFormatting sqref="C65">
    <cfRule type="cellIs" dxfId="9541" priority="8741" stopIfTrue="1" operator="equal">
      <formula>"Towel"</formula>
    </cfRule>
    <cfRule type="cellIs" dxfId="9540" priority="8742" stopIfTrue="1" operator="equal">
      <formula>"Napkin Hs"</formula>
    </cfRule>
  </conditionalFormatting>
  <conditionalFormatting sqref="C65">
    <cfRule type="cellIs" dxfId="9539" priority="8743" stopIfTrue="1" operator="equal">
      <formula>"Towel"</formula>
    </cfRule>
    <cfRule type="cellIs" dxfId="9538" priority="8744" stopIfTrue="1" operator="equal">
      <formula>"Napkin Hs"</formula>
    </cfRule>
  </conditionalFormatting>
  <conditionalFormatting sqref="B65:C65">
    <cfRule type="cellIs" dxfId="9537" priority="8739" stopIfTrue="1" operator="equal">
      <formula>"Towel"</formula>
    </cfRule>
    <cfRule type="cellIs" dxfId="9536" priority="8740" stopIfTrue="1" operator="equal">
      <formula>"Napkin Hs"</formula>
    </cfRule>
  </conditionalFormatting>
  <conditionalFormatting sqref="C65">
    <cfRule type="cellIs" dxfId="9535" priority="8737" stopIfTrue="1" operator="equal">
      <formula>"Towel"</formula>
    </cfRule>
    <cfRule type="cellIs" dxfId="9534" priority="8738" stopIfTrue="1" operator="equal">
      <formula>"Napkin Hs"</formula>
    </cfRule>
  </conditionalFormatting>
  <conditionalFormatting sqref="C65">
    <cfRule type="cellIs" dxfId="9533" priority="8735" stopIfTrue="1" operator="equal">
      <formula>"Towel"</formula>
    </cfRule>
    <cfRule type="cellIs" dxfId="9532" priority="8736" stopIfTrue="1" operator="equal">
      <formula>"Napkin Hs"</formula>
    </cfRule>
  </conditionalFormatting>
  <conditionalFormatting sqref="B65:C65">
    <cfRule type="cellIs" dxfId="9531" priority="8733" stopIfTrue="1" operator="equal">
      <formula>"Towel"</formula>
    </cfRule>
    <cfRule type="cellIs" dxfId="9530" priority="8734" stopIfTrue="1" operator="equal">
      <formula>"Napkin Hs"</formula>
    </cfRule>
  </conditionalFormatting>
  <conditionalFormatting sqref="C65">
    <cfRule type="cellIs" dxfId="9529" priority="8731" stopIfTrue="1" operator="equal">
      <formula>"Towel"</formula>
    </cfRule>
    <cfRule type="cellIs" dxfId="9528" priority="8732" stopIfTrue="1" operator="equal">
      <formula>"Napkin Hs"</formula>
    </cfRule>
  </conditionalFormatting>
  <conditionalFormatting sqref="C65">
    <cfRule type="cellIs" dxfId="9527" priority="8729" stopIfTrue="1" operator="equal">
      <formula>"Towel"</formula>
    </cfRule>
    <cfRule type="cellIs" dxfId="9526" priority="8730" stopIfTrue="1" operator="equal">
      <formula>"Napkin Hs"</formula>
    </cfRule>
  </conditionalFormatting>
  <conditionalFormatting sqref="B65:C65">
    <cfRule type="cellIs" dxfId="9525" priority="8727" stopIfTrue="1" operator="equal">
      <formula>"Towel"</formula>
    </cfRule>
    <cfRule type="cellIs" dxfId="9524" priority="8728" stopIfTrue="1" operator="equal">
      <formula>"Napkin Hs"</formula>
    </cfRule>
  </conditionalFormatting>
  <conditionalFormatting sqref="C65">
    <cfRule type="cellIs" dxfId="9523" priority="8725" stopIfTrue="1" operator="equal">
      <formula>"Towel"</formula>
    </cfRule>
    <cfRule type="cellIs" dxfId="9522" priority="8726" stopIfTrue="1" operator="equal">
      <formula>"Napkin Hs"</formula>
    </cfRule>
  </conditionalFormatting>
  <conditionalFormatting sqref="C65">
    <cfRule type="cellIs" dxfId="9521" priority="8723" stopIfTrue="1" operator="equal">
      <formula>"Towel"</formula>
    </cfRule>
    <cfRule type="cellIs" dxfId="9520" priority="8724" stopIfTrue="1" operator="equal">
      <formula>"Napkin Hs"</formula>
    </cfRule>
  </conditionalFormatting>
  <conditionalFormatting sqref="B65:C65">
    <cfRule type="cellIs" dxfId="9519" priority="8722" stopIfTrue="1" operator="equal">
      <formula>"Napkin Hs"</formula>
    </cfRule>
  </conditionalFormatting>
  <conditionalFormatting sqref="B65:C65">
    <cfRule type="cellIs" dxfId="9518" priority="8721" stopIfTrue="1" operator="equal">
      <formula>"Towel"</formula>
    </cfRule>
  </conditionalFormatting>
  <conditionalFormatting sqref="C65">
    <cfRule type="cellIs" dxfId="9517" priority="8720" stopIfTrue="1" operator="equal">
      <formula>"Napkin Hs"</formula>
    </cfRule>
  </conditionalFormatting>
  <conditionalFormatting sqref="C65">
    <cfRule type="cellIs" dxfId="9516" priority="8717" stopIfTrue="1" operator="equal">
      <formula>"Towel"</formula>
    </cfRule>
    <cfRule type="cellIs" dxfId="9515" priority="8718" stopIfTrue="1" operator="equal">
      <formula>"Napkin Hs"</formula>
    </cfRule>
  </conditionalFormatting>
  <conditionalFormatting sqref="C65">
    <cfRule type="cellIs" dxfId="9514" priority="8719" stopIfTrue="1" operator="equal">
      <formula>"Towel"</formula>
    </cfRule>
  </conditionalFormatting>
  <conditionalFormatting sqref="B74:C74">
    <cfRule type="cellIs" dxfId="9513" priority="8495" stopIfTrue="1" operator="equal">
      <formula>"Towel"</formula>
    </cfRule>
    <cfRule type="cellIs" dxfId="9512" priority="8496" stopIfTrue="1" operator="equal">
      <formula>"Napkin Hs"</formula>
    </cfRule>
  </conditionalFormatting>
  <conditionalFormatting sqref="C74">
    <cfRule type="cellIs" dxfId="9511" priority="8489" stopIfTrue="1" operator="equal">
      <formula>"Towel"</formula>
    </cfRule>
    <cfRule type="cellIs" dxfId="9510" priority="8490" stopIfTrue="1" operator="equal">
      <formula>"Napkin Hs"</formula>
    </cfRule>
  </conditionalFormatting>
  <conditionalFormatting sqref="C74">
    <cfRule type="cellIs" dxfId="9509" priority="8493" stopIfTrue="1" operator="equal">
      <formula>"Towel"</formula>
    </cfRule>
    <cfRule type="cellIs" dxfId="9508" priority="8494" stopIfTrue="1" operator="equal">
      <formula>"Napkin Hs"</formula>
    </cfRule>
  </conditionalFormatting>
  <conditionalFormatting sqref="B74:C74">
    <cfRule type="cellIs" dxfId="9507" priority="8485" stopIfTrue="1" operator="equal">
      <formula>"Towel"</formula>
    </cfRule>
    <cfRule type="cellIs" dxfId="9506" priority="8486" stopIfTrue="1" operator="equal">
      <formula>"Napkin Hs"</formula>
    </cfRule>
  </conditionalFormatting>
  <conditionalFormatting sqref="C74">
    <cfRule type="cellIs" dxfId="9505" priority="8481" stopIfTrue="1" operator="equal">
      <formula>"Towel"</formula>
    </cfRule>
    <cfRule type="cellIs" dxfId="9504" priority="8482" stopIfTrue="1" operator="equal">
      <formula>"Napkin Hs"</formula>
    </cfRule>
  </conditionalFormatting>
  <conditionalFormatting sqref="C74">
    <cfRule type="cellIs" dxfId="9503" priority="8483" stopIfTrue="1" operator="equal">
      <formula>"Towel"</formula>
    </cfRule>
    <cfRule type="cellIs" dxfId="9502" priority="8484" stopIfTrue="1" operator="equal">
      <formula>"Napkin Hs"</formula>
    </cfRule>
  </conditionalFormatting>
  <conditionalFormatting sqref="B74:C74">
    <cfRule type="cellIs" dxfId="9501" priority="8479" stopIfTrue="1" operator="equal">
      <formula>"Towel"</formula>
    </cfRule>
    <cfRule type="cellIs" dxfId="9500" priority="8480" stopIfTrue="1" operator="equal">
      <formula>"Napkin Hs"</formula>
    </cfRule>
  </conditionalFormatting>
  <conditionalFormatting sqref="C74">
    <cfRule type="cellIs" dxfId="9499" priority="8477" stopIfTrue="1" operator="equal">
      <formula>"Towel"</formula>
    </cfRule>
    <cfRule type="cellIs" dxfId="9498" priority="8478" stopIfTrue="1" operator="equal">
      <formula>"Napkin Hs"</formula>
    </cfRule>
  </conditionalFormatting>
  <conditionalFormatting sqref="C74">
    <cfRule type="cellIs" dxfId="9497" priority="8475" stopIfTrue="1" operator="equal">
      <formula>"Towel"</formula>
    </cfRule>
    <cfRule type="cellIs" dxfId="9496" priority="8476" stopIfTrue="1" operator="equal">
      <formula>"Napkin Hs"</formula>
    </cfRule>
  </conditionalFormatting>
  <conditionalFormatting sqref="B74:C74">
    <cfRule type="cellIs" dxfId="9495" priority="8473" stopIfTrue="1" operator="equal">
      <formula>"Towel"</formula>
    </cfRule>
    <cfRule type="cellIs" dxfId="9494" priority="8474" stopIfTrue="1" operator="equal">
      <formula>"Napkin Hs"</formula>
    </cfRule>
  </conditionalFormatting>
  <conditionalFormatting sqref="C74">
    <cfRule type="cellIs" dxfId="9493" priority="8471" stopIfTrue="1" operator="equal">
      <formula>"Towel"</formula>
    </cfRule>
    <cfRule type="cellIs" dxfId="9492" priority="8472" stopIfTrue="1" operator="equal">
      <formula>"Napkin Hs"</formula>
    </cfRule>
  </conditionalFormatting>
  <conditionalFormatting sqref="C74">
    <cfRule type="cellIs" dxfId="9491" priority="8469" stopIfTrue="1" operator="equal">
      <formula>"Towel"</formula>
    </cfRule>
    <cfRule type="cellIs" dxfId="9490" priority="8470" stopIfTrue="1" operator="equal">
      <formula>"Napkin Hs"</formula>
    </cfRule>
  </conditionalFormatting>
  <conditionalFormatting sqref="B74:C74">
    <cfRule type="cellIs" dxfId="9489" priority="8467" stopIfTrue="1" operator="equal">
      <formula>"Towel"</formula>
    </cfRule>
    <cfRule type="cellIs" dxfId="9488" priority="8468" stopIfTrue="1" operator="equal">
      <formula>"Napkin Hs"</formula>
    </cfRule>
  </conditionalFormatting>
  <conditionalFormatting sqref="C74">
    <cfRule type="cellIs" dxfId="9487" priority="8465" stopIfTrue="1" operator="equal">
      <formula>"Towel"</formula>
    </cfRule>
    <cfRule type="cellIs" dxfId="9486" priority="8466" stopIfTrue="1" operator="equal">
      <formula>"Napkin Hs"</formula>
    </cfRule>
  </conditionalFormatting>
  <conditionalFormatting sqref="C74">
    <cfRule type="cellIs" dxfId="9485" priority="8463" stopIfTrue="1" operator="equal">
      <formula>"Towel"</formula>
    </cfRule>
    <cfRule type="cellIs" dxfId="9484" priority="8464" stopIfTrue="1" operator="equal">
      <formula>"Napkin Hs"</formula>
    </cfRule>
  </conditionalFormatting>
  <conditionalFormatting sqref="B74:C74">
    <cfRule type="cellIs" dxfId="9483" priority="8462" stopIfTrue="1" operator="equal">
      <formula>"Napkin Hs"</formula>
    </cfRule>
  </conditionalFormatting>
  <conditionalFormatting sqref="B74:C74">
    <cfRule type="cellIs" dxfId="9482" priority="8461" stopIfTrue="1" operator="equal">
      <formula>"Towel"</formula>
    </cfRule>
  </conditionalFormatting>
  <conditionalFormatting sqref="C74">
    <cfRule type="cellIs" dxfId="9481" priority="8460" stopIfTrue="1" operator="equal">
      <formula>"Napkin Hs"</formula>
    </cfRule>
  </conditionalFormatting>
  <conditionalFormatting sqref="C74">
    <cfRule type="cellIs" dxfId="9480" priority="8457" stopIfTrue="1" operator="equal">
      <formula>"Towel"</formula>
    </cfRule>
    <cfRule type="cellIs" dxfId="9479" priority="8458" stopIfTrue="1" operator="equal">
      <formula>"Napkin Hs"</formula>
    </cfRule>
  </conditionalFormatting>
  <conditionalFormatting sqref="C74">
    <cfRule type="cellIs" dxfId="9478" priority="8459" stopIfTrue="1" operator="equal">
      <formula>"Towel"</formula>
    </cfRule>
  </conditionalFormatting>
  <conditionalFormatting sqref="B88:C88">
    <cfRule type="cellIs" dxfId="9477" priority="8007" stopIfTrue="1" operator="equal">
      <formula>"Towel"</formula>
    </cfRule>
    <cfRule type="cellIs" dxfId="9476" priority="8008" stopIfTrue="1" operator="equal">
      <formula>"Napkin Hs"</formula>
    </cfRule>
  </conditionalFormatting>
  <conditionalFormatting sqref="C88">
    <cfRule type="cellIs" dxfId="9475" priority="8005" stopIfTrue="1" operator="equal">
      <formula>"Towel"</formula>
    </cfRule>
    <cfRule type="cellIs" dxfId="9474" priority="8006" stopIfTrue="1" operator="equal">
      <formula>"Napkin Hs"</formula>
    </cfRule>
  </conditionalFormatting>
  <conditionalFormatting sqref="C88">
    <cfRule type="cellIs" dxfId="9473" priority="8003" stopIfTrue="1" operator="equal">
      <formula>"Towel"</formula>
    </cfRule>
    <cfRule type="cellIs" dxfId="9472" priority="8004" stopIfTrue="1" operator="equal">
      <formula>"Napkin Hs"</formula>
    </cfRule>
  </conditionalFormatting>
  <conditionalFormatting sqref="B89:C89">
    <cfRule type="cellIs" dxfId="9471" priority="7779" stopIfTrue="1" operator="equal">
      <formula>"Towel"</formula>
    </cfRule>
    <cfRule type="cellIs" dxfId="9470" priority="7780" stopIfTrue="1" operator="equal">
      <formula>"Napkin Hs"</formula>
    </cfRule>
  </conditionalFormatting>
  <conditionalFormatting sqref="C89">
    <cfRule type="cellIs" dxfId="9469" priority="7775" stopIfTrue="1" operator="equal">
      <formula>"Towel"</formula>
    </cfRule>
    <cfRule type="cellIs" dxfId="9468" priority="7776" stopIfTrue="1" operator="equal">
      <formula>"Napkin Hs"</formula>
    </cfRule>
  </conditionalFormatting>
  <conditionalFormatting sqref="C89">
    <cfRule type="cellIs" dxfId="9467" priority="7777" stopIfTrue="1" operator="equal">
      <formula>"Towel"</formula>
    </cfRule>
    <cfRule type="cellIs" dxfId="9466" priority="7778" stopIfTrue="1" operator="equal">
      <formula>"Napkin Hs"</formula>
    </cfRule>
  </conditionalFormatting>
  <conditionalFormatting sqref="B89:C89">
    <cfRule type="cellIs" dxfId="9465" priority="7774" stopIfTrue="1" operator="equal">
      <formula>"Napkin Hs"</formula>
    </cfRule>
  </conditionalFormatting>
  <conditionalFormatting sqref="B89:C89">
    <cfRule type="cellIs" dxfId="9464" priority="7773" stopIfTrue="1" operator="equal">
      <formula>"Towel"</formula>
    </cfRule>
  </conditionalFormatting>
  <conditionalFormatting sqref="C89">
    <cfRule type="cellIs" dxfId="9463" priority="7772" stopIfTrue="1" operator="equal">
      <formula>"Napkin Hs"</formula>
    </cfRule>
  </conditionalFormatting>
  <conditionalFormatting sqref="C89">
    <cfRule type="cellIs" dxfId="9462" priority="7771" stopIfTrue="1" operator="equal">
      <formula>"Towel"</formula>
    </cfRule>
  </conditionalFormatting>
  <conditionalFormatting sqref="C89">
    <cfRule type="cellIs" dxfId="9461" priority="7769" stopIfTrue="1" operator="equal">
      <formula>"Towel"</formula>
    </cfRule>
    <cfRule type="cellIs" dxfId="9460" priority="7770" stopIfTrue="1" operator="equal">
      <formula>"Napkin Hs"</formula>
    </cfRule>
  </conditionalFormatting>
  <conditionalFormatting sqref="B89:C89">
    <cfRule type="cellIs" dxfId="9459" priority="7767" stopIfTrue="1" operator="equal">
      <formula>"Towel"</formula>
    </cfRule>
    <cfRule type="cellIs" dxfId="9458" priority="7768" stopIfTrue="1" operator="equal">
      <formula>"Napkin Hs"</formula>
    </cfRule>
  </conditionalFormatting>
  <conditionalFormatting sqref="C89">
    <cfRule type="cellIs" dxfId="9457" priority="7765" stopIfTrue="1" operator="equal">
      <formula>"Towel"</formula>
    </cfRule>
    <cfRule type="cellIs" dxfId="9456" priority="7766" stopIfTrue="1" operator="equal">
      <formula>"Napkin Hs"</formula>
    </cfRule>
  </conditionalFormatting>
  <conditionalFormatting sqref="C89">
    <cfRule type="cellIs" dxfId="9455" priority="7763" stopIfTrue="1" operator="equal">
      <formula>"Towel"</formula>
    </cfRule>
    <cfRule type="cellIs" dxfId="9454" priority="7764" stopIfTrue="1" operator="equal">
      <formula>"Napkin Hs"</formula>
    </cfRule>
  </conditionalFormatting>
  <conditionalFormatting sqref="B89:C89">
    <cfRule type="cellIs" dxfId="9453" priority="7761" stopIfTrue="1" operator="equal">
      <formula>"Towel"</formula>
    </cfRule>
    <cfRule type="cellIs" dxfId="9452" priority="7762" stopIfTrue="1" operator="equal">
      <formula>"Napkin Hs"</formula>
    </cfRule>
  </conditionalFormatting>
  <conditionalFormatting sqref="C89">
    <cfRule type="cellIs" dxfId="9451" priority="7759" stopIfTrue="1" operator="equal">
      <formula>"Towel"</formula>
    </cfRule>
    <cfRule type="cellIs" dxfId="9450" priority="7760" stopIfTrue="1" operator="equal">
      <formula>"Napkin Hs"</formula>
    </cfRule>
  </conditionalFormatting>
  <conditionalFormatting sqref="C89">
    <cfRule type="cellIs" dxfId="9449" priority="7757" stopIfTrue="1" operator="equal">
      <formula>"Towel"</formula>
    </cfRule>
    <cfRule type="cellIs" dxfId="9448" priority="7758" stopIfTrue="1" operator="equal">
      <formula>"Napkin Hs"</formula>
    </cfRule>
  </conditionalFormatting>
  <conditionalFormatting sqref="B89:C89">
    <cfRule type="cellIs" dxfId="9447" priority="7755" stopIfTrue="1" operator="equal">
      <formula>"Towel"</formula>
    </cfRule>
    <cfRule type="cellIs" dxfId="9446" priority="7756" stopIfTrue="1" operator="equal">
      <formula>"Napkin Hs"</formula>
    </cfRule>
  </conditionalFormatting>
  <conditionalFormatting sqref="C89">
    <cfRule type="cellIs" dxfId="9445" priority="7753" stopIfTrue="1" operator="equal">
      <formula>"Towel"</formula>
    </cfRule>
    <cfRule type="cellIs" dxfId="9444" priority="7754" stopIfTrue="1" operator="equal">
      <formula>"Napkin Hs"</formula>
    </cfRule>
  </conditionalFormatting>
  <conditionalFormatting sqref="C89">
    <cfRule type="cellIs" dxfId="9443" priority="7751" stopIfTrue="1" operator="equal">
      <formula>"Towel"</formula>
    </cfRule>
    <cfRule type="cellIs" dxfId="9442" priority="7752" stopIfTrue="1" operator="equal">
      <formula>"Napkin Hs"</formula>
    </cfRule>
  </conditionalFormatting>
  <conditionalFormatting sqref="B89:C89">
    <cfRule type="cellIs" dxfId="9441" priority="7749" stopIfTrue="1" operator="equal">
      <formula>"Towel"</formula>
    </cfRule>
    <cfRule type="cellIs" dxfId="9440" priority="7750" stopIfTrue="1" operator="equal">
      <formula>"Napkin Hs"</formula>
    </cfRule>
  </conditionalFormatting>
  <conditionalFormatting sqref="C89">
    <cfRule type="cellIs" dxfId="9439" priority="7747" stopIfTrue="1" operator="equal">
      <formula>"Towel"</formula>
    </cfRule>
    <cfRule type="cellIs" dxfId="9438" priority="7748" stopIfTrue="1" operator="equal">
      <formula>"Napkin Hs"</formula>
    </cfRule>
  </conditionalFormatting>
  <conditionalFormatting sqref="C89">
    <cfRule type="cellIs" dxfId="9437" priority="7745" stopIfTrue="1" operator="equal">
      <formula>"Towel"</formula>
    </cfRule>
    <cfRule type="cellIs" dxfId="9436" priority="7746" stopIfTrue="1" operator="equal">
      <formula>"Napkin Hs"</formula>
    </cfRule>
  </conditionalFormatting>
  <conditionalFormatting sqref="B89:C89">
    <cfRule type="cellIs" dxfId="9435" priority="7743" stopIfTrue="1" operator="equal">
      <formula>"Towel"</formula>
    </cfRule>
    <cfRule type="cellIs" dxfId="9434" priority="7744" stopIfTrue="1" operator="equal">
      <formula>"Napkin Hs"</formula>
    </cfRule>
  </conditionalFormatting>
  <conditionalFormatting sqref="C89">
    <cfRule type="cellIs" dxfId="9433" priority="7741" stopIfTrue="1" operator="equal">
      <formula>"Towel"</formula>
    </cfRule>
    <cfRule type="cellIs" dxfId="9432" priority="7742" stopIfTrue="1" operator="equal">
      <formula>"Napkin Hs"</formula>
    </cfRule>
  </conditionalFormatting>
  <conditionalFormatting sqref="C89">
    <cfRule type="cellIs" dxfId="9431" priority="7739" stopIfTrue="1" operator="equal">
      <formula>"Towel"</formula>
    </cfRule>
    <cfRule type="cellIs" dxfId="9430" priority="7740" stopIfTrue="1" operator="equal">
      <formula>"Napkin Hs"</formula>
    </cfRule>
  </conditionalFormatting>
  <conditionalFormatting sqref="B89:C89">
    <cfRule type="cellIs" dxfId="9429" priority="7738" stopIfTrue="1" operator="equal">
      <formula>"Napkin Hs"</formula>
    </cfRule>
  </conditionalFormatting>
  <conditionalFormatting sqref="B89:C89">
    <cfRule type="cellIs" dxfId="9428" priority="7737" stopIfTrue="1" operator="equal">
      <formula>"Towel"</formula>
    </cfRule>
  </conditionalFormatting>
  <conditionalFormatting sqref="C89">
    <cfRule type="cellIs" dxfId="9427" priority="7736" stopIfTrue="1" operator="equal">
      <formula>"Napkin Hs"</formula>
    </cfRule>
  </conditionalFormatting>
  <conditionalFormatting sqref="C89">
    <cfRule type="cellIs" dxfId="9426" priority="7733" stopIfTrue="1" operator="equal">
      <formula>"Towel"</formula>
    </cfRule>
    <cfRule type="cellIs" dxfId="9425" priority="7734" stopIfTrue="1" operator="equal">
      <formula>"Napkin Hs"</formula>
    </cfRule>
  </conditionalFormatting>
  <conditionalFormatting sqref="C89">
    <cfRule type="cellIs" dxfId="9424" priority="7735" stopIfTrue="1" operator="equal">
      <formula>"Towel"</formula>
    </cfRule>
  </conditionalFormatting>
  <conditionalFormatting sqref="B101:C101">
    <cfRule type="cellIs" dxfId="9423" priority="7497" stopIfTrue="1" operator="equal">
      <formula>"Towel"</formula>
    </cfRule>
    <cfRule type="cellIs" dxfId="9422" priority="7498" stopIfTrue="1" operator="equal">
      <formula>"Napkin Hs"</formula>
    </cfRule>
  </conditionalFormatting>
  <conditionalFormatting sqref="C101">
    <cfRule type="cellIs" dxfId="9421" priority="7499" stopIfTrue="1" operator="equal">
      <formula>"Towel"</formula>
    </cfRule>
    <cfRule type="cellIs" dxfId="9420" priority="7500" stopIfTrue="1" operator="equal">
      <formula>"Napkin Hs"</formula>
    </cfRule>
  </conditionalFormatting>
  <conditionalFormatting sqref="C101">
    <cfRule type="cellIs" dxfId="9419" priority="7495" stopIfTrue="1" operator="equal">
      <formula>"Towel"</formula>
    </cfRule>
    <cfRule type="cellIs" dxfId="9418" priority="7496" stopIfTrue="1" operator="equal">
      <formula>"Napkin Hs"</formula>
    </cfRule>
  </conditionalFormatting>
  <conditionalFormatting sqref="B98:C98">
    <cfRule type="cellIs" dxfId="9417" priority="7399" stopIfTrue="1" operator="equal">
      <formula>"Towel"</formula>
    </cfRule>
    <cfRule type="cellIs" dxfId="9416" priority="7400" stopIfTrue="1" operator="equal">
      <formula>"Napkin Hs"</formula>
    </cfRule>
  </conditionalFormatting>
  <conditionalFormatting sqref="C98">
    <cfRule type="cellIs" dxfId="9415" priority="7395" stopIfTrue="1" operator="equal">
      <formula>"Towel"</formula>
    </cfRule>
    <cfRule type="cellIs" dxfId="9414" priority="7396" stopIfTrue="1" operator="equal">
      <formula>"Napkin Hs"</formula>
    </cfRule>
  </conditionalFormatting>
  <conditionalFormatting sqref="C98">
    <cfRule type="cellIs" dxfId="9413" priority="7397" stopIfTrue="1" operator="equal">
      <formula>"Towel"</formula>
    </cfRule>
    <cfRule type="cellIs" dxfId="9412" priority="7398" stopIfTrue="1" operator="equal">
      <formula>"Napkin Hs"</formula>
    </cfRule>
  </conditionalFormatting>
  <conditionalFormatting sqref="B98:C98">
    <cfRule type="cellIs" dxfId="9411" priority="7394" stopIfTrue="1" operator="equal">
      <formula>"Napkin Hs"</formula>
    </cfRule>
  </conditionalFormatting>
  <conditionalFormatting sqref="B98:C98">
    <cfRule type="cellIs" dxfId="9410" priority="7393" stopIfTrue="1" operator="equal">
      <formula>"Towel"</formula>
    </cfRule>
  </conditionalFormatting>
  <conditionalFormatting sqref="C98">
    <cfRule type="cellIs" dxfId="9409" priority="7392" stopIfTrue="1" operator="equal">
      <formula>"Napkin Hs"</formula>
    </cfRule>
  </conditionalFormatting>
  <conditionalFormatting sqref="C98">
    <cfRule type="cellIs" dxfId="9408" priority="7391" stopIfTrue="1" operator="equal">
      <formula>"Towel"</formula>
    </cfRule>
  </conditionalFormatting>
  <conditionalFormatting sqref="C98">
    <cfRule type="cellIs" dxfId="9407" priority="7389" stopIfTrue="1" operator="equal">
      <formula>"Towel"</formula>
    </cfRule>
    <cfRule type="cellIs" dxfId="9406" priority="7390" stopIfTrue="1" operator="equal">
      <formula>"Napkin Hs"</formula>
    </cfRule>
  </conditionalFormatting>
  <conditionalFormatting sqref="B98:C98">
    <cfRule type="cellIs" dxfId="9405" priority="7387" stopIfTrue="1" operator="equal">
      <formula>"Towel"</formula>
    </cfRule>
    <cfRule type="cellIs" dxfId="9404" priority="7388" stopIfTrue="1" operator="equal">
      <formula>"Napkin Hs"</formula>
    </cfRule>
  </conditionalFormatting>
  <conditionalFormatting sqref="C98">
    <cfRule type="cellIs" dxfId="9403" priority="7385" stopIfTrue="1" operator="equal">
      <formula>"Towel"</formula>
    </cfRule>
    <cfRule type="cellIs" dxfId="9402" priority="7386" stopIfTrue="1" operator="equal">
      <formula>"Napkin Hs"</formula>
    </cfRule>
  </conditionalFormatting>
  <conditionalFormatting sqref="C98">
    <cfRule type="cellIs" dxfId="9401" priority="7383" stopIfTrue="1" operator="equal">
      <formula>"Towel"</formula>
    </cfRule>
    <cfRule type="cellIs" dxfId="9400" priority="7384" stopIfTrue="1" operator="equal">
      <formula>"Napkin Hs"</formula>
    </cfRule>
  </conditionalFormatting>
  <conditionalFormatting sqref="B98:C98">
    <cfRule type="cellIs" dxfId="9399" priority="7381" stopIfTrue="1" operator="equal">
      <formula>"Towel"</formula>
    </cfRule>
    <cfRule type="cellIs" dxfId="9398" priority="7382" stopIfTrue="1" operator="equal">
      <formula>"Napkin Hs"</formula>
    </cfRule>
  </conditionalFormatting>
  <conditionalFormatting sqref="C98">
    <cfRule type="cellIs" dxfId="9397" priority="7379" stopIfTrue="1" operator="equal">
      <formula>"Towel"</formula>
    </cfRule>
    <cfRule type="cellIs" dxfId="9396" priority="7380" stopIfTrue="1" operator="equal">
      <formula>"Napkin Hs"</formula>
    </cfRule>
  </conditionalFormatting>
  <conditionalFormatting sqref="C98">
    <cfRule type="cellIs" dxfId="9395" priority="7377" stopIfTrue="1" operator="equal">
      <formula>"Towel"</formula>
    </cfRule>
    <cfRule type="cellIs" dxfId="9394" priority="7378" stopIfTrue="1" operator="equal">
      <formula>"Napkin Hs"</formula>
    </cfRule>
  </conditionalFormatting>
  <conditionalFormatting sqref="B98:C98">
    <cfRule type="cellIs" dxfId="9393" priority="7375" stopIfTrue="1" operator="equal">
      <formula>"Towel"</formula>
    </cfRule>
    <cfRule type="cellIs" dxfId="9392" priority="7376" stopIfTrue="1" operator="equal">
      <formula>"Napkin Hs"</formula>
    </cfRule>
  </conditionalFormatting>
  <conditionalFormatting sqref="C98">
    <cfRule type="cellIs" dxfId="9391" priority="7373" stopIfTrue="1" operator="equal">
      <formula>"Towel"</formula>
    </cfRule>
    <cfRule type="cellIs" dxfId="9390" priority="7374" stopIfTrue="1" operator="equal">
      <formula>"Napkin Hs"</formula>
    </cfRule>
  </conditionalFormatting>
  <conditionalFormatting sqref="C98">
    <cfRule type="cellIs" dxfId="9389" priority="7371" stopIfTrue="1" operator="equal">
      <formula>"Towel"</formula>
    </cfRule>
    <cfRule type="cellIs" dxfId="9388" priority="7372" stopIfTrue="1" operator="equal">
      <formula>"Napkin Hs"</formula>
    </cfRule>
  </conditionalFormatting>
  <conditionalFormatting sqref="B98:C98">
    <cfRule type="cellIs" dxfId="9387" priority="7369" stopIfTrue="1" operator="equal">
      <formula>"Towel"</formula>
    </cfRule>
    <cfRule type="cellIs" dxfId="9386" priority="7370" stopIfTrue="1" operator="equal">
      <formula>"Napkin Hs"</formula>
    </cfRule>
  </conditionalFormatting>
  <conditionalFormatting sqref="C98">
    <cfRule type="cellIs" dxfId="9385" priority="7367" stopIfTrue="1" operator="equal">
      <formula>"Towel"</formula>
    </cfRule>
    <cfRule type="cellIs" dxfId="9384" priority="7368" stopIfTrue="1" operator="equal">
      <formula>"Napkin Hs"</formula>
    </cfRule>
  </conditionalFormatting>
  <conditionalFormatting sqref="C98">
    <cfRule type="cellIs" dxfId="9383" priority="7365" stopIfTrue="1" operator="equal">
      <formula>"Towel"</formula>
    </cfRule>
    <cfRule type="cellIs" dxfId="9382" priority="7366" stopIfTrue="1" operator="equal">
      <formula>"Napkin Hs"</formula>
    </cfRule>
  </conditionalFormatting>
  <conditionalFormatting sqref="B98:C98">
    <cfRule type="cellIs" dxfId="9381" priority="7363" stopIfTrue="1" operator="equal">
      <formula>"Towel"</formula>
    </cfRule>
    <cfRule type="cellIs" dxfId="9380" priority="7364" stopIfTrue="1" operator="equal">
      <formula>"Napkin Hs"</formula>
    </cfRule>
  </conditionalFormatting>
  <conditionalFormatting sqref="C98">
    <cfRule type="cellIs" dxfId="9379" priority="7361" stopIfTrue="1" operator="equal">
      <formula>"Towel"</formula>
    </cfRule>
    <cfRule type="cellIs" dxfId="9378" priority="7362" stopIfTrue="1" operator="equal">
      <formula>"Napkin Hs"</formula>
    </cfRule>
  </conditionalFormatting>
  <conditionalFormatting sqref="C98">
    <cfRule type="cellIs" dxfId="9377" priority="7359" stopIfTrue="1" operator="equal">
      <formula>"Towel"</formula>
    </cfRule>
    <cfRule type="cellIs" dxfId="9376" priority="7360" stopIfTrue="1" operator="equal">
      <formula>"Napkin Hs"</formula>
    </cfRule>
  </conditionalFormatting>
  <conditionalFormatting sqref="B98:C98">
    <cfRule type="cellIs" dxfId="9375" priority="7358" stopIfTrue="1" operator="equal">
      <formula>"Napkin Hs"</formula>
    </cfRule>
  </conditionalFormatting>
  <conditionalFormatting sqref="B98:C98">
    <cfRule type="cellIs" dxfId="9374" priority="7357" stopIfTrue="1" operator="equal">
      <formula>"Towel"</formula>
    </cfRule>
  </conditionalFormatting>
  <conditionalFormatting sqref="C98">
    <cfRule type="cellIs" dxfId="9373" priority="7356" stopIfTrue="1" operator="equal">
      <formula>"Napkin Hs"</formula>
    </cfRule>
  </conditionalFormatting>
  <conditionalFormatting sqref="C98">
    <cfRule type="cellIs" dxfId="9372" priority="7353" stopIfTrue="1" operator="equal">
      <formula>"Towel"</formula>
    </cfRule>
    <cfRule type="cellIs" dxfId="9371" priority="7354" stopIfTrue="1" operator="equal">
      <formula>"Napkin Hs"</formula>
    </cfRule>
  </conditionalFormatting>
  <conditionalFormatting sqref="C98">
    <cfRule type="cellIs" dxfId="9370" priority="7355" stopIfTrue="1" operator="equal">
      <formula>"Towel"</formula>
    </cfRule>
  </conditionalFormatting>
  <conditionalFormatting sqref="B99:C100">
    <cfRule type="cellIs" dxfId="9369" priority="7352" stopIfTrue="1" operator="equal">
      <formula>"Napkin Hs"</formula>
    </cfRule>
  </conditionalFormatting>
  <conditionalFormatting sqref="B99:C100">
    <cfRule type="cellIs" dxfId="9368" priority="7351" stopIfTrue="1" operator="equal">
      <formula>"Towel"</formula>
    </cfRule>
  </conditionalFormatting>
  <conditionalFormatting sqref="C99:C100">
    <cfRule type="cellIs" dxfId="9367" priority="7350" stopIfTrue="1" operator="equal">
      <formula>"Napkin Hs"</formula>
    </cfRule>
  </conditionalFormatting>
  <conditionalFormatting sqref="C99:C100">
    <cfRule type="cellIs" dxfId="9366" priority="7349" stopIfTrue="1" operator="equal">
      <formula>"Towel"</formula>
    </cfRule>
  </conditionalFormatting>
  <conditionalFormatting sqref="C99:C100">
    <cfRule type="cellIs" dxfId="9365" priority="7347" stopIfTrue="1" operator="equal">
      <formula>"Towel"</formula>
    </cfRule>
    <cfRule type="cellIs" dxfId="9364" priority="7348" stopIfTrue="1" operator="equal">
      <formula>"Napkin Hs"</formula>
    </cfRule>
  </conditionalFormatting>
  <conditionalFormatting sqref="B99:C100">
    <cfRule type="cellIs" dxfId="9363" priority="7345" stopIfTrue="1" operator="equal">
      <formula>"Towel"</formula>
    </cfRule>
    <cfRule type="cellIs" dxfId="9362" priority="7346" stopIfTrue="1" operator="equal">
      <formula>"Napkin Hs"</formula>
    </cfRule>
  </conditionalFormatting>
  <conditionalFormatting sqref="C99:C100">
    <cfRule type="cellIs" dxfId="9361" priority="7341" stopIfTrue="1" operator="equal">
      <formula>"Towel"</formula>
    </cfRule>
    <cfRule type="cellIs" dxfId="9360" priority="7342" stopIfTrue="1" operator="equal">
      <formula>"Napkin Hs"</formula>
    </cfRule>
  </conditionalFormatting>
  <conditionalFormatting sqref="C99:C100">
    <cfRule type="cellIs" dxfId="9359" priority="7343" stopIfTrue="1" operator="equal">
      <formula>"Towel"</formula>
    </cfRule>
    <cfRule type="cellIs" dxfId="9358" priority="7344" stopIfTrue="1" operator="equal">
      <formula>"Napkin Hs"</formula>
    </cfRule>
  </conditionalFormatting>
  <conditionalFormatting sqref="B99:C100">
    <cfRule type="cellIs" dxfId="9357" priority="7340" stopIfTrue="1" operator="equal">
      <formula>"Napkin Hs"</formula>
    </cfRule>
  </conditionalFormatting>
  <conditionalFormatting sqref="B99:C100">
    <cfRule type="cellIs" dxfId="9356" priority="7339" stopIfTrue="1" operator="equal">
      <formula>"Towel"</formula>
    </cfRule>
  </conditionalFormatting>
  <conditionalFormatting sqref="C99:C100">
    <cfRule type="cellIs" dxfId="9355" priority="7338" stopIfTrue="1" operator="equal">
      <formula>"Napkin Hs"</formula>
    </cfRule>
  </conditionalFormatting>
  <conditionalFormatting sqref="C99:C100">
    <cfRule type="cellIs" dxfId="9354" priority="7337" stopIfTrue="1" operator="equal">
      <formula>"Towel"</formula>
    </cfRule>
  </conditionalFormatting>
  <conditionalFormatting sqref="C99:C100">
    <cfRule type="cellIs" dxfId="9353" priority="7335" stopIfTrue="1" operator="equal">
      <formula>"Towel"</formula>
    </cfRule>
    <cfRule type="cellIs" dxfId="9352" priority="7336" stopIfTrue="1" operator="equal">
      <formula>"Napkin Hs"</formula>
    </cfRule>
  </conditionalFormatting>
  <conditionalFormatting sqref="B99:C100">
    <cfRule type="cellIs" dxfId="9351" priority="7333" stopIfTrue="1" operator="equal">
      <formula>"Towel"</formula>
    </cfRule>
    <cfRule type="cellIs" dxfId="9350" priority="7334" stopIfTrue="1" operator="equal">
      <formula>"Napkin Hs"</formula>
    </cfRule>
  </conditionalFormatting>
  <conditionalFormatting sqref="C99:C100">
    <cfRule type="cellIs" dxfId="9349" priority="7331" stopIfTrue="1" operator="equal">
      <formula>"Towel"</formula>
    </cfRule>
    <cfRule type="cellIs" dxfId="9348" priority="7332" stopIfTrue="1" operator="equal">
      <formula>"Napkin Hs"</formula>
    </cfRule>
  </conditionalFormatting>
  <conditionalFormatting sqref="C99:C100">
    <cfRule type="cellIs" dxfId="9347" priority="7329" stopIfTrue="1" operator="equal">
      <formula>"Towel"</formula>
    </cfRule>
    <cfRule type="cellIs" dxfId="9346" priority="7330" stopIfTrue="1" operator="equal">
      <formula>"Napkin Hs"</formula>
    </cfRule>
  </conditionalFormatting>
  <conditionalFormatting sqref="B99:C100">
    <cfRule type="cellIs" dxfId="9345" priority="7327" stopIfTrue="1" operator="equal">
      <formula>"Towel"</formula>
    </cfRule>
    <cfRule type="cellIs" dxfId="9344" priority="7328" stopIfTrue="1" operator="equal">
      <formula>"Napkin Hs"</formula>
    </cfRule>
  </conditionalFormatting>
  <conditionalFormatting sqref="C99:C100">
    <cfRule type="cellIs" dxfId="9343" priority="7325" stopIfTrue="1" operator="equal">
      <formula>"Towel"</formula>
    </cfRule>
    <cfRule type="cellIs" dxfId="9342" priority="7326" stopIfTrue="1" operator="equal">
      <formula>"Napkin Hs"</formula>
    </cfRule>
  </conditionalFormatting>
  <conditionalFormatting sqref="C99:C100">
    <cfRule type="cellIs" dxfId="9341" priority="7323" stopIfTrue="1" operator="equal">
      <formula>"Towel"</formula>
    </cfRule>
    <cfRule type="cellIs" dxfId="9340" priority="7324" stopIfTrue="1" operator="equal">
      <formula>"Napkin Hs"</formula>
    </cfRule>
  </conditionalFormatting>
  <conditionalFormatting sqref="B99:C100">
    <cfRule type="cellIs" dxfId="9339" priority="7321" stopIfTrue="1" operator="equal">
      <formula>"Towel"</formula>
    </cfRule>
    <cfRule type="cellIs" dxfId="9338" priority="7322" stopIfTrue="1" operator="equal">
      <formula>"Napkin Hs"</formula>
    </cfRule>
  </conditionalFormatting>
  <conditionalFormatting sqref="C99:C100">
    <cfRule type="cellIs" dxfId="9337" priority="7319" stopIfTrue="1" operator="equal">
      <formula>"Towel"</formula>
    </cfRule>
    <cfRule type="cellIs" dxfId="9336" priority="7320" stopIfTrue="1" operator="equal">
      <formula>"Napkin Hs"</formula>
    </cfRule>
  </conditionalFormatting>
  <conditionalFormatting sqref="C99:C100">
    <cfRule type="cellIs" dxfId="9335" priority="7317" stopIfTrue="1" operator="equal">
      <formula>"Towel"</formula>
    </cfRule>
    <cfRule type="cellIs" dxfId="9334" priority="7318" stopIfTrue="1" operator="equal">
      <formula>"Napkin Hs"</formula>
    </cfRule>
  </conditionalFormatting>
  <conditionalFormatting sqref="B99:C100">
    <cfRule type="cellIs" dxfId="9333" priority="7315" stopIfTrue="1" operator="equal">
      <formula>"Towel"</formula>
    </cfRule>
    <cfRule type="cellIs" dxfId="9332" priority="7316" stopIfTrue="1" operator="equal">
      <formula>"Napkin Hs"</formula>
    </cfRule>
  </conditionalFormatting>
  <conditionalFormatting sqref="C99:C100">
    <cfRule type="cellIs" dxfId="9331" priority="7313" stopIfTrue="1" operator="equal">
      <formula>"Towel"</formula>
    </cfRule>
    <cfRule type="cellIs" dxfId="9330" priority="7314" stopIfTrue="1" operator="equal">
      <formula>"Napkin Hs"</formula>
    </cfRule>
  </conditionalFormatting>
  <conditionalFormatting sqref="C99:C100">
    <cfRule type="cellIs" dxfId="9329" priority="7311" stopIfTrue="1" operator="equal">
      <formula>"Towel"</formula>
    </cfRule>
    <cfRule type="cellIs" dxfId="9328" priority="7312" stopIfTrue="1" operator="equal">
      <formula>"Napkin Hs"</formula>
    </cfRule>
  </conditionalFormatting>
  <conditionalFormatting sqref="B99:C100">
    <cfRule type="cellIs" dxfId="9327" priority="7309" stopIfTrue="1" operator="equal">
      <formula>"Towel"</formula>
    </cfRule>
    <cfRule type="cellIs" dxfId="9326" priority="7310" stopIfTrue="1" operator="equal">
      <formula>"Napkin Hs"</formula>
    </cfRule>
  </conditionalFormatting>
  <conditionalFormatting sqref="C99:C100">
    <cfRule type="cellIs" dxfId="9325" priority="7307" stopIfTrue="1" operator="equal">
      <formula>"Towel"</formula>
    </cfRule>
    <cfRule type="cellIs" dxfId="9324" priority="7308" stopIfTrue="1" operator="equal">
      <formula>"Napkin Hs"</formula>
    </cfRule>
  </conditionalFormatting>
  <conditionalFormatting sqref="C99:C100">
    <cfRule type="cellIs" dxfId="9323" priority="7305" stopIfTrue="1" operator="equal">
      <formula>"Towel"</formula>
    </cfRule>
    <cfRule type="cellIs" dxfId="9322" priority="7306" stopIfTrue="1" operator="equal">
      <formula>"Napkin Hs"</formula>
    </cfRule>
  </conditionalFormatting>
  <conditionalFormatting sqref="B99:C100">
    <cfRule type="cellIs" dxfId="9321" priority="7304" stopIfTrue="1" operator="equal">
      <formula>"Napkin Hs"</formula>
    </cfRule>
  </conditionalFormatting>
  <conditionalFormatting sqref="B99:C100">
    <cfRule type="cellIs" dxfId="9320" priority="7303" stopIfTrue="1" operator="equal">
      <formula>"Towel"</formula>
    </cfRule>
  </conditionalFormatting>
  <conditionalFormatting sqref="C99:C100">
    <cfRule type="cellIs" dxfId="9319" priority="7302" stopIfTrue="1" operator="equal">
      <formula>"Napkin Hs"</formula>
    </cfRule>
  </conditionalFormatting>
  <conditionalFormatting sqref="C99:C100">
    <cfRule type="cellIs" dxfId="9318" priority="7299" stopIfTrue="1" operator="equal">
      <formula>"Towel"</formula>
    </cfRule>
    <cfRule type="cellIs" dxfId="9317" priority="7300" stopIfTrue="1" operator="equal">
      <formula>"Napkin Hs"</formula>
    </cfRule>
  </conditionalFormatting>
  <conditionalFormatting sqref="C99:C100">
    <cfRule type="cellIs" dxfId="9316" priority="7301" stopIfTrue="1" operator="equal">
      <formula>"Towel"</formula>
    </cfRule>
  </conditionalFormatting>
  <conditionalFormatting sqref="B105">
    <cfRule type="cellIs" dxfId="9315" priority="7298" stopIfTrue="1" operator="equal">
      <formula>"Napkin Hs"</formula>
    </cfRule>
  </conditionalFormatting>
  <conditionalFormatting sqref="B105">
    <cfRule type="cellIs" dxfId="9314" priority="7297" stopIfTrue="1" operator="equal">
      <formula>"Towel"</formula>
    </cfRule>
  </conditionalFormatting>
  <conditionalFormatting sqref="B105">
    <cfRule type="cellIs" dxfId="9313" priority="7291" stopIfTrue="1" operator="equal">
      <formula>"Towel"</formula>
    </cfRule>
    <cfRule type="cellIs" dxfId="9312" priority="7292" stopIfTrue="1" operator="equal">
      <formula>"Napkin Hs"</formula>
    </cfRule>
  </conditionalFormatting>
  <conditionalFormatting sqref="B105">
    <cfRule type="cellIs" dxfId="9311" priority="7286" stopIfTrue="1" operator="equal">
      <formula>"Napkin Hs"</formula>
    </cfRule>
  </conditionalFormatting>
  <conditionalFormatting sqref="B105">
    <cfRule type="cellIs" dxfId="9310" priority="7285" stopIfTrue="1" operator="equal">
      <formula>"Towel"</formula>
    </cfRule>
  </conditionalFormatting>
  <conditionalFormatting sqref="B105">
    <cfRule type="cellIs" dxfId="9309" priority="7279" stopIfTrue="1" operator="equal">
      <formula>"Towel"</formula>
    </cfRule>
    <cfRule type="cellIs" dxfId="9308" priority="7280" stopIfTrue="1" operator="equal">
      <formula>"Napkin Hs"</formula>
    </cfRule>
  </conditionalFormatting>
  <conditionalFormatting sqref="B105">
    <cfRule type="cellIs" dxfId="9307" priority="7273" stopIfTrue="1" operator="equal">
      <formula>"Towel"</formula>
    </cfRule>
    <cfRule type="cellIs" dxfId="9306" priority="7274" stopIfTrue="1" operator="equal">
      <formula>"Napkin Hs"</formula>
    </cfRule>
  </conditionalFormatting>
  <conditionalFormatting sqref="B105">
    <cfRule type="cellIs" dxfId="9305" priority="7267" stopIfTrue="1" operator="equal">
      <formula>"Towel"</formula>
    </cfRule>
    <cfRule type="cellIs" dxfId="9304" priority="7268" stopIfTrue="1" operator="equal">
      <formula>"Napkin Hs"</formula>
    </cfRule>
  </conditionalFormatting>
  <conditionalFormatting sqref="B105">
    <cfRule type="cellIs" dxfId="9303" priority="7261" stopIfTrue="1" operator="equal">
      <formula>"Towel"</formula>
    </cfRule>
    <cfRule type="cellIs" dxfId="9302" priority="7262" stopIfTrue="1" operator="equal">
      <formula>"Napkin Hs"</formula>
    </cfRule>
  </conditionalFormatting>
  <conditionalFormatting sqref="B105">
    <cfRule type="cellIs" dxfId="9301" priority="7255" stopIfTrue="1" operator="equal">
      <formula>"Towel"</formula>
    </cfRule>
    <cfRule type="cellIs" dxfId="9300" priority="7256" stopIfTrue="1" operator="equal">
      <formula>"Napkin Hs"</formula>
    </cfRule>
  </conditionalFormatting>
  <conditionalFormatting sqref="B105">
    <cfRule type="cellIs" dxfId="9299" priority="7250" stopIfTrue="1" operator="equal">
      <formula>"Napkin Hs"</formula>
    </cfRule>
  </conditionalFormatting>
  <conditionalFormatting sqref="B105">
    <cfRule type="cellIs" dxfId="9298" priority="7249" stopIfTrue="1" operator="equal">
      <formula>"Towel"</formula>
    </cfRule>
  </conditionalFormatting>
  <conditionalFormatting sqref="B106:C106 C105">
    <cfRule type="cellIs" dxfId="9297" priority="7244" stopIfTrue="1" operator="equal">
      <formula>"Napkin Hs"</formula>
    </cfRule>
  </conditionalFormatting>
  <conditionalFormatting sqref="B106:C106 C105">
    <cfRule type="cellIs" dxfId="9296" priority="7243" stopIfTrue="1" operator="equal">
      <formula>"Towel"</formula>
    </cfRule>
  </conditionalFormatting>
  <conditionalFormatting sqref="C105:C106">
    <cfRule type="cellIs" dxfId="9295" priority="7242" stopIfTrue="1" operator="equal">
      <formula>"Napkin Hs"</formula>
    </cfRule>
  </conditionalFormatting>
  <conditionalFormatting sqref="C105:C106">
    <cfRule type="cellIs" dxfId="9294" priority="7241" stopIfTrue="1" operator="equal">
      <formula>"Towel"</formula>
    </cfRule>
  </conditionalFormatting>
  <conditionalFormatting sqref="C105:C106">
    <cfRule type="cellIs" dxfId="9293" priority="7239" stopIfTrue="1" operator="equal">
      <formula>"Towel"</formula>
    </cfRule>
    <cfRule type="cellIs" dxfId="9292" priority="7240" stopIfTrue="1" operator="equal">
      <formula>"Napkin Hs"</formula>
    </cfRule>
  </conditionalFormatting>
  <conditionalFormatting sqref="B106:C106 C105">
    <cfRule type="cellIs" dxfId="9291" priority="7237" stopIfTrue="1" operator="equal">
      <formula>"Towel"</formula>
    </cfRule>
    <cfRule type="cellIs" dxfId="9290" priority="7238" stopIfTrue="1" operator="equal">
      <formula>"Napkin Hs"</formula>
    </cfRule>
  </conditionalFormatting>
  <conditionalFormatting sqref="C105:C106">
    <cfRule type="cellIs" dxfId="9289" priority="7233" stopIfTrue="1" operator="equal">
      <formula>"Towel"</formula>
    </cfRule>
    <cfRule type="cellIs" dxfId="9288" priority="7234" stopIfTrue="1" operator="equal">
      <formula>"Napkin Hs"</formula>
    </cfRule>
  </conditionalFormatting>
  <conditionalFormatting sqref="C105:C106">
    <cfRule type="cellIs" dxfId="9287" priority="7235" stopIfTrue="1" operator="equal">
      <formula>"Towel"</formula>
    </cfRule>
    <cfRule type="cellIs" dxfId="9286" priority="7236" stopIfTrue="1" operator="equal">
      <formula>"Napkin Hs"</formula>
    </cfRule>
  </conditionalFormatting>
  <conditionalFormatting sqref="B106:C106 C105">
    <cfRule type="cellIs" dxfId="9285" priority="7232" stopIfTrue="1" operator="equal">
      <formula>"Napkin Hs"</formula>
    </cfRule>
  </conditionalFormatting>
  <conditionalFormatting sqref="B106:C106 C105">
    <cfRule type="cellIs" dxfId="9284" priority="7231" stopIfTrue="1" operator="equal">
      <formula>"Towel"</formula>
    </cfRule>
  </conditionalFormatting>
  <conditionalFormatting sqref="C105:C106">
    <cfRule type="cellIs" dxfId="9283" priority="7230" stopIfTrue="1" operator="equal">
      <formula>"Napkin Hs"</formula>
    </cfRule>
  </conditionalFormatting>
  <conditionalFormatting sqref="C105:C106">
    <cfRule type="cellIs" dxfId="9282" priority="7229" stopIfTrue="1" operator="equal">
      <formula>"Towel"</formula>
    </cfRule>
  </conditionalFormatting>
  <conditionalFormatting sqref="C105:C106">
    <cfRule type="cellIs" dxfId="9281" priority="7227" stopIfTrue="1" operator="equal">
      <formula>"Towel"</formula>
    </cfRule>
    <cfRule type="cellIs" dxfId="9280" priority="7228" stopIfTrue="1" operator="equal">
      <formula>"Napkin Hs"</formula>
    </cfRule>
  </conditionalFormatting>
  <conditionalFormatting sqref="B106:C106 C105">
    <cfRule type="cellIs" dxfId="9279" priority="7225" stopIfTrue="1" operator="equal">
      <formula>"Towel"</formula>
    </cfRule>
    <cfRule type="cellIs" dxfId="9278" priority="7226" stopIfTrue="1" operator="equal">
      <formula>"Napkin Hs"</formula>
    </cfRule>
  </conditionalFormatting>
  <conditionalFormatting sqref="C105:C106">
    <cfRule type="cellIs" dxfId="9277" priority="7223" stopIfTrue="1" operator="equal">
      <formula>"Towel"</formula>
    </cfRule>
    <cfRule type="cellIs" dxfId="9276" priority="7224" stopIfTrue="1" operator="equal">
      <formula>"Napkin Hs"</formula>
    </cfRule>
  </conditionalFormatting>
  <conditionalFormatting sqref="C105:C106">
    <cfRule type="cellIs" dxfId="9275" priority="7221" stopIfTrue="1" operator="equal">
      <formula>"Towel"</formula>
    </cfRule>
    <cfRule type="cellIs" dxfId="9274" priority="7222" stopIfTrue="1" operator="equal">
      <formula>"Napkin Hs"</formula>
    </cfRule>
  </conditionalFormatting>
  <conditionalFormatting sqref="B106:C106 C105">
    <cfRule type="cellIs" dxfId="9273" priority="7219" stopIfTrue="1" operator="equal">
      <formula>"Towel"</formula>
    </cfRule>
    <cfRule type="cellIs" dxfId="9272" priority="7220" stopIfTrue="1" operator="equal">
      <formula>"Napkin Hs"</formula>
    </cfRule>
  </conditionalFormatting>
  <conditionalFormatting sqref="C105:C106">
    <cfRule type="cellIs" dxfId="9271" priority="7217" stopIfTrue="1" operator="equal">
      <formula>"Towel"</formula>
    </cfRule>
    <cfRule type="cellIs" dxfId="9270" priority="7218" stopIfTrue="1" operator="equal">
      <formula>"Napkin Hs"</formula>
    </cfRule>
  </conditionalFormatting>
  <conditionalFormatting sqref="C105:C106">
    <cfRule type="cellIs" dxfId="9269" priority="7215" stopIfTrue="1" operator="equal">
      <formula>"Towel"</formula>
    </cfRule>
    <cfRule type="cellIs" dxfId="9268" priority="7216" stopIfTrue="1" operator="equal">
      <formula>"Napkin Hs"</formula>
    </cfRule>
  </conditionalFormatting>
  <conditionalFormatting sqref="B106:C106 C105">
    <cfRule type="cellIs" dxfId="9267" priority="7213" stopIfTrue="1" operator="equal">
      <formula>"Towel"</formula>
    </cfRule>
    <cfRule type="cellIs" dxfId="9266" priority="7214" stopIfTrue="1" operator="equal">
      <formula>"Napkin Hs"</formula>
    </cfRule>
  </conditionalFormatting>
  <conditionalFormatting sqref="C105:C106">
    <cfRule type="cellIs" dxfId="9265" priority="7211" stopIfTrue="1" operator="equal">
      <formula>"Towel"</formula>
    </cfRule>
    <cfRule type="cellIs" dxfId="9264" priority="7212" stopIfTrue="1" operator="equal">
      <formula>"Napkin Hs"</formula>
    </cfRule>
  </conditionalFormatting>
  <conditionalFormatting sqref="C105:C106">
    <cfRule type="cellIs" dxfId="9263" priority="7209" stopIfTrue="1" operator="equal">
      <formula>"Towel"</formula>
    </cfRule>
    <cfRule type="cellIs" dxfId="9262" priority="7210" stopIfTrue="1" operator="equal">
      <formula>"Napkin Hs"</formula>
    </cfRule>
  </conditionalFormatting>
  <conditionalFormatting sqref="B106:C106 C105">
    <cfRule type="cellIs" dxfId="9261" priority="7207" stopIfTrue="1" operator="equal">
      <formula>"Towel"</formula>
    </cfRule>
    <cfRule type="cellIs" dxfId="9260" priority="7208" stopIfTrue="1" operator="equal">
      <formula>"Napkin Hs"</formula>
    </cfRule>
  </conditionalFormatting>
  <conditionalFormatting sqref="C105:C106">
    <cfRule type="cellIs" dxfId="9259" priority="7205" stopIfTrue="1" operator="equal">
      <formula>"Towel"</formula>
    </cfRule>
    <cfRule type="cellIs" dxfId="9258" priority="7206" stopIfTrue="1" operator="equal">
      <formula>"Napkin Hs"</formula>
    </cfRule>
  </conditionalFormatting>
  <conditionalFormatting sqref="C105:C106">
    <cfRule type="cellIs" dxfId="9257" priority="7203" stopIfTrue="1" operator="equal">
      <formula>"Towel"</formula>
    </cfRule>
    <cfRule type="cellIs" dxfId="9256" priority="7204" stopIfTrue="1" operator="equal">
      <formula>"Napkin Hs"</formula>
    </cfRule>
  </conditionalFormatting>
  <conditionalFormatting sqref="B106:C106 C105">
    <cfRule type="cellIs" dxfId="9255" priority="7201" stopIfTrue="1" operator="equal">
      <formula>"Towel"</formula>
    </cfRule>
    <cfRule type="cellIs" dxfId="9254" priority="7202" stopIfTrue="1" operator="equal">
      <formula>"Napkin Hs"</formula>
    </cfRule>
  </conditionalFormatting>
  <conditionalFormatting sqref="C105:C106">
    <cfRule type="cellIs" dxfId="9253" priority="7199" stopIfTrue="1" operator="equal">
      <formula>"Towel"</formula>
    </cfRule>
    <cfRule type="cellIs" dxfId="9252" priority="7200" stopIfTrue="1" operator="equal">
      <formula>"Napkin Hs"</formula>
    </cfRule>
  </conditionalFormatting>
  <conditionalFormatting sqref="C105:C106">
    <cfRule type="cellIs" dxfId="9251" priority="7197" stopIfTrue="1" operator="equal">
      <formula>"Towel"</formula>
    </cfRule>
    <cfRule type="cellIs" dxfId="9250" priority="7198" stopIfTrue="1" operator="equal">
      <formula>"Napkin Hs"</formula>
    </cfRule>
  </conditionalFormatting>
  <conditionalFormatting sqref="B106:C106 C105">
    <cfRule type="cellIs" dxfId="9249" priority="7196" stopIfTrue="1" operator="equal">
      <formula>"Napkin Hs"</formula>
    </cfRule>
  </conditionalFormatting>
  <conditionalFormatting sqref="B106:C106 C105">
    <cfRule type="cellIs" dxfId="9248" priority="7195" stopIfTrue="1" operator="equal">
      <formula>"Towel"</formula>
    </cfRule>
  </conditionalFormatting>
  <conditionalFormatting sqref="C105:C106">
    <cfRule type="cellIs" dxfId="9247" priority="7194" stopIfTrue="1" operator="equal">
      <formula>"Napkin Hs"</formula>
    </cfRule>
  </conditionalFormatting>
  <conditionalFormatting sqref="C105:C106">
    <cfRule type="cellIs" dxfId="9246" priority="7191" stopIfTrue="1" operator="equal">
      <formula>"Towel"</formula>
    </cfRule>
    <cfRule type="cellIs" dxfId="9245" priority="7192" stopIfTrue="1" operator="equal">
      <formula>"Napkin Hs"</formula>
    </cfRule>
  </conditionalFormatting>
  <conditionalFormatting sqref="C105:C106">
    <cfRule type="cellIs" dxfId="9244" priority="7193" stopIfTrue="1" operator="equal">
      <formula>"Towel"</formula>
    </cfRule>
  </conditionalFormatting>
  <conditionalFormatting sqref="B108:C108">
    <cfRule type="cellIs" dxfId="9243" priority="7190" stopIfTrue="1" operator="equal">
      <formula>"Napkin Hs"</formula>
    </cfRule>
  </conditionalFormatting>
  <conditionalFormatting sqref="B108:C108">
    <cfRule type="cellIs" dxfId="9242" priority="7189" stopIfTrue="1" operator="equal">
      <formula>"Towel"</formula>
    </cfRule>
  </conditionalFormatting>
  <conditionalFormatting sqref="C108">
    <cfRule type="cellIs" dxfId="9241" priority="7188" stopIfTrue="1" operator="equal">
      <formula>"Napkin Hs"</formula>
    </cfRule>
  </conditionalFormatting>
  <conditionalFormatting sqref="C108">
    <cfRule type="cellIs" dxfId="9240" priority="7187" stopIfTrue="1" operator="equal">
      <formula>"Towel"</formula>
    </cfRule>
  </conditionalFormatting>
  <conditionalFormatting sqref="C108">
    <cfRule type="cellIs" dxfId="9239" priority="7185" stopIfTrue="1" operator="equal">
      <formula>"Towel"</formula>
    </cfRule>
    <cfRule type="cellIs" dxfId="9238" priority="7186" stopIfTrue="1" operator="equal">
      <formula>"Napkin Hs"</formula>
    </cfRule>
  </conditionalFormatting>
  <conditionalFormatting sqref="B108:C108">
    <cfRule type="cellIs" dxfId="9237" priority="7183" stopIfTrue="1" operator="equal">
      <formula>"Towel"</formula>
    </cfRule>
    <cfRule type="cellIs" dxfId="9236" priority="7184" stopIfTrue="1" operator="equal">
      <formula>"Napkin Hs"</formula>
    </cfRule>
  </conditionalFormatting>
  <conditionalFormatting sqref="C108">
    <cfRule type="cellIs" dxfId="9235" priority="7179" stopIfTrue="1" operator="equal">
      <formula>"Towel"</formula>
    </cfRule>
    <cfRule type="cellIs" dxfId="9234" priority="7180" stopIfTrue="1" operator="equal">
      <formula>"Napkin Hs"</formula>
    </cfRule>
  </conditionalFormatting>
  <conditionalFormatting sqref="C108">
    <cfRule type="cellIs" dxfId="9233" priority="7181" stopIfTrue="1" operator="equal">
      <formula>"Towel"</formula>
    </cfRule>
    <cfRule type="cellIs" dxfId="9232" priority="7182" stopIfTrue="1" operator="equal">
      <formula>"Napkin Hs"</formula>
    </cfRule>
  </conditionalFormatting>
  <conditionalFormatting sqref="B108:C108">
    <cfRule type="cellIs" dxfId="9231" priority="7178" stopIfTrue="1" operator="equal">
      <formula>"Napkin Hs"</formula>
    </cfRule>
  </conditionalFormatting>
  <conditionalFormatting sqref="B108:C108">
    <cfRule type="cellIs" dxfId="9230" priority="7177" stopIfTrue="1" operator="equal">
      <formula>"Towel"</formula>
    </cfRule>
  </conditionalFormatting>
  <conditionalFormatting sqref="C108">
    <cfRule type="cellIs" dxfId="9229" priority="7176" stopIfTrue="1" operator="equal">
      <formula>"Napkin Hs"</formula>
    </cfRule>
  </conditionalFormatting>
  <conditionalFormatting sqref="C108">
    <cfRule type="cellIs" dxfId="9228" priority="7175" stopIfTrue="1" operator="equal">
      <formula>"Towel"</formula>
    </cfRule>
  </conditionalFormatting>
  <conditionalFormatting sqref="C108">
    <cfRule type="cellIs" dxfId="9227" priority="7173" stopIfTrue="1" operator="equal">
      <formula>"Towel"</formula>
    </cfRule>
    <cfRule type="cellIs" dxfId="9226" priority="7174" stopIfTrue="1" operator="equal">
      <formula>"Napkin Hs"</formula>
    </cfRule>
  </conditionalFormatting>
  <conditionalFormatting sqref="B108:C108">
    <cfRule type="cellIs" dxfId="9225" priority="7171" stopIfTrue="1" operator="equal">
      <formula>"Towel"</formula>
    </cfRule>
    <cfRule type="cellIs" dxfId="9224" priority="7172" stopIfTrue="1" operator="equal">
      <formula>"Napkin Hs"</formula>
    </cfRule>
  </conditionalFormatting>
  <conditionalFormatting sqref="C108">
    <cfRule type="cellIs" dxfId="9223" priority="7169" stopIfTrue="1" operator="equal">
      <formula>"Towel"</formula>
    </cfRule>
    <cfRule type="cellIs" dxfId="9222" priority="7170" stopIfTrue="1" operator="equal">
      <formula>"Napkin Hs"</formula>
    </cfRule>
  </conditionalFormatting>
  <conditionalFormatting sqref="C108">
    <cfRule type="cellIs" dxfId="9221" priority="7167" stopIfTrue="1" operator="equal">
      <formula>"Towel"</formula>
    </cfRule>
    <cfRule type="cellIs" dxfId="9220" priority="7168" stopIfTrue="1" operator="equal">
      <formula>"Napkin Hs"</formula>
    </cfRule>
  </conditionalFormatting>
  <conditionalFormatting sqref="B108:C108">
    <cfRule type="cellIs" dxfId="9219" priority="7165" stopIfTrue="1" operator="equal">
      <formula>"Towel"</formula>
    </cfRule>
    <cfRule type="cellIs" dxfId="9218" priority="7166" stopIfTrue="1" operator="equal">
      <formula>"Napkin Hs"</formula>
    </cfRule>
  </conditionalFormatting>
  <conditionalFormatting sqref="C108">
    <cfRule type="cellIs" dxfId="9217" priority="7163" stopIfTrue="1" operator="equal">
      <formula>"Towel"</formula>
    </cfRule>
    <cfRule type="cellIs" dxfId="9216" priority="7164" stopIfTrue="1" operator="equal">
      <formula>"Napkin Hs"</formula>
    </cfRule>
  </conditionalFormatting>
  <conditionalFormatting sqref="C108">
    <cfRule type="cellIs" dxfId="9215" priority="7161" stopIfTrue="1" operator="equal">
      <formula>"Towel"</formula>
    </cfRule>
    <cfRule type="cellIs" dxfId="9214" priority="7162" stopIfTrue="1" operator="equal">
      <formula>"Napkin Hs"</formula>
    </cfRule>
  </conditionalFormatting>
  <conditionalFormatting sqref="B108:C108">
    <cfRule type="cellIs" dxfId="9213" priority="7159" stopIfTrue="1" operator="equal">
      <formula>"Towel"</formula>
    </cfRule>
    <cfRule type="cellIs" dxfId="9212" priority="7160" stopIfTrue="1" operator="equal">
      <formula>"Napkin Hs"</formula>
    </cfRule>
  </conditionalFormatting>
  <conditionalFormatting sqref="C108">
    <cfRule type="cellIs" dxfId="9211" priority="7157" stopIfTrue="1" operator="equal">
      <formula>"Towel"</formula>
    </cfRule>
    <cfRule type="cellIs" dxfId="9210" priority="7158" stopIfTrue="1" operator="equal">
      <formula>"Napkin Hs"</formula>
    </cfRule>
  </conditionalFormatting>
  <conditionalFormatting sqref="C108">
    <cfRule type="cellIs" dxfId="9209" priority="7155" stopIfTrue="1" operator="equal">
      <formula>"Towel"</formula>
    </cfRule>
    <cfRule type="cellIs" dxfId="9208" priority="7156" stopIfTrue="1" operator="equal">
      <formula>"Napkin Hs"</formula>
    </cfRule>
  </conditionalFormatting>
  <conditionalFormatting sqref="B108:C108">
    <cfRule type="cellIs" dxfId="9207" priority="7153" stopIfTrue="1" operator="equal">
      <formula>"Towel"</formula>
    </cfRule>
    <cfRule type="cellIs" dxfId="9206" priority="7154" stopIfTrue="1" operator="equal">
      <formula>"Napkin Hs"</formula>
    </cfRule>
  </conditionalFormatting>
  <conditionalFormatting sqref="C108">
    <cfRule type="cellIs" dxfId="9205" priority="7151" stopIfTrue="1" operator="equal">
      <formula>"Towel"</formula>
    </cfRule>
    <cfRule type="cellIs" dxfId="9204" priority="7152" stopIfTrue="1" operator="equal">
      <formula>"Napkin Hs"</formula>
    </cfRule>
  </conditionalFormatting>
  <conditionalFormatting sqref="C108">
    <cfRule type="cellIs" dxfId="9203" priority="7149" stopIfTrue="1" operator="equal">
      <formula>"Towel"</formula>
    </cfRule>
    <cfRule type="cellIs" dxfId="9202" priority="7150" stopIfTrue="1" operator="equal">
      <formula>"Napkin Hs"</formula>
    </cfRule>
  </conditionalFormatting>
  <conditionalFormatting sqref="B108:C108">
    <cfRule type="cellIs" dxfId="9201" priority="7147" stopIfTrue="1" operator="equal">
      <formula>"Towel"</formula>
    </cfRule>
    <cfRule type="cellIs" dxfId="9200" priority="7148" stopIfTrue="1" operator="equal">
      <formula>"Napkin Hs"</formula>
    </cfRule>
  </conditionalFormatting>
  <conditionalFormatting sqref="C108">
    <cfRule type="cellIs" dxfId="9199" priority="7145" stopIfTrue="1" operator="equal">
      <formula>"Towel"</formula>
    </cfRule>
    <cfRule type="cellIs" dxfId="9198" priority="7146" stopIfTrue="1" operator="equal">
      <formula>"Napkin Hs"</formula>
    </cfRule>
  </conditionalFormatting>
  <conditionalFormatting sqref="C108">
    <cfRule type="cellIs" dxfId="9197" priority="7143" stopIfTrue="1" operator="equal">
      <formula>"Towel"</formula>
    </cfRule>
    <cfRule type="cellIs" dxfId="9196" priority="7144" stopIfTrue="1" operator="equal">
      <formula>"Napkin Hs"</formula>
    </cfRule>
  </conditionalFormatting>
  <conditionalFormatting sqref="B108:C108">
    <cfRule type="cellIs" dxfId="9195" priority="7142" stopIfTrue="1" operator="equal">
      <formula>"Napkin Hs"</formula>
    </cfRule>
  </conditionalFormatting>
  <conditionalFormatting sqref="B108:C108">
    <cfRule type="cellIs" dxfId="9194" priority="7141" stopIfTrue="1" operator="equal">
      <formula>"Towel"</formula>
    </cfRule>
  </conditionalFormatting>
  <conditionalFormatting sqref="C108">
    <cfRule type="cellIs" dxfId="9193" priority="7140" stopIfTrue="1" operator="equal">
      <formula>"Napkin Hs"</formula>
    </cfRule>
  </conditionalFormatting>
  <conditionalFormatting sqref="C108">
    <cfRule type="cellIs" dxfId="9192" priority="7137" stopIfTrue="1" operator="equal">
      <formula>"Towel"</formula>
    </cfRule>
    <cfRule type="cellIs" dxfId="9191" priority="7138" stopIfTrue="1" operator="equal">
      <formula>"Napkin Hs"</formula>
    </cfRule>
  </conditionalFormatting>
  <conditionalFormatting sqref="C108">
    <cfRule type="cellIs" dxfId="9190" priority="7139" stopIfTrue="1" operator="equal">
      <formula>"Towel"</formula>
    </cfRule>
  </conditionalFormatting>
  <conditionalFormatting sqref="B109:C110">
    <cfRule type="cellIs" dxfId="9189" priority="7136" stopIfTrue="1" operator="equal">
      <formula>"Napkin Hs"</formula>
    </cfRule>
  </conditionalFormatting>
  <conditionalFormatting sqref="B109:C110">
    <cfRule type="cellIs" dxfId="9188" priority="7135" stopIfTrue="1" operator="equal">
      <formula>"Towel"</formula>
    </cfRule>
  </conditionalFormatting>
  <conditionalFormatting sqref="C109:C110">
    <cfRule type="cellIs" dxfId="9187" priority="7134" stopIfTrue="1" operator="equal">
      <formula>"Napkin Hs"</formula>
    </cfRule>
  </conditionalFormatting>
  <conditionalFormatting sqref="C109:C110">
    <cfRule type="cellIs" dxfId="9186" priority="7133" stopIfTrue="1" operator="equal">
      <formula>"Towel"</formula>
    </cfRule>
  </conditionalFormatting>
  <conditionalFormatting sqref="C109:C110">
    <cfRule type="cellIs" dxfId="9185" priority="7131" stopIfTrue="1" operator="equal">
      <formula>"Towel"</formula>
    </cfRule>
    <cfRule type="cellIs" dxfId="9184" priority="7132" stopIfTrue="1" operator="equal">
      <formula>"Napkin Hs"</formula>
    </cfRule>
  </conditionalFormatting>
  <conditionalFormatting sqref="B109:C110">
    <cfRule type="cellIs" dxfId="9183" priority="7129" stopIfTrue="1" operator="equal">
      <formula>"Towel"</formula>
    </cfRule>
    <cfRule type="cellIs" dxfId="9182" priority="7130" stopIfTrue="1" operator="equal">
      <formula>"Napkin Hs"</formula>
    </cfRule>
  </conditionalFormatting>
  <conditionalFormatting sqref="C109:C110">
    <cfRule type="cellIs" dxfId="9181" priority="7125" stopIfTrue="1" operator="equal">
      <formula>"Towel"</formula>
    </cfRule>
    <cfRule type="cellIs" dxfId="9180" priority="7126" stopIfTrue="1" operator="equal">
      <formula>"Napkin Hs"</formula>
    </cfRule>
  </conditionalFormatting>
  <conditionalFormatting sqref="C109:C110">
    <cfRule type="cellIs" dxfId="9179" priority="7127" stopIfTrue="1" operator="equal">
      <formula>"Towel"</formula>
    </cfRule>
    <cfRule type="cellIs" dxfId="9178" priority="7128" stopIfTrue="1" operator="equal">
      <formula>"Napkin Hs"</formula>
    </cfRule>
  </conditionalFormatting>
  <conditionalFormatting sqref="B109:C110">
    <cfRule type="cellIs" dxfId="9177" priority="7124" stopIfTrue="1" operator="equal">
      <formula>"Napkin Hs"</formula>
    </cfRule>
  </conditionalFormatting>
  <conditionalFormatting sqref="B109:C110">
    <cfRule type="cellIs" dxfId="9176" priority="7123" stopIfTrue="1" operator="equal">
      <formula>"Towel"</formula>
    </cfRule>
  </conditionalFormatting>
  <conditionalFormatting sqref="C109:C110">
    <cfRule type="cellIs" dxfId="9175" priority="7122" stopIfTrue="1" operator="equal">
      <formula>"Napkin Hs"</formula>
    </cfRule>
  </conditionalFormatting>
  <conditionalFormatting sqref="C109:C110">
    <cfRule type="cellIs" dxfId="9174" priority="7121" stopIfTrue="1" operator="equal">
      <formula>"Towel"</formula>
    </cfRule>
  </conditionalFormatting>
  <conditionalFormatting sqref="C109:C110">
    <cfRule type="cellIs" dxfId="9173" priority="7119" stopIfTrue="1" operator="equal">
      <formula>"Towel"</formula>
    </cfRule>
    <cfRule type="cellIs" dxfId="9172" priority="7120" stopIfTrue="1" operator="equal">
      <formula>"Napkin Hs"</formula>
    </cfRule>
  </conditionalFormatting>
  <conditionalFormatting sqref="B109:C110">
    <cfRule type="cellIs" dxfId="9171" priority="7117" stopIfTrue="1" operator="equal">
      <formula>"Towel"</formula>
    </cfRule>
    <cfRule type="cellIs" dxfId="9170" priority="7118" stopIfTrue="1" operator="equal">
      <formula>"Napkin Hs"</formula>
    </cfRule>
  </conditionalFormatting>
  <conditionalFormatting sqref="C109:C110">
    <cfRule type="cellIs" dxfId="9169" priority="7115" stopIfTrue="1" operator="equal">
      <formula>"Towel"</formula>
    </cfRule>
    <cfRule type="cellIs" dxfId="9168" priority="7116" stopIfTrue="1" operator="equal">
      <formula>"Napkin Hs"</formula>
    </cfRule>
  </conditionalFormatting>
  <conditionalFormatting sqref="C109:C110">
    <cfRule type="cellIs" dxfId="9167" priority="7113" stopIfTrue="1" operator="equal">
      <formula>"Towel"</formula>
    </cfRule>
    <cfRule type="cellIs" dxfId="9166" priority="7114" stopIfTrue="1" operator="equal">
      <formula>"Napkin Hs"</formula>
    </cfRule>
  </conditionalFormatting>
  <conditionalFormatting sqref="B109:C110">
    <cfRule type="cellIs" dxfId="9165" priority="7111" stopIfTrue="1" operator="equal">
      <formula>"Towel"</formula>
    </cfRule>
    <cfRule type="cellIs" dxfId="9164" priority="7112" stopIfTrue="1" operator="equal">
      <formula>"Napkin Hs"</formula>
    </cfRule>
  </conditionalFormatting>
  <conditionalFormatting sqref="C109:C110">
    <cfRule type="cellIs" dxfId="9163" priority="7109" stopIfTrue="1" operator="equal">
      <formula>"Towel"</formula>
    </cfRule>
    <cfRule type="cellIs" dxfId="9162" priority="7110" stopIfTrue="1" operator="equal">
      <formula>"Napkin Hs"</formula>
    </cfRule>
  </conditionalFormatting>
  <conditionalFormatting sqref="C109:C110">
    <cfRule type="cellIs" dxfId="9161" priority="7107" stopIfTrue="1" operator="equal">
      <formula>"Towel"</formula>
    </cfRule>
    <cfRule type="cellIs" dxfId="9160" priority="7108" stopIfTrue="1" operator="equal">
      <formula>"Napkin Hs"</formula>
    </cfRule>
  </conditionalFormatting>
  <conditionalFormatting sqref="B109:C110">
    <cfRule type="cellIs" dxfId="9159" priority="7105" stopIfTrue="1" operator="equal">
      <formula>"Towel"</formula>
    </cfRule>
    <cfRule type="cellIs" dxfId="9158" priority="7106" stopIfTrue="1" operator="equal">
      <formula>"Napkin Hs"</formula>
    </cfRule>
  </conditionalFormatting>
  <conditionalFormatting sqref="C109:C110">
    <cfRule type="cellIs" dxfId="9157" priority="7103" stopIfTrue="1" operator="equal">
      <formula>"Towel"</formula>
    </cfRule>
    <cfRule type="cellIs" dxfId="9156" priority="7104" stopIfTrue="1" operator="equal">
      <formula>"Napkin Hs"</formula>
    </cfRule>
  </conditionalFormatting>
  <conditionalFormatting sqref="C109:C110">
    <cfRule type="cellIs" dxfId="9155" priority="7101" stopIfTrue="1" operator="equal">
      <formula>"Towel"</formula>
    </cfRule>
    <cfRule type="cellIs" dxfId="9154" priority="7102" stopIfTrue="1" operator="equal">
      <formula>"Napkin Hs"</formula>
    </cfRule>
  </conditionalFormatting>
  <conditionalFormatting sqref="B109:C110">
    <cfRule type="cellIs" dxfId="9153" priority="7099" stopIfTrue="1" operator="equal">
      <formula>"Towel"</formula>
    </cfRule>
    <cfRule type="cellIs" dxfId="9152" priority="7100" stopIfTrue="1" operator="equal">
      <formula>"Napkin Hs"</formula>
    </cfRule>
  </conditionalFormatting>
  <conditionalFormatting sqref="C109:C110">
    <cfRule type="cellIs" dxfId="9151" priority="7097" stopIfTrue="1" operator="equal">
      <formula>"Towel"</formula>
    </cfRule>
    <cfRule type="cellIs" dxfId="9150" priority="7098" stopIfTrue="1" operator="equal">
      <formula>"Napkin Hs"</formula>
    </cfRule>
  </conditionalFormatting>
  <conditionalFormatting sqref="C109:C110">
    <cfRule type="cellIs" dxfId="9149" priority="7095" stopIfTrue="1" operator="equal">
      <formula>"Towel"</formula>
    </cfRule>
    <cfRule type="cellIs" dxfId="9148" priority="7096" stopIfTrue="1" operator="equal">
      <formula>"Napkin Hs"</formula>
    </cfRule>
  </conditionalFormatting>
  <conditionalFormatting sqref="B109:C110">
    <cfRule type="cellIs" dxfId="9147" priority="7093" stopIfTrue="1" operator="equal">
      <formula>"Towel"</formula>
    </cfRule>
    <cfRule type="cellIs" dxfId="9146" priority="7094" stopIfTrue="1" operator="equal">
      <formula>"Napkin Hs"</formula>
    </cfRule>
  </conditionalFormatting>
  <conditionalFormatting sqref="C109:C110">
    <cfRule type="cellIs" dxfId="9145" priority="7091" stopIfTrue="1" operator="equal">
      <formula>"Towel"</formula>
    </cfRule>
    <cfRule type="cellIs" dxfId="9144" priority="7092" stopIfTrue="1" operator="equal">
      <formula>"Napkin Hs"</formula>
    </cfRule>
  </conditionalFormatting>
  <conditionalFormatting sqref="C109:C110">
    <cfRule type="cellIs" dxfId="9143" priority="7089" stopIfTrue="1" operator="equal">
      <formula>"Towel"</formula>
    </cfRule>
    <cfRule type="cellIs" dxfId="9142" priority="7090" stopIfTrue="1" operator="equal">
      <formula>"Napkin Hs"</formula>
    </cfRule>
  </conditionalFormatting>
  <conditionalFormatting sqref="B109:C110">
    <cfRule type="cellIs" dxfId="9141" priority="7088" stopIfTrue="1" operator="equal">
      <formula>"Napkin Hs"</formula>
    </cfRule>
  </conditionalFormatting>
  <conditionalFormatting sqref="B109:C110">
    <cfRule type="cellIs" dxfId="9140" priority="7087" stopIfTrue="1" operator="equal">
      <formula>"Towel"</formula>
    </cfRule>
  </conditionalFormatting>
  <conditionalFormatting sqref="C109:C110">
    <cfRule type="cellIs" dxfId="9139" priority="7086" stopIfTrue="1" operator="equal">
      <formula>"Napkin Hs"</formula>
    </cfRule>
  </conditionalFormatting>
  <conditionalFormatting sqref="C109:C110">
    <cfRule type="cellIs" dxfId="9138" priority="7083" stopIfTrue="1" operator="equal">
      <formula>"Towel"</formula>
    </cfRule>
    <cfRule type="cellIs" dxfId="9137" priority="7084" stopIfTrue="1" operator="equal">
      <formula>"Napkin Hs"</formula>
    </cfRule>
  </conditionalFormatting>
  <conditionalFormatting sqref="C109:C110">
    <cfRule type="cellIs" dxfId="9136" priority="7085" stopIfTrue="1" operator="equal">
      <formula>"Towel"</formula>
    </cfRule>
  </conditionalFormatting>
  <conditionalFormatting sqref="B115:C115">
    <cfRule type="cellIs" dxfId="9135" priority="7077" stopIfTrue="1" operator="equal">
      <formula>"Towel"</formula>
    </cfRule>
    <cfRule type="cellIs" dxfId="9134" priority="7078" stopIfTrue="1" operator="equal">
      <formula>"Napkin Hs"</formula>
    </cfRule>
  </conditionalFormatting>
  <conditionalFormatting sqref="C115">
    <cfRule type="cellIs" dxfId="9133" priority="7075" stopIfTrue="1" operator="equal">
      <formula>"Towel"</formula>
    </cfRule>
    <cfRule type="cellIs" dxfId="9132" priority="7076" stopIfTrue="1" operator="equal">
      <formula>"Napkin Hs"</formula>
    </cfRule>
  </conditionalFormatting>
  <conditionalFormatting sqref="C115">
    <cfRule type="cellIs" dxfId="9131" priority="7073" stopIfTrue="1" operator="equal">
      <formula>"Towel"</formula>
    </cfRule>
    <cfRule type="cellIs" dxfId="9130" priority="7074" stopIfTrue="1" operator="equal">
      <formula>"Napkin Hs"</formula>
    </cfRule>
  </conditionalFormatting>
  <conditionalFormatting sqref="B113:C114">
    <cfRule type="cellIs" dxfId="9129" priority="7018" stopIfTrue="1" operator="equal">
      <formula>"Napkin Hs"</formula>
    </cfRule>
  </conditionalFormatting>
  <conditionalFormatting sqref="B113:C114">
    <cfRule type="cellIs" dxfId="9128" priority="7017" stopIfTrue="1" operator="equal">
      <formula>"Towel"</formula>
    </cfRule>
  </conditionalFormatting>
  <conditionalFormatting sqref="C113:C114">
    <cfRule type="cellIs" dxfId="9127" priority="7016" stopIfTrue="1" operator="equal">
      <formula>"Napkin Hs"</formula>
    </cfRule>
  </conditionalFormatting>
  <conditionalFormatting sqref="C113:C114">
    <cfRule type="cellIs" dxfId="9126" priority="7015" stopIfTrue="1" operator="equal">
      <formula>"Towel"</formula>
    </cfRule>
  </conditionalFormatting>
  <conditionalFormatting sqref="C113:C114">
    <cfRule type="cellIs" dxfId="9125" priority="7013" stopIfTrue="1" operator="equal">
      <formula>"Towel"</formula>
    </cfRule>
    <cfRule type="cellIs" dxfId="9124" priority="7014" stopIfTrue="1" operator="equal">
      <formula>"Napkin Hs"</formula>
    </cfRule>
  </conditionalFormatting>
  <conditionalFormatting sqref="B113:C114">
    <cfRule type="cellIs" dxfId="9123" priority="7011" stopIfTrue="1" operator="equal">
      <formula>"Towel"</formula>
    </cfRule>
    <cfRule type="cellIs" dxfId="9122" priority="7012" stopIfTrue="1" operator="equal">
      <formula>"Napkin Hs"</formula>
    </cfRule>
  </conditionalFormatting>
  <conditionalFormatting sqref="C113:C114">
    <cfRule type="cellIs" dxfId="9121" priority="7007" stopIfTrue="1" operator="equal">
      <formula>"Towel"</formula>
    </cfRule>
    <cfRule type="cellIs" dxfId="9120" priority="7008" stopIfTrue="1" operator="equal">
      <formula>"Napkin Hs"</formula>
    </cfRule>
  </conditionalFormatting>
  <conditionalFormatting sqref="C113:C114">
    <cfRule type="cellIs" dxfId="9119" priority="7009" stopIfTrue="1" operator="equal">
      <formula>"Towel"</formula>
    </cfRule>
    <cfRule type="cellIs" dxfId="9118" priority="7010" stopIfTrue="1" operator="equal">
      <formula>"Napkin Hs"</formula>
    </cfRule>
  </conditionalFormatting>
  <conditionalFormatting sqref="B113:C114">
    <cfRule type="cellIs" dxfId="9117" priority="7006" stopIfTrue="1" operator="equal">
      <formula>"Napkin Hs"</formula>
    </cfRule>
  </conditionalFormatting>
  <conditionalFormatting sqref="B113:C114">
    <cfRule type="cellIs" dxfId="9116" priority="7005" stopIfTrue="1" operator="equal">
      <formula>"Towel"</formula>
    </cfRule>
  </conditionalFormatting>
  <conditionalFormatting sqref="C113:C114">
    <cfRule type="cellIs" dxfId="9115" priority="7004" stopIfTrue="1" operator="equal">
      <formula>"Napkin Hs"</formula>
    </cfRule>
  </conditionalFormatting>
  <conditionalFormatting sqref="C113:C114">
    <cfRule type="cellIs" dxfId="9114" priority="7003" stopIfTrue="1" operator="equal">
      <formula>"Towel"</formula>
    </cfRule>
  </conditionalFormatting>
  <conditionalFormatting sqref="C113:C114">
    <cfRule type="cellIs" dxfId="9113" priority="7001" stopIfTrue="1" operator="equal">
      <formula>"Towel"</formula>
    </cfRule>
    <cfRule type="cellIs" dxfId="9112" priority="7002" stopIfTrue="1" operator="equal">
      <formula>"Napkin Hs"</formula>
    </cfRule>
  </conditionalFormatting>
  <conditionalFormatting sqref="B113:C114">
    <cfRule type="cellIs" dxfId="9111" priority="6999" stopIfTrue="1" operator="equal">
      <formula>"Towel"</formula>
    </cfRule>
    <cfRule type="cellIs" dxfId="9110" priority="7000" stopIfTrue="1" operator="equal">
      <formula>"Napkin Hs"</formula>
    </cfRule>
  </conditionalFormatting>
  <conditionalFormatting sqref="C113:C114">
    <cfRule type="cellIs" dxfId="9109" priority="6997" stopIfTrue="1" operator="equal">
      <formula>"Towel"</formula>
    </cfRule>
    <cfRule type="cellIs" dxfId="9108" priority="6998" stopIfTrue="1" operator="equal">
      <formula>"Napkin Hs"</formula>
    </cfRule>
  </conditionalFormatting>
  <conditionalFormatting sqref="C113:C114">
    <cfRule type="cellIs" dxfId="9107" priority="6995" stopIfTrue="1" operator="equal">
      <formula>"Towel"</formula>
    </cfRule>
    <cfRule type="cellIs" dxfId="9106" priority="6996" stopIfTrue="1" operator="equal">
      <formula>"Napkin Hs"</formula>
    </cfRule>
  </conditionalFormatting>
  <conditionalFormatting sqref="B113:C114">
    <cfRule type="cellIs" dxfId="9105" priority="6993" stopIfTrue="1" operator="equal">
      <formula>"Towel"</formula>
    </cfRule>
    <cfRule type="cellIs" dxfId="9104" priority="6994" stopIfTrue="1" operator="equal">
      <formula>"Napkin Hs"</formula>
    </cfRule>
  </conditionalFormatting>
  <conditionalFormatting sqref="C113:C114">
    <cfRule type="cellIs" dxfId="9103" priority="6991" stopIfTrue="1" operator="equal">
      <formula>"Towel"</formula>
    </cfRule>
    <cfRule type="cellIs" dxfId="9102" priority="6992" stopIfTrue="1" operator="equal">
      <formula>"Napkin Hs"</formula>
    </cfRule>
  </conditionalFormatting>
  <conditionalFormatting sqref="C113:C114">
    <cfRule type="cellIs" dxfId="9101" priority="6989" stopIfTrue="1" operator="equal">
      <formula>"Towel"</formula>
    </cfRule>
    <cfRule type="cellIs" dxfId="9100" priority="6990" stopIfTrue="1" operator="equal">
      <formula>"Napkin Hs"</formula>
    </cfRule>
  </conditionalFormatting>
  <conditionalFormatting sqref="B113:C114">
    <cfRule type="cellIs" dxfId="9099" priority="6987" stopIfTrue="1" operator="equal">
      <formula>"Towel"</formula>
    </cfRule>
    <cfRule type="cellIs" dxfId="9098" priority="6988" stopIfTrue="1" operator="equal">
      <formula>"Napkin Hs"</formula>
    </cfRule>
  </conditionalFormatting>
  <conditionalFormatting sqref="C113:C114">
    <cfRule type="cellIs" dxfId="9097" priority="6985" stopIfTrue="1" operator="equal">
      <formula>"Towel"</formula>
    </cfRule>
    <cfRule type="cellIs" dxfId="9096" priority="6986" stopIfTrue="1" operator="equal">
      <formula>"Napkin Hs"</formula>
    </cfRule>
  </conditionalFormatting>
  <conditionalFormatting sqref="C113:C114">
    <cfRule type="cellIs" dxfId="9095" priority="6983" stopIfTrue="1" operator="equal">
      <formula>"Towel"</formula>
    </cfRule>
    <cfRule type="cellIs" dxfId="9094" priority="6984" stopIfTrue="1" operator="equal">
      <formula>"Napkin Hs"</formula>
    </cfRule>
  </conditionalFormatting>
  <conditionalFormatting sqref="B113:C114">
    <cfRule type="cellIs" dxfId="9093" priority="6981" stopIfTrue="1" operator="equal">
      <formula>"Towel"</formula>
    </cfRule>
    <cfRule type="cellIs" dxfId="9092" priority="6982" stopIfTrue="1" operator="equal">
      <formula>"Napkin Hs"</formula>
    </cfRule>
  </conditionalFormatting>
  <conditionalFormatting sqref="C113:C114">
    <cfRule type="cellIs" dxfId="9091" priority="6979" stopIfTrue="1" operator="equal">
      <formula>"Towel"</formula>
    </cfRule>
    <cfRule type="cellIs" dxfId="9090" priority="6980" stopIfTrue="1" operator="equal">
      <formula>"Napkin Hs"</formula>
    </cfRule>
  </conditionalFormatting>
  <conditionalFormatting sqref="C113:C114">
    <cfRule type="cellIs" dxfId="9089" priority="6977" stopIfTrue="1" operator="equal">
      <formula>"Towel"</formula>
    </cfRule>
    <cfRule type="cellIs" dxfId="9088" priority="6978" stopIfTrue="1" operator="equal">
      <formula>"Napkin Hs"</formula>
    </cfRule>
  </conditionalFormatting>
  <conditionalFormatting sqref="B113:C114">
    <cfRule type="cellIs" dxfId="9087" priority="6975" stopIfTrue="1" operator="equal">
      <formula>"Towel"</formula>
    </cfRule>
    <cfRule type="cellIs" dxfId="9086" priority="6976" stopIfTrue="1" operator="equal">
      <formula>"Napkin Hs"</formula>
    </cfRule>
  </conditionalFormatting>
  <conditionalFormatting sqref="C113:C114">
    <cfRule type="cellIs" dxfId="9085" priority="6973" stopIfTrue="1" operator="equal">
      <formula>"Towel"</formula>
    </cfRule>
    <cfRule type="cellIs" dxfId="9084" priority="6974" stopIfTrue="1" operator="equal">
      <formula>"Napkin Hs"</formula>
    </cfRule>
  </conditionalFormatting>
  <conditionalFormatting sqref="C113:C114">
    <cfRule type="cellIs" dxfId="9083" priority="6971" stopIfTrue="1" operator="equal">
      <formula>"Towel"</formula>
    </cfRule>
    <cfRule type="cellIs" dxfId="9082" priority="6972" stopIfTrue="1" operator="equal">
      <formula>"Napkin Hs"</formula>
    </cfRule>
  </conditionalFormatting>
  <conditionalFormatting sqref="B113:C114">
    <cfRule type="cellIs" dxfId="9081" priority="6970" stopIfTrue="1" operator="equal">
      <formula>"Napkin Hs"</formula>
    </cfRule>
  </conditionalFormatting>
  <conditionalFormatting sqref="B113:C114">
    <cfRule type="cellIs" dxfId="9080" priority="6969" stopIfTrue="1" operator="equal">
      <formula>"Towel"</formula>
    </cfRule>
  </conditionalFormatting>
  <conditionalFormatting sqref="C113:C114">
    <cfRule type="cellIs" dxfId="9079" priority="6968" stopIfTrue="1" operator="equal">
      <formula>"Napkin Hs"</formula>
    </cfRule>
  </conditionalFormatting>
  <conditionalFormatting sqref="C113:C114">
    <cfRule type="cellIs" dxfId="9078" priority="6965" stopIfTrue="1" operator="equal">
      <formula>"Towel"</formula>
    </cfRule>
    <cfRule type="cellIs" dxfId="9077" priority="6966" stopIfTrue="1" operator="equal">
      <formula>"Napkin Hs"</formula>
    </cfRule>
  </conditionalFormatting>
  <conditionalFormatting sqref="C113:C114">
    <cfRule type="cellIs" dxfId="9076" priority="6967" stopIfTrue="1" operator="equal">
      <formula>"Towel"</formula>
    </cfRule>
  </conditionalFormatting>
  <conditionalFormatting sqref="B7:C7">
    <cfRule type="cellIs" dxfId="9075" priority="6064" stopIfTrue="1" operator="equal">
      <formula>"Napkin Hs"</formula>
    </cfRule>
  </conditionalFormatting>
  <conditionalFormatting sqref="B7:C7">
    <cfRule type="cellIs" dxfId="9074" priority="6063" stopIfTrue="1" operator="equal">
      <formula>"Towel"</formula>
    </cfRule>
  </conditionalFormatting>
  <conditionalFormatting sqref="C7">
    <cfRule type="cellIs" dxfId="9073" priority="6062" stopIfTrue="1" operator="equal">
      <formula>"Napkin Hs"</formula>
    </cfRule>
  </conditionalFormatting>
  <conditionalFormatting sqref="C7">
    <cfRule type="cellIs" dxfId="9072" priority="6059" stopIfTrue="1" operator="equal">
      <formula>"Towel"</formula>
    </cfRule>
    <cfRule type="cellIs" dxfId="9071" priority="6060" stopIfTrue="1" operator="equal">
      <formula>"Napkin Hs"</formula>
    </cfRule>
  </conditionalFormatting>
  <conditionalFormatting sqref="C7">
    <cfRule type="cellIs" dxfId="9070" priority="6061" stopIfTrue="1" operator="equal">
      <formula>"Towel"</formula>
    </cfRule>
  </conditionalFormatting>
  <conditionalFormatting sqref="B20:C20">
    <cfRule type="cellIs" dxfId="9069" priority="6034" stopIfTrue="1" operator="equal">
      <formula>"Napkin Hs"</formula>
    </cfRule>
  </conditionalFormatting>
  <conditionalFormatting sqref="B20:C20">
    <cfRule type="cellIs" dxfId="9068" priority="6033" stopIfTrue="1" operator="equal">
      <formula>"Towel"</formula>
    </cfRule>
  </conditionalFormatting>
  <conditionalFormatting sqref="C20">
    <cfRule type="cellIs" dxfId="9067" priority="6032" stopIfTrue="1" operator="equal">
      <formula>"Napkin Hs"</formula>
    </cfRule>
  </conditionalFormatting>
  <conditionalFormatting sqref="C20">
    <cfRule type="cellIs" dxfId="9066" priority="6029" stopIfTrue="1" operator="equal">
      <formula>"Towel"</formula>
    </cfRule>
    <cfRule type="cellIs" dxfId="9065" priority="6030" stopIfTrue="1" operator="equal">
      <formula>"Napkin Hs"</formula>
    </cfRule>
  </conditionalFormatting>
  <conditionalFormatting sqref="C20">
    <cfRule type="cellIs" dxfId="9064" priority="6031" stopIfTrue="1" operator="equal">
      <formula>"Towel"</formula>
    </cfRule>
  </conditionalFormatting>
  <conditionalFormatting sqref="B29:C29">
    <cfRule type="cellIs" dxfId="9063" priority="5992" stopIfTrue="1" operator="equal">
      <formula>"Napkin Hs"</formula>
    </cfRule>
  </conditionalFormatting>
  <conditionalFormatting sqref="B29:C29">
    <cfRule type="cellIs" dxfId="9062" priority="5991" stopIfTrue="1" operator="equal">
      <formula>"Towel"</formula>
    </cfRule>
  </conditionalFormatting>
  <conditionalFormatting sqref="C29">
    <cfRule type="cellIs" dxfId="9061" priority="5990" stopIfTrue="1" operator="equal">
      <formula>"Napkin Hs"</formula>
    </cfRule>
  </conditionalFormatting>
  <conditionalFormatting sqref="C29">
    <cfRule type="cellIs" dxfId="9060" priority="5989" stopIfTrue="1" operator="equal">
      <formula>"Towel"</formula>
    </cfRule>
  </conditionalFormatting>
  <conditionalFormatting sqref="C29">
    <cfRule type="cellIs" dxfId="9059" priority="5987" stopIfTrue="1" operator="equal">
      <formula>"Towel"</formula>
    </cfRule>
    <cfRule type="cellIs" dxfId="9058" priority="5988" stopIfTrue="1" operator="equal">
      <formula>"Napkin Hs"</formula>
    </cfRule>
  </conditionalFormatting>
  <conditionalFormatting sqref="B33:C33">
    <cfRule type="cellIs" dxfId="9057" priority="5920" stopIfTrue="1" operator="equal">
      <formula>"Napkin Hs"</formula>
    </cfRule>
  </conditionalFormatting>
  <conditionalFormatting sqref="B33:C33">
    <cfRule type="cellIs" dxfId="9056" priority="5919" stopIfTrue="1" operator="equal">
      <formula>"Towel"</formula>
    </cfRule>
  </conditionalFormatting>
  <conditionalFormatting sqref="C33">
    <cfRule type="cellIs" dxfId="9055" priority="5918" stopIfTrue="1" operator="equal">
      <formula>"Napkin Hs"</formula>
    </cfRule>
  </conditionalFormatting>
  <conditionalFormatting sqref="C33">
    <cfRule type="cellIs" dxfId="9054" priority="5915" stopIfTrue="1" operator="equal">
      <formula>"Towel"</formula>
    </cfRule>
    <cfRule type="cellIs" dxfId="9053" priority="5916" stopIfTrue="1" operator="equal">
      <formula>"Napkin Hs"</formula>
    </cfRule>
  </conditionalFormatting>
  <conditionalFormatting sqref="C33">
    <cfRule type="cellIs" dxfId="9052" priority="5917" stopIfTrue="1" operator="equal">
      <formula>"Towel"</formula>
    </cfRule>
  </conditionalFormatting>
  <conditionalFormatting sqref="B33:C33">
    <cfRule type="cellIs" dxfId="9051" priority="5914" stopIfTrue="1" operator="equal">
      <formula>"Napkin Hs"</formula>
    </cfRule>
  </conditionalFormatting>
  <conditionalFormatting sqref="B33:C33">
    <cfRule type="cellIs" dxfId="9050" priority="5913" stopIfTrue="1" operator="equal">
      <formula>"Towel"</formula>
    </cfRule>
  </conditionalFormatting>
  <conditionalFormatting sqref="C33">
    <cfRule type="cellIs" dxfId="9049" priority="5912" stopIfTrue="1" operator="equal">
      <formula>"Napkin Hs"</formula>
    </cfRule>
  </conditionalFormatting>
  <conditionalFormatting sqref="C33">
    <cfRule type="cellIs" dxfId="9048" priority="5909" stopIfTrue="1" operator="equal">
      <formula>"Towel"</formula>
    </cfRule>
    <cfRule type="cellIs" dxfId="9047" priority="5910" stopIfTrue="1" operator="equal">
      <formula>"Napkin Hs"</formula>
    </cfRule>
  </conditionalFormatting>
  <conditionalFormatting sqref="C33">
    <cfRule type="cellIs" dxfId="9046" priority="5911" stopIfTrue="1" operator="equal">
      <formula>"Towel"</formula>
    </cfRule>
  </conditionalFormatting>
  <conditionalFormatting sqref="B11:C11 B13:C14">
    <cfRule type="cellIs" dxfId="9045" priority="5902" stopIfTrue="1" operator="equal">
      <formula>"Napkin Hs"</formula>
    </cfRule>
  </conditionalFormatting>
  <conditionalFormatting sqref="B11:C11 B13:C14">
    <cfRule type="cellIs" dxfId="9044" priority="5901" stopIfTrue="1" operator="equal">
      <formula>"Towel"</formula>
    </cfRule>
  </conditionalFormatting>
  <conditionalFormatting sqref="C11 C13:C14">
    <cfRule type="cellIs" dxfId="9043" priority="5900" stopIfTrue="1" operator="equal">
      <formula>"Napkin Hs"</formula>
    </cfRule>
  </conditionalFormatting>
  <conditionalFormatting sqref="C11 C13:C14">
    <cfRule type="cellIs" dxfId="9042" priority="5897" stopIfTrue="1" operator="equal">
      <formula>"Towel"</formula>
    </cfRule>
    <cfRule type="cellIs" dxfId="9041" priority="5898" stopIfTrue="1" operator="equal">
      <formula>"Napkin Hs"</formula>
    </cfRule>
  </conditionalFormatting>
  <conditionalFormatting sqref="C11 C13:C14">
    <cfRule type="cellIs" dxfId="9040" priority="5899" stopIfTrue="1" operator="equal">
      <formula>"Towel"</formula>
    </cfRule>
  </conditionalFormatting>
  <conditionalFormatting sqref="B12:C12">
    <cfRule type="cellIs" dxfId="9039" priority="5896" stopIfTrue="1" operator="equal">
      <formula>"Napkin Hs"</formula>
    </cfRule>
  </conditionalFormatting>
  <conditionalFormatting sqref="B12:C12">
    <cfRule type="cellIs" dxfId="9038" priority="5895" stopIfTrue="1" operator="equal">
      <formula>"Towel"</formula>
    </cfRule>
  </conditionalFormatting>
  <conditionalFormatting sqref="C12">
    <cfRule type="cellIs" dxfId="9037" priority="5894" stopIfTrue="1" operator="equal">
      <formula>"Napkin Hs"</formula>
    </cfRule>
  </conditionalFormatting>
  <conditionalFormatting sqref="C12">
    <cfRule type="cellIs" dxfId="9036" priority="5891" stopIfTrue="1" operator="equal">
      <formula>"Towel"</formula>
    </cfRule>
    <cfRule type="cellIs" dxfId="9035" priority="5892" stopIfTrue="1" operator="equal">
      <formula>"Napkin Hs"</formula>
    </cfRule>
  </conditionalFormatting>
  <conditionalFormatting sqref="C12">
    <cfRule type="cellIs" dxfId="9034" priority="5893" stopIfTrue="1" operator="equal">
      <formula>"Towel"</formula>
    </cfRule>
  </conditionalFormatting>
  <conditionalFormatting sqref="B17:C17 B19:C19">
    <cfRule type="cellIs" dxfId="9033" priority="5890" stopIfTrue="1" operator="equal">
      <formula>"Napkin Hs"</formula>
    </cfRule>
  </conditionalFormatting>
  <conditionalFormatting sqref="B17:C17 B19:C19">
    <cfRule type="cellIs" dxfId="9032" priority="5889" stopIfTrue="1" operator="equal">
      <formula>"Towel"</formula>
    </cfRule>
  </conditionalFormatting>
  <conditionalFormatting sqref="C17 C19">
    <cfRule type="cellIs" dxfId="9031" priority="5888" stopIfTrue="1" operator="equal">
      <formula>"Napkin Hs"</formula>
    </cfRule>
  </conditionalFormatting>
  <conditionalFormatting sqref="C17 C19">
    <cfRule type="cellIs" dxfId="9030" priority="5885" stopIfTrue="1" operator="equal">
      <formula>"Towel"</formula>
    </cfRule>
    <cfRule type="cellIs" dxfId="9029" priority="5886" stopIfTrue="1" operator="equal">
      <formula>"Napkin Hs"</formula>
    </cfRule>
  </conditionalFormatting>
  <conditionalFormatting sqref="C17 C19">
    <cfRule type="cellIs" dxfId="9028" priority="5887" stopIfTrue="1" operator="equal">
      <formula>"Towel"</formula>
    </cfRule>
  </conditionalFormatting>
  <conditionalFormatting sqref="B18:C18">
    <cfRule type="cellIs" dxfId="9027" priority="5878" stopIfTrue="1" operator="equal">
      <formula>"Napkin Hs"</formula>
    </cfRule>
  </conditionalFormatting>
  <conditionalFormatting sqref="B18:C18">
    <cfRule type="cellIs" dxfId="9026" priority="5877" stopIfTrue="1" operator="equal">
      <formula>"Towel"</formula>
    </cfRule>
  </conditionalFormatting>
  <conditionalFormatting sqref="C18">
    <cfRule type="cellIs" dxfId="9025" priority="5876" stopIfTrue="1" operator="equal">
      <formula>"Napkin Hs"</formula>
    </cfRule>
  </conditionalFormatting>
  <conditionalFormatting sqref="C18">
    <cfRule type="cellIs" dxfId="9024" priority="5873" stopIfTrue="1" operator="equal">
      <formula>"Towel"</formula>
    </cfRule>
    <cfRule type="cellIs" dxfId="9023" priority="5874" stopIfTrue="1" operator="equal">
      <formula>"Napkin Hs"</formula>
    </cfRule>
  </conditionalFormatting>
  <conditionalFormatting sqref="C18">
    <cfRule type="cellIs" dxfId="9022" priority="5875" stopIfTrue="1" operator="equal">
      <formula>"Towel"</formula>
    </cfRule>
  </conditionalFormatting>
  <conditionalFormatting sqref="B24:C24">
    <cfRule type="cellIs" dxfId="9021" priority="5872" stopIfTrue="1" operator="equal">
      <formula>"Napkin Hs"</formula>
    </cfRule>
  </conditionalFormatting>
  <conditionalFormatting sqref="B24:C24">
    <cfRule type="cellIs" dxfId="9020" priority="5871" stopIfTrue="1" operator="equal">
      <formula>"Towel"</formula>
    </cfRule>
  </conditionalFormatting>
  <conditionalFormatting sqref="C24">
    <cfRule type="cellIs" dxfId="9019" priority="5870" stopIfTrue="1" operator="equal">
      <formula>"Napkin Hs"</formula>
    </cfRule>
  </conditionalFormatting>
  <conditionalFormatting sqref="C24">
    <cfRule type="cellIs" dxfId="9018" priority="5867" stopIfTrue="1" operator="equal">
      <formula>"Towel"</formula>
    </cfRule>
    <cfRule type="cellIs" dxfId="9017" priority="5868" stopIfTrue="1" operator="equal">
      <formula>"Napkin Hs"</formula>
    </cfRule>
  </conditionalFormatting>
  <conditionalFormatting sqref="C24">
    <cfRule type="cellIs" dxfId="9016" priority="5869" stopIfTrue="1" operator="equal">
      <formula>"Towel"</formula>
    </cfRule>
  </conditionalFormatting>
  <conditionalFormatting sqref="B23:C23">
    <cfRule type="cellIs" dxfId="9015" priority="5866" stopIfTrue="1" operator="equal">
      <formula>"Napkin Hs"</formula>
    </cfRule>
  </conditionalFormatting>
  <conditionalFormatting sqref="B23:C23">
    <cfRule type="cellIs" dxfId="9014" priority="5865" stopIfTrue="1" operator="equal">
      <formula>"Towel"</formula>
    </cfRule>
  </conditionalFormatting>
  <conditionalFormatting sqref="C23">
    <cfRule type="cellIs" dxfId="9013" priority="5864" stopIfTrue="1" operator="equal">
      <formula>"Napkin Hs"</formula>
    </cfRule>
  </conditionalFormatting>
  <conditionalFormatting sqref="C23">
    <cfRule type="cellIs" dxfId="9012" priority="5861" stopIfTrue="1" operator="equal">
      <formula>"Towel"</formula>
    </cfRule>
    <cfRule type="cellIs" dxfId="9011" priority="5862" stopIfTrue="1" operator="equal">
      <formula>"Napkin Hs"</formula>
    </cfRule>
  </conditionalFormatting>
  <conditionalFormatting sqref="C23">
    <cfRule type="cellIs" dxfId="9010" priority="5863" stopIfTrue="1" operator="equal">
      <formula>"Towel"</formula>
    </cfRule>
  </conditionalFormatting>
  <conditionalFormatting sqref="B22:C22">
    <cfRule type="cellIs" dxfId="9009" priority="5860" stopIfTrue="1" operator="equal">
      <formula>"Napkin Hs"</formula>
    </cfRule>
  </conditionalFormatting>
  <conditionalFormatting sqref="B22:C22">
    <cfRule type="cellIs" dxfId="9008" priority="5859" stopIfTrue="1" operator="equal">
      <formula>"Towel"</formula>
    </cfRule>
  </conditionalFormatting>
  <conditionalFormatting sqref="C22">
    <cfRule type="cellIs" dxfId="9007" priority="5858" stopIfTrue="1" operator="equal">
      <formula>"Napkin Hs"</formula>
    </cfRule>
  </conditionalFormatting>
  <conditionalFormatting sqref="C22">
    <cfRule type="cellIs" dxfId="9006" priority="5855" stopIfTrue="1" operator="equal">
      <formula>"Towel"</formula>
    </cfRule>
    <cfRule type="cellIs" dxfId="9005" priority="5856" stopIfTrue="1" operator="equal">
      <formula>"Napkin Hs"</formula>
    </cfRule>
  </conditionalFormatting>
  <conditionalFormatting sqref="C22">
    <cfRule type="cellIs" dxfId="9004" priority="5857" stopIfTrue="1" operator="equal">
      <formula>"Towel"</formula>
    </cfRule>
  </conditionalFormatting>
  <conditionalFormatting sqref="B21:C21">
    <cfRule type="cellIs" dxfId="9003" priority="5854" stopIfTrue="1" operator="equal">
      <formula>"Napkin Hs"</formula>
    </cfRule>
  </conditionalFormatting>
  <conditionalFormatting sqref="B21:C21">
    <cfRule type="cellIs" dxfId="9002" priority="5853" stopIfTrue="1" operator="equal">
      <formula>"Towel"</formula>
    </cfRule>
  </conditionalFormatting>
  <conditionalFormatting sqref="C21">
    <cfRule type="cellIs" dxfId="9001" priority="5852" stopIfTrue="1" operator="equal">
      <formula>"Napkin Hs"</formula>
    </cfRule>
  </conditionalFormatting>
  <conditionalFormatting sqref="C21">
    <cfRule type="cellIs" dxfId="9000" priority="5849" stopIfTrue="1" operator="equal">
      <formula>"Towel"</formula>
    </cfRule>
    <cfRule type="cellIs" dxfId="8999" priority="5850" stopIfTrue="1" operator="equal">
      <formula>"Napkin Hs"</formula>
    </cfRule>
  </conditionalFormatting>
  <conditionalFormatting sqref="C21">
    <cfRule type="cellIs" dxfId="8998" priority="5851" stopIfTrue="1" operator="equal">
      <formula>"Towel"</formula>
    </cfRule>
  </conditionalFormatting>
  <conditionalFormatting sqref="B28:C28">
    <cfRule type="cellIs" dxfId="8997" priority="5848" stopIfTrue="1" operator="equal">
      <formula>"Napkin Hs"</formula>
    </cfRule>
  </conditionalFormatting>
  <conditionalFormatting sqref="B28:C28">
    <cfRule type="cellIs" dxfId="8996" priority="5847" stopIfTrue="1" operator="equal">
      <formula>"Towel"</formula>
    </cfRule>
  </conditionalFormatting>
  <conditionalFormatting sqref="C28">
    <cfRule type="cellIs" dxfId="8995" priority="5846" stopIfTrue="1" operator="equal">
      <formula>"Napkin Hs"</formula>
    </cfRule>
  </conditionalFormatting>
  <conditionalFormatting sqref="C28">
    <cfRule type="cellIs" dxfId="8994" priority="5843" stopIfTrue="1" operator="equal">
      <formula>"Towel"</formula>
    </cfRule>
    <cfRule type="cellIs" dxfId="8993" priority="5844" stopIfTrue="1" operator="equal">
      <formula>"Napkin Hs"</formula>
    </cfRule>
  </conditionalFormatting>
  <conditionalFormatting sqref="C28">
    <cfRule type="cellIs" dxfId="8992" priority="5845" stopIfTrue="1" operator="equal">
      <formula>"Towel"</formula>
    </cfRule>
  </conditionalFormatting>
  <conditionalFormatting sqref="B26:B27">
    <cfRule type="cellIs" dxfId="8991" priority="5836" stopIfTrue="1" operator="equal">
      <formula>"Napkin Hs"</formula>
    </cfRule>
  </conditionalFormatting>
  <conditionalFormatting sqref="B26:B27">
    <cfRule type="cellIs" dxfId="8990" priority="5835" stopIfTrue="1" operator="equal">
      <formula>"Towel"</formula>
    </cfRule>
  </conditionalFormatting>
  <conditionalFormatting sqref="B25:C25">
    <cfRule type="cellIs" dxfId="8989" priority="5830" stopIfTrue="1" operator="equal">
      <formula>"Napkin Hs"</formula>
    </cfRule>
  </conditionalFormatting>
  <conditionalFormatting sqref="B25:C25">
    <cfRule type="cellIs" dxfId="8988" priority="5829" stopIfTrue="1" operator="equal">
      <formula>"Towel"</formula>
    </cfRule>
  </conditionalFormatting>
  <conditionalFormatting sqref="C25">
    <cfRule type="cellIs" dxfId="8987" priority="5828" stopIfTrue="1" operator="equal">
      <formula>"Napkin Hs"</formula>
    </cfRule>
  </conditionalFormatting>
  <conditionalFormatting sqref="C25">
    <cfRule type="cellIs" dxfId="8986" priority="5825" stopIfTrue="1" operator="equal">
      <formula>"Towel"</formula>
    </cfRule>
    <cfRule type="cellIs" dxfId="8985" priority="5826" stopIfTrue="1" operator="equal">
      <formula>"Napkin Hs"</formula>
    </cfRule>
  </conditionalFormatting>
  <conditionalFormatting sqref="C25">
    <cfRule type="cellIs" dxfId="8984" priority="5827" stopIfTrue="1" operator="equal">
      <formula>"Towel"</formula>
    </cfRule>
  </conditionalFormatting>
  <conditionalFormatting sqref="C26:C27">
    <cfRule type="cellIs" dxfId="8983" priority="5824" stopIfTrue="1" operator="equal">
      <formula>"Napkin Hs"</formula>
    </cfRule>
  </conditionalFormatting>
  <conditionalFormatting sqref="C26:C27">
    <cfRule type="cellIs" dxfId="8982" priority="5823" stopIfTrue="1" operator="equal">
      <formula>"Towel"</formula>
    </cfRule>
  </conditionalFormatting>
  <conditionalFormatting sqref="C26:C27">
    <cfRule type="cellIs" dxfId="8981" priority="5822" stopIfTrue="1" operator="equal">
      <formula>"Napkin Hs"</formula>
    </cfRule>
  </conditionalFormatting>
  <conditionalFormatting sqref="C26:C27">
    <cfRule type="cellIs" dxfId="8980" priority="5819" stopIfTrue="1" operator="equal">
      <formula>"Towel"</formula>
    </cfRule>
    <cfRule type="cellIs" dxfId="8979" priority="5820" stopIfTrue="1" operator="equal">
      <formula>"Napkin Hs"</formula>
    </cfRule>
  </conditionalFormatting>
  <conditionalFormatting sqref="C26:C27">
    <cfRule type="cellIs" dxfId="8978" priority="5821" stopIfTrue="1" operator="equal">
      <formula>"Towel"</formula>
    </cfRule>
  </conditionalFormatting>
  <conditionalFormatting sqref="B31:B32">
    <cfRule type="cellIs" dxfId="8977" priority="5818" stopIfTrue="1" operator="equal">
      <formula>"Napkin Hs"</formula>
    </cfRule>
  </conditionalFormatting>
  <conditionalFormatting sqref="B31:B32">
    <cfRule type="cellIs" dxfId="8976" priority="5817" stopIfTrue="1" operator="equal">
      <formula>"Towel"</formula>
    </cfRule>
  </conditionalFormatting>
  <conditionalFormatting sqref="C31:C32">
    <cfRule type="cellIs" dxfId="8975" priority="5810" stopIfTrue="1" operator="equal">
      <formula>"Napkin Hs"</formula>
    </cfRule>
  </conditionalFormatting>
  <conditionalFormatting sqref="C31:C32">
    <cfRule type="cellIs" dxfId="8974" priority="5809" stopIfTrue="1" operator="equal">
      <formula>"Towel"</formula>
    </cfRule>
  </conditionalFormatting>
  <conditionalFormatting sqref="C31:C32">
    <cfRule type="cellIs" dxfId="8973" priority="5808" stopIfTrue="1" operator="equal">
      <formula>"Napkin Hs"</formula>
    </cfRule>
  </conditionalFormatting>
  <conditionalFormatting sqref="C31:C32">
    <cfRule type="cellIs" dxfId="8972" priority="5805" stopIfTrue="1" operator="equal">
      <formula>"Towel"</formula>
    </cfRule>
    <cfRule type="cellIs" dxfId="8971" priority="5806" stopIfTrue="1" operator="equal">
      <formula>"Napkin Hs"</formula>
    </cfRule>
  </conditionalFormatting>
  <conditionalFormatting sqref="C31:C32">
    <cfRule type="cellIs" dxfId="8970" priority="5807" stopIfTrue="1" operator="equal">
      <formula>"Towel"</formula>
    </cfRule>
  </conditionalFormatting>
  <conditionalFormatting sqref="B30">
    <cfRule type="cellIs" dxfId="8969" priority="5804" stopIfTrue="1" operator="equal">
      <formula>"Napkin Hs"</formula>
    </cfRule>
  </conditionalFormatting>
  <conditionalFormatting sqref="B30">
    <cfRule type="cellIs" dxfId="8968" priority="5803" stopIfTrue="1" operator="equal">
      <formula>"Towel"</formula>
    </cfRule>
  </conditionalFormatting>
  <conditionalFormatting sqref="C30">
    <cfRule type="cellIs" dxfId="8967" priority="5802" stopIfTrue="1" operator="equal">
      <formula>"Napkin Hs"</formula>
    </cfRule>
  </conditionalFormatting>
  <conditionalFormatting sqref="C30">
    <cfRule type="cellIs" dxfId="8966" priority="5801" stopIfTrue="1" operator="equal">
      <formula>"Towel"</formula>
    </cfRule>
  </conditionalFormatting>
  <conditionalFormatting sqref="C30">
    <cfRule type="cellIs" dxfId="8965" priority="5800" stopIfTrue="1" operator="equal">
      <formula>"Napkin Hs"</formula>
    </cfRule>
  </conditionalFormatting>
  <conditionalFormatting sqref="C30">
    <cfRule type="cellIs" dxfId="8964" priority="5797" stopIfTrue="1" operator="equal">
      <formula>"Towel"</formula>
    </cfRule>
    <cfRule type="cellIs" dxfId="8963" priority="5798" stopIfTrue="1" operator="equal">
      <formula>"Napkin Hs"</formula>
    </cfRule>
  </conditionalFormatting>
  <conditionalFormatting sqref="C30">
    <cfRule type="cellIs" dxfId="8962" priority="5799" stopIfTrue="1" operator="equal">
      <formula>"Towel"</formula>
    </cfRule>
  </conditionalFormatting>
  <conditionalFormatting sqref="B37:C37">
    <cfRule type="cellIs" dxfId="8961" priority="5796" stopIfTrue="1" operator="equal">
      <formula>"Napkin Hs"</formula>
    </cfRule>
  </conditionalFormatting>
  <conditionalFormatting sqref="B37:C37">
    <cfRule type="cellIs" dxfId="8960" priority="5795" stopIfTrue="1" operator="equal">
      <formula>"Towel"</formula>
    </cfRule>
  </conditionalFormatting>
  <conditionalFormatting sqref="C37">
    <cfRule type="cellIs" dxfId="8959" priority="5794" stopIfTrue="1" operator="equal">
      <formula>"Napkin Hs"</formula>
    </cfRule>
  </conditionalFormatting>
  <conditionalFormatting sqref="C37">
    <cfRule type="cellIs" dxfId="8958" priority="5791" stopIfTrue="1" operator="equal">
      <formula>"Towel"</formula>
    </cfRule>
    <cfRule type="cellIs" dxfId="8957" priority="5792" stopIfTrue="1" operator="equal">
      <formula>"Napkin Hs"</formula>
    </cfRule>
  </conditionalFormatting>
  <conditionalFormatting sqref="C37">
    <cfRule type="cellIs" dxfId="8956" priority="5793" stopIfTrue="1" operator="equal">
      <formula>"Towel"</formula>
    </cfRule>
  </conditionalFormatting>
  <conditionalFormatting sqref="B37:C37">
    <cfRule type="cellIs" dxfId="8955" priority="5790" stopIfTrue="1" operator="equal">
      <formula>"Napkin Hs"</formula>
    </cfRule>
  </conditionalFormatting>
  <conditionalFormatting sqref="B37:C37">
    <cfRule type="cellIs" dxfId="8954" priority="5789" stopIfTrue="1" operator="equal">
      <formula>"Towel"</formula>
    </cfRule>
  </conditionalFormatting>
  <conditionalFormatting sqref="C37">
    <cfRule type="cellIs" dxfId="8953" priority="5788" stopIfTrue="1" operator="equal">
      <formula>"Napkin Hs"</formula>
    </cfRule>
  </conditionalFormatting>
  <conditionalFormatting sqref="C37">
    <cfRule type="cellIs" dxfId="8952" priority="5785" stopIfTrue="1" operator="equal">
      <formula>"Towel"</formula>
    </cfRule>
    <cfRule type="cellIs" dxfId="8951" priority="5786" stopIfTrue="1" operator="equal">
      <formula>"Napkin Hs"</formula>
    </cfRule>
  </conditionalFormatting>
  <conditionalFormatting sqref="C37">
    <cfRule type="cellIs" dxfId="8950" priority="5787" stopIfTrue="1" operator="equal">
      <formula>"Towel"</formula>
    </cfRule>
  </conditionalFormatting>
  <conditionalFormatting sqref="B36">
    <cfRule type="cellIs" dxfId="8949" priority="5784" stopIfTrue="1" operator="equal">
      <formula>"Napkin Hs"</formula>
    </cfRule>
  </conditionalFormatting>
  <conditionalFormatting sqref="B36">
    <cfRule type="cellIs" dxfId="8948" priority="5783" stopIfTrue="1" operator="equal">
      <formula>"Towel"</formula>
    </cfRule>
  </conditionalFormatting>
  <conditionalFormatting sqref="C36">
    <cfRule type="cellIs" dxfId="8947" priority="5782" stopIfTrue="1" operator="equal">
      <formula>"Napkin Hs"</formula>
    </cfRule>
  </conditionalFormatting>
  <conditionalFormatting sqref="C36">
    <cfRule type="cellIs" dxfId="8946" priority="5781" stopIfTrue="1" operator="equal">
      <formula>"Towel"</formula>
    </cfRule>
  </conditionalFormatting>
  <conditionalFormatting sqref="C36">
    <cfRule type="cellIs" dxfId="8945" priority="5780" stopIfTrue="1" operator="equal">
      <formula>"Napkin Hs"</formula>
    </cfRule>
  </conditionalFormatting>
  <conditionalFormatting sqref="C36">
    <cfRule type="cellIs" dxfId="8944" priority="5777" stopIfTrue="1" operator="equal">
      <formula>"Towel"</formula>
    </cfRule>
    <cfRule type="cellIs" dxfId="8943" priority="5778" stopIfTrue="1" operator="equal">
      <formula>"Napkin Hs"</formula>
    </cfRule>
  </conditionalFormatting>
  <conditionalFormatting sqref="C36">
    <cfRule type="cellIs" dxfId="8942" priority="5779" stopIfTrue="1" operator="equal">
      <formula>"Towel"</formula>
    </cfRule>
  </conditionalFormatting>
  <conditionalFormatting sqref="B34">
    <cfRule type="cellIs" dxfId="8941" priority="5776" stopIfTrue="1" operator="equal">
      <formula>"Napkin Hs"</formula>
    </cfRule>
  </conditionalFormatting>
  <conditionalFormatting sqref="B34">
    <cfRule type="cellIs" dxfId="8940" priority="5775" stopIfTrue="1" operator="equal">
      <formula>"Towel"</formula>
    </cfRule>
  </conditionalFormatting>
  <conditionalFormatting sqref="C34">
    <cfRule type="cellIs" dxfId="8939" priority="5774" stopIfTrue="1" operator="equal">
      <formula>"Napkin Hs"</formula>
    </cfRule>
  </conditionalFormatting>
  <conditionalFormatting sqref="C34">
    <cfRule type="cellIs" dxfId="8938" priority="5773" stopIfTrue="1" operator="equal">
      <formula>"Towel"</formula>
    </cfRule>
  </conditionalFormatting>
  <conditionalFormatting sqref="C34">
    <cfRule type="cellIs" dxfId="8937" priority="5772" stopIfTrue="1" operator="equal">
      <formula>"Napkin Hs"</formula>
    </cfRule>
  </conditionalFormatting>
  <conditionalFormatting sqref="C34">
    <cfRule type="cellIs" dxfId="8936" priority="5769" stopIfTrue="1" operator="equal">
      <formula>"Towel"</formula>
    </cfRule>
    <cfRule type="cellIs" dxfId="8935" priority="5770" stopIfTrue="1" operator="equal">
      <formula>"Napkin Hs"</formula>
    </cfRule>
  </conditionalFormatting>
  <conditionalFormatting sqref="C34">
    <cfRule type="cellIs" dxfId="8934" priority="5771" stopIfTrue="1" operator="equal">
      <formula>"Towel"</formula>
    </cfRule>
  </conditionalFormatting>
  <conditionalFormatting sqref="B35">
    <cfRule type="cellIs" dxfId="8933" priority="5768" stopIfTrue="1" operator="equal">
      <formula>"Napkin Hs"</formula>
    </cfRule>
  </conditionalFormatting>
  <conditionalFormatting sqref="B35">
    <cfRule type="cellIs" dxfId="8932" priority="5767" stopIfTrue="1" operator="equal">
      <formula>"Towel"</formula>
    </cfRule>
  </conditionalFormatting>
  <conditionalFormatting sqref="C35">
    <cfRule type="cellIs" dxfId="8931" priority="5766" stopIfTrue="1" operator="equal">
      <formula>"Napkin Hs"</formula>
    </cfRule>
  </conditionalFormatting>
  <conditionalFormatting sqref="C35">
    <cfRule type="cellIs" dxfId="8930" priority="5765" stopIfTrue="1" operator="equal">
      <formula>"Towel"</formula>
    </cfRule>
  </conditionalFormatting>
  <conditionalFormatting sqref="C35">
    <cfRule type="cellIs" dxfId="8929" priority="5764" stopIfTrue="1" operator="equal">
      <formula>"Napkin Hs"</formula>
    </cfRule>
  </conditionalFormatting>
  <conditionalFormatting sqref="C35">
    <cfRule type="cellIs" dxfId="8928" priority="5761" stopIfTrue="1" operator="equal">
      <formula>"Towel"</formula>
    </cfRule>
    <cfRule type="cellIs" dxfId="8927" priority="5762" stopIfTrue="1" operator="equal">
      <formula>"Napkin Hs"</formula>
    </cfRule>
  </conditionalFormatting>
  <conditionalFormatting sqref="C35">
    <cfRule type="cellIs" dxfId="8926" priority="5763" stopIfTrue="1" operator="equal">
      <formula>"Towel"</formula>
    </cfRule>
  </conditionalFormatting>
  <conditionalFormatting sqref="B41:B42">
    <cfRule type="cellIs" dxfId="8925" priority="5760" stopIfTrue="1" operator="equal">
      <formula>"Napkin Hs"</formula>
    </cfRule>
  </conditionalFormatting>
  <conditionalFormatting sqref="B41:B42">
    <cfRule type="cellIs" dxfId="8924" priority="5759" stopIfTrue="1" operator="equal">
      <formula>"Towel"</formula>
    </cfRule>
  </conditionalFormatting>
  <conditionalFormatting sqref="C41:C42">
    <cfRule type="cellIs" dxfId="8923" priority="5758" stopIfTrue="1" operator="equal">
      <formula>"Napkin Hs"</formula>
    </cfRule>
  </conditionalFormatting>
  <conditionalFormatting sqref="C41:C42">
    <cfRule type="cellIs" dxfId="8922" priority="5757" stopIfTrue="1" operator="equal">
      <formula>"Towel"</formula>
    </cfRule>
  </conditionalFormatting>
  <conditionalFormatting sqref="C41:C42">
    <cfRule type="cellIs" dxfId="8921" priority="5756" stopIfTrue="1" operator="equal">
      <formula>"Napkin Hs"</formula>
    </cfRule>
  </conditionalFormatting>
  <conditionalFormatting sqref="C41:C42">
    <cfRule type="cellIs" dxfId="8920" priority="5753" stopIfTrue="1" operator="equal">
      <formula>"Towel"</formula>
    </cfRule>
    <cfRule type="cellIs" dxfId="8919" priority="5754" stopIfTrue="1" operator="equal">
      <formula>"Napkin Hs"</formula>
    </cfRule>
  </conditionalFormatting>
  <conditionalFormatting sqref="C41:C42">
    <cfRule type="cellIs" dxfId="8918" priority="5755" stopIfTrue="1" operator="equal">
      <formula>"Towel"</formula>
    </cfRule>
  </conditionalFormatting>
  <conditionalFormatting sqref="B40">
    <cfRule type="cellIs" dxfId="8917" priority="5744" stopIfTrue="1" operator="equal">
      <formula>"Napkin Hs"</formula>
    </cfRule>
  </conditionalFormatting>
  <conditionalFormatting sqref="B40">
    <cfRule type="cellIs" dxfId="8916" priority="5743" stopIfTrue="1" operator="equal">
      <formula>"Towel"</formula>
    </cfRule>
  </conditionalFormatting>
  <conditionalFormatting sqref="C40">
    <cfRule type="cellIs" dxfId="8915" priority="5742" stopIfTrue="1" operator="equal">
      <formula>"Napkin Hs"</formula>
    </cfRule>
  </conditionalFormatting>
  <conditionalFormatting sqref="C40">
    <cfRule type="cellIs" dxfId="8914" priority="5741" stopIfTrue="1" operator="equal">
      <formula>"Towel"</formula>
    </cfRule>
  </conditionalFormatting>
  <conditionalFormatting sqref="C40">
    <cfRule type="cellIs" dxfId="8913" priority="5740" stopIfTrue="1" operator="equal">
      <formula>"Napkin Hs"</formula>
    </cfRule>
  </conditionalFormatting>
  <conditionalFormatting sqref="C40">
    <cfRule type="cellIs" dxfId="8912" priority="5737" stopIfTrue="1" operator="equal">
      <formula>"Towel"</formula>
    </cfRule>
    <cfRule type="cellIs" dxfId="8911" priority="5738" stopIfTrue="1" operator="equal">
      <formula>"Napkin Hs"</formula>
    </cfRule>
  </conditionalFormatting>
  <conditionalFormatting sqref="C40">
    <cfRule type="cellIs" dxfId="8910" priority="5739" stopIfTrue="1" operator="equal">
      <formula>"Towel"</formula>
    </cfRule>
  </conditionalFormatting>
  <conditionalFormatting sqref="C53">
    <cfRule type="cellIs" dxfId="8909" priority="5603" stopIfTrue="1" operator="equal">
      <formula>"Towel"</formula>
    </cfRule>
    <cfRule type="cellIs" dxfId="8908" priority="5604" stopIfTrue="1" operator="equal">
      <formula>"Napkin Hs"</formula>
    </cfRule>
  </conditionalFormatting>
  <conditionalFormatting sqref="B53:C53">
    <cfRule type="cellIs" dxfId="8907" priority="5601" stopIfTrue="1" operator="equal">
      <formula>"Towel"</formula>
    </cfRule>
    <cfRule type="cellIs" dxfId="8906" priority="5602" stopIfTrue="1" operator="equal">
      <formula>"Napkin Hs"</formula>
    </cfRule>
  </conditionalFormatting>
  <conditionalFormatting sqref="C53">
    <cfRule type="cellIs" dxfId="8905" priority="5599" stopIfTrue="1" operator="equal">
      <formula>"Towel"</formula>
    </cfRule>
    <cfRule type="cellIs" dxfId="8904" priority="5600" stopIfTrue="1" operator="equal">
      <formula>"Napkin Hs"</formula>
    </cfRule>
  </conditionalFormatting>
  <conditionalFormatting sqref="C53">
    <cfRule type="cellIs" dxfId="8903" priority="5591" stopIfTrue="1" operator="equal">
      <formula>"Towel"</formula>
    </cfRule>
    <cfRule type="cellIs" dxfId="8902" priority="5592" stopIfTrue="1" operator="equal">
      <formula>"Napkin Hs"</formula>
    </cfRule>
  </conditionalFormatting>
  <conditionalFormatting sqref="B53:C53">
    <cfRule type="cellIs" dxfId="8901" priority="5685" stopIfTrue="1" operator="equal">
      <formula>"Towel"</formula>
    </cfRule>
    <cfRule type="cellIs" dxfId="8900" priority="5686" stopIfTrue="1" operator="equal">
      <formula>"Napkin Hs"</formula>
    </cfRule>
  </conditionalFormatting>
  <conditionalFormatting sqref="C53">
    <cfRule type="cellIs" dxfId="8899" priority="5681" stopIfTrue="1" operator="equal">
      <formula>"Towel"</formula>
    </cfRule>
    <cfRule type="cellIs" dxfId="8898" priority="5682" stopIfTrue="1" operator="equal">
      <formula>"Napkin Hs"</formula>
    </cfRule>
  </conditionalFormatting>
  <conditionalFormatting sqref="C53">
    <cfRule type="cellIs" dxfId="8897" priority="5683" stopIfTrue="1" operator="equal">
      <formula>"Towel"</formula>
    </cfRule>
    <cfRule type="cellIs" dxfId="8896" priority="5684" stopIfTrue="1" operator="equal">
      <formula>"Napkin Hs"</formula>
    </cfRule>
  </conditionalFormatting>
  <conditionalFormatting sqref="B53:C53">
    <cfRule type="cellIs" dxfId="8895" priority="5632" stopIfTrue="1" operator="equal">
      <formula>"Napkin Hs"</formula>
    </cfRule>
  </conditionalFormatting>
  <conditionalFormatting sqref="B53:C53">
    <cfRule type="cellIs" dxfId="8894" priority="5631" stopIfTrue="1" operator="equal">
      <formula>"Towel"</formula>
    </cfRule>
  </conditionalFormatting>
  <conditionalFormatting sqref="C53">
    <cfRule type="cellIs" dxfId="8893" priority="5630" stopIfTrue="1" operator="equal">
      <formula>"Napkin Hs"</formula>
    </cfRule>
  </conditionalFormatting>
  <conditionalFormatting sqref="C53">
    <cfRule type="cellIs" dxfId="8892" priority="5629" stopIfTrue="1" operator="equal">
      <formula>"Towel"</formula>
    </cfRule>
  </conditionalFormatting>
  <conditionalFormatting sqref="C53">
    <cfRule type="cellIs" dxfId="8891" priority="5627" stopIfTrue="1" operator="equal">
      <formula>"Towel"</formula>
    </cfRule>
    <cfRule type="cellIs" dxfId="8890" priority="5628" stopIfTrue="1" operator="equal">
      <formula>"Napkin Hs"</formula>
    </cfRule>
  </conditionalFormatting>
  <conditionalFormatting sqref="B53:C53">
    <cfRule type="cellIs" dxfId="8889" priority="5625" stopIfTrue="1" operator="equal">
      <formula>"Towel"</formula>
    </cfRule>
    <cfRule type="cellIs" dxfId="8888" priority="5626" stopIfTrue="1" operator="equal">
      <formula>"Napkin Hs"</formula>
    </cfRule>
  </conditionalFormatting>
  <conditionalFormatting sqref="C53">
    <cfRule type="cellIs" dxfId="8887" priority="5623" stopIfTrue="1" operator="equal">
      <formula>"Towel"</formula>
    </cfRule>
    <cfRule type="cellIs" dxfId="8886" priority="5624" stopIfTrue="1" operator="equal">
      <formula>"Napkin Hs"</formula>
    </cfRule>
  </conditionalFormatting>
  <conditionalFormatting sqref="C53">
    <cfRule type="cellIs" dxfId="8885" priority="5621" stopIfTrue="1" operator="equal">
      <formula>"Towel"</formula>
    </cfRule>
    <cfRule type="cellIs" dxfId="8884" priority="5622" stopIfTrue="1" operator="equal">
      <formula>"Napkin Hs"</formula>
    </cfRule>
  </conditionalFormatting>
  <conditionalFormatting sqref="B53:C53">
    <cfRule type="cellIs" dxfId="8883" priority="5619" stopIfTrue="1" operator="equal">
      <formula>"Towel"</formula>
    </cfRule>
    <cfRule type="cellIs" dxfId="8882" priority="5620" stopIfTrue="1" operator="equal">
      <formula>"Napkin Hs"</formula>
    </cfRule>
  </conditionalFormatting>
  <conditionalFormatting sqref="C53">
    <cfRule type="cellIs" dxfId="8881" priority="5617" stopIfTrue="1" operator="equal">
      <formula>"Towel"</formula>
    </cfRule>
    <cfRule type="cellIs" dxfId="8880" priority="5618" stopIfTrue="1" operator="equal">
      <formula>"Napkin Hs"</formula>
    </cfRule>
  </conditionalFormatting>
  <conditionalFormatting sqref="C53">
    <cfRule type="cellIs" dxfId="8879" priority="5615" stopIfTrue="1" operator="equal">
      <formula>"Towel"</formula>
    </cfRule>
    <cfRule type="cellIs" dxfId="8878" priority="5616" stopIfTrue="1" operator="equal">
      <formula>"Napkin Hs"</formula>
    </cfRule>
  </conditionalFormatting>
  <conditionalFormatting sqref="B53:C53">
    <cfRule type="cellIs" dxfId="8877" priority="5613" stopIfTrue="1" operator="equal">
      <formula>"Towel"</formula>
    </cfRule>
    <cfRule type="cellIs" dxfId="8876" priority="5614" stopIfTrue="1" operator="equal">
      <formula>"Napkin Hs"</formula>
    </cfRule>
  </conditionalFormatting>
  <conditionalFormatting sqref="C53">
    <cfRule type="cellIs" dxfId="8875" priority="5611" stopIfTrue="1" operator="equal">
      <formula>"Towel"</formula>
    </cfRule>
    <cfRule type="cellIs" dxfId="8874" priority="5612" stopIfTrue="1" operator="equal">
      <formula>"Napkin Hs"</formula>
    </cfRule>
  </conditionalFormatting>
  <conditionalFormatting sqref="C53">
    <cfRule type="cellIs" dxfId="8873" priority="5609" stopIfTrue="1" operator="equal">
      <formula>"Towel"</formula>
    </cfRule>
    <cfRule type="cellIs" dxfId="8872" priority="5610" stopIfTrue="1" operator="equal">
      <formula>"Napkin Hs"</formula>
    </cfRule>
  </conditionalFormatting>
  <conditionalFormatting sqref="B53:C53">
    <cfRule type="cellIs" dxfId="8871" priority="5607" stopIfTrue="1" operator="equal">
      <formula>"Towel"</formula>
    </cfRule>
    <cfRule type="cellIs" dxfId="8870" priority="5608" stopIfTrue="1" operator="equal">
      <formula>"Napkin Hs"</formula>
    </cfRule>
  </conditionalFormatting>
  <conditionalFormatting sqref="C53">
    <cfRule type="cellIs" dxfId="8869" priority="5605" stopIfTrue="1" operator="equal">
      <formula>"Towel"</formula>
    </cfRule>
    <cfRule type="cellIs" dxfId="8868" priority="5606" stopIfTrue="1" operator="equal">
      <formula>"Napkin Hs"</formula>
    </cfRule>
  </conditionalFormatting>
  <conditionalFormatting sqref="C53">
    <cfRule type="cellIs" dxfId="8867" priority="5597" stopIfTrue="1" operator="equal">
      <formula>"Towel"</formula>
    </cfRule>
    <cfRule type="cellIs" dxfId="8866" priority="5598" stopIfTrue="1" operator="equal">
      <formula>"Napkin Hs"</formula>
    </cfRule>
  </conditionalFormatting>
  <conditionalFormatting sqref="B53:C53">
    <cfRule type="cellIs" dxfId="8865" priority="5596" stopIfTrue="1" operator="equal">
      <formula>"Napkin Hs"</formula>
    </cfRule>
  </conditionalFormatting>
  <conditionalFormatting sqref="B53:C53">
    <cfRule type="cellIs" dxfId="8864" priority="5595" stopIfTrue="1" operator="equal">
      <formula>"Towel"</formula>
    </cfRule>
  </conditionalFormatting>
  <conditionalFormatting sqref="C53">
    <cfRule type="cellIs" dxfId="8863" priority="5594" stopIfTrue="1" operator="equal">
      <formula>"Napkin Hs"</formula>
    </cfRule>
  </conditionalFormatting>
  <conditionalFormatting sqref="C53">
    <cfRule type="cellIs" dxfId="8862" priority="5593" stopIfTrue="1" operator="equal">
      <formula>"Towel"</formula>
    </cfRule>
  </conditionalFormatting>
  <conditionalFormatting sqref="B58:C59">
    <cfRule type="cellIs" dxfId="8861" priority="5589" stopIfTrue="1" operator="equal">
      <formula>"Towel"</formula>
    </cfRule>
    <cfRule type="cellIs" dxfId="8860" priority="5590" stopIfTrue="1" operator="equal">
      <formula>"Napkin Hs"</formula>
    </cfRule>
  </conditionalFormatting>
  <conditionalFormatting sqref="C58:C59">
    <cfRule type="cellIs" dxfId="8859" priority="5583" stopIfTrue="1" operator="equal">
      <formula>"Towel"</formula>
    </cfRule>
    <cfRule type="cellIs" dxfId="8858" priority="5584" stopIfTrue="1" operator="equal">
      <formula>"Napkin Hs"</formula>
    </cfRule>
  </conditionalFormatting>
  <conditionalFormatting sqref="C58:C59">
    <cfRule type="cellIs" dxfId="8857" priority="5587" stopIfTrue="1" operator="equal">
      <formula>"Towel"</formula>
    </cfRule>
    <cfRule type="cellIs" dxfId="8856" priority="5588" stopIfTrue="1" operator="equal">
      <formula>"Napkin Hs"</formula>
    </cfRule>
  </conditionalFormatting>
  <conditionalFormatting sqref="B58:C58">
    <cfRule type="cellIs" dxfId="8855" priority="5575" stopIfTrue="1" operator="equal">
      <formula>"Towel"</formula>
    </cfRule>
    <cfRule type="cellIs" dxfId="8854" priority="5576" stopIfTrue="1" operator="equal">
      <formula>"Napkin Hs"</formula>
    </cfRule>
  </conditionalFormatting>
  <conditionalFormatting sqref="B59:C59">
    <cfRule type="cellIs" dxfId="8853" priority="5579" stopIfTrue="1" operator="equal">
      <formula>"Towel"</formula>
    </cfRule>
    <cfRule type="cellIs" dxfId="8852" priority="5580" stopIfTrue="1" operator="equal">
      <formula>"Napkin Hs"</formula>
    </cfRule>
  </conditionalFormatting>
  <conditionalFormatting sqref="C58">
    <cfRule type="cellIs" dxfId="8851" priority="5571" stopIfTrue="1" operator="equal">
      <formula>"Towel"</formula>
    </cfRule>
    <cfRule type="cellIs" dxfId="8850" priority="5572" stopIfTrue="1" operator="equal">
      <formula>"Napkin Hs"</formula>
    </cfRule>
  </conditionalFormatting>
  <conditionalFormatting sqref="C58:C59">
    <cfRule type="cellIs" dxfId="8849" priority="5573" stopIfTrue="1" operator="equal">
      <formula>"Towel"</formula>
    </cfRule>
    <cfRule type="cellIs" dxfId="8848" priority="5574" stopIfTrue="1" operator="equal">
      <formula>"Napkin Hs"</formula>
    </cfRule>
  </conditionalFormatting>
  <conditionalFormatting sqref="C59">
    <cfRule type="cellIs" dxfId="8847" priority="5577" stopIfTrue="1" operator="equal">
      <formula>"Towel"</formula>
    </cfRule>
    <cfRule type="cellIs" dxfId="8846" priority="5578" stopIfTrue="1" operator="equal">
      <formula>"Napkin Hs"</formula>
    </cfRule>
  </conditionalFormatting>
  <conditionalFormatting sqref="B58:C58">
    <cfRule type="cellIs" dxfId="8845" priority="5565" stopIfTrue="1" operator="equal">
      <formula>"Towel"</formula>
    </cfRule>
    <cfRule type="cellIs" dxfId="8844" priority="5566" stopIfTrue="1" operator="equal">
      <formula>"Napkin Hs"</formula>
    </cfRule>
  </conditionalFormatting>
  <conditionalFormatting sqref="B59:C59">
    <cfRule type="cellIs" dxfId="8843" priority="5569" stopIfTrue="1" operator="equal">
      <formula>"Towel"</formula>
    </cfRule>
    <cfRule type="cellIs" dxfId="8842" priority="5570" stopIfTrue="1" operator="equal">
      <formula>"Napkin Hs"</formula>
    </cfRule>
  </conditionalFormatting>
  <conditionalFormatting sqref="C58:C59">
    <cfRule type="cellIs" dxfId="8841" priority="5563" stopIfTrue="1" operator="equal">
      <formula>"Towel"</formula>
    </cfRule>
    <cfRule type="cellIs" dxfId="8840" priority="5564" stopIfTrue="1" operator="equal">
      <formula>"Napkin Hs"</formula>
    </cfRule>
  </conditionalFormatting>
  <conditionalFormatting sqref="C58">
    <cfRule type="cellIs" dxfId="8839" priority="5561" stopIfTrue="1" operator="equal">
      <formula>"Towel"</formula>
    </cfRule>
    <cfRule type="cellIs" dxfId="8838" priority="5562" stopIfTrue="1" operator="equal">
      <formula>"Napkin Hs"</formula>
    </cfRule>
  </conditionalFormatting>
  <conditionalFormatting sqref="C59">
    <cfRule type="cellIs" dxfId="8837" priority="5567" stopIfTrue="1" operator="equal">
      <formula>"Towel"</formula>
    </cfRule>
    <cfRule type="cellIs" dxfId="8836" priority="5568" stopIfTrue="1" operator="equal">
      <formula>"Napkin Hs"</formula>
    </cfRule>
  </conditionalFormatting>
  <conditionalFormatting sqref="B58:C58">
    <cfRule type="cellIs" dxfId="8835" priority="5559" stopIfTrue="1" operator="equal">
      <formula>"Towel"</formula>
    </cfRule>
    <cfRule type="cellIs" dxfId="8834" priority="5560" stopIfTrue="1" operator="equal">
      <formula>"Napkin Hs"</formula>
    </cfRule>
  </conditionalFormatting>
  <conditionalFormatting sqref="B59:C59">
    <cfRule type="cellIs" dxfId="8833" priority="5555" stopIfTrue="1" operator="equal">
      <formula>"Towel"</formula>
    </cfRule>
    <cfRule type="cellIs" dxfId="8832" priority="5556" stopIfTrue="1" operator="equal">
      <formula>"Napkin Hs"</formula>
    </cfRule>
  </conditionalFormatting>
  <conditionalFormatting sqref="C58">
    <cfRule type="cellIs" dxfId="8831" priority="5557" stopIfTrue="1" operator="equal">
      <formula>"Towel"</formula>
    </cfRule>
    <cfRule type="cellIs" dxfId="8830" priority="5558" stopIfTrue="1" operator="equal">
      <formula>"Napkin Hs"</formula>
    </cfRule>
  </conditionalFormatting>
  <conditionalFormatting sqref="C58:C59">
    <cfRule type="cellIs" dxfId="8829" priority="5553" stopIfTrue="1" operator="equal">
      <formula>"Towel"</formula>
    </cfRule>
    <cfRule type="cellIs" dxfId="8828" priority="5554" stopIfTrue="1" operator="equal">
      <formula>"Napkin Hs"</formula>
    </cfRule>
  </conditionalFormatting>
  <conditionalFormatting sqref="C59">
    <cfRule type="cellIs" dxfId="8827" priority="5551" stopIfTrue="1" operator="equal">
      <formula>"Towel"</formula>
    </cfRule>
    <cfRule type="cellIs" dxfId="8826" priority="5552" stopIfTrue="1" operator="equal">
      <formula>"Napkin Hs"</formula>
    </cfRule>
  </conditionalFormatting>
  <conditionalFormatting sqref="B59:C59">
    <cfRule type="cellIs" dxfId="8825" priority="5550" stopIfTrue="1" operator="equal">
      <formula>"Napkin Hs"</formula>
    </cfRule>
  </conditionalFormatting>
  <conditionalFormatting sqref="B59:C59">
    <cfRule type="cellIs" dxfId="8824" priority="5549" stopIfTrue="1" operator="equal">
      <formula>"Towel"</formula>
    </cfRule>
  </conditionalFormatting>
  <conditionalFormatting sqref="B58:C58">
    <cfRule type="cellIs" dxfId="8823" priority="5545" stopIfTrue="1" operator="equal">
      <formula>"Towel"</formula>
    </cfRule>
    <cfRule type="cellIs" dxfId="8822" priority="5546" stopIfTrue="1" operator="equal">
      <formula>"Napkin Hs"</formula>
    </cfRule>
  </conditionalFormatting>
  <conditionalFormatting sqref="C59">
    <cfRule type="cellIs" dxfId="8821" priority="5548" stopIfTrue="1" operator="equal">
      <formula>"Napkin Hs"</formula>
    </cfRule>
  </conditionalFormatting>
  <conditionalFormatting sqref="C59">
    <cfRule type="cellIs" dxfId="8820" priority="5547" stopIfTrue="1" operator="equal">
      <formula>"Towel"</formula>
    </cfRule>
  </conditionalFormatting>
  <conditionalFormatting sqref="C58:C59">
    <cfRule type="cellIs" dxfId="8819" priority="5543" stopIfTrue="1" operator="equal">
      <formula>"Towel"</formula>
    </cfRule>
    <cfRule type="cellIs" dxfId="8818" priority="5544" stopIfTrue="1" operator="equal">
      <formula>"Napkin Hs"</formula>
    </cfRule>
  </conditionalFormatting>
  <conditionalFormatting sqref="C58">
    <cfRule type="cellIs" dxfId="8817" priority="5541" stopIfTrue="1" operator="equal">
      <formula>"Towel"</formula>
    </cfRule>
    <cfRule type="cellIs" dxfId="8816" priority="5542" stopIfTrue="1" operator="equal">
      <formula>"Napkin Hs"</formula>
    </cfRule>
  </conditionalFormatting>
  <conditionalFormatting sqref="C59">
    <cfRule type="cellIs" dxfId="8815" priority="5539" stopIfTrue="1" operator="equal">
      <formula>"Towel"</formula>
    </cfRule>
    <cfRule type="cellIs" dxfId="8814" priority="5540" stopIfTrue="1" operator="equal">
      <formula>"Napkin Hs"</formula>
    </cfRule>
  </conditionalFormatting>
  <conditionalFormatting sqref="B58:C58">
    <cfRule type="cellIs" dxfId="8813" priority="5538" stopIfTrue="1" operator="equal">
      <formula>"Napkin Hs"</formula>
    </cfRule>
  </conditionalFormatting>
  <conditionalFormatting sqref="B58:C58">
    <cfRule type="cellIs" dxfId="8812" priority="5537" stopIfTrue="1" operator="equal">
      <formula>"Towel"</formula>
    </cfRule>
  </conditionalFormatting>
  <conditionalFormatting sqref="C58">
    <cfRule type="cellIs" dxfId="8811" priority="5536" stopIfTrue="1" operator="equal">
      <formula>"Napkin Hs"</formula>
    </cfRule>
  </conditionalFormatting>
  <conditionalFormatting sqref="C58">
    <cfRule type="cellIs" dxfId="8810" priority="5533" stopIfTrue="1" operator="equal">
      <formula>"Towel"</formula>
    </cfRule>
    <cfRule type="cellIs" dxfId="8809" priority="5534" stopIfTrue="1" operator="equal">
      <formula>"Napkin Hs"</formula>
    </cfRule>
  </conditionalFormatting>
  <conditionalFormatting sqref="C58">
    <cfRule type="cellIs" dxfId="8808" priority="5535" stopIfTrue="1" operator="equal">
      <formula>"Towel"</formula>
    </cfRule>
  </conditionalFormatting>
  <conditionalFormatting sqref="B48:C48">
    <cfRule type="cellIs" dxfId="8807" priority="5441" stopIfTrue="1" operator="equal">
      <formula>"Towel"</formula>
    </cfRule>
    <cfRule type="cellIs" dxfId="8806" priority="5442" stopIfTrue="1" operator="equal">
      <formula>"Napkin Hs"</formula>
    </cfRule>
  </conditionalFormatting>
  <conditionalFormatting sqref="C48">
    <cfRule type="cellIs" dxfId="8805" priority="5437" stopIfTrue="1" operator="equal">
      <formula>"Towel"</formula>
    </cfRule>
    <cfRule type="cellIs" dxfId="8804" priority="5438" stopIfTrue="1" operator="equal">
      <formula>"Napkin Hs"</formula>
    </cfRule>
  </conditionalFormatting>
  <conditionalFormatting sqref="C48">
    <cfRule type="cellIs" dxfId="8803" priority="5439" stopIfTrue="1" operator="equal">
      <formula>"Towel"</formula>
    </cfRule>
    <cfRule type="cellIs" dxfId="8802" priority="5440" stopIfTrue="1" operator="equal">
      <formula>"Napkin Hs"</formula>
    </cfRule>
  </conditionalFormatting>
  <conditionalFormatting sqref="B48:C48">
    <cfRule type="cellIs" dxfId="8801" priority="5436" stopIfTrue="1" operator="equal">
      <formula>"Napkin Hs"</formula>
    </cfRule>
  </conditionalFormatting>
  <conditionalFormatting sqref="B48:C48">
    <cfRule type="cellIs" dxfId="8800" priority="5435" stopIfTrue="1" operator="equal">
      <formula>"Towel"</formula>
    </cfRule>
  </conditionalFormatting>
  <conditionalFormatting sqref="C48">
    <cfRule type="cellIs" dxfId="8799" priority="5434" stopIfTrue="1" operator="equal">
      <formula>"Napkin Hs"</formula>
    </cfRule>
  </conditionalFormatting>
  <conditionalFormatting sqref="C48">
    <cfRule type="cellIs" dxfId="8798" priority="5433" stopIfTrue="1" operator="equal">
      <formula>"Towel"</formula>
    </cfRule>
  </conditionalFormatting>
  <conditionalFormatting sqref="C48">
    <cfRule type="cellIs" dxfId="8797" priority="5431" stopIfTrue="1" operator="equal">
      <formula>"Towel"</formula>
    </cfRule>
    <cfRule type="cellIs" dxfId="8796" priority="5432" stopIfTrue="1" operator="equal">
      <formula>"Napkin Hs"</formula>
    </cfRule>
  </conditionalFormatting>
  <conditionalFormatting sqref="B48:C48">
    <cfRule type="cellIs" dxfId="8795" priority="5429" stopIfTrue="1" operator="equal">
      <formula>"Towel"</formula>
    </cfRule>
    <cfRule type="cellIs" dxfId="8794" priority="5430" stopIfTrue="1" operator="equal">
      <formula>"Napkin Hs"</formula>
    </cfRule>
  </conditionalFormatting>
  <conditionalFormatting sqref="C48">
    <cfRule type="cellIs" dxfId="8793" priority="5427" stopIfTrue="1" operator="equal">
      <formula>"Towel"</formula>
    </cfRule>
    <cfRule type="cellIs" dxfId="8792" priority="5428" stopIfTrue="1" operator="equal">
      <formula>"Napkin Hs"</formula>
    </cfRule>
  </conditionalFormatting>
  <conditionalFormatting sqref="C48">
    <cfRule type="cellIs" dxfId="8791" priority="5425" stopIfTrue="1" operator="equal">
      <formula>"Towel"</formula>
    </cfRule>
    <cfRule type="cellIs" dxfId="8790" priority="5426" stopIfTrue="1" operator="equal">
      <formula>"Napkin Hs"</formula>
    </cfRule>
  </conditionalFormatting>
  <conditionalFormatting sqref="B48:C48">
    <cfRule type="cellIs" dxfId="8789" priority="5423" stopIfTrue="1" operator="equal">
      <formula>"Towel"</formula>
    </cfRule>
    <cfRule type="cellIs" dxfId="8788" priority="5424" stopIfTrue="1" operator="equal">
      <formula>"Napkin Hs"</formula>
    </cfRule>
  </conditionalFormatting>
  <conditionalFormatting sqref="C48">
    <cfRule type="cellIs" dxfId="8787" priority="5421" stopIfTrue="1" operator="equal">
      <formula>"Towel"</formula>
    </cfRule>
    <cfRule type="cellIs" dxfId="8786" priority="5422" stopIfTrue="1" operator="equal">
      <formula>"Napkin Hs"</formula>
    </cfRule>
  </conditionalFormatting>
  <conditionalFormatting sqref="C48">
    <cfRule type="cellIs" dxfId="8785" priority="5419" stopIfTrue="1" operator="equal">
      <formula>"Towel"</formula>
    </cfRule>
    <cfRule type="cellIs" dxfId="8784" priority="5420" stopIfTrue="1" operator="equal">
      <formula>"Napkin Hs"</formula>
    </cfRule>
  </conditionalFormatting>
  <conditionalFormatting sqref="B48:C48">
    <cfRule type="cellIs" dxfId="8783" priority="5417" stopIfTrue="1" operator="equal">
      <formula>"Towel"</formula>
    </cfRule>
    <cfRule type="cellIs" dxfId="8782" priority="5418" stopIfTrue="1" operator="equal">
      <formula>"Napkin Hs"</formula>
    </cfRule>
  </conditionalFormatting>
  <conditionalFormatting sqref="C48">
    <cfRule type="cellIs" dxfId="8781" priority="5415" stopIfTrue="1" operator="equal">
      <formula>"Towel"</formula>
    </cfRule>
    <cfRule type="cellIs" dxfId="8780" priority="5416" stopIfTrue="1" operator="equal">
      <formula>"Napkin Hs"</formula>
    </cfRule>
  </conditionalFormatting>
  <conditionalFormatting sqref="C48">
    <cfRule type="cellIs" dxfId="8779" priority="5413" stopIfTrue="1" operator="equal">
      <formula>"Towel"</formula>
    </cfRule>
    <cfRule type="cellIs" dxfId="8778" priority="5414" stopIfTrue="1" operator="equal">
      <formula>"Napkin Hs"</formula>
    </cfRule>
  </conditionalFormatting>
  <conditionalFormatting sqref="B48:C48">
    <cfRule type="cellIs" dxfId="8777" priority="5411" stopIfTrue="1" operator="equal">
      <formula>"Towel"</formula>
    </cfRule>
    <cfRule type="cellIs" dxfId="8776" priority="5412" stopIfTrue="1" operator="equal">
      <formula>"Napkin Hs"</formula>
    </cfRule>
  </conditionalFormatting>
  <conditionalFormatting sqref="C48">
    <cfRule type="cellIs" dxfId="8775" priority="5409" stopIfTrue="1" operator="equal">
      <formula>"Towel"</formula>
    </cfRule>
    <cfRule type="cellIs" dxfId="8774" priority="5410" stopIfTrue="1" operator="equal">
      <formula>"Napkin Hs"</formula>
    </cfRule>
  </conditionalFormatting>
  <conditionalFormatting sqref="C48">
    <cfRule type="cellIs" dxfId="8773" priority="5407" stopIfTrue="1" operator="equal">
      <formula>"Towel"</formula>
    </cfRule>
    <cfRule type="cellIs" dxfId="8772" priority="5408" stopIfTrue="1" operator="equal">
      <formula>"Napkin Hs"</formula>
    </cfRule>
  </conditionalFormatting>
  <conditionalFormatting sqref="B48:C48">
    <cfRule type="cellIs" dxfId="8771" priority="5405" stopIfTrue="1" operator="equal">
      <formula>"Towel"</formula>
    </cfRule>
    <cfRule type="cellIs" dxfId="8770" priority="5406" stopIfTrue="1" operator="equal">
      <formula>"Napkin Hs"</formula>
    </cfRule>
  </conditionalFormatting>
  <conditionalFormatting sqref="C48">
    <cfRule type="cellIs" dxfId="8769" priority="5403" stopIfTrue="1" operator="equal">
      <formula>"Towel"</formula>
    </cfRule>
    <cfRule type="cellIs" dxfId="8768" priority="5404" stopIfTrue="1" operator="equal">
      <formula>"Napkin Hs"</formula>
    </cfRule>
  </conditionalFormatting>
  <conditionalFormatting sqref="C48">
    <cfRule type="cellIs" dxfId="8767" priority="5401" stopIfTrue="1" operator="equal">
      <formula>"Towel"</formula>
    </cfRule>
    <cfRule type="cellIs" dxfId="8766" priority="5402" stopIfTrue="1" operator="equal">
      <formula>"Napkin Hs"</formula>
    </cfRule>
  </conditionalFormatting>
  <conditionalFormatting sqref="B48:C48">
    <cfRule type="cellIs" dxfId="8765" priority="5400" stopIfTrue="1" operator="equal">
      <formula>"Napkin Hs"</formula>
    </cfRule>
  </conditionalFormatting>
  <conditionalFormatting sqref="B48:C48">
    <cfRule type="cellIs" dxfId="8764" priority="5399" stopIfTrue="1" operator="equal">
      <formula>"Towel"</formula>
    </cfRule>
  </conditionalFormatting>
  <conditionalFormatting sqref="C48">
    <cfRule type="cellIs" dxfId="8763" priority="5398" stopIfTrue="1" operator="equal">
      <formula>"Napkin Hs"</formula>
    </cfRule>
  </conditionalFormatting>
  <conditionalFormatting sqref="C48">
    <cfRule type="cellIs" dxfId="8762" priority="5395" stopIfTrue="1" operator="equal">
      <formula>"Towel"</formula>
    </cfRule>
    <cfRule type="cellIs" dxfId="8761" priority="5396" stopIfTrue="1" operator="equal">
      <formula>"Napkin Hs"</formula>
    </cfRule>
  </conditionalFormatting>
  <conditionalFormatting sqref="C48">
    <cfRule type="cellIs" dxfId="8760" priority="5397" stopIfTrue="1" operator="equal">
      <formula>"Towel"</formula>
    </cfRule>
  </conditionalFormatting>
  <conditionalFormatting sqref="B46:B47">
    <cfRule type="cellIs" dxfId="8759" priority="5394" stopIfTrue="1" operator="equal">
      <formula>"Napkin Hs"</formula>
    </cfRule>
  </conditionalFormatting>
  <conditionalFormatting sqref="B46:B47">
    <cfRule type="cellIs" dxfId="8758" priority="5393" stopIfTrue="1" operator="equal">
      <formula>"Towel"</formula>
    </cfRule>
  </conditionalFormatting>
  <conditionalFormatting sqref="C46:C47">
    <cfRule type="cellIs" dxfId="8757" priority="5392" stopIfTrue="1" operator="equal">
      <formula>"Napkin Hs"</formula>
    </cfRule>
  </conditionalFormatting>
  <conditionalFormatting sqref="C46:C47">
    <cfRule type="cellIs" dxfId="8756" priority="5391" stopIfTrue="1" operator="equal">
      <formula>"Towel"</formula>
    </cfRule>
  </conditionalFormatting>
  <conditionalFormatting sqref="C46:C47">
    <cfRule type="cellIs" dxfId="8755" priority="5390" stopIfTrue="1" operator="equal">
      <formula>"Napkin Hs"</formula>
    </cfRule>
  </conditionalFormatting>
  <conditionalFormatting sqref="C46:C47">
    <cfRule type="cellIs" dxfId="8754" priority="5387" stopIfTrue="1" operator="equal">
      <formula>"Towel"</formula>
    </cfRule>
    <cfRule type="cellIs" dxfId="8753" priority="5388" stopIfTrue="1" operator="equal">
      <formula>"Napkin Hs"</formula>
    </cfRule>
  </conditionalFormatting>
  <conditionalFormatting sqref="C46:C47">
    <cfRule type="cellIs" dxfId="8752" priority="5389" stopIfTrue="1" operator="equal">
      <formula>"Towel"</formula>
    </cfRule>
  </conditionalFormatting>
  <conditionalFormatting sqref="B44:B45">
    <cfRule type="cellIs" dxfId="8751" priority="5386" stopIfTrue="1" operator="equal">
      <formula>"Napkin Hs"</formula>
    </cfRule>
  </conditionalFormatting>
  <conditionalFormatting sqref="B44:B45">
    <cfRule type="cellIs" dxfId="8750" priority="5385" stopIfTrue="1" operator="equal">
      <formula>"Towel"</formula>
    </cfRule>
  </conditionalFormatting>
  <conditionalFormatting sqref="C44:C45">
    <cfRule type="cellIs" dxfId="8749" priority="5384" stopIfTrue="1" operator="equal">
      <formula>"Napkin Hs"</formula>
    </cfRule>
  </conditionalFormatting>
  <conditionalFormatting sqref="C44:C45">
    <cfRule type="cellIs" dxfId="8748" priority="5383" stopIfTrue="1" operator="equal">
      <formula>"Towel"</formula>
    </cfRule>
  </conditionalFormatting>
  <conditionalFormatting sqref="C44:C45">
    <cfRule type="cellIs" dxfId="8747" priority="5382" stopIfTrue="1" operator="equal">
      <formula>"Napkin Hs"</formula>
    </cfRule>
  </conditionalFormatting>
  <conditionalFormatting sqref="C44:C45">
    <cfRule type="cellIs" dxfId="8746" priority="5379" stopIfTrue="1" operator="equal">
      <formula>"Towel"</formula>
    </cfRule>
    <cfRule type="cellIs" dxfId="8745" priority="5380" stopIfTrue="1" operator="equal">
      <formula>"Napkin Hs"</formula>
    </cfRule>
  </conditionalFormatting>
  <conditionalFormatting sqref="C44:C45">
    <cfRule type="cellIs" dxfId="8744" priority="5381" stopIfTrue="1" operator="equal">
      <formula>"Towel"</formula>
    </cfRule>
  </conditionalFormatting>
  <conditionalFormatting sqref="B51:B52">
    <cfRule type="cellIs" dxfId="8743" priority="5378" stopIfTrue="1" operator="equal">
      <formula>"Napkin Hs"</formula>
    </cfRule>
  </conditionalFormatting>
  <conditionalFormatting sqref="B51:B52">
    <cfRule type="cellIs" dxfId="8742" priority="5377" stopIfTrue="1" operator="equal">
      <formula>"Towel"</formula>
    </cfRule>
  </conditionalFormatting>
  <conditionalFormatting sqref="C51:C52">
    <cfRule type="cellIs" dxfId="8741" priority="5376" stopIfTrue="1" operator="equal">
      <formula>"Napkin Hs"</formula>
    </cfRule>
  </conditionalFormatting>
  <conditionalFormatting sqref="C51:C52">
    <cfRule type="cellIs" dxfId="8740" priority="5375" stopIfTrue="1" operator="equal">
      <formula>"Towel"</formula>
    </cfRule>
  </conditionalFormatting>
  <conditionalFormatting sqref="C51:C52">
    <cfRule type="cellIs" dxfId="8739" priority="5374" stopIfTrue="1" operator="equal">
      <formula>"Napkin Hs"</formula>
    </cfRule>
  </conditionalFormatting>
  <conditionalFormatting sqref="C51:C52">
    <cfRule type="cellIs" dxfId="8738" priority="5371" stopIfTrue="1" operator="equal">
      <formula>"Towel"</formula>
    </cfRule>
    <cfRule type="cellIs" dxfId="8737" priority="5372" stopIfTrue="1" operator="equal">
      <formula>"Napkin Hs"</formula>
    </cfRule>
  </conditionalFormatting>
  <conditionalFormatting sqref="C51:C52">
    <cfRule type="cellIs" dxfId="8736" priority="5373" stopIfTrue="1" operator="equal">
      <formula>"Towel"</formula>
    </cfRule>
  </conditionalFormatting>
  <conditionalFormatting sqref="B50">
    <cfRule type="cellIs" dxfId="8735" priority="5370" stopIfTrue="1" operator="equal">
      <formula>"Napkin Hs"</formula>
    </cfRule>
  </conditionalFormatting>
  <conditionalFormatting sqref="B50">
    <cfRule type="cellIs" dxfId="8734" priority="5369" stopIfTrue="1" operator="equal">
      <formula>"Towel"</formula>
    </cfRule>
  </conditionalFormatting>
  <conditionalFormatting sqref="C50">
    <cfRule type="cellIs" dxfId="8733" priority="5368" stopIfTrue="1" operator="equal">
      <formula>"Napkin Hs"</formula>
    </cfRule>
  </conditionalFormatting>
  <conditionalFormatting sqref="C50">
    <cfRule type="cellIs" dxfId="8732" priority="5367" stopIfTrue="1" operator="equal">
      <formula>"Towel"</formula>
    </cfRule>
  </conditionalFormatting>
  <conditionalFormatting sqref="C50">
    <cfRule type="cellIs" dxfId="8731" priority="5366" stopIfTrue="1" operator="equal">
      <formula>"Napkin Hs"</formula>
    </cfRule>
  </conditionalFormatting>
  <conditionalFormatting sqref="C50">
    <cfRule type="cellIs" dxfId="8730" priority="5363" stopIfTrue="1" operator="equal">
      <formula>"Towel"</formula>
    </cfRule>
    <cfRule type="cellIs" dxfId="8729" priority="5364" stopIfTrue="1" operator="equal">
      <formula>"Napkin Hs"</formula>
    </cfRule>
  </conditionalFormatting>
  <conditionalFormatting sqref="C50">
    <cfRule type="cellIs" dxfId="8728" priority="5365" stopIfTrue="1" operator="equal">
      <formula>"Towel"</formula>
    </cfRule>
  </conditionalFormatting>
  <conditionalFormatting sqref="B49">
    <cfRule type="cellIs" dxfId="8727" priority="5362" stopIfTrue="1" operator="equal">
      <formula>"Napkin Hs"</formula>
    </cfRule>
  </conditionalFormatting>
  <conditionalFormatting sqref="B49">
    <cfRule type="cellIs" dxfId="8726" priority="5361" stopIfTrue="1" operator="equal">
      <formula>"Towel"</formula>
    </cfRule>
  </conditionalFormatting>
  <conditionalFormatting sqref="C49">
    <cfRule type="cellIs" dxfId="8725" priority="5360" stopIfTrue="1" operator="equal">
      <formula>"Napkin Hs"</formula>
    </cfRule>
  </conditionalFormatting>
  <conditionalFormatting sqref="C49">
    <cfRule type="cellIs" dxfId="8724" priority="5359" stopIfTrue="1" operator="equal">
      <formula>"Towel"</formula>
    </cfRule>
  </conditionalFormatting>
  <conditionalFormatting sqref="C49">
    <cfRule type="cellIs" dxfId="8723" priority="5358" stopIfTrue="1" operator="equal">
      <formula>"Napkin Hs"</formula>
    </cfRule>
  </conditionalFormatting>
  <conditionalFormatting sqref="C49">
    <cfRule type="cellIs" dxfId="8722" priority="5355" stopIfTrue="1" operator="equal">
      <formula>"Towel"</formula>
    </cfRule>
    <cfRule type="cellIs" dxfId="8721" priority="5356" stopIfTrue="1" operator="equal">
      <formula>"Napkin Hs"</formula>
    </cfRule>
  </conditionalFormatting>
  <conditionalFormatting sqref="C49">
    <cfRule type="cellIs" dxfId="8720" priority="5357" stopIfTrue="1" operator="equal">
      <formula>"Towel"</formula>
    </cfRule>
  </conditionalFormatting>
  <conditionalFormatting sqref="B57">
    <cfRule type="cellIs" dxfId="8719" priority="5354" stopIfTrue="1" operator="equal">
      <formula>"Napkin Hs"</formula>
    </cfRule>
  </conditionalFormatting>
  <conditionalFormatting sqref="B57">
    <cfRule type="cellIs" dxfId="8718" priority="5353" stopIfTrue="1" operator="equal">
      <formula>"Towel"</formula>
    </cfRule>
  </conditionalFormatting>
  <conditionalFormatting sqref="C57">
    <cfRule type="cellIs" dxfId="8717" priority="5352" stopIfTrue="1" operator="equal">
      <formula>"Napkin Hs"</formula>
    </cfRule>
  </conditionalFormatting>
  <conditionalFormatting sqref="C57">
    <cfRule type="cellIs" dxfId="8716" priority="5351" stopIfTrue="1" operator="equal">
      <formula>"Towel"</formula>
    </cfRule>
  </conditionalFormatting>
  <conditionalFormatting sqref="C57">
    <cfRule type="cellIs" dxfId="8715" priority="5350" stopIfTrue="1" operator="equal">
      <formula>"Napkin Hs"</formula>
    </cfRule>
  </conditionalFormatting>
  <conditionalFormatting sqref="C57">
    <cfRule type="cellIs" dxfId="8714" priority="5347" stopIfTrue="1" operator="equal">
      <formula>"Towel"</formula>
    </cfRule>
    <cfRule type="cellIs" dxfId="8713" priority="5348" stopIfTrue="1" operator="equal">
      <formula>"Napkin Hs"</formula>
    </cfRule>
  </conditionalFormatting>
  <conditionalFormatting sqref="C57">
    <cfRule type="cellIs" dxfId="8712" priority="5349" stopIfTrue="1" operator="equal">
      <formula>"Towel"</formula>
    </cfRule>
  </conditionalFormatting>
  <conditionalFormatting sqref="B54">
    <cfRule type="cellIs" dxfId="8711" priority="5338" stopIfTrue="1" operator="equal">
      <formula>"Napkin Hs"</formula>
    </cfRule>
  </conditionalFormatting>
  <conditionalFormatting sqref="B54">
    <cfRule type="cellIs" dxfId="8710" priority="5337" stopIfTrue="1" operator="equal">
      <formula>"Towel"</formula>
    </cfRule>
  </conditionalFormatting>
  <conditionalFormatting sqref="C54">
    <cfRule type="cellIs" dxfId="8709" priority="5336" stopIfTrue="1" operator="equal">
      <formula>"Napkin Hs"</formula>
    </cfRule>
  </conditionalFormatting>
  <conditionalFormatting sqref="C54">
    <cfRule type="cellIs" dxfId="8708" priority="5335" stopIfTrue="1" operator="equal">
      <formula>"Towel"</formula>
    </cfRule>
  </conditionalFormatting>
  <conditionalFormatting sqref="C54">
    <cfRule type="cellIs" dxfId="8707" priority="5334" stopIfTrue="1" operator="equal">
      <formula>"Napkin Hs"</formula>
    </cfRule>
  </conditionalFormatting>
  <conditionalFormatting sqref="C54">
    <cfRule type="cellIs" dxfId="8706" priority="5331" stopIfTrue="1" operator="equal">
      <formula>"Towel"</formula>
    </cfRule>
    <cfRule type="cellIs" dxfId="8705" priority="5332" stopIfTrue="1" operator="equal">
      <formula>"Napkin Hs"</formula>
    </cfRule>
  </conditionalFormatting>
  <conditionalFormatting sqref="C54">
    <cfRule type="cellIs" dxfId="8704" priority="5333" stopIfTrue="1" operator="equal">
      <formula>"Towel"</formula>
    </cfRule>
  </conditionalFormatting>
  <conditionalFormatting sqref="B55:B56">
    <cfRule type="cellIs" dxfId="8703" priority="5330" stopIfTrue="1" operator="equal">
      <formula>"Napkin Hs"</formula>
    </cfRule>
  </conditionalFormatting>
  <conditionalFormatting sqref="B55:B56">
    <cfRule type="cellIs" dxfId="8702" priority="5329" stopIfTrue="1" operator="equal">
      <formula>"Towel"</formula>
    </cfRule>
  </conditionalFormatting>
  <conditionalFormatting sqref="C55:C56">
    <cfRule type="cellIs" dxfId="8701" priority="5328" stopIfTrue="1" operator="equal">
      <formula>"Napkin Hs"</formula>
    </cfRule>
  </conditionalFormatting>
  <conditionalFormatting sqref="C55:C56">
    <cfRule type="cellIs" dxfId="8700" priority="5327" stopIfTrue="1" operator="equal">
      <formula>"Towel"</formula>
    </cfRule>
  </conditionalFormatting>
  <conditionalFormatting sqref="C55:C56">
    <cfRule type="cellIs" dxfId="8699" priority="5326" stopIfTrue="1" operator="equal">
      <formula>"Napkin Hs"</formula>
    </cfRule>
  </conditionalFormatting>
  <conditionalFormatting sqref="C55:C56">
    <cfRule type="cellIs" dxfId="8698" priority="5323" stopIfTrue="1" operator="equal">
      <formula>"Towel"</formula>
    </cfRule>
    <cfRule type="cellIs" dxfId="8697" priority="5324" stopIfTrue="1" operator="equal">
      <formula>"Napkin Hs"</formula>
    </cfRule>
  </conditionalFormatting>
  <conditionalFormatting sqref="C55:C56">
    <cfRule type="cellIs" dxfId="8696" priority="5325" stopIfTrue="1" operator="equal">
      <formula>"Towel"</formula>
    </cfRule>
  </conditionalFormatting>
  <conditionalFormatting sqref="B64:C64">
    <cfRule type="cellIs" dxfId="8695" priority="5321" stopIfTrue="1" operator="equal">
      <formula>"Towel"</formula>
    </cfRule>
    <cfRule type="cellIs" dxfId="8694" priority="5322" stopIfTrue="1" operator="equal">
      <formula>"Napkin Hs"</formula>
    </cfRule>
  </conditionalFormatting>
  <conditionalFormatting sqref="C64">
    <cfRule type="cellIs" dxfId="8693" priority="5317" stopIfTrue="1" operator="equal">
      <formula>"Towel"</formula>
    </cfRule>
    <cfRule type="cellIs" dxfId="8692" priority="5318" stopIfTrue="1" operator="equal">
      <formula>"Napkin Hs"</formula>
    </cfRule>
  </conditionalFormatting>
  <conditionalFormatting sqref="C64">
    <cfRule type="cellIs" dxfId="8691" priority="5319" stopIfTrue="1" operator="equal">
      <formula>"Towel"</formula>
    </cfRule>
    <cfRule type="cellIs" dxfId="8690" priority="5320" stopIfTrue="1" operator="equal">
      <formula>"Napkin Hs"</formula>
    </cfRule>
  </conditionalFormatting>
  <conditionalFormatting sqref="B64:C64">
    <cfRule type="cellIs" dxfId="8689" priority="5315" stopIfTrue="1" operator="equal">
      <formula>"Towel"</formula>
    </cfRule>
    <cfRule type="cellIs" dxfId="8688" priority="5316" stopIfTrue="1" operator="equal">
      <formula>"Napkin Hs"</formula>
    </cfRule>
  </conditionalFormatting>
  <conditionalFormatting sqref="C64">
    <cfRule type="cellIs" dxfId="8687" priority="5311" stopIfTrue="1" operator="equal">
      <formula>"Towel"</formula>
    </cfRule>
    <cfRule type="cellIs" dxfId="8686" priority="5312" stopIfTrue="1" operator="equal">
      <formula>"Napkin Hs"</formula>
    </cfRule>
  </conditionalFormatting>
  <conditionalFormatting sqref="C64">
    <cfRule type="cellIs" dxfId="8685" priority="5313" stopIfTrue="1" operator="equal">
      <formula>"Towel"</formula>
    </cfRule>
    <cfRule type="cellIs" dxfId="8684" priority="5314" stopIfTrue="1" operator="equal">
      <formula>"Napkin Hs"</formula>
    </cfRule>
  </conditionalFormatting>
  <conditionalFormatting sqref="B64:C64">
    <cfRule type="cellIs" dxfId="8683" priority="5309" stopIfTrue="1" operator="equal">
      <formula>"Towel"</formula>
    </cfRule>
    <cfRule type="cellIs" dxfId="8682" priority="5310" stopIfTrue="1" operator="equal">
      <formula>"Napkin Hs"</formula>
    </cfRule>
  </conditionalFormatting>
  <conditionalFormatting sqref="C64">
    <cfRule type="cellIs" dxfId="8681" priority="5307" stopIfTrue="1" operator="equal">
      <formula>"Towel"</formula>
    </cfRule>
    <cfRule type="cellIs" dxfId="8680" priority="5308" stopIfTrue="1" operator="equal">
      <formula>"Napkin Hs"</formula>
    </cfRule>
  </conditionalFormatting>
  <conditionalFormatting sqref="C64">
    <cfRule type="cellIs" dxfId="8679" priority="5305" stopIfTrue="1" operator="equal">
      <formula>"Towel"</formula>
    </cfRule>
    <cfRule type="cellIs" dxfId="8678" priority="5306" stopIfTrue="1" operator="equal">
      <formula>"Napkin Hs"</formula>
    </cfRule>
  </conditionalFormatting>
  <conditionalFormatting sqref="B64:C64">
    <cfRule type="cellIs" dxfId="8677" priority="5303" stopIfTrue="1" operator="equal">
      <formula>"Towel"</formula>
    </cfRule>
    <cfRule type="cellIs" dxfId="8676" priority="5304" stopIfTrue="1" operator="equal">
      <formula>"Napkin Hs"</formula>
    </cfRule>
  </conditionalFormatting>
  <conditionalFormatting sqref="C64">
    <cfRule type="cellIs" dxfId="8675" priority="5301" stopIfTrue="1" operator="equal">
      <formula>"Towel"</formula>
    </cfRule>
    <cfRule type="cellIs" dxfId="8674" priority="5302" stopIfTrue="1" operator="equal">
      <formula>"Napkin Hs"</formula>
    </cfRule>
  </conditionalFormatting>
  <conditionalFormatting sqref="C64">
    <cfRule type="cellIs" dxfId="8673" priority="5299" stopIfTrue="1" operator="equal">
      <formula>"Towel"</formula>
    </cfRule>
    <cfRule type="cellIs" dxfId="8672" priority="5300" stopIfTrue="1" operator="equal">
      <formula>"Napkin Hs"</formula>
    </cfRule>
  </conditionalFormatting>
  <conditionalFormatting sqref="B64:C64">
    <cfRule type="cellIs" dxfId="8671" priority="5297" stopIfTrue="1" operator="equal">
      <formula>"Towel"</formula>
    </cfRule>
    <cfRule type="cellIs" dxfId="8670" priority="5298" stopIfTrue="1" operator="equal">
      <formula>"Napkin Hs"</formula>
    </cfRule>
  </conditionalFormatting>
  <conditionalFormatting sqref="C64">
    <cfRule type="cellIs" dxfId="8669" priority="5295" stopIfTrue="1" operator="equal">
      <formula>"Towel"</formula>
    </cfRule>
    <cfRule type="cellIs" dxfId="8668" priority="5296" stopIfTrue="1" operator="equal">
      <formula>"Napkin Hs"</formula>
    </cfRule>
  </conditionalFormatting>
  <conditionalFormatting sqref="C64">
    <cfRule type="cellIs" dxfId="8667" priority="5293" stopIfTrue="1" operator="equal">
      <formula>"Towel"</formula>
    </cfRule>
    <cfRule type="cellIs" dxfId="8666" priority="5294" stopIfTrue="1" operator="equal">
      <formula>"Napkin Hs"</formula>
    </cfRule>
  </conditionalFormatting>
  <conditionalFormatting sqref="B64:C64">
    <cfRule type="cellIs" dxfId="8665" priority="5292" stopIfTrue="1" operator="equal">
      <formula>"Napkin Hs"</formula>
    </cfRule>
  </conditionalFormatting>
  <conditionalFormatting sqref="B64:C64">
    <cfRule type="cellIs" dxfId="8664" priority="5291" stopIfTrue="1" operator="equal">
      <formula>"Towel"</formula>
    </cfRule>
  </conditionalFormatting>
  <conditionalFormatting sqref="C64">
    <cfRule type="cellIs" dxfId="8663" priority="5290" stopIfTrue="1" operator="equal">
      <formula>"Napkin Hs"</formula>
    </cfRule>
  </conditionalFormatting>
  <conditionalFormatting sqref="C64">
    <cfRule type="cellIs" dxfId="8662" priority="5287" stopIfTrue="1" operator="equal">
      <formula>"Towel"</formula>
    </cfRule>
    <cfRule type="cellIs" dxfId="8661" priority="5288" stopIfTrue="1" operator="equal">
      <formula>"Napkin Hs"</formula>
    </cfRule>
  </conditionalFormatting>
  <conditionalFormatting sqref="C64">
    <cfRule type="cellIs" dxfId="8660" priority="5289" stopIfTrue="1" operator="equal">
      <formula>"Towel"</formula>
    </cfRule>
  </conditionalFormatting>
  <conditionalFormatting sqref="B63">
    <cfRule type="cellIs" dxfId="8659" priority="5286" stopIfTrue="1" operator="equal">
      <formula>"Napkin Hs"</formula>
    </cfRule>
  </conditionalFormatting>
  <conditionalFormatting sqref="B63">
    <cfRule type="cellIs" dxfId="8658" priority="5285" stopIfTrue="1" operator="equal">
      <formula>"Towel"</formula>
    </cfRule>
  </conditionalFormatting>
  <conditionalFormatting sqref="C63">
    <cfRule type="cellIs" dxfId="8657" priority="5284" stopIfTrue="1" operator="equal">
      <formula>"Napkin Hs"</formula>
    </cfRule>
  </conditionalFormatting>
  <conditionalFormatting sqref="C63">
    <cfRule type="cellIs" dxfId="8656" priority="5283" stopIfTrue="1" operator="equal">
      <formula>"Towel"</formula>
    </cfRule>
  </conditionalFormatting>
  <conditionalFormatting sqref="C63">
    <cfRule type="cellIs" dxfId="8655" priority="5282" stopIfTrue="1" operator="equal">
      <formula>"Napkin Hs"</formula>
    </cfRule>
  </conditionalFormatting>
  <conditionalFormatting sqref="C63">
    <cfRule type="cellIs" dxfId="8654" priority="5279" stopIfTrue="1" operator="equal">
      <formula>"Towel"</formula>
    </cfRule>
    <cfRule type="cellIs" dxfId="8653" priority="5280" stopIfTrue="1" operator="equal">
      <formula>"Napkin Hs"</formula>
    </cfRule>
  </conditionalFormatting>
  <conditionalFormatting sqref="C63">
    <cfRule type="cellIs" dxfId="8652" priority="5281" stopIfTrue="1" operator="equal">
      <formula>"Towel"</formula>
    </cfRule>
  </conditionalFormatting>
  <conditionalFormatting sqref="B61:B62">
    <cfRule type="cellIs" dxfId="8651" priority="5270" stopIfTrue="1" operator="equal">
      <formula>"Napkin Hs"</formula>
    </cfRule>
  </conditionalFormatting>
  <conditionalFormatting sqref="B61:B62">
    <cfRule type="cellIs" dxfId="8650" priority="5269" stopIfTrue="1" operator="equal">
      <formula>"Towel"</formula>
    </cfRule>
  </conditionalFormatting>
  <conditionalFormatting sqref="C61:C62">
    <cfRule type="cellIs" dxfId="8649" priority="5268" stopIfTrue="1" operator="equal">
      <formula>"Napkin Hs"</formula>
    </cfRule>
  </conditionalFormatting>
  <conditionalFormatting sqref="C61:C62">
    <cfRule type="cellIs" dxfId="8648" priority="5267" stopIfTrue="1" operator="equal">
      <formula>"Towel"</formula>
    </cfRule>
  </conditionalFormatting>
  <conditionalFormatting sqref="C61:C62">
    <cfRule type="cellIs" dxfId="8647" priority="5266" stopIfTrue="1" operator="equal">
      <formula>"Napkin Hs"</formula>
    </cfRule>
  </conditionalFormatting>
  <conditionalFormatting sqref="C61:C62">
    <cfRule type="cellIs" dxfId="8646" priority="5263" stopIfTrue="1" operator="equal">
      <formula>"Towel"</formula>
    </cfRule>
    <cfRule type="cellIs" dxfId="8645" priority="5264" stopIfTrue="1" operator="equal">
      <formula>"Napkin Hs"</formula>
    </cfRule>
  </conditionalFormatting>
  <conditionalFormatting sqref="C61:C62">
    <cfRule type="cellIs" dxfId="8644" priority="5265" stopIfTrue="1" operator="equal">
      <formula>"Towel"</formula>
    </cfRule>
  </conditionalFormatting>
  <conditionalFormatting sqref="B61">
    <cfRule type="cellIs" dxfId="8643" priority="5262" stopIfTrue="1" operator="equal">
      <formula>"Napkin Hs"</formula>
    </cfRule>
  </conditionalFormatting>
  <conditionalFormatting sqref="B61">
    <cfRule type="cellIs" dxfId="8642" priority="5261" stopIfTrue="1" operator="equal">
      <formula>"Towel"</formula>
    </cfRule>
  </conditionalFormatting>
  <conditionalFormatting sqref="C61">
    <cfRule type="cellIs" dxfId="8641" priority="5260" stopIfTrue="1" operator="equal">
      <formula>"Napkin Hs"</formula>
    </cfRule>
  </conditionalFormatting>
  <conditionalFormatting sqref="C61">
    <cfRule type="cellIs" dxfId="8640" priority="5259" stopIfTrue="1" operator="equal">
      <formula>"Towel"</formula>
    </cfRule>
  </conditionalFormatting>
  <conditionalFormatting sqref="C61">
    <cfRule type="cellIs" dxfId="8639" priority="5258" stopIfTrue="1" operator="equal">
      <formula>"Napkin Hs"</formula>
    </cfRule>
  </conditionalFormatting>
  <conditionalFormatting sqref="C61">
    <cfRule type="cellIs" dxfId="8638" priority="5255" stopIfTrue="1" operator="equal">
      <formula>"Towel"</formula>
    </cfRule>
    <cfRule type="cellIs" dxfId="8637" priority="5256" stopIfTrue="1" operator="equal">
      <formula>"Napkin Hs"</formula>
    </cfRule>
  </conditionalFormatting>
  <conditionalFormatting sqref="C61">
    <cfRule type="cellIs" dxfId="8636" priority="5257" stopIfTrue="1" operator="equal">
      <formula>"Towel"</formula>
    </cfRule>
  </conditionalFormatting>
  <conditionalFormatting sqref="B60">
    <cfRule type="cellIs" dxfId="8635" priority="5254" stopIfTrue="1" operator="equal">
      <formula>"Napkin Hs"</formula>
    </cfRule>
  </conditionalFormatting>
  <conditionalFormatting sqref="B60">
    <cfRule type="cellIs" dxfId="8634" priority="5253" stopIfTrue="1" operator="equal">
      <formula>"Towel"</formula>
    </cfRule>
  </conditionalFormatting>
  <conditionalFormatting sqref="C60">
    <cfRule type="cellIs" dxfId="8633" priority="5252" stopIfTrue="1" operator="equal">
      <formula>"Napkin Hs"</formula>
    </cfRule>
  </conditionalFormatting>
  <conditionalFormatting sqref="C60">
    <cfRule type="cellIs" dxfId="8632" priority="5251" stopIfTrue="1" operator="equal">
      <formula>"Towel"</formula>
    </cfRule>
  </conditionalFormatting>
  <conditionalFormatting sqref="C60">
    <cfRule type="cellIs" dxfId="8631" priority="5250" stopIfTrue="1" operator="equal">
      <formula>"Napkin Hs"</formula>
    </cfRule>
  </conditionalFormatting>
  <conditionalFormatting sqref="C60">
    <cfRule type="cellIs" dxfId="8630" priority="5247" stopIfTrue="1" operator="equal">
      <formula>"Towel"</formula>
    </cfRule>
    <cfRule type="cellIs" dxfId="8629" priority="5248" stopIfTrue="1" operator="equal">
      <formula>"Napkin Hs"</formula>
    </cfRule>
  </conditionalFormatting>
  <conditionalFormatting sqref="C60">
    <cfRule type="cellIs" dxfId="8628" priority="5249" stopIfTrue="1" operator="equal">
      <formula>"Towel"</formula>
    </cfRule>
  </conditionalFormatting>
  <conditionalFormatting sqref="B70:C70">
    <cfRule type="cellIs" dxfId="8627" priority="5245" stopIfTrue="1" operator="equal">
      <formula>"Towel"</formula>
    </cfRule>
    <cfRule type="cellIs" dxfId="8626" priority="5246" stopIfTrue="1" operator="equal">
      <formula>"Napkin Hs"</formula>
    </cfRule>
  </conditionalFormatting>
  <conditionalFormatting sqref="C70">
    <cfRule type="cellIs" dxfId="8625" priority="5241" stopIfTrue="1" operator="equal">
      <formula>"Towel"</formula>
    </cfRule>
    <cfRule type="cellIs" dxfId="8624" priority="5242" stopIfTrue="1" operator="equal">
      <formula>"Napkin Hs"</formula>
    </cfRule>
  </conditionalFormatting>
  <conditionalFormatting sqref="C70">
    <cfRule type="cellIs" dxfId="8623" priority="5243" stopIfTrue="1" operator="equal">
      <formula>"Towel"</formula>
    </cfRule>
    <cfRule type="cellIs" dxfId="8622" priority="5244" stopIfTrue="1" operator="equal">
      <formula>"Napkin Hs"</formula>
    </cfRule>
  </conditionalFormatting>
  <conditionalFormatting sqref="B70:C70">
    <cfRule type="cellIs" dxfId="8621" priority="5239" stopIfTrue="1" operator="equal">
      <formula>"Towel"</formula>
    </cfRule>
    <cfRule type="cellIs" dxfId="8620" priority="5240" stopIfTrue="1" operator="equal">
      <formula>"Napkin Hs"</formula>
    </cfRule>
  </conditionalFormatting>
  <conditionalFormatting sqref="C70">
    <cfRule type="cellIs" dxfId="8619" priority="5235" stopIfTrue="1" operator="equal">
      <formula>"Towel"</formula>
    </cfRule>
    <cfRule type="cellIs" dxfId="8618" priority="5236" stopIfTrue="1" operator="equal">
      <formula>"Napkin Hs"</formula>
    </cfRule>
  </conditionalFormatting>
  <conditionalFormatting sqref="C70">
    <cfRule type="cellIs" dxfId="8617" priority="5237" stopIfTrue="1" operator="equal">
      <formula>"Towel"</formula>
    </cfRule>
    <cfRule type="cellIs" dxfId="8616" priority="5238" stopIfTrue="1" operator="equal">
      <formula>"Napkin Hs"</formula>
    </cfRule>
  </conditionalFormatting>
  <conditionalFormatting sqref="B70:C70">
    <cfRule type="cellIs" dxfId="8615" priority="5233" stopIfTrue="1" operator="equal">
      <formula>"Towel"</formula>
    </cfRule>
    <cfRule type="cellIs" dxfId="8614" priority="5234" stopIfTrue="1" operator="equal">
      <formula>"Napkin Hs"</formula>
    </cfRule>
  </conditionalFormatting>
  <conditionalFormatting sqref="C70">
    <cfRule type="cellIs" dxfId="8613" priority="5231" stopIfTrue="1" operator="equal">
      <formula>"Towel"</formula>
    </cfRule>
    <cfRule type="cellIs" dxfId="8612" priority="5232" stopIfTrue="1" operator="equal">
      <formula>"Napkin Hs"</formula>
    </cfRule>
  </conditionalFormatting>
  <conditionalFormatting sqref="C70">
    <cfRule type="cellIs" dxfId="8611" priority="5229" stopIfTrue="1" operator="equal">
      <formula>"Towel"</formula>
    </cfRule>
    <cfRule type="cellIs" dxfId="8610" priority="5230" stopIfTrue="1" operator="equal">
      <formula>"Napkin Hs"</formula>
    </cfRule>
  </conditionalFormatting>
  <conditionalFormatting sqref="B70:C70">
    <cfRule type="cellIs" dxfId="8609" priority="5227" stopIfTrue="1" operator="equal">
      <formula>"Towel"</formula>
    </cfRule>
    <cfRule type="cellIs" dxfId="8608" priority="5228" stopIfTrue="1" operator="equal">
      <formula>"Napkin Hs"</formula>
    </cfRule>
  </conditionalFormatting>
  <conditionalFormatting sqref="C70">
    <cfRule type="cellIs" dxfId="8607" priority="5225" stopIfTrue="1" operator="equal">
      <formula>"Towel"</formula>
    </cfRule>
    <cfRule type="cellIs" dxfId="8606" priority="5226" stopIfTrue="1" operator="equal">
      <formula>"Napkin Hs"</formula>
    </cfRule>
  </conditionalFormatting>
  <conditionalFormatting sqref="C70">
    <cfRule type="cellIs" dxfId="8605" priority="5223" stopIfTrue="1" operator="equal">
      <formula>"Towel"</formula>
    </cfRule>
    <cfRule type="cellIs" dxfId="8604" priority="5224" stopIfTrue="1" operator="equal">
      <formula>"Napkin Hs"</formula>
    </cfRule>
  </conditionalFormatting>
  <conditionalFormatting sqref="B70:C70">
    <cfRule type="cellIs" dxfId="8603" priority="5221" stopIfTrue="1" operator="equal">
      <formula>"Towel"</formula>
    </cfRule>
    <cfRule type="cellIs" dxfId="8602" priority="5222" stopIfTrue="1" operator="equal">
      <formula>"Napkin Hs"</formula>
    </cfRule>
  </conditionalFormatting>
  <conditionalFormatting sqref="C70">
    <cfRule type="cellIs" dxfId="8601" priority="5219" stopIfTrue="1" operator="equal">
      <formula>"Towel"</formula>
    </cfRule>
    <cfRule type="cellIs" dxfId="8600" priority="5220" stopIfTrue="1" operator="equal">
      <formula>"Napkin Hs"</formula>
    </cfRule>
  </conditionalFormatting>
  <conditionalFormatting sqref="C70">
    <cfRule type="cellIs" dxfId="8599" priority="5217" stopIfTrue="1" operator="equal">
      <formula>"Towel"</formula>
    </cfRule>
    <cfRule type="cellIs" dxfId="8598" priority="5218" stopIfTrue="1" operator="equal">
      <formula>"Napkin Hs"</formula>
    </cfRule>
  </conditionalFormatting>
  <conditionalFormatting sqref="B70:C70">
    <cfRule type="cellIs" dxfId="8597" priority="5216" stopIfTrue="1" operator="equal">
      <formula>"Napkin Hs"</formula>
    </cfRule>
  </conditionalFormatting>
  <conditionalFormatting sqref="B70:C70">
    <cfRule type="cellIs" dxfId="8596" priority="5215" stopIfTrue="1" operator="equal">
      <formula>"Towel"</formula>
    </cfRule>
  </conditionalFormatting>
  <conditionalFormatting sqref="C70">
    <cfRule type="cellIs" dxfId="8595" priority="5214" stopIfTrue="1" operator="equal">
      <formula>"Napkin Hs"</formula>
    </cfRule>
  </conditionalFormatting>
  <conditionalFormatting sqref="C70">
    <cfRule type="cellIs" dxfId="8594" priority="5211" stopIfTrue="1" operator="equal">
      <formula>"Towel"</formula>
    </cfRule>
    <cfRule type="cellIs" dxfId="8593" priority="5212" stopIfTrue="1" operator="equal">
      <formula>"Napkin Hs"</formula>
    </cfRule>
  </conditionalFormatting>
  <conditionalFormatting sqref="C70">
    <cfRule type="cellIs" dxfId="8592" priority="5213" stopIfTrue="1" operator="equal">
      <formula>"Towel"</formula>
    </cfRule>
  </conditionalFormatting>
  <conditionalFormatting sqref="B69">
    <cfRule type="cellIs" dxfId="8591" priority="5210" stopIfTrue="1" operator="equal">
      <formula>"Napkin Hs"</formula>
    </cfRule>
  </conditionalFormatting>
  <conditionalFormatting sqref="B69">
    <cfRule type="cellIs" dxfId="8590" priority="5209" stopIfTrue="1" operator="equal">
      <formula>"Towel"</formula>
    </cfRule>
  </conditionalFormatting>
  <conditionalFormatting sqref="C69">
    <cfRule type="cellIs" dxfId="8589" priority="5208" stopIfTrue="1" operator="equal">
      <formula>"Napkin Hs"</formula>
    </cfRule>
  </conditionalFormatting>
  <conditionalFormatting sqref="C69">
    <cfRule type="cellIs" dxfId="8588" priority="5207" stopIfTrue="1" operator="equal">
      <formula>"Towel"</formula>
    </cfRule>
  </conditionalFormatting>
  <conditionalFormatting sqref="C69">
    <cfRule type="cellIs" dxfId="8587" priority="5206" stopIfTrue="1" operator="equal">
      <formula>"Napkin Hs"</formula>
    </cfRule>
  </conditionalFormatting>
  <conditionalFormatting sqref="C69">
    <cfRule type="cellIs" dxfId="8586" priority="5203" stopIfTrue="1" operator="equal">
      <formula>"Towel"</formula>
    </cfRule>
    <cfRule type="cellIs" dxfId="8585" priority="5204" stopIfTrue="1" operator="equal">
      <formula>"Napkin Hs"</formula>
    </cfRule>
  </conditionalFormatting>
  <conditionalFormatting sqref="C69">
    <cfRule type="cellIs" dxfId="8584" priority="5205" stopIfTrue="1" operator="equal">
      <formula>"Towel"</formula>
    </cfRule>
  </conditionalFormatting>
  <conditionalFormatting sqref="B66">
    <cfRule type="cellIs" dxfId="8583" priority="5178" stopIfTrue="1" operator="equal">
      <formula>"Napkin Hs"</formula>
    </cfRule>
  </conditionalFormatting>
  <conditionalFormatting sqref="B66">
    <cfRule type="cellIs" dxfId="8582" priority="5177" stopIfTrue="1" operator="equal">
      <formula>"Towel"</formula>
    </cfRule>
  </conditionalFormatting>
  <conditionalFormatting sqref="C66">
    <cfRule type="cellIs" dxfId="8581" priority="5176" stopIfTrue="1" operator="equal">
      <formula>"Napkin Hs"</formula>
    </cfRule>
  </conditionalFormatting>
  <conditionalFormatting sqref="C66">
    <cfRule type="cellIs" dxfId="8580" priority="5175" stopIfTrue="1" operator="equal">
      <formula>"Towel"</formula>
    </cfRule>
  </conditionalFormatting>
  <conditionalFormatting sqref="C66">
    <cfRule type="cellIs" dxfId="8579" priority="5174" stopIfTrue="1" operator="equal">
      <formula>"Napkin Hs"</formula>
    </cfRule>
  </conditionalFormatting>
  <conditionalFormatting sqref="C66">
    <cfRule type="cellIs" dxfId="8578" priority="5171" stopIfTrue="1" operator="equal">
      <formula>"Towel"</formula>
    </cfRule>
    <cfRule type="cellIs" dxfId="8577" priority="5172" stopIfTrue="1" operator="equal">
      <formula>"Napkin Hs"</formula>
    </cfRule>
  </conditionalFormatting>
  <conditionalFormatting sqref="C66">
    <cfRule type="cellIs" dxfId="8576" priority="5173" stopIfTrue="1" operator="equal">
      <formula>"Towel"</formula>
    </cfRule>
  </conditionalFormatting>
  <conditionalFormatting sqref="B67">
    <cfRule type="cellIs" dxfId="8575" priority="5170" stopIfTrue="1" operator="equal">
      <formula>"Napkin Hs"</formula>
    </cfRule>
  </conditionalFormatting>
  <conditionalFormatting sqref="B67">
    <cfRule type="cellIs" dxfId="8574" priority="5169" stopIfTrue="1" operator="equal">
      <formula>"Towel"</formula>
    </cfRule>
  </conditionalFormatting>
  <conditionalFormatting sqref="C67">
    <cfRule type="cellIs" dxfId="8573" priority="5168" stopIfTrue="1" operator="equal">
      <formula>"Napkin Hs"</formula>
    </cfRule>
  </conditionalFormatting>
  <conditionalFormatting sqref="C67">
    <cfRule type="cellIs" dxfId="8572" priority="5167" stopIfTrue="1" operator="equal">
      <formula>"Towel"</formula>
    </cfRule>
  </conditionalFormatting>
  <conditionalFormatting sqref="C67">
    <cfRule type="cellIs" dxfId="8571" priority="5166" stopIfTrue="1" operator="equal">
      <formula>"Napkin Hs"</formula>
    </cfRule>
  </conditionalFormatting>
  <conditionalFormatting sqref="C67">
    <cfRule type="cellIs" dxfId="8570" priority="5163" stopIfTrue="1" operator="equal">
      <formula>"Towel"</formula>
    </cfRule>
    <cfRule type="cellIs" dxfId="8569" priority="5164" stopIfTrue="1" operator="equal">
      <formula>"Napkin Hs"</formula>
    </cfRule>
  </conditionalFormatting>
  <conditionalFormatting sqref="C67">
    <cfRule type="cellIs" dxfId="8568" priority="5165" stopIfTrue="1" operator="equal">
      <formula>"Towel"</formula>
    </cfRule>
  </conditionalFormatting>
  <conditionalFormatting sqref="B68">
    <cfRule type="cellIs" dxfId="8567" priority="5162" stopIfTrue="1" operator="equal">
      <formula>"Napkin Hs"</formula>
    </cfRule>
  </conditionalFormatting>
  <conditionalFormatting sqref="B68">
    <cfRule type="cellIs" dxfId="8566" priority="5161" stopIfTrue="1" operator="equal">
      <formula>"Towel"</formula>
    </cfRule>
  </conditionalFormatting>
  <conditionalFormatting sqref="C68">
    <cfRule type="cellIs" dxfId="8565" priority="5160" stopIfTrue="1" operator="equal">
      <formula>"Napkin Hs"</formula>
    </cfRule>
  </conditionalFormatting>
  <conditionalFormatting sqref="C68">
    <cfRule type="cellIs" dxfId="8564" priority="5159" stopIfTrue="1" operator="equal">
      <formula>"Towel"</formula>
    </cfRule>
  </conditionalFormatting>
  <conditionalFormatting sqref="C68">
    <cfRule type="cellIs" dxfId="8563" priority="5158" stopIfTrue="1" operator="equal">
      <formula>"Napkin Hs"</formula>
    </cfRule>
  </conditionalFormatting>
  <conditionalFormatting sqref="C68">
    <cfRule type="cellIs" dxfId="8562" priority="5155" stopIfTrue="1" operator="equal">
      <formula>"Towel"</formula>
    </cfRule>
    <cfRule type="cellIs" dxfId="8561" priority="5156" stopIfTrue="1" operator="equal">
      <formula>"Napkin Hs"</formula>
    </cfRule>
  </conditionalFormatting>
  <conditionalFormatting sqref="C68">
    <cfRule type="cellIs" dxfId="8560" priority="5157" stopIfTrue="1" operator="equal">
      <formula>"Towel"</formula>
    </cfRule>
  </conditionalFormatting>
  <conditionalFormatting sqref="B73">
    <cfRule type="cellIs" dxfId="8559" priority="5138" stopIfTrue="1" operator="equal">
      <formula>"Napkin Hs"</formula>
    </cfRule>
  </conditionalFormatting>
  <conditionalFormatting sqref="B73">
    <cfRule type="cellIs" dxfId="8558" priority="5137" stopIfTrue="1" operator="equal">
      <formula>"Towel"</formula>
    </cfRule>
  </conditionalFormatting>
  <conditionalFormatting sqref="C73">
    <cfRule type="cellIs" dxfId="8557" priority="5136" stopIfTrue="1" operator="equal">
      <formula>"Napkin Hs"</formula>
    </cfRule>
  </conditionalFormatting>
  <conditionalFormatting sqref="C73">
    <cfRule type="cellIs" dxfId="8556" priority="5135" stopIfTrue="1" operator="equal">
      <formula>"Towel"</formula>
    </cfRule>
  </conditionalFormatting>
  <conditionalFormatting sqref="C73">
    <cfRule type="cellIs" dxfId="8555" priority="5134" stopIfTrue="1" operator="equal">
      <formula>"Napkin Hs"</formula>
    </cfRule>
  </conditionalFormatting>
  <conditionalFormatting sqref="C73">
    <cfRule type="cellIs" dxfId="8554" priority="5131" stopIfTrue="1" operator="equal">
      <formula>"Towel"</formula>
    </cfRule>
    <cfRule type="cellIs" dxfId="8553" priority="5132" stopIfTrue="1" operator="equal">
      <formula>"Napkin Hs"</formula>
    </cfRule>
  </conditionalFormatting>
  <conditionalFormatting sqref="C73">
    <cfRule type="cellIs" dxfId="8552" priority="5133" stopIfTrue="1" operator="equal">
      <formula>"Towel"</formula>
    </cfRule>
  </conditionalFormatting>
  <conditionalFormatting sqref="B71">
    <cfRule type="cellIs" dxfId="8551" priority="5130" stopIfTrue="1" operator="equal">
      <formula>"Napkin Hs"</formula>
    </cfRule>
  </conditionalFormatting>
  <conditionalFormatting sqref="B71">
    <cfRule type="cellIs" dxfId="8550" priority="5129" stopIfTrue="1" operator="equal">
      <formula>"Towel"</formula>
    </cfRule>
  </conditionalFormatting>
  <conditionalFormatting sqref="C71">
    <cfRule type="cellIs" dxfId="8549" priority="5128" stopIfTrue="1" operator="equal">
      <formula>"Napkin Hs"</formula>
    </cfRule>
  </conditionalFormatting>
  <conditionalFormatting sqref="C71">
    <cfRule type="cellIs" dxfId="8548" priority="5127" stopIfTrue="1" operator="equal">
      <formula>"Towel"</formula>
    </cfRule>
  </conditionalFormatting>
  <conditionalFormatting sqref="C71">
    <cfRule type="cellIs" dxfId="8547" priority="5126" stopIfTrue="1" operator="equal">
      <formula>"Napkin Hs"</formula>
    </cfRule>
  </conditionalFormatting>
  <conditionalFormatting sqref="C71">
    <cfRule type="cellIs" dxfId="8546" priority="5123" stopIfTrue="1" operator="equal">
      <formula>"Towel"</formula>
    </cfRule>
    <cfRule type="cellIs" dxfId="8545" priority="5124" stopIfTrue="1" operator="equal">
      <formula>"Napkin Hs"</formula>
    </cfRule>
  </conditionalFormatting>
  <conditionalFormatting sqref="C71">
    <cfRule type="cellIs" dxfId="8544" priority="5125" stopIfTrue="1" operator="equal">
      <formula>"Towel"</formula>
    </cfRule>
  </conditionalFormatting>
  <conditionalFormatting sqref="B72">
    <cfRule type="cellIs" dxfId="8543" priority="5122" stopIfTrue="1" operator="equal">
      <formula>"Napkin Hs"</formula>
    </cfRule>
  </conditionalFormatting>
  <conditionalFormatting sqref="B72">
    <cfRule type="cellIs" dxfId="8542" priority="5121" stopIfTrue="1" operator="equal">
      <formula>"Towel"</formula>
    </cfRule>
  </conditionalFormatting>
  <conditionalFormatting sqref="C72">
    <cfRule type="cellIs" dxfId="8541" priority="5120" stopIfTrue="1" operator="equal">
      <formula>"Napkin Hs"</formula>
    </cfRule>
  </conditionalFormatting>
  <conditionalFormatting sqref="C72">
    <cfRule type="cellIs" dxfId="8540" priority="5119" stopIfTrue="1" operator="equal">
      <formula>"Towel"</formula>
    </cfRule>
  </conditionalFormatting>
  <conditionalFormatting sqref="C72">
    <cfRule type="cellIs" dxfId="8539" priority="5118" stopIfTrue="1" operator="equal">
      <formula>"Napkin Hs"</formula>
    </cfRule>
  </conditionalFormatting>
  <conditionalFormatting sqref="C72">
    <cfRule type="cellIs" dxfId="8538" priority="5115" stopIfTrue="1" operator="equal">
      <formula>"Towel"</formula>
    </cfRule>
    <cfRule type="cellIs" dxfId="8537" priority="5116" stopIfTrue="1" operator="equal">
      <formula>"Napkin Hs"</formula>
    </cfRule>
  </conditionalFormatting>
  <conditionalFormatting sqref="C72">
    <cfRule type="cellIs" dxfId="8536" priority="5117" stopIfTrue="1" operator="equal">
      <formula>"Towel"</formula>
    </cfRule>
  </conditionalFormatting>
  <conditionalFormatting sqref="B78:C78">
    <cfRule type="cellIs" dxfId="8535" priority="5113" stopIfTrue="1" operator="equal">
      <formula>"Towel"</formula>
    </cfRule>
    <cfRule type="cellIs" dxfId="8534" priority="5114" stopIfTrue="1" operator="equal">
      <formula>"Napkin Hs"</formula>
    </cfRule>
  </conditionalFormatting>
  <conditionalFormatting sqref="C78">
    <cfRule type="cellIs" dxfId="8533" priority="5109" stopIfTrue="1" operator="equal">
      <formula>"Towel"</formula>
    </cfRule>
    <cfRule type="cellIs" dxfId="8532" priority="5110" stopIfTrue="1" operator="equal">
      <formula>"Napkin Hs"</formula>
    </cfRule>
  </conditionalFormatting>
  <conditionalFormatting sqref="C78">
    <cfRule type="cellIs" dxfId="8531" priority="5111" stopIfTrue="1" operator="equal">
      <formula>"Towel"</formula>
    </cfRule>
    <cfRule type="cellIs" dxfId="8530" priority="5112" stopIfTrue="1" operator="equal">
      <formula>"Napkin Hs"</formula>
    </cfRule>
  </conditionalFormatting>
  <conditionalFormatting sqref="B78:C78">
    <cfRule type="cellIs" dxfId="8529" priority="5107" stopIfTrue="1" operator="equal">
      <formula>"Towel"</formula>
    </cfRule>
    <cfRule type="cellIs" dxfId="8528" priority="5108" stopIfTrue="1" operator="equal">
      <formula>"Napkin Hs"</formula>
    </cfRule>
  </conditionalFormatting>
  <conditionalFormatting sqref="C78">
    <cfRule type="cellIs" dxfId="8527" priority="5103" stopIfTrue="1" operator="equal">
      <formula>"Towel"</formula>
    </cfRule>
    <cfRule type="cellIs" dxfId="8526" priority="5104" stopIfTrue="1" operator="equal">
      <formula>"Napkin Hs"</formula>
    </cfRule>
  </conditionalFormatting>
  <conditionalFormatting sqref="C78">
    <cfRule type="cellIs" dxfId="8525" priority="5105" stopIfTrue="1" operator="equal">
      <formula>"Towel"</formula>
    </cfRule>
    <cfRule type="cellIs" dxfId="8524" priority="5106" stopIfTrue="1" operator="equal">
      <formula>"Napkin Hs"</formula>
    </cfRule>
  </conditionalFormatting>
  <conditionalFormatting sqref="B78:C78">
    <cfRule type="cellIs" dxfId="8523" priority="5101" stopIfTrue="1" operator="equal">
      <formula>"Towel"</formula>
    </cfRule>
    <cfRule type="cellIs" dxfId="8522" priority="5102" stopIfTrue="1" operator="equal">
      <formula>"Napkin Hs"</formula>
    </cfRule>
  </conditionalFormatting>
  <conditionalFormatting sqref="C78">
    <cfRule type="cellIs" dxfId="8521" priority="5099" stopIfTrue="1" operator="equal">
      <formula>"Towel"</formula>
    </cfRule>
    <cfRule type="cellIs" dxfId="8520" priority="5100" stopIfTrue="1" operator="equal">
      <formula>"Napkin Hs"</formula>
    </cfRule>
  </conditionalFormatting>
  <conditionalFormatting sqref="C78">
    <cfRule type="cellIs" dxfId="8519" priority="5097" stopIfTrue="1" operator="equal">
      <formula>"Towel"</formula>
    </cfRule>
    <cfRule type="cellIs" dxfId="8518" priority="5098" stopIfTrue="1" operator="equal">
      <formula>"Napkin Hs"</formula>
    </cfRule>
  </conditionalFormatting>
  <conditionalFormatting sqref="B78:C78">
    <cfRule type="cellIs" dxfId="8517" priority="5095" stopIfTrue="1" operator="equal">
      <formula>"Towel"</formula>
    </cfRule>
    <cfRule type="cellIs" dxfId="8516" priority="5096" stopIfTrue="1" operator="equal">
      <formula>"Napkin Hs"</formula>
    </cfRule>
  </conditionalFormatting>
  <conditionalFormatting sqref="C78">
    <cfRule type="cellIs" dxfId="8515" priority="5093" stopIfTrue="1" operator="equal">
      <formula>"Towel"</formula>
    </cfRule>
    <cfRule type="cellIs" dxfId="8514" priority="5094" stopIfTrue="1" operator="equal">
      <formula>"Napkin Hs"</formula>
    </cfRule>
  </conditionalFormatting>
  <conditionalFormatting sqref="C78">
    <cfRule type="cellIs" dxfId="8513" priority="5091" stopIfTrue="1" operator="equal">
      <formula>"Towel"</formula>
    </cfRule>
    <cfRule type="cellIs" dxfId="8512" priority="5092" stopIfTrue="1" operator="equal">
      <formula>"Napkin Hs"</formula>
    </cfRule>
  </conditionalFormatting>
  <conditionalFormatting sqref="B78:C78">
    <cfRule type="cellIs" dxfId="8511" priority="5089" stopIfTrue="1" operator="equal">
      <formula>"Towel"</formula>
    </cfRule>
    <cfRule type="cellIs" dxfId="8510" priority="5090" stopIfTrue="1" operator="equal">
      <formula>"Napkin Hs"</formula>
    </cfRule>
  </conditionalFormatting>
  <conditionalFormatting sqref="C78">
    <cfRule type="cellIs" dxfId="8509" priority="5087" stopIfTrue="1" operator="equal">
      <formula>"Towel"</formula>
    </cfRule>
    <cfRule type="cellIs" dxfId="8508" priority="5088" stopIfTrue="1" operator="equal">
      <formula>"Napkin Hs"</formula>
    </cfRule>
  </conditionalFormatting>
  <conditionalFormatting sqref="C78">
    <cfRule type="cellIs" dxfId="8507" priority="5085" stopIfTrue="1" operator="equal">
      <formula>"Towel"</formula>
    </cfRule>
    <cfRule type="cellIs" dxfId="8506" priority="5086" stopIfTrue="1" operator="equal">
      <formula>"Napkin Hs"</formula>
    </cfRule>
  </conditionalFormatting>
  <conditionalFormatting sqref="B78:C78">
    <cfRule type="cellIs" dxfId="8505" priority="5084" stopIfTrue="1" operator="equal">
      <formula>"Napkin Hs"</formula>
    </cfRule>
  </conditionalFormatting>
  <conditionalFormatting sqref="B78:C78">
    <cfRule type="cellIs" dxfId="8504" priority="5083" stopIfTrue="1" operator="equal">
      <formula>"Towel"</formula>
    </cfRule>
  </conditionalFormatting>
  <conditionalFormatting sqref="C78">
    <cfRule type="cellIs" dxfId="8503" priority="5082" stopIfTrue="1" operator="equal">
      <formula>"Napkin Hs"</formula>
    </cfRule>
  </conditionalFormatting>
  <conditionalFormatting sqref="C78">
    <cfRule type="cellIs" dxfId="8502" priority="5079" stopIfTrue="1" operator="equal">
      <formula>"Towel"</formula>
    </cfRule>
    <cfRule type="cellIs" dxfId="8501" priority="5080" stopIfTrue="1" operator="equal">
      <formula>"Napkin Hs"</formula>
    </cfRule>
  </conditionalFormatting>
  <conditionalFormatting sqref="C78">
    <cfRule type="cellIs" dxfId="8500" priority="5081" stopIfTrue="1" operator="equal">
      <formula>"Towel"</formula>
    </cfRule>
  </conditionalFormatting>
  <conditionalFormatting sqref="B77">
    <cfRule type="cellIs" dxfId="8499" priority="5078" stopIfTrue="1" operator="equal">
      <formula>"Napkin Hs"</formula>
    </cfRule>
  </conditionalFormatting>
  <conditionalFormatting sqref="B77">
    <cfRule type="cellIs" dxfId="8498" priority="5077" stopIfTrue="1" operator="equal">
      <formula>"Towel"</formula>
    </cfRule>
  </conditionalFormatting>
  <conditionalFormatting sqref="C77">
    <cfRule type="cellIs" dxfId="8497" priority="5076" stopIfTrue="1" operator="equal">
      <formula>"Napkin Hs"</formula>
    </cfRule>
  </conditionalFormatting>
  <conditionalFormatting sqref="C77">
    <cfRule type="cellIs" dxfId="8496" priority="5075" stopIfTrue="1" operator="equal">
      <formula>"Towel"</formula>
    </cfRule>
  </conditionalFormatting>
  <conditionalFormatting sqref="C77">
    <cfRule type="cellIs" dxfId="8495" priority="5074" stopIfTrue="1" operator="equal">
      <formula>"Napkin Hs"</formula>
    </cfRule>
  </conditionalFormatting>
  <conditionalFormatting sqref="C77">
    <cfRule type="cellIs" dxfId="8494" priority="5071" stopIfTrue="1" operator="equal">
      <formula>"Towel"</formula>
    </cfRule>
    <cfRule type="cellIs" dxfId="8493" priority="5072" stopIfTrue="1" operator="equal">
      <formula>"Napkin Hs"</formula>
    </cfRule>
  </conditionalFormatting>
  <conditionalFormatting sqref="C77">
    <cfRule type="cellIs" dxfId="8492" priority="5073" stopIfTrue="1" operator="equal">
      <formula>"Towel"</formula>
    </cfRule>
  </conditionalFormatting>
  <conditionalFormatting sqref="B76">
    <cfRule type="cellIs" dxfId="8491" priority="5062" stopIfTrue="1" operator="equal">
      <formula>"Napkin Hs"</formula>
    </cfRule>
  </conditionalFormatting>
  <conditionalFormatting sqref="B76">
    <cfRule type="cellIs" dxfId="8490" priority="5061" stopIfTrue="1" operator="equal">
      <formula>"Towel"</formula>
    </cfRule>
  </conditionalFormatting>
  <conditionalFormatting sqref="C76">
    <cfRule type="cellIs" dxfId="8489" priority="5060" stopIfTrue="1" operator="equal">
      <formula>"Napkin Hs"</formula>
    </cfRule>
  </conditionalFormatting>
  <conditionalFormatting sqref="C76">
    <cfRule type="cellIs" dxfId="8488" priority="5059" stopIfTrue="1" operator="equal">
      <formula>"Towel"</formula>
    </cfRule>
  </conditionalFormatting>
  <conditionalFormatting sqref="C76">
    <cfRule type="cellIs" dxfId="8487" priority="5058" stopIfTrue="1" operator="equal">
      <formula>"Napkin Hs"</formula>
    </cfRule>
  </conditionalFormatting>
  <conditionalFormatting sqref="C76">
    <cfRule type="cellIs" dxfId="8486" priority="5055" stopIfTrue="1" operator="equal">
      <formula>"Towel"</formula>
    </cfRule>
    <cfRule type="cellIs" dxfId="8485" priority="5056" stopIfTrue="1" operator="equal">
      <formula>"Napkin Hs"</formula>
    </cfRule>
  </conditionalFormatting>
  <conditionalFormatting sqref="C76">
    <cfRule type="cellIs" dxfId="8484" priority="5057" stopIfTrue="1" operator="equal">
      <formula>"Towel"</formula>
    </cfRule>
  </conditionalFormatting>
  <conditionalFormatting sqref="B75">
    <cfRule type="cellIs" dxfId="8483" priority="5054" stopIfTrue="1" operator="equal">
      <formula>"Napkin Hs"</formula>
    </cfRule>
  </conditionalFormatting>
  <conditionalFormatting sqref="B75">
    <cfRule type="cellIs" dxfId="8482" priority="5053" stopIfTrue="1" operator="equal">
      <formula>"Towel"</formula>
    </cfRule>
  </conditionalFormatting>
  <conditionalFormatting sqref="C75">
    <cfRule type="cellIs" dxfId="8481" priority="5052" stopIfTrue="1" operator="equal">
      <formula>"Napkin Hs"</formula>
    </cfRule>
  </conditionalFormatting>
  <conditionalFormatting sqref="C75">
    <cfRule type="cellIs" dxfId="8480" priority="5051" stopIfTrue="1" operator="equal">
      <formula>"Towel"</formula>
    </cfRule>
  </conditionalFormatting>
  <conditionalFormatting sqref="C75">
    <cfRule type="cellIs" dxfId="8479" priority="5050" stopIfTrue="1" operator="equal">
      <formula>"Napkin Hs"</formula>
    </cfRule>
  </conditionalFormatting>
  <conditionalFormatting sqref="C75">
    <cfRule type="cellIs" dxfId="8478" priority="5047" stopIfTrue="1" operator="equal">
      <formula>"Towel"</formula>
    </cfRule>
    <cfRule type="cellIs" dxfId="8477" priority="5048" stopIfTrue="1" operator="equal">
      <formula>"Napkin Hs"</formula>
    </cfRule>
  </conditionalFormatting>
  <conditionalFormatting sqref="C75">
    <cfRule type="cellIs" dxfId="8476" priority="5049" stopIfTrue="1" operator="equal">
      <formula>"Towel"</formula>
    </cfRule>
  </conditionalFormatting>
  <conditionalFormatting sqref="B82">
    <cfRule type="cellIs" dxfId="8475" priority="5046" stopIfTrue="1" operator="equal">
      <formula>"Napkin Hs"</formula>
    </cfRule>
  </conditionalFormatting>
  <conditionalFormatting sqref="B82">
    <cfRule type="cellIs" dxfId="8474" priority="5045" stopIfTrue="1" operator="equal">
      <formula>"Towel"</formula>
    </cfRule>
  </conditionalFormatting>
  <conditionalFormatting sqref="C82">
    <cfRule type="cellIs" dxfId="8473" priority="5044" stopIfTrue="1" operator="equal">
      <formula>"Napkin Hs"</formula>
    </cfRule>
  </conditionalFormatting>
  <conditionalFormatting sqref="C82">
    <cfRule type="cellIs" dxfId="8472" priority="5043" stopIfTrue="1" operator="equal">
      <formula>"Towel"</formula>
    </cfRule>
  </conditionalFormatting>
  <conditionalFormatting sqref="C82">
    <cfRule type="cellIs" dxfId="8471" priority="5042" stopIfTrue="1" operator="equal">
      <formula>"Napkin Hs"</formula>
    </cfRule>
  </conditionalFormatting>
  <conditionalFormatting sqref="C82">
    <cfRule type="cellIs" dxfId="8470" priority="5039" stopIfTrue="1" operator="equal">
      <formula>"Towel"</formula>
    </cfRule>
    <cfRule type="cellIs" dxfId="8469" priority="5040" stopIfTrue="1" operator="equal">
      <formula>"Napkin Hs"</formula>
    </cfRule>
  </conditionalFormatting>
  <conditionalFormatting sqref="C82">
    <cfRule type="cellIs" dxfId="8468" priority="5041" stopIfTrue="1" operator="equal">
      <formula>"Towel"</formula>
    </cfRule>
  </conditionalFormatting>
  <conditionalFormatting sqref="B80">
    <cfRule type="cellIs" dxfId="8467" priority="5022" stopIfTrue="1" operator="equal">
      <formula>"Napkin Hs"</formula>
    </cfRule>
  </conditionalFormatting>
  <conditionalFormatting sqref="B80">
    <cfRule type="cellIs" dxfId="8466" priority="5021" stopIfTrue="1" operator="equal">
      <formula>"Towel"</formula>
    </cfRule>
  </conditionalFormatting>
  <conditionalFormatting sqref="C80">
    <cfRule type="cellIs" dxfId="8465" priority="5020" stopIfTrue="1" operator="equal">
      <formula>"Napkin Hs"</formula>
    </cfRule>
  </conditionalFormatting>
  <conditionalFormatting sqref="C80">
    <cfRule type="cellIs" dxfId="8464" priority="5019" stopIfTrue="1" operator="equal">
      <formula>"Towel"</formula>
    </cfRule>
  </conditionalFormatting>
  <conditionalFormatting sqref="C80">
    <cfRule type="cellIs" dxfId="8463" priority="5018" stopIfTrue="1" operator="equal">
      <formula>"Napkin Hs"</formula>
    </cfRule>
  </conditionalFormatting>
  <conditionalFormatting sqref="C80">
    <cfRule type="cellIs" dxfId="8462" priority="5015" stopIfTrue="1" operator="equal">
      <formula>"Towel"</formula>
    </cfRule>
    <cfRule type="cellIs" dxfId="8461" priority="5016" stopIfTrue="1" operator="equal">
      <formula>"Napkin Hs"</formula>
    </cfRule>
  </conditionalFormatting>
  <conditionalFormatting sqref="C80">
    <cfRule type="cellIs" dxfId="8460" priority="5017" stopIfTrue="1" operator="equal">
      <formula>"Towel"</formula>
    </cfRule>
  </conditionalFormatting>
  <conditionalFormatting sqref="B84">
    <cfRule type="cellIs" dxfId="8459" priority="4992" stopIfTrue="1" operator="equal">
      <formula>"Napkin Hs"</formula>
    </cfRule>
  </conditionalFormatting>
  <conditionalFormatting sqref="B84">
    <cfRule type="cellIs" dxfId="8458" priority="4991" stopIfTrue="1" operator="equal">
      <formula>"Towel"</formula>
    </cfRule>
  </conditionalFormatting>
  <conditionalFormatting sqref="C84">
    <cfRule type="cellIs" dxfId="8457" priority="4990" stopIfTrue="1" operator="equal">
      <formula>"Napkin Hs"</formula>
    </cfRule>
  </conditionalFormatting>
  <conditionalFormatting sqref="C84">
    <cfRule type="cellIs" dxfId="8456" priority="4989" stopIfTrue="1" operator="equal">
      <formula>"Towel"</formula>
    </cfRule>
  </conditionalFormatting>
  <conditionalFormatting sqref="C84">
    <cfRule type="cellIs" dxfId="8455" priority="4988" stopIfTrue="1" operator="equal">
      <formula>"Napkin Hs"</formula>
    </cfRule>
  </conditionalFormatting>
  <conditionalFormatting sqref="C84">
    <cfRule type="cellIs" dxfId="8454" priority="4985" stopIfTrue="1" operator="equal">
      <formula>"Towel"</formula>
    </cfRule>
    <cfRule type="cellIs" dxfId="8453" priority="4986" stopIfTrue="1" operator="equal">
      <formula>"Napkin Hs"</formula>
    </cfRule>
  </conditionalFormatting>
  <conditionalFormatting sqref="C84">
    <cfRule type="cellIs" dxfId="8452" priority="4987" stopIfTrue="1" operator="equal">
      <formula>"Towel"</formula>
    </cfRule>
  </conditionalFormatting>
  <conditionalFormatting sqref="B85">
    <cfRule type="cellIs" dxfId="8451" priority="4984" stopIfTrue="1" operator="equal">
      <formula>"Napkin Hs"</formula>
    </cfRule>
  </conditionalFormatting>
  <conditionalFormatting sqref="B85">
    <cfRule type="cellIs" dxfId="8450" priority="4983" stopIfTrue="1" operator="equal">
      <formula>"Towel"</formula>
    </cfRule>
  </conditionalFormatting>
  <conditionalFormatting sqref="C85">
    <cfRule type="cellIs" dxfId="8449" priority="4982" stopIfTrue="1" operator="equal">
      <formula>"Napkin Hs"</formula>
    </cfRule>
  </conditionalFormatting>
  <conditionalFormatting sqref="C85">
    <cfRule type="cellIs" dxfId="8448" priority="4981" stopIfTrue="1" operator="equal">
      <formula>"Towel"</formula>
    </cfRule>
  </conditionalFormatting>
  <conditionalFormatting sqref="C85">
    <cfRule type="cellIs" dxfId="8447" priority="4980" stopIfTrue="1" operator="equal">
      <formula>"Napkin Hs"</formula>
    </cfRule>
  </conditionalFormatting>
  <conditionalFormatting sqref="C85">
    <cfRule type="cellIs" dxfId="8446" priority="4977" stopIfTrue="1" operator="equal">
      <formula>"Towel"</formula>
    </cfRule>
    <cfRule type="cellIs" dxfId="8445" priority="4978" stopIfTrue="1" operator="equal">
      <formula>"Napkin Hs"</formula>
    </cfRule>
  </conditionalFormatting>
  <conditionalFormatting sqref="C85">
    <cfRule type="cellIs" dxfId="8444" priority="4979" stopIfTrue="1" operator="equal">
      <formula>"Towel"</formula>
    </cfRule>
  </conditionalFormatting>
  <conditionalFormatting sqref="B81">
    <cfRule type="cellIs" dxfId="8443" priority="4976" stopIfTrue="1" operator="equal">
      <formula>"Napkin Hs"</formula>
    </cfRule>
  </conditionalFormatting>
  <conditionalFormatting sqref="B81">
    <cfRule type="cellIs" dxfId="8442" priority="4975" stopIfTrue="1" operator="equal">
      <formula>"Towel"</formula>
    </cfRule>
  </conditionalFormatting>
  <conditionalFormatting sqref="C81">
    <cfRule type="cellIs" dxfId="8441" priority="4974" stopIfTrue="1" operator="equal">
      <formula>"Napkin Hs"</formula>
    </cfRule>
  </conditionalFormatting>
  <conditionalFormatting sqref="C81">
    <cfRule type="cellIs" dxfId="8440" priority="4973" stopIfTrue="1" operator="equal">
      <formula>"Towel"</formula>
    </cfRule>
  </conditionalFormatting>
  <conditionalFormatting sqref="C81">
    <cfRule type="cellIs" dxfId="8439" priority="4972" stopIfTrue="1" operator="equal">
      <formula>"Napkin Hs"</formula>
    </cfRule>
  </conditionalFormatting>
  <conditionalFormatting sqref="C81">
    <cfRule type="cellIs" dxfId="8438" priority="4969" stopIfTrue="1" operator="equal">
      <formula>"Towel"</formula>
    </cfRule>
    <cfRule type="cellIs" dxfId="8437" priority="4970" stopIfTrue="1" operator="equal">
      <formula>"Napkin Hs"</formula>
    </cfRule>
  </conditionalFormatting>
  <conditionalFormatting sqref="C81">
    <cfRule type="cellIs" dxfId="8436" priority="4971" stopIfTrue="1" operator="equal">
      <formula>"Towel"</formula>
    </cfRule>
  </conditionalFormatting>
  <conditionalFormatting sqref="B87:C87">
    <cfRule type="cellIs" dxfId="8435" priority="4952" stopIfTrue="1" operator="equal">
      <formula>"Napkin Hs"</formula>
    </cfRule>
  </conditionalFormatting>
  <conditionalFormatting sqref="B87:C87">
    <cfRule type="cellIs" dxfId="8434" priority="4951" stopIfTrue="1" operator="equal">
      <formula>"Towel"</formula>
    </cfRule>
  </conditionalFormatting>
  <conditionalFormatting sqref="C87">
    <cfRule type="cellIs" dxfId="8433" priority="4950" stopIfTrue="1" operator="equal">
      <formula>"Napkin Hs"</formula>
    </cfRule>
  </conditionalFormatting>
  <conditionalFormatting sqref="C87">
    <cfRule type="cellIs" dxfId="8432" priority="4947" stopIfTrue="1" operator="equal">
      <formula>"Towel"</formula>
    </cfRule>
    <cfRule type="cellIs" dxfId="8431" priority="4948" stopIfTrue="1" operator="equal">
      <formula>"Napkin Hs"</formula>
    </cfRule>
  </conditionalFormatting>
  <conditionalFormatting sqref="C87">
    <cfRule type="cellIs" dxfId="8430" priority="4949" stopIfTrue="1" operator="equal">
      <formula>"Towel"</formula>
    </cfRule>
  </conditionalFormatting>
  <conditionalFormatting sqref="B86:C86">
    <cfRule type="cellIs" dxfId="8429" priority="4946" stopIfTrue="1" operator="equal">
      <formula>"Napkin Hs"</formula>
    </cfRule>
  </conditionalFormatting>
  <conditionalFormatting sqref="B86:C86">
    <cfRule type="cellIs" dxfId="8428" priority="4945" stopIfTrue="1" operator="equal">
      <formula>"Towel"</formula>
    </cfRule>
  </conditionalFormatting>
  <conditionalFormatting sqref="C86">
    <cfRule type="cellIs" dxfId="8427" priority="4944" stopIfTrue="1" operator="equal">
      <formula>"Napkin Hs"</formula>
    </cfRule>
  </conditionalFormatting>
  <conditionalFormatting sqref="C86">
    <cfRule type="cellIs" dxfId="8426" priority="4941" stopIfTrue="1" operator="equal">
      <formula>"Towel"</formula>
    </cfRule>
    <cfRule type="cellIs" dxfId="8425" priority="4942" stopIfTrue="1" operator="equal">
      <formula>"Napkin Hs"</formula>
    </cfRule>
  </conditionalFormatting>
  <conditionalFormatting sqref="C86">
    <cfRule type="cellIs" dxfId="8424" priority="4943" stopIfTrue="1" operator="equal">
      <formula>"Towel"</formula>
    </cfRule>
  </conditionalFormatting>
  <conditionalFormatting sqref="B89:C89">
    <cfRule type="cellIs" dxfId="8423" priority="4939" stopIfTrue="1" operator="equal">
      <formula>"Towel"</formula>
    </cfRule>
    <cfRule type="cellIs" dxfId="8422" priority="4940" stopIfTrue="1" operator="equal">
      <formula>"Napkin Hs"</formula>
    </cfRule>
  </conditionalFormatting>
  <conditionalFormatting sqref="C89">
    <cfRule type="cellIs" dxfId="8421" priority="4937" stopIfTrue="1" operator="equal">
      <formula>"Towel"</formula>
    </cfRule>
    <cfRule type="cellIs" dxfId="8420" priority="4938" stopIfTrue="1" operator="equal">
      <formula>"Napkin Hs"</formula>
    </cfRule>
  </conditionalFormatting>
  <conditionalFormatting sqref="C89">
    <cfRule type="cellIs" dxfId="8419" priority="4935" stopIfTrue="1" operator="equal">
      <formula>"Towel"</formula>
    </cfRule>
    <cfRule type="cellIs" dxfId="8418" priority="4936" stopIfTrue="1" operator="equal">
      <formula>"Napkin Hs"</formula>
    </cfRule>
  </conditionalFormatting>
  <conditionalFormatting sqref="B85">
    <cfRule type="cellIs" dxfId="8417" priority="4934" stopIfTrue="1" operator="equal">
      <formula>"Napkin Hs"</formula>
    </cfRule>
  </conditionalFormatting>
  <conditionalFormatting sqref="B85">
    <cfRule type="cellIs" dxfId="8416" priority="4933" stopIfTrue="1" operator="equal">
      <formula>"Towel"</formula>
    </cfRule>
  </conditionalFormatting>
  <conditionalFormatting sqref="C85">
    <cfRule type="cellIs" dxfId="8415" priority="4932" stopIfTrue="1" operator="equal">
      <formula>"Napkin Hs"</formula>
    </cfRule>
  </conditionalFormatting>
  <conditionalFormatting sqref="C85">
    <cfRule type="cellIs" dxfId="8414" priority="4931" stopIfTrue="1" operator="equal">
      <formula>"Towel"</formula>
    </cfRule>
  </conditionalFormatting>
  <conditionalFormatting sqref="C85">
    <cfRule type="cellIs" dxfId="8413" priority="4930" stopIfTrue="1" operator="equal">
      <formula>"Napkin Hs"</formula>
    </cfRule>
  </conditionalFormatting>
  <conditionalFormatting sqref="C85">
    <cfRule type="cellIs" dxfId="8412" priority="4927" stopIfTrue="1" operator="equal">
      <formula>"Towel"</formula>
    </cfRule>
    <cfRule type="cellIs" dxfId="8411" priority="4928" stopIfTrue="1" operator="equal">
      <formula>"Napkin Hs"</formula>
    </cfRule>
  </conditionalFormatting>
  <conditionalFormatting sqref="C85">
    <cfRule type="cellIs" dxfId="8410" priority="4929" stopIfTrue="1" operator="equal">
      <formula>"Towel"</formula>
    </cfRule>
  </conditionalFormatting>
  <conditionalFormatting sqref="B86">
    <cfRule type="cellIs" dxfId="8409" priority="4926" stopIfTrue="1" operator="equal">
      <formula>"Napkin Hs"</formula>
    </cfRule>
  </conditionalFormatting>
  <conditionalFormatting sqref="B86">
    <cfRule type="cellIs" dxfId="8408" priority="4925" stopIfTrue="1" operator="equal">
      <formula>"Towel"</formula>
    </cfRule>
  </conditionalFormatting>
  <conditionalFormatting sqref="C86">
    <cfRule type="cellIs" dxfId="8407" priority="4924" stopIfTrue="1" operator="equal">
      <formula>"Napkin Hs"</formula>
    </cfRule>
  </conditionalFormatting>
  <conditionalFormatting sqref="C86">
    <cfRule type="cellIs" dxfId="8406" priority="4923" stopIfTrue="1" operator="equal">
      <formula>"Towel"</formula>
    </cfRule>
  </conditionalFormatting>
  <conditionalFormatting sqref="C86">
    <cfRule type="cellIs" dxfId="8405" priority="4922" stopIfTrue="1" operator="equal">
      <formula>"Napkin Hs"</formula>
    </cfRule>
  </conditionalFormatting>
  <conditionalFormatting sqref="C86">
    <cfRule type="cellIs" dxfId="8404" priority="4919" stopIfTrue="1" operator="equal">
      <formula>"Towel"</formula>
    </cfRule>
    <cfRule type="cellIs" dxfId="8403" priority="4920" stopIfTrue="1" operator="equal">
      <formula>"Napkin Hs"</formula>
    </cfRule>
  </conditionalFormatting>
  <conditionalFormatting sqref="C86">
    <cfRule type="cellIs" dxfId="8402" priority="4921" stopIfTrue="1" operator="equal">
      <formula>"Towel"</formula>
    </cfRule>
  </conditionalFormatting>
  <conditionalFormatting sqref="B88:C88">
    <cfRule type="cellIs" dxfId="8401" priority="4918" stopIfTrue="1" operator="equal">
      <formula>"Napkin Hs"</formula>
    </cfRule>
  </conditionalFormatting>
  <conditionalFormatting sqref="B88:C88">
    <cfRule type="cellIs" dxfId="8400" priority="4917" stopIfTrue="1" operator="equal">
      <formula>"Towel"</formula>
    </cfRule>
  </conditionalFormatting>
  <conditionalFormatting sqref="C88">
    <cfRule type="cellIs" dxfId="8399" priority="4916" stopIfTrue="1" operator="equal">
      <formula>"Napkin Hs"</formula>
    </cfRule>
  </conditionalFormatting>
  <conditionalFormatting sqref="C88">
    <cfRule type="cellIs" dxfId="8398" priority="4913" stopIfTrue="1" operator="equal">
      <formula>"Towel"</formula>
    </cfRule>
    <cfRule type="cellIs" dxfId="8397" priority="4914" stopIfTrue="1" operator="equal">
      <formula>"Napkin Hs"</formula>
    </cfRule>
  </conditionalFormatting>
  <conditionalFormatting sqref="C88">
    <cfRule type="cellIs" dxfId="8396" priority="4915" stopIfTrue="1" operator="equal">
      <formula>"Towel"</formula>
    </cfRule>
  </conditionalFormatting>
  <conditionalFormatting sqref="B87:C87">
    <cfRule type="cellIs" dxfId="8395" priority="4912" stopIfTrue="1" operator="equal">
      <formula>"Napkin Hs"</formula>
    </cfRule>
  </conditionalFormatting>
  <conditionalFormatting sqref="B87:C87">
    <cfRule type="cellIs" dxfId="8394" priority="4911" stopIfTrue="1" operator="equal">
      <formula>"Towel"</formula>
    </cfRule>
  </conditionalFormatting>
  <conditionalFormatting sqref="C87">
    <cfRule type="cellIs" dxfId="8393" priority="4910" stopIfTrue="1" operator="equal">
      <formula>"Napkin Hs"</formula>
    </cfRule>
  </conditionalFormatting>
  <conditionalFormatting sqref="C87">
    <cfRule type="cellIs" dxfId="8392" priority="4907" stopIfTrue="1" operator="equal">
      <formula>"Towel"</formula>
    </cfRule>
    <cfRule type="cellIs" dxfId="8391" priority="4908" stopIfTrue="1" operator="equal">
      <formula>"Napkin Hs"</formula>
    </cfRule>
  </conditionalFormatting>
  <conditionalFormatting sqref="C87">
    <cfRule type="cellIs" dxfId="8390" priority="4909" stopIfTrue="1" operator="equal">
      <formula>"Towel"</formula>
    </cfRule>
  </conditionalFormatting>
  <conditionalFormatting sqref="B93:C93">
    <cfRule type="cellIs" dxfId="8389" priority="4905" stopIfTrue="1" operator="equal">
      <formula>"Towel"</formula>
    </cfRule>
    <cfRule type="cellIs" dxfId="8388" priority="4906" stopIfTrue="1" operator="equal">
      <formula>"Napkin Hs"</formula>
    </cfRule>
  </conditionalFormatting>
  <conditionalFormatting sqref="C93">
    <cfRule type="cellIs" dxfId="8387" priority="4903" stopIfTrue="1" operator="equal">
      <formula>"Towel"</formula>
    </cfRule>
    <cfRule type="cellIs" dxfId="8386" priority="4904" stopIfTrue="1" operator="equal">
      <formula>"Napkin Hs"</formula>
    </cfRule>
  </conditionalFormatting>
  <conditionalFormatting sqref="C93">
    <cfRule type="cellIs" dxfId="8385" priority="4901" stopIfTrue="1" operator="equal">
      <formula>"Towel"</formula>
    </cfRule>
    <cfRule type="cellIs" dxfId="8384" priority="4902" stopIfTrue="1" operator="equal">
      <formula>"Napkin Hs"</formula>
    </cfRule>
  </conditionalFormatting>
  <conditionalFormatting sqref="B92:C92">
    <cfRule type="cellIs" dxfId="8383" priority="4892" stopIfTrue="1" operator="equal">
      <formula>"Napkin Hs"</formula>
    </cfRule>
  </conditionalFormatting>
  <conditionalFormatting sqref="B92:C92">
    <cfRule type="cellIs" dxfId="8382" priority="4891" stopIfTrue="1" operator="equal">
      <formula>"Towel"</formula>
    </cfRule>
  </conditionalFormatting>
  <conditionalFormatting sqref="C92">
    <cfRule type="cellIs" dxfId="8381" priority="4890" stopIfTrue="1" operator="equal">
      <formula>"Napkin Hs"</formula>
    </cfRule>
  </conditionalFormatting>
  <conditionalFormatting sqref="C92">
    <cfRule type="cellIs" dxfId="8380" priority="4887" stopIfTrue="1" operator="equal">
      <formula>"Towel"</formula>
    </cfRule>
    <cfRule type="cellIs" dxfId="8379" priority="4888" stopIfTrue="1" operator="equal">
      <formula>"Napkin Hs"</formula>
    </cfRule>
  </conditionalFormatting>
  <conditionalFormatting sqref="C92">
    <cfRule type="cellIs" dxfId="8378" priority="4889" stopIfTrue="1" operator="equal">
      <formula>"Towel"</formula>
    </cfRule>
  </conditionalFormatting>
  <conditionalFormatting sqref="B91:C91">
    <cfRule type="cellIs" dxfId="8377" priority="4886" stopIfTrue="1" operator="equal">
      <formula>"Napkin Hs"</formula>
    </cfRule>
  </conditionalFormatting>
  <conditionalFormatting sqref="B91:C91">
    <cfRule type="cellIs" dxfId="8376" priority="4885" stopIfTrue="1" operator="equal">
      <formula>"Towel"</formula>
    </cfRule>
  </conditionalFormatting>
  <conditionalFormatting sqref="C91">
    <cfRule type="cellIs" dxfId="8375" priority="4884" stopIfTrue="1" operator="equal">
      <formula>"Napkin Hs"</formula>
    </cfRule>
  </conditionalFormatting>
  <conditionalFormatting sqref="C91">
    <cfRule type="cellIs" dxfId="8374" priority="4881" stopIfTrue="1" operator="equal">
      <formula>"Towel"</formula>
    </cfRule>
    <cfRule type="cellIs" dxfId="8373" priority="4882" stopIfTrue="1" operator="equal">
      <formula>"Napkin Hs"</formula>
    </cfRule>
  </conditionalFormatting>
  <conditionalFormatting sqref="C91">
    <cfRule type="cellIs" dxfId="8372" priority="4883" stopIfTrue="1" operator="equal">
      <formula>"Towel"</formula>
    </cfRule>
  </conditionalFormatting>
  <conditionalFormatting sqref="B91">
    <cfRule type="cellIs" dxfId="8371" priority="4872" stopIfTrue="1" operator="equal">
      <formula>"Napkin Hs"</formula>
    </cfRule>
  </conditionalFormatting>
  <conditionalFormatting sqref="B91">
    <cfRule type="cellIs" dxfId="8370" priority="4871" stopIfTrue="1" operator="equal">
      <formula>"Towel"</formula>
    </cfRule>
  </conditionalFormatting>
  <conditionalFormatting sqref="C91">
    <cfRule type="cellIs" dxfId="8369" priority="4870" stopIfTrue="1" operator="equal">
      <formula>"Napkin Hs"</formula>
    </cfRule>
  </conditionalFormatting>
  <conditionalFormatting sqref="C91">
    <cfRule type="cellIs" dxfId="8368" priority="4869" stopIfTrue="1" operator="equal">
      <formula>"Towel"</formula>
    </cfRule>
  </conditionalFormatting>
  <conditionalFormatting sqref="C91">
    <cfRule type="cellIs" dxfId="8367" priority="4868" stopIfTrue="1" operator="equal">
      <formula>"Napkin Hs"</formula>
    </cfRule>
  </conditionalFormatting>
  <conditionalFormatting sqref="C91">
    <cfRule type="cellIs" dxfId="8366" priority="4865" stopIfTrue="1" operator="equal">
      <formula>"Towel"</formula>
    </cfRule>
    <cfRule type="cellIs" dxfId="8365" priority="4866" stopIfTrue="1" operator="equal">
      <formula>"Napkin Hs"</formula>
    </cfRule>
  </conditionalFormatting>
  <conditionalFormatting sqref="C91">
    <cfRule type="cellIs" dxfId="8364" priority="4867" stopIfTrue="1" operator="equal">
      <formula>"Towel"</formula>
    </cfRule>
  </conditionalFormatting>
  <conditionalFormatting sqref="B93:C93">
    <cfRule type="cellIs" dxfId="8363" priority="4864" stopIfTrue="1" operator="equal">
      <formula>"Napkin Hs"</formula>
    </cfRule>
  </conditionalFormatting>
  <conditionalFormatting sqref="B93:C93">
    <cfRule type="cellIs" dxfId="8362" priority="4863" stopIfTrue="1" operator="equal">
      <formula>"Towel"</formula>
    </cfRule>
  </conditionalFormatting>
  <conditionalFormatting sqref="C93">
    <cfRule type="cellIs" dxfId="8361" priority="4862" stopIfTrue="1" operator="equal">
      <formula>"Napkin Hs"</formula>
    </cfRule>
  </conditionalFormatting>
  <conditionalFormatting sqref="C93">
    <cfRule type="cellIs" dxfId="8360" priority="4859" stopIfTrue="1" operator="equal">
      <formula>"Towel"</formula>
    </cfRule>
    <cfRule type="cellIs" dxfId="8359" priority="4860" stopIfTrue="1" operator="equal">
      <formula>"Napkin Hs"</formula>
    </cfRule>
  </conditionalFormatting>
  <conditionalFormatting sqref="C93">
    <cfRule type="cellIs" dxfId="8358" priority="4861" stopIfTrue="1" operator="equal">
      <formula>"Towel"</formula>
    </cfRule>
  </conditionalFormatting>
  <conditionalFormatting sqref="B92:C92">
    <cfRule type="cellIs" dxfId="8357" priority="4858" stopIfTrue="1" operator="equal">
      <formula>"Napkin Hs"</formula>
    </cfRule>
  </conditionalFormatting>
  <conditionalFormatting sqref="B92:C92">
    <cfRule type="cellIs" dxfId="8356" priority="4857" stopIfTrue="1" operator="equal">
      <formula>"Towel"</formula>
    </cfRule>
  </conditionalFormatting>
  <conditionalFormatting sqref="C92">
    <cfRule type="cellIs" dxfId="8355" priority="4856" stopIfTrue="1" operator="equal">
      <formula>"Napkin Hs"</formula>
    </cfRule>
  </conditionalFormatting>
  <conditionalFormatting sqref="C92">
    <cfRule type="cellIs" dxfId="8354" priority="4853" stopIfTrue="1" operator="equal">
      <formula>"Towel"</formula>
    </cfRule>
    <cfRule type="cellIs" dxfId="8353" priority="4854" stopIfTrue="1" operator="equal">
      <formula>"Napkin Hs"</formula>
    </cfRule>
  </conditionalFormatting>
  <conditionalFormatting sqref="C92">
    <cfRule type="cellIs" dxfId="8352" priority="4855" stopIfTrue="1" operator="equal">
      <formula>"Towel"</formula>
    </cfRule>
  </conditionalFormatting>
  <conditionalFormatting sqref="B90:C90">
    <cfRule type="cellIs" dxfId="8351" priority="4852" stopIfTrue="1" operator="equal">
      <formula>"Napkin Hs"</formula>
    </cfRule>
  </conditionalFormatting>
  <conditionalFormatting sqref="B90:C90">
    <cfRule type="cellIs" dxfId="8350" priority="4851" stopIfTrue="1" operator="equal">
      <formula>"Towel"</formula>
    </cfRule>
  </conditionalFormatting>
  <conditionalFormatting sqref="C90">
    <cfRule type="cellIs" dxfId="8349" priority="4850" stopIfTrue="1" operator="equal">
      <formula>"Napkin Hs"</formula>
    </cfRule>
  </conditionalFormatting>
  <conditionalFormatting sqref="C90">
    <cfRule type="cellIs" dxfId="8348" priority="4847" stopIfTrue="1" operator="equal">
      <formula>"Towel"</formula>
    </cfRule>
    <cfRule type="cellIs" dxfId="8347" priority="4848" stopIfTrue="1" operator="equal">
      <formula>"Napkin Hs"</formula>
    </cfRule>
  </conditionalFormatting>
  <conditionalFormatting sqref="C90">
    <cfRule type="cellIs" dxfId="8346" priority="4849" stopIfTrue="1" operator="equal">
      <formula>"Towel"</formula>
    </cfRule>
  </conditionalFormatting>
  <conditionalFormatting sqref="B90:C90">
    <cfRule type="cellIs" dxfId="8345" priority="4846" stopIfTrue="1" operator="equal">
      <formula>"Napkin Hs"</formula>
    </cfRule>
  </conditionalFormatting>
  <conditionalFormatting sqref="B90:C90">
    <cfRule type="cellIs" dxfId="8344" priority="4845" stopIfTrue="1" operator="equal">
      <formula>"Towel"</formula>
    </cfRule>
  </conditionalFormatting>
  <conditionalFormatting sqref="C90">
    <cfRule type="cellIs" dxfId="8343" priority="4844" stopIfTrue="1" operator="equal">
      <formula>"Napkin Hs"</formula>
    </cfRule>
  </conditionalFormatting>
  <conditionalFormatting sqref="C90">
    <cfRule type="cellIs" dxfId="8342" priority="4841" stopIfTrue="1" operator="equal">
      <formula>"Towel"</formula>
    </cfRule>
    <cfRule type="cellIs" dxfId="8341" priority="4842" stopIfTrue="1" operator="equal">
      <formula>"Napkin Hs"</formula>
    </cfRule>
  </conditionalFormatting>
  <conditionalFormatting sqref="C90">
    <cfRule type="cellIs" dxfId="8340" priority="4843" stopIfTrue="1" operator="equal">
      <formula>"Towel"</formula>
    </cfRule>
  </conditionalFormatting>
  <conditionalFormatting sqref="B97:C97">
    <cfRule type="cellIs" dxfId="8339" priority="4789" stopIfTrue="1" operator="equal">
      <formula>"Towel"</formula>
    </cfRule>
    <cfRule type="cellIs" dxfId="8338" priority="4790" stopIfTrue="1" operator="equal">
      <formula>"Napkin Hs"</formula>
    </cfRule>
  </conditionalFormatting>
  <conditionalFormatting sqref="C97">
    <cfRule type="cellIs" dxfId="8337" priority="4787" stopIfTrue="1" operator="equal">
      <formula>"Towel"</formula>
    </cfRule>
    <cfRule type="cellIs" dxfId="8336" priority="4788" stopIfTrue="1" operator="equal">
      <formula>"Napkin Hs"</formula>
    </cfRule>
  </conditionalFormatting>
  <conditionalFormatting sqref="C97">
    <cfRule type="cellIs" dxfId="8335" priority="4785" stopIfTrue="1" operator="equal">
      <formula>"Towel"</formula>
    </cfRule>
    <cfRule type="cellIs" dxfId="8334" priority="4786" stopIfTrue="1" operator="equal">
      <formula>"Napkin Hs"</formula>
    </cfRule>
  </conditionalFormatting>
  <conditionalFormatting sqref="B96:C96">
    <cfRule type="cellIs" dxfId="8333" priority="4784" stopIfTrue="1" operator="equal">
      <formula>"Napkin Hs"</formula>
    </cfRule>
  </conditionalFormatting>
  <conditionalFormatting sqref="B96:C96">
    <cfRule type="cellIs" dxfId="8332" priority="4783" stopIfTrue="1" operator="equal">
      <formula>"Towel"</formula>
    </cfRule>
  </conditionalFormatting>
  <conditionalFormatting sqref="C96">
    <cfRule type="cellIs" dxfId="8331" priority="4782" stopIfTrue="1" operator="equal">
      <formula>"Napkin Hs"</formula>
    </cfRule>
  </conditionalFormatting>
  <conditionalFormatting sqref="C96">
    <cfRule type="cellIs" dxfId="8330" priority="4779" stopIfTrue="1" operator="equal">
      <formula>"Towel"</formula>
    </cfRule>
    <cfRule type="cellIs" dxfId="8329" priority="4780" stopIfTrue="1" operator="equal">
      <formula>"Napkin Hs"</formula>
    </cfRule>
  </conditionalFormatting>
  <conditionalFormatting sqref="C96">
    <cfRule type="cellIs" dxfId="8328" priority="4781" stopIfTrue="1" operator="equal">
      <formula>"Towel"</formula>
    </cfRule>
  </conditionalFormatting>
  <conditionalFormatting sqref="B95:C95">
    <cfRule type="cellIs" dxfId="8327" priority="4778" stopIfTrue="1" operator="equal">
      <formula>"Napkin Hs"</formula>
    </cfRule>
  </conditionalFormatting>
  <conditionalFormatting sqref="B95:C95">
    <cfRule type="cellIs" dxfId="8326" priority="4777" stopIfTrue="1" operator="equal">
      <formula>"Towel"</formula>
    </cfRule>
  </conditionalFormatting>
  <conditionalFormatting sqref="C95">
    <cfRule type="cellIs" dxfId="8325" priority="4776" stopIfTrue="1" operator="equal">
      <formula>"Napkin Hs"</formula>
    </cfRule>
  </conditionalFormatting>
  <conditionalFormatting sqref="C95">
    <cfRule type="cellIs" dxfId="8324" priority="4773" stopIfTrue="1" operator="equal">
      <formula>"Towel"</formula>
    </cfRule>
    <cfRule type="cellIs" dxfId="8323" priority="4774" stopIfTrue="1" operator="equal">
      <formula>"Napkin Hs"</formula>
    </cfRule>
  </conditionalFormatting>
  <conditionalFormatting sqref="C95">
    <cfRule type="cellIs" dxfId="8322" priority="4775" stopIfTrue="1" operator="equal">
      <formula>"Towel"</formula>
    </cfRule>
  </conditionalFormatting>
  <conditionalFormatting sqref="B95">
    <cfRule type="cellIs" dxfId="8321" priority="4772" stopIfTrue="1" operator="equal">
      <formula>"Napkin Hs"</formula>
    </cfRule>
  </conditionalFormatting>
  <conditionalFormatting sqref="B95">
    <cfRule type="cellIs" dxfId="8320" priority="4771" stopIfTrue="1" operator="equal">
      <formula>"Towel"</formula>
    </cfRule>
  </conditionalFormatting>
  <conditionalFormatting sqref="C95">
    <cfRule type="cellIs" dxfId="8319" priority="4770" stopIfTrue="1" operator="equal">
      <formula>"Napkin Hs"</formula>
    </cfRule>
  </conditionalFormatting>
  <conditionalFormatting sqref="C95">
    <cfRule type="cellIs" dxfId="8318" priority="4769" stopIfTrue="1" operator="equal">
      <formula>"Towel"</formula>
    </cfRule>
  </conditionalFormatting>
  <conditionalFormatting sqref="C95">
    <cfRule type="cellIs" dxfId="8317" priority="4768" stopIfTrue="1" operator="equal">
      <formula>"Napkin Hs"</formula>
    </cfRule>
  </conditionalFormatting>
  <conditionalFormatting sqref="C95">
    <cfRule type="cellIs" dxfId="8316" priority="4765" stopIfTrue="1" operator="equal">
      <formula>"Towel"</formula>
    </cfRule>
    <cfRule type="cellIs" dxfId="8315" priority="4766" stopIfTrue="1" operator="equal">
      <formula>"Napkin Hs"</formula>
    </cfRule>
  </conditionalFormatting>
  <conditionalFormatting sqref="C95">
    <cfRule type="cellIs" dxfId="8314" priority="4767" stopIfTrue="1" operator="equal">
      <formula>"Towel"</formula>
    </cfRule>
  </conditionalFormatting>
  <conditionalFormatting sqref="B97:C97">
    <cfRule type="cellIs" dxfId="8313" priority="4764" stopIfTrue="1" operator="equal">
      <formula>"Napkin Hs"</formula>
    </cfRule>
  </conditionalFormatting>
  <conditionalFormatting sqref="B97:C97">
    <cfRule type="cellIs" dxfId="8312" priority="4763" stopIfTrue="1" operator="equal">
      <formula>"Towel"</formula>
    </cfRule>
  </conditionalFormatting>
  <conditionalFormatting sqref="C97">
    <cfRule type="cellIs" dxfId="8311" priority="4762" stopIfTrue="1" operator="equal">
      <formula>"Napkin Hs"</formula>
    </cfRule>
  </conditionalFormatting>
  <conditionalFormatting sqref="C97">
    <cfRule type="cellIs" dxfId="8310" priority="4759" stopIfTrue="1" operator="equal">
      <formula>"Towel"</formula>
    </cfRule>
    <cfRule type="cellIs" dxfId="8309" priority="4760" stopIfTrue="1" operator="equal">
      <formula>"Napkin Hs"</formula>
    </cfRule>
  </conditionalFormatting>
  <conditionalFormatting sqref="C97">
    <cfRule type="cellIs" dxfId="8308" priority="4761" stopIfTrue="1" operator="equal">
      <formula>"Towel"</formula>
    </cfRule>
  </conditionalFormatting>
  <conditionalFormatting sqref="B96:C96">
    <cfRule type="cellIs" dxfId="8307" priority="4758" stopIfTrue="1" operator="equal">
      <formula>"Napkin Hs"</formula>
    </cfRule>
  </conditionalFormatting>
  <conditionalFormatting sqref="B96:C96">
    <cfRule type="cellIs" dxfId="8306" priority="4757" stopIfTrue="1" operator="equal">
      <formula>"Towel"</formula>
    </cfRule>
  </conditionalFormatting>
  <conditionalFormatting sqref="C96">
    <cfRule type="cellIs" dxfId="8305" priority="4756" stopIfTrue="1" operator="equal">
      <formula>"Napkin Hs"</formula>
    </cfRule>
  </conditionalFormatting>
  <conditionalFormatting sqref="C96">
    <cfRule type="cellIs" dxfId="8304" priority="4753" stopIfTrue="1" operator="equal">
      <formula>"Towel"</formula>
    </cfRule>
    <cfRule type="cellIs" dxfId="8303" priority="4754" stopIfTrue="1" operator="equal">
      <formula>"Napkin Hs"</formula>
    </cfRule>
  </conditionalFormatting>
  <conditionalFormatting sqref="C96">
    <cfRule type="cellIs" dxfId="8302" priority="4755" stopIfTrue="1" operator="equal">
      <formula>"Towel"</formula>
    </cfRule>
  </conditionalFormatting>
  <conditionalFormatting sqref="B94:C94">
    <cfRule type="cellIs" dxfId="8301" priority="4752" stopIfTrue="1" operator="equal">
      <formula>"Napkin Hs"</formula>
    </cfRule>
  </conditionalFormatting>
  <conditionalFormatting sqref="B94:C94">
    <cfRule type="cellIs" dxfId="8300" priority="4751" stopIfTrue="1" operator="equal">
      <formula>"Towel"</formula>
    </cfRule>
  </conditionalFormatting>
  <conditionalFormatting sqref="C94">
    <cfRule type="cellIs" dxfId="8299" priority="4750" stopIfTrue="1" operator="equal">
      <formula>"Napkin Hs"</formula>
    </cfRule>
  </conditionalFormatting>
  <conditionalFormatting sqref="C94">
    <cfRule type="cellIs" dxfId="8298" priority="4747" stopIfTrue="1" operator="equal">
      <formula>"Towel"</formula>
    </cfRule>
    <cfRule type="cellIs" dxfId="8297" priority="4748" stopIfTrue="1" operator="equal">
      <formula>"Napkin Hs"</formula>
    </cfRule>
  </conditionalFormatting>
  <conditionalFormatting sqref="C94">
    <cfRule type="cellIs" dxfId="8296" priority="4749" stopIfTrue="1" operator="equal">
      <formula>"Towel"</formula>
    </cfRule>
  </conditionalFormatting>
  <conditionalFormatting sqref="B94:C94">
    <cfRule type="cellIs" dxfId="8295" priority="4746" stopIfTrue="1" operator="equal">
      <formula>"Napkin Hs"</formula>
    </cfRule>
  </conditionalFormatting>
  <conditionalFormatting sqref="B94:C94">
    <cfRule type="cellIs" dxfId="8294" priority="4745" stopIfTrue="1" operator="equal">
      <formula>"Towel"</formula>
    </cfRule>
  </conditionalFormatting>
  <conditionalFormatting sqref="C94">
    <cfRule type="cellIs" dxfId="8293" priority="4744" stopIfTrue="1" operator="equal">
      <formula>"Napkin Hs"</formula>
    </cfRule>
  </conditionalFormatting>
  <conditionalFormatting sqref="C94">
    <cfRule type="cellIs" dxfId="8292" priority="4741" stopIfTrue="1" operator="equal">
      <formula>"Towel"</formula>
    </cfRule>
    <cfRule type="cellIs" dxfId="8291" priority="4742" stopIfTrue="1" operator="equal">
      <formula>"Napkin Hs"</formula>
    </cfRule>
  </conditionalFormatting>
  <conditionalFormatting sqref="C94">
    <cfRule type="cellIs" dxfId="8290" priority="4743" stopIfTrue="1" operator="equal">
      <formula>"Towel"</formula>
    </cfRule>
  </conditionalFormatting>
  <conditionalFormatting sqref="B101:C101">
    <cfRule type="cellIs" dxfId="8289" priority="4685" stopIfTrue="1" operator="equal">
      <formula>"Towel"</formula>
    </cfRule>
    <cfRule type="cellIs" dxfId="8288" priority="4686" stopIfTrue="1" operator="equal">
      <formula>"Napkin Hs"</formula>
    </cfRule>
  </conditionalFormatting>
  <conditionalFormatting sqref="C101">
    <cfRule type="cellIs" dxfId="8287" priority="4683" stopIfTrue="1" operator="equal">
      <formula>"Towel"</formula>
    </cfRule>
    <cfRule type="cellIs" dxfId="8286" priority="4684" stopIfTrue="1" operator="equal">
      <formula>"Napkin Hs"</formula>
    </cfRule>
  </conditionalFormatting>
  <conditionalFormatting sqref="C101">
    <cfRule type="cellIs" dxfId="8285" priority="4681" stopIfTrue="1" operator="equal">
      <formula>"Towel"</formula>
    </cfRule>
    <cfRule type="cellIs" dxfId="8284" priority="4682" stopIfTrue="1" operator="equal">
      <formula>"Napkin Hs"</formula>
    </cfRule>
  </conditionalFormatting>
  <conditionalFormatting sqref="B100:C100">
    <cfRule type="cellIs" dxfId="8283" priority="4680" stopIfTrue="1" operator="equal">
      <formula>"Napkin Hs"</formula>
    </cfRule>
  </conditionalFormatting>
  <conditionalFormatting sqref="B100:C100">
    <cfRule type="cellIs" dxfId="8282" priority="4679" stopIfTrue="1" operator="equal">
      <formula>"Towel"</formula>
    </cfRule>
  </conditionalFormatting>
  <conditionalFormatting sqref="C100">
    <cfRule type="cellIs" dxfId="8281" priority="4678" stopIfTrue="1" operator="equal">
      <formula>"Napkin Hs"</formula>
    </cfRule>
  </conditionalFormatting>
  <conditionalFormatting sqref="C100">
    <cfRule type="cellIs" dxfId="8280" priority="4675" stopIfTrue="1" operator="equal">
      <formula>"Towel"</formula>
    </cfRule>
    <cfRule type="cellIs" dxfId="8279" priority="4676" stopIfTrue="1" operator="equal">
      <formula>"Napkin Hs"</formula>
    </cfRule>
  </conditionalFormatting>
  <conditionalFormatting sqref="C100">
    <cfRule type="cellIs" dxfId="8278" priority="4677" stopIfTrue="1" operator="equal">
      <formula>"Towel"</formula>
    </cfRule>
  </conditionalFormatting>
  <conditionalFormatting sqref="B99:C99">
    <cfRule type="cellIs" dxfId="8277" priority="4674" stopIfTrue="1" operator="equal">
      <formula>"Napkin Hs"</formula>
    </cfRule>
  </conditionalFormatting>
  <conditionalFormatting sqref="B99:C99">
    <cfRule type="cellIs" dxfId="8276" priority="4673" stopIfTrue="1" operator="equal">
      <formula>"Towel"</formula>
    </cfRule>
  </conditionalFormatting>
  <conditionalFormatting sqref="C99">
    <cfRule type="cellIs" dxfId="8275" priority="4672" stopIfTrue="1" operator="equal">
      <formula>"Napkin Hs"</formula>
    </cfRule>
  </conditionalFormatting>
  <conditionalFormatting sqref="C99">
    <cfRule type="cellIs" dxfId="8274" priority="4669" stopIfTrue="1" operator="equal">
      <formula>"Towel"</formula>
    </cfRule>
    <cfRule type="cellIs" dxfId="8273" priority="4670" stopIfTrue="1" operator="equal">
      <formula>"Napkin Hs"</formula>
    </cfRule>
  </conditionalFormatting>
  <conditionalFormatting sqref="C99">
    <cfRule type="cellIs" dxfId="8272" priority="4671" stopIfTrue="1" operator="equal">
      <formula>"Towel"</formula>
    </cfRule>
  </conditionalFormatting>
  <conditionalFormatting sqref="B99">
    <cfRule type="cellIs" dxfId="8271" priority="4668" stopIfTrue="1" operator="equal">
      <formula>"Napkin Hs"</formula>
    </cfRule>
  </conditionalFormatting>
  <conditionalFormatting sqref="B99">
    <cfRule type="cellIs" dxfId="8270" priority="4667" stopIfTrue="1" operator="equal">
      <formula>"Towel"</formula>
    </cfRule>
  </conditionalFormatting>
  <conditionalFormatting sqref="C99">
    <cfRule type="cellIs" dxfId="8269" priority="4666" stopIfTrue="1" operator="equal">
      <formula>"Napkin Hs"</formula>
    </cfRule>
  </conditionalFormatting>
  <conditionalFormatting sqref="C99">
    <cfRule type="cellIs" dxfId="8268" priority="4665" stopIfTrue="1" operator="equal">
      <formula>"Towel"</formula>
    </cfRule>
  </conditionalFormatting>
  <conditionalFormatting sqref="C99">
    <cfRule type="cellIs" dxfId="8267" priority="4664" stopIfTrue="1" operator="equal">
      <formula>"Napkin Hs"</formula>
    </cfRule>
  </conditionalFormatting>
  <conditionalFormatting sqref="C99">
    <cfRule type="cellIs" dxfId="8266" priority="4661" stopIfTrue="1" operator="equal">
      <formula>"Towel"</formula>
    </cfRule>
    <cfRule type="cellIs" dxfId="8265" priority="4662" stopIfTrue="1" operator="equal">
      <formula>"Napkin Hs"</formula>
    </cfRule>
  </conditionalFormatting>
  <conditionalFormatting sqref="C99">
    <cfRule type="cellIs" dxfId="8264" priority="4663" stopIfTrue="1" operator="equal">
      <formula>"Towel"</formula>
    </cfRule>
  </conditionalFormatting>
  <conditionalFormatting sqref="B101:C101">
    <cfRule type="cellIs" dxfId="8263" priority="4660" stopIfTrue="1" operator="equal">
      <formula>"Napkin Hs"</formula>
    </cfRule>
  </conditionalFormatting>
  <conditionalFormatting sqref="B101:C101">
    <cfRule type="cellIs" dxfId="8262" priority="4659" stopIfTrue="1" operator="equal">
      <formula>"Towel"</formula>
    </cfRule>
  </conditionalFormatting>
  <conditionalFormatting sqref="C101">
    <cfRule type="cellIs" dxfId="8261" priority="4658" stopIfTrue="1" operator="equal">
      <formula>"Napkin Hs"</formula>
    </cfRule>
  </conditionalFormatting>
  <conditionalFormatting sqref="C101">
    <cfRule type="cellIs" dxfId="8260" priority="4655" stopIfTrue="1" operator="equal">
      <formula>"Towel"</formula>
    </cfRule>
    <cfRule type="cellIs" dxfId="8259" priority="4656" stopIfTrue="1" operator="equal">
      <formula>"Napkin Hs"</formula>
    </cfRule>
  </conditionalFormatting>
  <conditionalFormatting sqref="C101">
    <cfRule type="cellIs" dxfId="8258" priority="4657" stopIfTrue="1" operator="equal">
      <formula>"Towel"</formula>
    </cfRule>
  </conditionalFormatting>
  <conditionalFormatting sqref="B100:C100">
    <cfRule type="cellIs" dxfId="8257" priority="4654" stopIfTrue="1" operator="equal">
      <formula>"Napkin Hs"</formula>
    </cfRule>
  </conditionalFormatting>
  <conditionalFormatting sqref="B100:C100">
    <cfRule type="cellIs" dxfId="8256" priority="4653" stopIfTrue="1" operator="equal">
      <formula>"Towel"</formula>
    </cfRule>
  </conditionalFormatting>
  <conditionalFormatting sqref="C100">
    <cfRule type="cellIs" dxfId="8255" priority="4652" stopIfTrue="1" operator="equal">
      <formula>"Napkin Hs"</formula>
    </cfRule>
  </conditionalFormatting>
  <conditionalFormatting sqref="C100">
    <cfRule type="cellIs" dxfId="8254" priority="4649" stopIfTrue="1" operator="equal">
      <formula>"Towel"</formula>
    </cfRule>
    <cfRule type="cellIs" dxfId="8253" priority="4650" stopIfTrue="1" operator="equal">
      <formula>"Napkin Hs"</formula>
    </cfRule>
  </conditionalFormatting>
  <conditionalFormatting sqref="C100">
    <cfRule type="cellIs" dxfId="8252" priority="4651" stopIfTrue="1" operator="equal">
      <formula>"Towel"</formula>
    </cfRule>
  </conditionalFormatting>
  <conditionalFormatting sqref="B98:C98">
    <cfRule type="cellIs" dxfId="8251" priority="4648" stopIfTrue="1" operator="equal">
      <formula>"Napkin Hs"</formula>
    </cfRule>
  </conditionalFormatting>
  <conditionalFormatting sqref="B98:C98">
    <cfRule type="cellIs" dxfId="8250" priority="4647" stopIfTrue="1" operator="equal">
      <formula>"Towel"</formula>
    </cfRule>
  </conditionalFormatting>
  <conditionalFormatting sqref="C98">
    <cfRule type="cellIs" dxfId="8249" priority="4646" stopIfTrue="1" operator="equal">
      <formula>"Napkin Hs"</formula>
    </cfRule>
  </conditionalFormatting>
  <conditionalFormatting sqref="C98">
    <cfRule type="cellIs" dxfId="8248" priority="4643" stopIfTrue="1" operator="equal">
      <formula>"Towel"</formula>
    </cfRule>
    <cfRule type="cellIs" dxfId="8247" priority="4644" stopIfTrue="1" operator="equal">
      <formula>"Napkin Hs"</formula>
    </cfRule>
  </conditionalFormatting>
  <conditionalFormatting sqref="C98">
    <cfRule type="cellIs" dxfId="8246" priority="4645" stopIfTrue="1" operator="equal">
      <formula>"Towel"</formula>
    </cfRule>
  </conditionalFormatting>
  <conditionalFormatting sqref="B98:C98">
    <cfRule type="cellIs" dxfId="8245" priority="4642" stopIfTrue="1" operator="equal">
      <formula>"Napkin Hs"</formula>
    </cfRule>
  </conditionalFormatting>
  <conditionalFormatting sqref="B98:C98">
    <cfRule type="cellIs" dxfId="8244" priority="4641" stopIfTrue="1" operator="equal">
      <formula>"Towel"</formula>
    </cfRule>
  </conditionalFormatting>
  <conditionalFormatting sqref="C98">
    <cfRule type="cellIs" dxfId="8243" priority="4640" stopIfTrue="1" operator="equal">
      <formula>"Napkin Hs"</formula>
    </cfRule>
  </conditionalFormatting>
  <conditionalFormatting sqref="C98">
    <cfRule type="cellIs" dxfId="8242" priority="4637" stopIfTrue="1" operator="equal">
      <formula>"Towel"</formula>
    </cfRule>
    <cfRule type="cellIs" dxfId="8241" priority="4638" stopIfTrue="1" operator="equal">
      <formula>"Napkin Hs"</formula>
    </cfRule>
  </conditionalFormatting>
  <conditionalFormatting sqref="C98">
    <cfRule type="cellIs" dxfId="8240" priority="4639" stopIfTrue="1" operator="equal">
      <formula>"Towel"</formula>
    </cfRule>
  </conditionalFormatting>
  <conditionalFormatting sqref="B102:C102">
    <cfRule type="cellIs" dxfId="8239" priority="4636" stopIfTrue="1" operator="equal">
      <formula>"Napkin Hs"</formula>
    </cfRule>
  </conditionalFormatting>
  <conditionalFormatting sqref="B102:C102">
    <cfRule type="cellIs" dxfId="8238" priority="4635" stopIfTrue="1" operator="equal">
      <formula>"Towel"</formula>
    </cfRule>
  </conditionalFormatting>
  <conditionalFormatting sqref="C102">
    <cfRule type="cellIs" dxfId="8237" priority="4634" stopIfTrue="1" operator="equal">
      <formula>"Napkin Hs"</formula>
    </cfRule>
  </conditionalFormatting>
  <conditionalFormatting sqref="C102">
    <cfRule type="cellIs" dxfId="8236" priority="4633" stopIfTrue="1" operator="equal">
      <formula>"Towel"</formula>
    </cfRule>
  </conditionalFormatting>
  <conditionalFormatting sqref="C102">
    <cfRule type="cellIs" dxfId="8235" priority="4631" stopIfTrue="1" operator="equal">
      <formula>"Towel"</formula>
    </cfRule>
    <cfRule type="cellIs" dxfId="8234" priority="4632" stopIfTrue="1" operator="equal">
      <formula>"Napkin Hs"</formula>
    </cfRule>
  </conditionalFormatting>
  <conditionalFormatting sqref="B102:C102">
    <cfRule type="cellIs" dxfId="8233" priority="4629" stopIfTrue="1" operator="equal">
      <formula>"Towel"</formula>
    </cfRule>
    <cfRule type="cellIs" dxfId="8232" priority="4630" stopIfTrue="1" operator="equal">
      <formula>"Napkin Hs"</formula>
    </cfRule>
  </conditionalFormatting>
  <conditionalFormatting sqref="C102">
    <cfRule type="cellIs" dxfId="8231" priority="4625" stopIfTrue="1" operator="equal">
      <formula>"Towel"</formula>
    </cfRule>
    <cfRule type="cellIs" dxfId="8230" priority="4626" stopIfTrue="1" operator="equal">
      <formula>"Napkin Hs"</formula>
    </cfRule>
  </conditionalFormatting>
  <conditionalFormatting sqref="C102">
    <cfRule type="cellIs" dxfId="8229" priority="4627" stopIfTrue="1" operator="equal">
      <formula>"Towel"</formula>
    </cfRule>
    <cfRule type="cellIs" dxfId="8228" priority="4628" stopIfTrue="1" operator="equal">
      <formula>"Napkin Hs"</formula>
    </cfRule>
  </conditionalFormatting>
  <conditionalFormatting sqref="B102:C102">
    <cfRule type="cellIs" dxfId="8227" priority="4624" stopIfTrue="1" operator="equal">
      <formula>"Napkin Hs"</formula>
    </cfRule>
  </conditionalFormatting>
  <conditionalFormatting sqref="B102:C102">
    <cfRule type="cellIs" dxfId="8226" priority="4623" stopIfTrue="1" operator="equal">
      <formula>"Towel"</formula>
    </cfRule>
  </conditionalFormatting>
  <conditionalFormatting sqref="C102">
    <cfRule type="cellIs" dxfId="8225" priority="4622" stopIfTrue="1" operator="equal">
      <formula>"Napkin Hs"</formula>
    </cfRule>
  </conditionalFormatting>
  <conditionalFormatting sqref="C102">
    <cfRule type="cellIs" dxfId="8224" priority="4621" stopIfTrue="1" operator="equal">
      <formula>"Towel"</formula>
    </cfRule>
  </conditionalFormatting>
  <conditionalFormatting sqref="C102">
    <cfRule type="cellIs" dxfId="8223" priority="4619" stopIfTrue="1" operator="equal">
      <formula>"Towel"</formula>
    </cfRule>
    <cfRule type="cellIs" dxfId="8222" priority="4620" stopIfTrue="1" operator="equal">
      <formula>"Napkin Hs"</formula>
    </cfRule>
  </conditionalFormatting>
  <conditionalFormatting sqref="B102:C102">
    <cfRule type="cellIs" dxfId="8221" priority="4617" stopIfTrue="1" operator="equal">
      <formula>"Towel"</formula>
    </cfRule>
    <cfRule type="cellIs" dxfId="8220" priority="4618" stopIfTrue="1" operator="equal">
      <formula>"Napkin Hs"</formula>
    </cfRule>
  </conditionalFormatting>
  <conditionalFormatting sqref="C102">
    <cfRule type="cellIs" dxfId="8219" priority="4615" stopIfTrue="1" operator="equal">
      <formula>"Towel"</formula>
    </cfRule>
    <cfRule type="cellIs" dxfId="8218" priority="4616" stopIfTrue="1" operator="equal">
      <formula>"Napkin Hs"</formula>
    </cfRule>
  </conditionalFormatting>
  <conditionalFormatting sqref="C102">
    <cfRule type="cellIs" dxfId="8217" priority="4613" stopIfTrue="1" operator="equal">
      <formula>"Towel"</formula>
    </cfRule>
    <cfRule type="cellIs" dxfId="8216" priority="4614" stopIfTrue="1" operator="equal">
      <formula>"Napkin Hs"</formula>
    </cfRule>
  </conditionalFormatting>
  <conditionalFormatting sqref="B102:C102">
    <cfRule type="cellIs" dxfId="8215" priority="4611" stopIfTrue="1" operator="equal">
      <formula>"Towel"</formula>
    </cfRule>
    <cfRule type="cellIs" dxfId="8214" priority="4612" stopIfTrue="1" operator="equal">
      <formula>"Napkin Hs"</formula>
    </cfRule>
  </conditionalFormatting>
  <conditionalFormatting sqref="C102">
    <cfRule type="cellIs" dxfId="8213" priority="4609" stopIfTrue="1" operator="equal">
      <formula>"Towel"</formula>
    </cfRule>
    <cfRule type="cellIs" dxfId="8212" priority="4610" stopIfTrue="1" operator="equal">
      <formula>"Napkin Hs"</formula>
    </cfRule>
  </conditionalFormatting>
  <conditionalFormatting sqref="C102">
    <cfRule type="cellIs" dxfId="8211" priority="4607" stopIfTrue="1" operator="equal">
      <formula>"Towel"</formula>
    </cfRule>
    <cfRule type="cellIs" dxfId="8210" priority="4608" stopIfTrue="1" operator="equal">
      <formula>"Napkin Hs"</formula>
    </cfRule>
  </conditionalFormatting>
  <conditionalFormatting sqref="B102:C102">
    <cfRule type="cellIs" dxfId="8209" priority="4605" stopIfTrue="1" operator="equal">
      <formula>"Towel"</formula>
    </cfRule>
    <cfRule type="cellIs" dxfId="8208" priority="4606" stopIfTrue="1" operator="equal">
      <formula>"Napkin Hs"</formula>
    </cfRule>
  </conditionalFormatting>
  <conditionalFormatting sqref="C102">
    <cfRule type="cellIs" dxfId="8207" priority="4603" stopIfTrue="1" operator="equal">
      <formula>"Towel"</formula>
    </cfRule>
    <cfRule type="cellIs" dxfId="8206" priority="4604" stopIfTrue="1" operator="equal">
      <formula>"Napkin Hs"</formula>
    </cfRule>
  </conditionalFormatting>
  <conditionalFormatting sqref="C102">
    <cfRule type="cellIs" dxfId="8205" priority="4601" stopIfTrue="1" operator="equal">
      <formula>"Towel"</formula>
    </cfRule>
    <cfRule type="cellIs" dxfId="8204" priority="4602" stopIfTrue="1" operator="equal">
      <formula>"Napkin Hs"</formula>
    </cfRule>
  </conditionalFormatting>
  <conditionalFormatting sqref="B102:C102">
    <cfRule type="cellIs" dxfId="8203" priority="4599" stopIfTrue="1" operator="equal">
      <formula>"Towel"</formula>
    </cfRule>
    <cfRule type="cellIs" dxfId="8202" priority="4600" stopIfTrue="1" operator="equal">
      <formula>"Napkin Hs"</formula>
    </cfRule>
  </conditionalFormatting>
  <conditionalFormatting sqref="C102">
    <cfRule type="cellIs" dxfId="8201" priority="4597" stopIfTrue="1" operator="equal">
      <formula>"Towel"</formula>
    </cfRule>
    <cfRule type="cellIs" dxfId="8200" priority="4598" stopIfTrue="1" operator="equal">
      <formula>"Napkin Hs"</formula>
    </cfRule>
  </conditionalFormatting>
  <conditionalFormatting sqref="C102">
    <cfRule type="cellIs" dxfId="8199" priority="4595" stopIfTrue="1" operator="equal">
      <formula>"Towel"</formula>
    </cfRule>
    <cfRule type="cellIs" dxfId="8198" priority="4596" stopIfTrue="1" operator="equal">
      <formula>"Napkin Hs"</formula>
    </cfRule>
  </conditionalFormatting>
  <conditionalFormatting sqref="B102:C102">
    <cfRule type="cellIs" dxfId="8197" priority="4593" stopIfTrue="1" operator="equal">
      <formula>"Towel"</formula>
    </cfRule>
    <cfRule type="cellIs" dxfId="8196" priority="4594" stopIfTrue="1" operator="equal">
      <formula>"Napkin Hs"</formula>
    </cfRule>
  </conditionalFormatting>
  <conditionalFormatting sqref="C102">
    <cfRule type="cellIs" dxfId="8195" priority="4591" stopIfTrue="1" operator="equal">
      <formula>"Towel"</formula>
    </cfRule>
    <cfRule type="cellIs" dxfId="8194" priority="4592" stopIfTrue="1" operator="equal">
      <formula>"Napkin Hs"</formula>
    </cfRule>
  </conditionalFormatting>
  <conditionalFormatting sqref="C102">
    <cfRule type="cellIs" dxfId="8193" priority="4589" stopIfTrue="1" operator="equal">
      <formula>"Towel"</formula>
    </cfRule>
    <cfRule type="cellIs" dxfId="8192" priority="4590" stopIfTrue="1" operator="equal">
      <formula>"Napkin Hs"</formula>
    </cfRule>
  </conditionalFormatting>
  <conditionalFormatting sqref="B102:C102">
    <cfRule type="cellIs" dxfId="8191" priority="4588" stopIfTrue="1" operator="equal">
      <formula>"Napkin Hs"</formula>
    </cfRule>
  </conditionalFormatting>
  <conditionalFormatting sqref="B102:C102">
    <cfRule type="cellIs" dxfId="8190" priority="4587" stopIfTrue="1" operator="equal">
      <formula>"Towel"</formula>
    </cfRule>
  </conditionalFormatting>
  <conditionalFormatting sqref="C102">
    <cfRule type="cellIs" dxfId="8189" priority="4586" stopIfTrue="1" operator="equal">
      <formula>"Napkin Hs"</formula>
    </cfRule>
  </conditionalFormatting>
  <conditionalFormatting sqref="C102">
    <cfRule type="cellIs" dxfId="8188" priority="4583" stopIfTrue="1" operator="equal">
      <formula>"Towel"</formula>
    </cfRule>
    <cfRule type="cellIs" dxfId="8187" priority="4584" stopIfTrue="1" operator="equal">
      <formula>"Napkin Hs"</formula>
    </cfRule>
  </conditionalFormatting>
  <conditionalFormatting sqref="C102">
    <cfRule type="cellIs" dxfId="8186" priority="4585" stopIfTrue="1" operator="equal">
      <formula>"Towel"</formula>
    </cfRule>
  </conditionalFormatting>
  <conditionalFormatting sqref="B103:C104">
    <cfRule type="cellIs" dxfId="8185" priority="4582" stopIfTrue="1" operator="equal">
      <formula>"Napkin Hs"</formula>
    </cfRule>
  </conditionalFormatting>
  <conditionalFormatting sqref="B103:C104">
    <cfRule type="cellIs" dxfId="8184" priority="4581" stopIfTrue="1" operator="equal">
      <formula>"Towel"</formula>
    </cfRule>
  </conditionalFormatting>
  <conditionalFormatting sqref="C103:C104">
    <cfRule type="cellIs" dxfId="8183" priority="4580" stopIfTrue="1" operator="equal">
      <formula>"Napkin Hs"</formula>
    </cfRule>
  </conditionalFormatting>
  <conditionalFormatting sqref="C103:C104">
    <cfRule type="cellIs" dxfId="8182" priority="4579" stopIfTrue="1" operator="equal">
      <formula>"Towel"</formula>
    </cfRule>
  </conditionalFormatting>
  <conditionalFormatting sqref="C103:C104">
    <cfRule type="cellIs" dxfId="8181" priority="4577" stopIfTrue="1" operator="equal">
      <formula>"Towel"</formula>
    </cfRule>
    <cfRule type="cellIs" dxfId="8180" priority="4578" stopIfTrue="1" operator="equal">
      <formula>"Napkin Hs"</formula>
    </cfRule>
  </conditionalFormatting>
  <conditionalFormatting sqref="B103:C104">
    <cfRule type="cellIs" dxfId="8179" priority="4575" stopIfTrue="1" operator="equal">
      <formula>"Towel"</formula>
    </cfRule>
    <cfRule type="cellIs" dxfId="8178" priority="4576" stopIfTrue="1" operator="equal">
      <formula>"Napkin Hs"</formula>
    </cfRule>
  </conditionalFormatting>
  <conditionalFormatting sqref="C103:C104">
    <cfRule type="cellIs" dxfId="8177" priority="4571" stopIfTrue="1" operator="equal">
      <formula>"Towel"</formula>
    </cfRule>
    <cfRule type="cellIs" dxfId="8176" priority="4572" stopIfTrue="1" operator="equal">
      <formula>"Napkin Hs"</formula>
    </cfRule>
  </conditionalFormatting>
  <conditionalFormatting sqref="C103:C104">
    <cfRule type="cellIs" dxfId="8175" priority="4573" stopIfTrue="1" operator="equal">
      <formula>"Towel"</formula>
    </cfRule>
    <cfRule type="cellIs" dxfId="8174" priority="4574" stopIfTrue="1" operator="equal">
      <formula>"Napkin Hs"</formula>
    </cfRule>
  </conditionalFormatting>
  <conditionalFormatting sqref="B103:C104">
    <cfRule type="cellIs" dxfId="8173" priority="4570" stopIfTrue="1" operator="equal">
      <formula>"Napkin Hs"</formula>
    </cfRule>
  </conditionalFormatting>
  <conditionalFormatting sqref="B103:C104">
    <cfRule type="cellIs" dxfId="8172" priority="4569" stopIfTrue="1" operator="equal">
      <formula>"Towel"</formula>
    </cfRule>
  </conditionalFormatting>
  <conditionalFormatting sqref="C103:C104">
    <cfRule type="cellIs" dxfId="8171" priority="4568" stopIfTrue="1" operator="equal">
      <formula>"Napkin Hs"</formula>
    </cfRule>
  </conditionalFormatting>
  <conditionalFormatting sqref="C103:C104">
    <cfRule type="cellIs" dxfId="8170" priority="4567" stopIfTrue="1" operator="equal">
      <formula>"Towel"</formula>
    </cfRule>
  </conditionalFormatting>
  <conditionalFormatting sqref="C103:C104">
    <cfRule type="cellIs" dxfId="8169" priority="4565" stopIfTrue="1" operator="equal">
      <formula>"Towel"</formula>
    </cfRule>
    <cfRule type="cellIs" dxfId="8168" priority="4566" stopIfTrue="1" operator="equal">
      <formula>"Napkin Hs"</formula>
    </cfRule>
  </conditionalFormatting>
  <conditionalFormatting sqref="B103:C104">
    <cfRule type="cellIs" dxfId="8167" priority="4563" stopIfTrue="1" operator="equal">
      <formula>"Towel"</formula>
    </cfRule>
    <cfRule type="cellIs" dxfId="8166" priority="4564" stopIfTrue="1" operator="equal">
      <formula>"Napkin Hs"</formula>
    </cfRule>
  </conditionalFormatting>
  <conditionalFormatting sqref="C103:C104">
    <cfRule type="cellIs" dxfId="8165" priority="4561" stopIfTrue="1" operator="equal">
      <formula>"Towel"</formula>
    </cfRule>
    <cfRule type="cellIs" dxfId="8164" priority="4562" stopIfTrue="1" operator="equal">
      <formula>"Napkin Hs"</formula>
    </cfRule>
  </conditionalFormatting>
  <conditionalFormatting sqref="C103:C104">
    <cfRule type="cellIs" dxfId="8163" priority="4559" stopIfTrue="1" operator="equal">
      <formula>"Towel"</formula>
    </cfRule>
    <cfRule type="cellIs" dxfId="8162" priority="4560" stopIfTrue="1" operator="equal">
      <formula>"Napkin Hs"</formula>
    </cfRule>
  </conditionalFormatting>
  <conditionalFormatting sqref="B103:C104">
    <cfRule type="cellIs" dxfId="8161" priority="4557" stopIfTrue="1" operator="equal">
      <formula>"Towel"</formula>
    </cfRule>
    <cfRule type="cellIs" dxfId="8160" priority="4558" stopIfTrue="1" operator="equal">
      <formula>"Napkin Hs"</formula>
    </cfRule>
  </conditionalFormatting>
  <conditionalFormatting sqref="C103:C104">
    <cfRule type="cellIs" dxfId="8159" priority="4555" stopIfTrue="1" operator="equal">
      <formula>"Towel"</formula>
    </cfRule>
    <cfRule type="cellIs" dxfId="8158" priority="4556" stopIfTrue="1" operator="equal">
      <formula>"Napkin Hs"</formula>
    </cfRule>
  </conditionalFormatting>
  <conditionalFormatting sqref="C103:C104">
    <cfRule type="cellIs" dxfId="8157" priority="4553" stopIfTrue="1" operator="equal">
      <formula>"Towel"</formula>
    </cfRule>
    <cfRule type="cellIs" dxfId="8156" priority="4554" stopIfTrue="1" operator="equal">
      <formula>"Napkin Hs"</formula>
    </cfRule>
  </conditionalFormatting>
  <conditionalFormatting sqref="B103:C104">
    <cfRule type="cellIs" dxfId="8155" priority="4551" stopIfTrue="1" operator="equal">
      <formula>"Towel"</formula>
    </cfRule>
    <cfRule type="cellIs" dxfId="8154" priority="4552" stopIfTrue="1" operator="equal">
      <formula>"Napkin Hs"</formula>
    </cfRule>
  </conditionalFormatting>
  <conditionalFormatting sqref="C103:C104">
    <cfRule type="cellIs" dxfId="8153" priority="4549" stopIfTrue="1" operator="equal">
      <formula>"Towel"</formula>
    </cfRule>
    <cfRule type="cellIs" dxfId="8152" priority="4550" stopIfTrue="1" operator="equal">
      <formula>"Napkin Hs"</formula>
    </cfRule>
  </conditionalFormatting>
  <conditionalFormatting sqref="C103:C104">
    <cfRule type="cellIs" dxfId="8151" priority="4547" stopIfTrue="1" operator="equal">
      <formula>"Towel"</formula>
    </cfRule>
    <cfRule type="cellIs" dxfId="8150" priority="4548" stopIfTrue="1" operator="equal">
      <formula>"Napkin Hs"</formula>
    </cfRule>
  </conditionalFormatting>
  <conditionalFormatting sqref="B103:C104">
    <cfRule type="cellIs" dxfId="8149" priority="4545" stopIfTrue="1" operator="equal">
      <formula>"Towel"</formula>
    </cfRule>
    <cfRule type="cellIs" dxfId="8148" priority="4546" stopIfTrue="1" operator="equal">
      <formula>"Napkin Hs"</formula>
    </cfRule>
  </conditionalFormatting>
  <conditionalFormatting sqref="C103:C104">
    <cfRule type="cellIs" dxfId="8147" priority="4543" stopIfTrue="1" operator="equal">
      <formula>"Towel"</formula>
    </cfRule>
    <cfRule type="cellIs" dxfId="8146" priority="4544" stopIfTrue="1" operator="equal">
      <formula>"Napkin Hs"</formula>
    </cfRule>
  </conditionalFormatting>
  <conditionalFormatting sqref="C103:C104">
    <cfRule type="cellIs" dxfId="8145" priority="4541" stopIfTrue="1" operator="equal">
      <formula>"Towel"</formula>
    </cfRule>
    <cfRule type="cellIs" dxfId="8144" priority="4542" stopIfTrue="1" operator="equal">
      <formula>"Napkin Hs"</formula>
    </cfRule>
  </conditionalFormatting>
  <conditionalFormatting sqref="B103:C104">
    <cfRule type="cellIs" dxfId="8143" priority="4539" stopIfTrue="1" operator="equal">
      <formula>"Towel"</formula>
    </cfRule>
    <cfRule type="cellIs" dxfId="8142" priority="4540" stopIfTrue="1" operator="equal">
      <formula>"Napkin Hs"</formula>
    </cfRule>
  </conditionalFormatting>
  <conditionalFormatting sqref="C103:C104">
    <cfRule type="cellIs" dxfId="8141" priority="4537" stopIfTrue="1" operator="equal">
      <formula>"Towel"</formula>
    </cfRule>
    <cfRule type="cellIs" dxfId="8140" priority="4538" stopIfTrue="1" operator="equal">
      <formula>"Napkin Hs"</formula>
    </cfRule>
  </conditionalFormatting>
  <conditionalFormatting sqref="C103:C104">
    <cfRule type="cellIs" dxfId="8139" priority="4535" stopIfTrue="1" operator="equal">
      <formula>"Towel"</formula>
    </cfRule>
    <cfRule type="cellIs" dxfId="8138" priority="4536" stopIfTrue="1" operator="equal">
      <formula>"Napkin Hs"</formula>
    </cfRule>
  </conditionalFormatting>
  <conditionalFormatting sqref="B103:C104">
    <cfRule type="cellIs" dxfId="8137" priority="4534" stopIfTrue="1" operator="equal">
      <formula>"Napkin Hs"</formula>
    </cfRule>
  </conditionalFormatting>
  <conditionalFormatting sqref="B103:C104">
    <cfRule type="cellIs" dxfId="8136" priority="4533" stopIfTrue="1" operator="equal">
      <formula>"Towel"</formula>
    </cfRule>
  </conditionalFormatting>
  <conditionalFormatting sqref="C103:C104">
    <cfRule type="cellIs" dxfId="8135" priority="4532" stopIfTrue="1" operator="equal">
      <formula>"Napkin Hs"</formula>
    </cfRule>
  </conditionalFormatting>
  <conditionalFormatting sqref="C103:C104">
    <cfRule type="cellIs" dxfId="8134" priority="4529" stopIfTrue="1" operator="equal">
      <formula>"Towel"</formula>
    </cfRule>
    <cfRule type="cellIs" dxfId="8133" priority="4530" stopIfTrue="1" operator="equal">
      <formula>"Napkin Hs"</formula>
    </cfRule>
  </conditionalFormatting>
  <conditionalFormatting sqref="C103:C104">
    <cfRule type="cellIs" dxfId="8132" priority="4531" stopIfTrue="1" operator="equal">
      <formula>"Towel"</formula>
    </cfRule>
  </conditionalFormatting>
  <conditionalFormatting sqref="B104:C104">
    <cfRule type="cellIs" dxfId="8131" priority="4528" stopIfTrue="1" operator="equal">
      <formula>"Napkin Hs"</formula>
    </cfRule>
  </conditionalFormatting>
  <conditionalFormatting sqref="B104:C104">
    <cfRule type="cellIs" dxfId="8130" priority="4527" stopIfTrue="1" operator="equal">
      <formula>"Towel"</formula>
    </cfRule>
  </conditionalFormatting>
  <conditionalFormatting sqref="C104">
    <cfRule type="cellIs" dxfId="8129" priority="4526" stopIfTrue="1" operator="equal">
      <formula>"Napkin Hs"</formula>
    </cfRule>
  </conditionalFormatting>
  <conditionalFormatting sqref="C104">
    <cfRule type="cellIs" dxfId="8128" priority="4523" stopIfTrue="1" operator="equal">
      <formula>"Towel"</formula>
    </cfRule>
    <cfRule type="cellIs" dxfId="8127" priority="4524" stopIfTrue="1" operator="equal">
      <formula>"Napkin Hs"</formula>
    </cfRule>
  </conditionalFormatting>
  <conditionalFormatting sqref="C104">
    <cfRule type="cellIs" dxfId="8126" priority="4525" stopIfTrue="1" operator="equal">
      <formula>"Towel"</formula>
    </cfRule>
  </conditionalFormatting>
  <conditionalFormatting sqref="B103:C103">
    <cfRule type="cellIs" dxfId="8125" priority="4522" stopIfTrue="1" operator="equal">
      <formula>"Napkin Hs"</formula>
    </cfRule>
  </conditionalFormatting>
  <conditionalFormatting sqref="B103:C103">
    <cfRule type="cellIs" dxfId="8124" priority="4521" stopIfTrue="1" operator="equal">
      <formula>"Towel"</formula>
    </cfRule>
  </conditionalFormatting>
  <conditionalFormatting sqref="C103">
    <cfRule type="cellIs" dxfId="8123" priority="4520" stopIfTrue="1" operator="equal">
      <formula>"Napkin Hs"</formula>
    </cfRule>
  </conditionalFormatting>
  <conditionalFormatting sqref="C103">
    <cfRule type="cellIs" dxfId="8122" priority="4517" stopIfTrue="1" operator="equal">
      <formula>"Towel"</formula>
    </cfRule>
    <cfRule type="cellIs" dxfId="8121" priority="4518" stopIfTrue="1" operator="equal">
      <formula>"Napkin Hs"</formula>
    </cfRule>
  </conditionalFormatting>
  <conditionalFormatting sqref="C103">
    <cfRule type="cellIs" dxfId="8120" priority="4519" stopIfTrue="1" operator="equal">
      <formula>"Towel"</formula>
    </cfRule>
  </conditionalFormatting>
  <conditionalFormatting sqref="B103">
    <cfRule type="cellIs" dxfId="8119" priority="4516" stopIfTrue="1" operator="equal">
      <formula>"Napkin Hs"</formula>
    </cfRule>
  </conditionalFormatting>
  <conditionalFormatting sqref="B103">
    <cfRule type="cellIs" dxfId="8118" priority="4515" stopIfTrue="1" operator="equal">
      <formula>"Towel"</formula>
    </cfRule>
  </conditionalFormatting>
  <conditionalFormatting sqref="C103">
    <cfRule type="cellIs" dxfId="8117" priority="4514" stopIfTrue="1" operator="equal">
      <formula>"Napkin Hs"</formula>
    </cfRule>
  </conditionalFormatting>
  <conditionalFormatting sqref="C103">
    <cfRule type="cellIs" dxfId="8116" priority="4513" stopIfTrue="1" operator="equal">
      <formula>"Towel"</formula>
    </cfRule>
  </conditionalFormatting>
  <conditionalFormatting sqref="C103">
    <cfRule type="cellIs" dxfId="8115" priority="4512" stopIfTrue="1" operator="equal">
      <formula>"Napkin Hs"</formula>
    </cfRule>
  </conditionalFormatting>
  <conditionalFormatting sqref="C103">
    <cfRule type="cellIs" dxfId="8114" priority="4509" stopIfTrue="1" operator="equal">
      <formula>"Towel"</formula>
    </cfRule>
    <cfRule type="cellIs" dxfId="8113" priority="4510" stopIfTrue="1" operator="equal">
      <formula>"Napkin Hs"</formula>
    </cfRule>
  </conditionalFormatting>
  <conditionalFormatting sqref="C103">
    <cfRule type="cellIs" dxfId="8112" priority="4511" stopIfTrue="1" operator="equal">
      <formula>"Towel"</formula>
    </cfRule>
  </conditionalFormatting>
  <conditionalFormatting sqref="B104:C104">
    <cfRule type="cellIs" dxfId="8111" priority="4508" stopIfTrue="1" operator="equal">
      <formula>"Napkin Hs"</formula>
    </cfRule>
  </conditionalFormatting>
  <conditionalFormatting sqref="B104:C104">
    <cfRule type="cellIs" dxfId="8110" priority="4507" stopIfTrue="1" operator="equal">
      <formula>"Towel"</formula>
    </cfRule>
  </conditionalFormatting>
  <conditionalFormatting sqref="C104">
    <cfRule type="cellIs" dxfId="8109" priority="4506" stopIfTrue="1" operator="equal">
      <formula>"Napkin Hs"</formula>
    </cfRule>
  </conditionalFormatting>
  <conditionalFormatting sqref="C104">
    <cfRule type="cellIs" dxfId="8108" priority="4503" stopIfTrue="1" operator="equal">
      <formula>"Towel"</formula>
    </cfRule>
    <cfRule type="cellIs" dxfId="8107" priority="4504" stopIfTrue="1" operator="equal">
      <formula>"Napkin Hs"</formula>
    </cfRule>
  </conditionalFormatting>
  <conditionalFormatting sqref="C104">
    <cfRule type="cellIs" dxfId="8106" priority="4505" stopIfTrue="1" operator="equal">
      <formula>"Towel"</formula>
    </cfRule>
  </conditionalFormatting>
  <conditionalFormatting sqref="B102:C102">
    <cfRule type="cellIs" dxfId="8105" priority="4502" stopIfTrue="1" operator="equal">
      <formula>"Napkin Hs"</formula>
    </cfRule>
  </conditionalFormatting>
  <conditionalFormatting sqref="B102:C102">
    <cfRule type="cellIs" dxfId="8104" priority="4501" stopIfTrue="1" operator="equal">
      <formula>"Towel"</formula>
    </cfRule>
  </conditionalFormatting>
  <conditionalFormatting sqref="C102">
    <cfRule type="cellIs" dxfId="8103" priority="4500" stopIfTrue="1" operator="equal">
      <formula>"Napkin Hs"</formula>
    </cfRule>
  </conditionalFormatting>
  <conditionalFormatting sqref="C102">
    <cfRule type="cellIs" dxfId="8102" priority="4497" stopIfTrue="1" operator="equal">
      <formula>"Towel"</formula>
    </cfRule>
    <cfRule type="cellIs" dxfId="8101" priority="4498" stopIfTrue="1" operator="equal">
      <formula>"Napkin Hs"</formula>
    </cfRule>
  </conditionalFormatting>
  <conditionalFormatting sqref="C102">
    <cfRule type="cellIs" dxfId="8100" priority="4499" stopIfTrue="1" operator="equal">
      <formula>"Towel"</formula>
    </cfRule>
  </conditionalFormatting>
  <conditionalFormatting sqref="B102:C102">
    <cfRule type="cellIs" dxfId="8099" priority="4496" stopIfTrue="1" operator="equal">
      <formula>"Napkin Hs"</formula>
    </cfRule>
  </conditionalFormatting>
  <conditionalFormatting sqref="B102:C102">
    <cfRule type="cellIs" dxfId="8098" priority="4495" stopIfTrue="1" operator="equal">
      <formula>"Towel"</formula>
    </cfRule>
  </conditionalFormatting>
  <conditionalFormatting sqref="C102">
    <cfRule type="cellIs" dxfId="8097" priority="4494" stopIfTrue="1" operator="equal">
      <formula>"Napkin Hs"</formula>
    </cfRule>
  </conditionalFormatting>
  <conditionalFormatting sqref="C102">
    <cfRule type="cellIs" dxfId="8096" priority="4491" stopIfTrue="1" operator="equal">
      <formula>"Towel"</formula>
    </cfRule>
    <cfRule type="cellIs" dxfId="8095" priority="4492" stopIfTrue="1" operator="equal">
      <formula>"Napkin Hs"</formula>
    </cfRule>
  </conditionalFormatting>
  <conditionalFormatting sqref="C102">
    <cfRule type="cellIs" dxfId="8094" priority="4493" stopIfTrue="1" operator="equal">
      <formula>"Towel"</formula>
    </cfRule>
  </conditionalFormatting>
  <conditionalFormatting sqref="B109">
    <cfRule type="cellIs" dxfId="8093" priority="4490" stopIfTrue="1" operator="equal">
      <formula>"Napkin Hs"</formula>
    </cfRule>
  </conditionalFormatting>
  <conditionalFormatting sqref="B109">
    <cfRule type="cellIs" dxfId="8092" priority="4489" stopIfTrue="1" operator="equal">
      <formula>"Towel"</formula>
    </cfRule>
  </conditionalFormatting>
  <conditionalFormatting sqref="B109">
    <cfRule type="cellIs" dxfId="8091" priority="4487" stopIfTrue="1" operator="equal">
      <formula>"Towel"</formula>
    </cfRule>
    <cfRule type="cellIs" dxfId="8090" priority="4488" stopIfTrue="1" operator="equal">
      <formula>"Napkin Hs"</formula>
    </cfRule>
  </conditionalFormatting>
  <conditionalFormatting sqref="B109">
    <cfRule type="cellIs" dxfId="8089" priority="4486" stopIfTrue="1" operator="equal">
      <formula>"Napkin Hs"</formula>
    </cfRule>
  </conditionalFormatting>
  <conditionalFormatting sqref="B109">
    <cfRule type="cellIs" dxfId="8088" priority="4485" stopIfTrue="1" operator="equal">
      <formula>"Towel"</formula>
    </cfRule>
  </conditionalFormatting>
  <conditionalFormatting sqref="B109">
    <cfRule type="cellIs" dxfId="8087" priority="4483" stopIfTrue="1" operator="equal">
      <formula>"Towel"</formula>
    </cfRule>
    <cfRule type="cellIs" dxfId="8086" priority="4484" stopIfTrue="1" operator="equal">
      <formula>"Napkin Hs"</formula>
    </cfRule>
  </conditionalFormatting>
  <conditionalFormatting sqref="B109">
    <cfRule type="cellIs" dxfId="8085" priority="4481" stopIfTrue="1" operator="equal">
      <formula>"Towel"</formula>
    </cfRule>
    <cfRule type="cellIs" dxfId="8084" priority="4482" stopIfTrue="1" operator="equal">
      <formula>"Napkin Hs"</formula>
    </cfRule>
  </conditionalFormatting>
  <conditionalFormatting sqref="B109">
    <cfRule type="cellIs" dxfId="8083" priority="4479" stopIfTrue="1" operator="equal">
      <formula>"Towel"</formula>
    </cfRule>
    <cfRule type="cellIs" dxfId="8082" priority="4480" stopIfTrue="1" operator="equal">
      <formula>"Napkin Hs"</formula>
    </cfRule>
  </conditionalFormatting>
  <conditionalFormatting sqref="B109">
    <cfRule type="cellIs" dxfId="8081" priority="4477" stopIfTrue="1" operator="equal">
      <formula>"Towel"</formula>
    </cfRule>
    <cfRule type="cellIs" dxfId="8080" priority="4478" stopIfTrue="1" operator="equal">
      <formula>"Napkin Hs"</formula>
    </cfRule>
  </conditionalFormatting>
  <conditionalFormatting sqref="B109">
    <cfRule type="cellIs" dxfId="8079" priority="4475" stopIfTrue="1" operator="equal">
      <formula>"Towel"</formula>
    </cfRule>
    <cfRule type="cellIs" dxfId="8078" priority="4476" stopIfTrue="1" operator="equal">
      <formula>"Napkin Hs"</formula>
    </cfRule>
  </conditionalFormatting>
  <conditionalFormatting sqref="B109">
    <cfRule type="cellIs" dxfId="8077" priority="4474" stopIfTrue="1" operator="equal">
      <formula>"Napkin Hs"</formula>
    </cfRule>
  </conditionalFormatting>
  <conditionalFormatting sqref="B109">
    <cfRule type="cellIs" dxfId="8076" priority="4473" stopIfTrue="1" operator="equal">
      <formula>"Towel"</formula>
    </cfRule>
  </conditionalFormatting>
  <conditionalFormatting sqref="B110:C110 C109">
    <cfRule type="cellIs" dxfId="8075" priority="4472" stopIfTrue="1" operator="equal">
      <formula>"Napkin Hs"</formula>
    </cfRule>
  </conditionalFormatting>
  <conditionalFormatting sqref="B110:C110 C109">
    <cfRule type="cellIs" dxfId="8074" priority="4471" stopIfTrue="1" operator="equal">
      <formula>"Towel"</formula>
    </cfRule>
  </conditionalFormatting>
  <conditionalFormatting sqref="C109:C110">
    <cfRule type="cellIs" dxfId="8073" priority="4470" stopIfTrue="1" operator="equal">
      <formula>"Napkin Hs"</formula>
    </cfRule>
  </conditionalFormatting>
  <conditionalFormatting sqref="C109:C110">
    <cfRule type="cellIs" dxfId="8072" priority="4469" stopIfTrue="1" operator="equal">
      <formula>"Towel"</formula>
    </cfRule>
  </conditionalFormatting>
  <conditionalFormatting sqref="C109:C110">
    <cfRule type="cellIs" dxfId="8071" priority="4467" stopIfTrue="1" operator="equal">
      <formula>"Towel"</formula>
    </cfRule>
    <cfRule type="cellIs" dxfId="8070" priority="4468" stopIfTrue="1" operator="equal">
      <formula>"Napkin Hs"</formula>
    </cfRule>
  </conditionalFormatting>
  <conditionalFormatting sqref="B110:C110 C109">
    <cfRule type="cellIs" dxfId="8069" priority="4465" stopIfTrue="1" operator="equal">
      <formula>"Towel"</formula>
    </cfRule>
    <cfRule type="cellIs" dxfId="8068" priority="4466" stopIfTrue="1" operator="equal">
      <formula>"Napkin Hs"</formula>
    </cfRule>
  </conditionalFormatting>
  <conditionalFormatting sqref="C109:C110">
    <cfRule type="cellIs" dxfId="8067" priority="4461" stopIfTrue="1" operator="equal">
      <formula>"Towel"</formula>
    </cfRule>
    <cfRule type="cellIs" dxfId="8066" priority="4462" stopIfTrue="1" operator="equal">
      <formula>"Napkin Hs"</formula>
    </cfRule>
  </conditionalFormatting>
  <conditionalFormatting sqref="C109:C110">
    <cfRule type="cellIs" dxfId="8065" priority="4463" stopIfTrue="1" operator="equal">
      <formula>"Towel"</formula>
    </cfRule>
    <cfRule type="cellIs" dxfId="8064" priority="4464" stopIfTrue="1" operator="equal">
      <formula>"Napkin Hs"</formula>
    </cfRule>
  </conditionalFormatting>
  <conditionalFormatting sqref="B110:C110 C109">
    <cfRule type="cellIs" dxfId="8063" priority="4460" stopIfTrue="1" operator="equal">
      <formula>"Napkin Hs"</formula>
    </cfRule>
  </conditionalFormatting>
  <conditionalFormatting sqref="B110:C110 C109">
    <cfRule type="cellIs" dxfId="8062" priority="4459" stopIfTrue="1" operator="equal">
      <formula>"Towel"</formula>
    </cfRule>
  </conditionalFormatting>
  <conditionalFormatting sqref="C109:C110">
    <cfRule type="cellIs" dxfId="8061" priority="4458" stopIfTrue="1" operator="equal">
      <formula>"Napkin Hs"</formula>
    </cfRule>
  </conditionalFormatting>
  <conditionalFormatting sqref="C109:C110">
    <cfRule type="cellIs" dxfId="8060" priority="4457" stopIfTrue="1" operator="equal">
      <formula>"Towel"</formula>
    </cfRule>
  </conditionalFormatting>
  <conditionalFormatting sqref="C109:C110">
    <cfRule type="cellIs" dxfId="8059" priority="4455" stopIfTrue="1" operator="equal">
      <formula>"Towel"</formula>
    </cfRule>
    <cfRule type="cellIs" dxfId="8058" priority="4456" stopIfTrue="1" operator="equal">
      <formula>"Napkin Hs"</formula>
    </cfRule>
  </conditionalFormatting>
  <conditionalFormatting sqref="B110:C110 C109">
    <cfRule type="cellIs" dxfId="8057" priority="4453" stopIfTrue="1" operator="equal">
      <formula>"Towel"</formula>
    </cfRule>
    <cfRule type="cellIs" dxfId="8056" priority="4454" stopIfTrue="1" operator="equal">
      <formula>"Napkin Hs"</formula>
    </cfRule>
  </conditionalFormatting>
  <conditionalFormatting sqref="C109:C110">
    <cfRule type="cellIs" dxfId="8055" priority="4451" stopIfTrue="1" operator="equal">
      <formula>"Towel"</formula>
    </cfRule>
    <cfRule type="cellIs" dxfId="8054" priority="4452" stopIfTrue="1" operator="equal">
      <formula>"Napkin Hs"</formula>
    </cfRule>
  </conditionalFormatting>
  <conditionalFormatting sqref="C109:C110">
    <cfRule type="cellIs" dxfId="8053" priority="4449" stopIfTrue="1" operator="equal">
      <formula>"Towel"</formula>
    </cfRule>
    <cfRule type="cellIs" dxfId="8052" priority="4450" stopIfTrue="1" operator="equal">
      <formula>"Napkin Hs"</formula>
    </cfRule>
  </conditionalFormatting>
  <conditionalFormatting sqref="B110:C110 C109">
    <cfRule type="cellIs" dxfId="8051" priority="4447" stopIfTrue="1" operator="equal">
      <formula>"Towel"</formula>
    </cfRule>
    <cfRule type="cellIs" dxfId="8050" priority="4448" stopIfTrue="1" operator="equal">
      <formula>"Napkin Hs"</formula>
    </cfRule>
  </conditionalFormatting>
  <conditionalFormatting sqref="C109:C110">
    <cfRule type="cellIs" dxfId="8049" priority="4445" stopIfTrue="1" operator="equal">
      <formula>"Towel"</formula>
    </cfRule>
    <cfRule type="cellIs" dxfId="8048" priority="4446" stopIfTrue="1" operator="equal">
      <formula>"Napkin Hs"</formula>
    </cfRule>
  </conditionalFormatting>
  <conditionalFormatting sqref="C109:C110">
    <cfRule type="cellIs" dxfId="8047" priority="4443" stopIfTrue="1" operator="equal">
      <formula>"Towel"</formula>
    </cfRule>
    <cfRule type="cellIs" dxfId="8046" priority="4444" stopIfTrue="1" operator="equal">
      <formula>"Napkin Hs"</formula>
    </cfRule>
  </conditionalFormatting>
  <conditionalFormatting sqref="B110:C110 C109">
    <cfRule type="cellIs" dxfId="8045" priority="4441" stopIfTrue="1" operator="equal">
      <formula>"Towel"</formula>
    </cfRule>
    <cfRule type="cellIs" dxfId="8044" priority="4442" stopIfTrue="1" operator="equal">
      <formula>"Napkin Hs"</formula>
    </cfRule>
  </conditionalFormatting>
  <conditionalFormatting sqref="C109:C110">
    <cfRule type="cellIs" dxfId="8043" priority="4439" stopIfTrue="1" operator="equal">
      <formula>"Towel"</formula>
    </cfRule>
    <cfRule type="cellIs" dxfId="8042" priority="4440" stopIfTrue="1" operator="equal">
      <formula>"Napkin Hs"</formula>
    </cfRule>
  </conditionalFormatting>
  <conditionalFormatting sqref="C109:C110">
    <cfRule type="cellIs" dxfId="8041" priority="4437" stopIfTrue="1" operator="equal">
      <formula>"Towel"</formula>
    </cfRule>
    <cfRule type="cellIs" dxfId="8040" priority="4438" stopIfTrue="1" operator="equal">
      <formula>"Napkin Hs"</formula>
    </cfRule>
  </conditionalFormatting>
  <conditionalFormatting sqref="B110:C110 C109">
    <cfRule type="cellIs" dxfId="8039" priority="4435" stopIfTrue="1" operator="equal">
      <formula>"Towel"</formula>
    </cfRule>
    <cfRule type="cellIs" dxfId="8038" priority="4436" stopIfTrue="1" operator="equal">
      <formula>"Napkin Hs"</formula>
    </cfRule>
  </conditionalFormatting>
  <conditionalFormatting sqref="C109:C110">
    <cfRule type="cellIs" dxfId="8037" priority="4433" stopIfTrue="1" operator="equal">
      <formula>"Towel"</formula>
    </cfRule>
    <cfRule type="cellIs" dxfId="8036" priority="4434" stopIfTrue="1" operator="equal">
      <formula>"Napkin Hs"</formula>
    </cfRule>
  </conditionalFormatting>
  <conditionalFormatting sqref="C109:C110">
    <cfRule type="cellIs" dxfId="8035" priority="4431" stopIfTrue="1" operator="equal">
      <formula>"Towel"</formula>
    </cfRule>
    <cfRule type="cellIs" dxfId="8034" priority="4432" stopIfTrue="1" operator="equal">
      <formula>"Napkin Hs"</formula>
    </cfRule>
  </conditionalFormatting>
  <conditionalFormatting sqref="B110:C110 C109">
    <cfRule type="cellIs" dxfId="8033" priority="4429" stopIfTrue="1" operator="equal">
      <formula>"Towel"</formula>
    </cfRule>
    <cfRule type="cellIs" dxfId="8032" priority="4430" stopIfTrue="1" operator="equal">
      <formula>"Napkin Hs"</formula>
    </cfRule>
  </conditionalFormatting>
  <conditionalFormatting sqref="C109:C110">
    <cfRule type="cellIs" dxfId="8031" priority="4427" stopIfTrue="1" operator="equal">
      <formula>"Towel"</formula>
    </cfRule>
    <cfRule type="cellIs" dxfId="8030" priority="4428" stopIfTrue="1" operator="equal">
      <formula>"Napkin Hs"</formula>
    </cfRule>
  </conditionalFormatting>
  <conditionalFormatting sqref="C109:C110">
    <cfRule type="cellIs" dxfId="8029" priority="4425" stopIfTrue="1" operator="equal">
      <formula>"Towel"</formula>
    </cfRule>
    <cfRule type="cellIs" dxfId="8028" priority="4426" stopIfTrue="1" operator="equal">
      <formula>"Napkin Hs"</formula>
    </cfRule>
  </conditionalFormatting>
  <conditionalFormatting sqref="B110:C110 C109">
    <cfRule type="cellIs" dxfId="8027" priority="4424" stopIfTrue="1" operator="equal">
      <formula>"Napkin Hs"</formula>
    </cfRule>
  </conditionalFormatting>
  <conditionalFormatting sqref="B110:C110 C109">
    <cfRule type="cellIs" dxfId="8026" priority="4423" stopIfTrue="1" operator="equal">
      <formula>"Towel"</formula>
    </cfRule>
  </conditionalFormatting>
  <conditionalFormatting sqref="C109:C110">
    <cfRule type="cellIs" dxfId="8025" priority="4422" stopIfTrue="1" operator="equal">
      <formula>"Napkin Hs"</formula>
    </cfRule>
  </conditionalFormatting>
  <conditionalFormatting sqref="C109:C110">
    <cfRule type="cellIs" dxfId="8024" priority="4419" stopIfTrue="1" operator="equal">
      <formula>"Towel"</formula>
    </cfRule>
    <cfRule type="cellIs" dxfId="8023" priority="4420" stopIfTrue="1" operator="equal">
      <formula>"Napkin Hs"</formula>
    </cfRule>
  </conditionalFormatting>
  <conditionalFormatting sqref="C109:C110">
    <cfRule type="cellIs" dxfId="8022" priority="4421" stopIfTrue="1" operator="equal">
      <formula>"Towel"</formula>
    </cfRule>
  </conditionalFormatting>
  <conditionalFormatting sqref="B106:C106">
    <cfRule type="cellIs" dxfId="8021" priority="4418" stopIfTrue="1" operator="equal">
      <formula>"Napkin Hs"</formula>
    </cfRule>
  </conditionalFormatting>
  <conditionalFormatting sqref="B106:C106">
    <cfRule type="cellIs" dxfId="8020" priority="4417" stopIfTrue="1" operator="equal">
      <formula>"Towel"</formula>
    </cfRule>
  </conditionalFormatting>
  <conditionalFormatting sqref="C106">
    <cfRule type="cellIs" dxfId="8019" priority="4416" stopIfTrue="1" operator="equal">
      <formula>"Napkin Hs"</formula>
    </cfRule>
  </conditionalFormatting>
  <conditionalFormatting sqref="C106">
    <cfRule type="cellIs" dxfId="8018" priority="4415" stopIfTrue="1" operator="equal">
      <formula>"Towel"</formula>
    </cfRule>
  </conditionalFormatting>
  <conditionalFormatting sqref="C106">
    <cfRule type="cellIs" dxfId="8017" priority="4413" stopIfTrue="1" operator="equal">
      <formula>"Towel"</formula>
    </cfRule>
    <cfRule type="cellIs" dxfId="8016" priority="4414" stopIfTrue="1" operator="equal">
      <formula>"Napkin Hs"</formula>
    </cfRule>
  </conditionalFormatting>
  <conditionalFormatting sqref="B106:C106">
    <cfRule type="cellIs" dxfId="8015" priority="4411" stopIfTrue="1" operator="equal">
      <formula>"Towel"</formula>
    </cfRule>
    <cfRule type="cellIs" dxfId="8014" priority="4412" stopIfTrue="1" operator="equal">
      <formula>"Napkin Hs"</formula>
    </cfRule>
  </conditionalFormatting>
  <conditionalFormatting sqref="C106">
    <cfRule type="cellIs" dxfId="8013" priority="4407" stopIfTrue="1" operator="equal">
      <formula>"Towel"</formula>
    </cfRule>
    <cfRule type="cellIs" dxfId="8012" priority="4408" stopIfTrue="1" operator="equal">
      <formula>"Napkin Hs"</formula>
    </cfRule>
  </conditionalFormatting>
  <conditionalFormatting sqref="C106">
    <cfRule type="cellIs" dxfId="8011" priority="4409" stopIfTrue="1" operator="equal">
      <formula>"Towel"</formula>
    </cfRule>
    <cfRule type="cellIs" dxfId="8010" priority="4410" stopIfTrue="1" operator="equal">
      <formula>"Napkin Hs"</formula>
    </cfRule>
  </conditionalFormatting>
  <conditionalFormatting sqref="B106:C106">
    <cfRule type="cellIs" dxfId="8009" priority="4406" stopIfTrue="1" operator="equal">
      <formula>"Napkin Hs"</formula>
    </cfRule>
  </conditionalFormatting>
  <conditionalFormatting sqref="B106:C106">
    <cfRule type="cellIs" dxfId="8008" priority="4405" stopIfTrue="1" operator="equal">
      <formula>"Towel"</formula>
    </cfRule>
  </conditionalFormatting>
  <conditionalFormatting sqref="C106">
    <cfRule type="cellIs" dxfId="8007" priority="4404" stopIfTrue="1" operator="equal">
      <formula>"Napkin Hs"</formula>
    </cfRule>
  </conditionalFormatting>
  <conditionalFormatting sqref="C106">
    <cfRule type="cellIs" dxfId="8006" priority="4403" stopIfTrue="1" operator="equal">
      <formula>"Towel"</formula>
    </cfRule>
  </conditionalFormatting>
  <conditionalFormatting sqref="C106">
    <cfRule type="cellIs" dxfId="8005" priority="4401" stopIfTrue="1" operator="equal">
      <formula>"Towel"</formula>
    </cfRule>
    <cfRule type="cellIs" dxfId="8004" priority="4402" stopIfTrue="1" operator="equal">
      <formula>"Napkin Hs"</formula>
    </cfRule>
  </conditionalFormatting>
  <conditionalFormatting sqref="B106:C106">
    <cfRule type="cellIs" dxfId="8003" priority="4399" stopIfTrue="1" operator="equal">
      <formula>"Towel"</formula>
    </cfRule>
    <cfRule type="cellIs" dxfId="8002" priority="4400" stopIfTrue="1" operator="equal">
      <formula>"Napkin Hs"</formula>
    </cfRule>
  </conditionalFormatting>
  <conditionalFormatting sqref="C106">
    <cfRule type="cellIs" dxfId="8001" priority="4397" stopIfTrue="1" operator="equal">
      <formula>"Towel"</formula>
    </cfRule>
    <cfRule type="cellIs" dxfId="8000" priority="4398" stopIfTrue="1" operator="equal">
      <formula>"Napkin Hs"</formula>
    </cfRule>
  </conditionalFormatting>
  <conditionalFormatting sqref="C106">
    <cfRule type="cellIs" dxfId="7999" priority="4395" stopIfTrue="1" operator="equal">
      <formula>"Towel"</formula>
    </cfRule>
    <cfRule type="cellIs" dxfId="7998" priority="4396" stopIfTrue="1" operator="equal">
      <formula>"Napkin Hs"</formula>
    </cfRule>
  </conditionalFormatting>
  <conditionalFormatting sqref="B106:C106">
    <cfRule type="cellIs" dxfId="7997" priority="4393" stopIfTrue="1" operator="equal">
      <formula>"Towel"</formula>
    </cfRule>
    <cfRule type="cellIs" dxfId="7996" priority="4394" stopIfTrue="1" operator="equal">
      <formula>"Napkin Hs"</formula>
    </cfRule>
  </conditionalFormatting>
  <conditionalFormatting sqref="C106">
    <cfRule type="cellIs" dxfId="7995" priority="4391" stopIfTrue="1" operator="equal">
      <formula>"Towel"</formula>
    </cfRule>
    <cfRule type="cellIs" dxfId="7994" priority="4392" stopIfTrue="1" operator="equal">
      <formula>"Napkin Hs"</formula>
    </cfRule>
  </conditionalFormatting>
  <conditionalFormatting sqref="C106">
    <cfRule type="cellIs" dxfId="7993" priority="4389" stopIfTrue="1" operator="equal">
      <formula>"Towel"</formula>
    </cfRule>
    <cfRule type="cellIs" dxfId="7992" priority="4390" stopIfTrue="1" operator="equal">
      <formula>"Napkin Hs"</formula>
    </cfRule>
  </conditionalFormatting>
  <conditionalFormatting sqref="B106:C106">
    <cfRule type="cellIs" dxfId="7991" priority="4387" stopIfTrue="1" operator="equal">
      <formula>"Towel"</formula>
    </cfRule>
    <cfRule type="cellIs" dxfId="7990" priority="4388" stopIfTrue="1" operator="equal">
      <formula>"Napkin Hs"</formula>
    </cfRule>
  </conditionalFormatting>
  <conditionalFormatting sqref="C106">
    <cfRule type="cellIs" dxfId="7989" priority="4385" stopIfTrue="1" operator="equal">
      <formula>"Towel"</formula>
    </cfRule>
    <cfRule type="cellIs" dxfId="7988" priority="4386" stopIfTrue="1" operator="equal">
      <formula>"Napkin Hs"</formula>
    </cfRule>
  </conditionalFormatting>
  <conditionalFormatting sqref="C106">
    <cfRule type="cellIs" dxfId="7987" priority="4383" stopIfTrue="1" operator="equal">
      <formula>"Towel"</formula>
    </cfRule>
    <cfRule type="cellIs" dxfId="7986" priority="4384" stopIfTrue="1" operator="equal">
      <formula>"Napkin Hs"</formula>
    </cfRule>
  </conditionalFormatting>
  <conditionalFormatting sqref="B106:C106">
    <cfRule type="cellIs" dxfId="7985" priority="4381" stopIfTrue="1" operator="equal">
      <formula>"Towel"</formula>
    </cfRule>
    <cfRule type="cellIs" dxfId="7984" priority="4382" stopIfTrue="1" operator="equal">
      <formula>"Napkin Hs"</formula>
    </cfRule>
  </conditionalFormatting>
  <conditionalFormatting sqref="C106">
    <cfRule type="cellIs" dxfId="7983" priority="4379" stopIfTrue="1" operator="equal">
      <formula>"Towel"</formula>
    </cfRule>
    <cfRule type="cellIs" dxfId="7982" priority="4380" stopIfTrue="1" operator="equal">
      <formula>"Napkin Hs"</formula>
    </cfRule>
  </conditionalFormatting>
  <conditionalFormatting sqref="C106">
    <cfRule type="cellIs" dxfId="7981" priority="4377" stopIfTrue="1" operator="equal">
      <formula>"Towel"</formula>
    </cfRule>
    <cfRule type="cellIs" dxfId="7980" priority="4378" stopIfTrue="1" operator="equal">
      <formula>"Napkin Hs"</formula>
    </cfRule>
  </conditionalFormatting>
  <conditionalFormatting sqref="B106:C106">
    <cfRule type="cellIs" dxfId="7979" priority="4375" stopIfTrue="1" operator="equal">
      <formula>"Towel"</formula>
    </cfRule>
    <cfRule type="cellIs" dxfId="7978" priority="4376" stopIfTrue="1" operator="equal">
      <formula>"Napkin Hs"</formula>
    </cfRule>
  </conditionalFormatting>
  <conditionalFormatting sqref="C106">
    <cfRule type="cellIs" dxfId="7977" priority="4373" stopIfTrue="1" operator="equal">
      <formula>"Towel"</formula>
    </cfRule>
    <cfRule type="cellIs" dxfId="7976" priority="4374" stopIfTrue="1" operator="equal">
      <formula>"Napkin Hs"</formula>
    </cfRule>
  </conditionalFormatting>
  <conditionalFormatting sqref="C106">
    <cfRule type="cellIs" dxfId="7975" priority="4371" stopIfTrue="1" operator="equal">
      <formula>"Towel"</formula>
    </cfRule>
    <cfRule type="cellIs" dxfId="7974" priority="4372" stopIfTrue="1" operator="equal">
      <formula>"Napkin Hs"</formula>
    </cfRule>
  </conditionalFormatting>
  <conditionalFormatting sqref="B106:C106">
    <cfRule type="cellIs" dxfId="7973" priority="4370" stopIfTrue="1" operator="equal">
      <formula>"Napkin Hs"</formula>
    </cfRule>
  </conditionalFormatting>
  <conditionalFormatting sqref="B106:C106">
    <cfRule type="cellIs" dxfId="7972" priority="4369" stopIfTrue="1" operator="equal">
      <formula>"Towel"</formula>
    </cfRule>
  </conditionalFormatting>
  <conditionalFormatting sqref="C106">
    <cfRule type="cellIs" dxfId="7971" priority="4368" stopIfTrue="1" operator="equal">
      <formula>"Napkin Hs"</formula>
    </cfRule>
  </conditionalFormatting>
  <conditionalFormatting sqref="C106">
    <cfRule type="cellIs" dxfId="7970" priority="4365" stopIfTrue="1" operator="equal">
      <formula>"Towel"</formula>
    </cfRule>
    <cfRule type="cellIs" dxfId="7969" priority="4366" stopIfTrue="1" operator="equal">
      <formula>"Napkin Hs"</formula>
    </cfRule>
  </conditionalFormatting>
  <conditionalFormatting sqref="C106">
    <cfRule type="cellIs" dxfId="7968" priority="4367" stopIfTrue="1" operator="equal">
      <formula>"Towel"</formula>
    </cfRule>
  </conditionalFormatting>
  <conditionalFormatting sqref="B107:C108">
    <cfRule type="cellIs" dxfId="7967" priority="4364" stopIfTrue="1" operator="equal">
      <formula>"Napkin Hs"</formula>
    </cfRule>
  </conditionalFormatting>
  <conditionalFormatting sqref="B107:C108">
    <cfRule type="cellIs" dxfId="7966" priority="4363" stopIfTrue="1" operator="equal">
      <formula>"Towel"</formula>
    </cfRule>
  </conditionalFormatting>
  <conditionalFormatting sqref="C107:C108">
    <cfRule type="cellIs" dxfId="7965" priority="4362" stopIfTrue="1" operator="equal">
      <formula>"Napkin Hs"</formula>
    </cfRule>
  </conditionalFormatting>
  <conditionalFormatting sqref="C107:C108">
    <cfRule type="cellIs" dxfId="7964" priority="4361" stopIfTrue="1" operator="equal">
      <formula>"Towel"</formula>
    </cfRule>
  </conditionalFormatting>
  <conditionalFormatting sqref="C107:C108">
    <cfRule type="cellIs" dxfId="7963" priority="4359" stopIfTrue="1" operator="equal">
      <formula>"Towel"</formula>
    </cfRule>
    <cfRule type="cellIs" dxfId="7962" priority="4360" stopIfTrue="1" operator="equal">
      <formula>"Napkin Hs"</formula>
    </cfRule>
  </conditionalFormatting>
  <conditionalFormatting sqref="B107:C108">
    <cfRule type="cellIs" dxfId="7961" priority="4357" stopIfTrue="1" operator="equal">
      <formula>"Towel"</formula>
    </cfRule>
    <cfRule type="cellIs" dxfId="7960" priority="4358" stopIfTrue="1" operator="equal">
      <formula>"Napkin Hs"</formula>
    </cfRule>
  </conditionalFormatting>
  <conditionalFormatting sqref="C107:C108">
    <cfRule type="cellIs" dxfId="7959" priority="4353" stopIfTrue="1" operator="equal">
      <formula>"Towel"</formula>
    </cfRule>
    <cfRule type="cellIs" dxfId="7958" priority="4354" stopIfTrue="1" operator="equal">
      <formula>"Napkin Hs"</formula>
    </cfRule>
  </conditionalFormatting>
  <conditionalFormatting sqref="C107:C108">
    <cfRule type="cellIs" dxfId="7957" priority="4355" stopIfTrue="1" operator="equal">
      <formula>"Towel"</formula>
    </cfRule>
    <cfRule type="cellIs" dxfId="7956" priority="4356" stopIfTrue="1" operator="equal">
      <formula>"Napkin Hs"</formula>
    </cfRule>
  </conditionalFormatting>
  <conditionalFormatting sqref="B107:C108">
    <cfRule type="cellIs" dxfId="7955" priority="4352" stopIfTrue="1" operator="equal">
      <formula>"Napkin Hs"</formula>
    </cfRule>
  </conditionalFormatting>
  <conditionalFormatting sqref="B107:C108">
    <cfRule type="cellIs" dxfId="7954" priority="4351" stopIfTrue="1" operator="equal">
      <formula>"Towel"</formula>
    </cfRule>
  </conditionalFormatting>
  <conditionalFormatting sqref="C107:C108">
    <cfRule type="cellIs" dxfId="7953" priority="4350" stopIfTrue="1" operator="equal">
      <formula>"Napkin Hs"</formula>
    </cfRule>
  </conditionalFormatting>
  <conditionalFormatting sqref="C107:C108">
    <cfRule type="cellIs" dxfId="7952" priority="4349" stopIfTrue="1" operator="equal">
      <formula>"Towel"</formula>
    </cfRule>
  </conditionalFormatting>
  <conditionalFormatting sqref="C107:C108">
    <cfRule type="cellIs" dxfId="7951" priority="4347" stopIfTrue="1" operator="equal">
      <formula>"Towel"</formula>
    </cfRule>
    <cfRule type="cellIs" dxfId="7950" priority="4348" stopIfTrue="1" operator="equal">
      <formula>"Napkin Hs"</formula>
    </cfRule>
  </conditionalFormatting>
  <conditionalFormatting sqref="B107:C108">
    <cfRule type="cellIs" dxfId="7949" priority="4345" stopIfTrue="1" operator="equal">
      <formula>"Towel"</formula>
    </cfRule>
    <cfRule type="cellIs" dxfId="7948" priority="4346" stopIfTrue="1" operator="equal">
      <formula>"Napkin Hs"</formula>
    </cfRule>
  </conditionalFormatting>
  <conditionalFormatting sqref="C107:C108">
    <cfRule type="cellIs" dxfId="7947" priority="4343" stopIfTrue="1" operator="equal">
      <formula>"Towel"</formula>
    </cfRule>
    <cfRule type="cellIs" dxfId="7946" priority="4344" stopIfTrue="1" operator="equal">
      <formula>"Napkin Hs"</formula>
    </cfRule>
  </conditionalFormatting>
  <conditionalFormatting sqref="C107:C108">
    <cfRule type="cellIs" dxfId="7945" priority="4341" stopIfTrue="1" operator="equal">
      <formula>"Towel"</formula>
    </cfRule>
    <cfRule type="cellIs" dxfId="7944" priority="4342" stopIfTrue="1" operator="equal">
      <formula>"Napkin Hs"</formula>
    </cfRule>
  </conditionalFormatting>
  <conditionalFormatting sqref="B107:C108">
    <cfRule type="cellIs" dxfId="7943" priority="4339" stopIfTrue="1" operator="equal">
      <formula>"Towel"</formula>
    </cfRule>
    <cfRule type="cellIs" dxfId="7942" priority="4340" stopIfTrue="1" operator="equal">
      <formula>"Napkin Hs"</formula>
    </cfRule>
  </conditionalFormatting>
  <conditionalFormatting sqref="C107:C108">
    <cfRule type="cellIs" dxfId="7941" priority="4337" stopIfTrue="1" operator="equal">
      <formula>"Towel"</formula>
    </cfRule>
    <cfRule type="cellIs" dxfId="7940" priority="4338" stopIfTrue="1" operator="equal">
      <formula>"Napkin Hs"</formula>
    </cfRule>
  </conditionalFormatting>
  <conditionalFormatting sqref="C107:C108">
    <cfRule type="cellIs" dxfId="7939" priority="4335" stopIfTrue="1" operator="equal">
      <formula>"Towel"</formula>
    </cfRule>
    <cfRule type="cellIs" dxfId="7938" priority="4336" stopIfTrue="1" operator="equal">
      <formula>"Napkin Hs"</formula>
    </cfRule>
  </conditionalFormatting>
  <conditionalFormatting sqref="B107:C108">
    <cfRule type="cellIs" dxfId="7937" priority="4333" stopIfTrue="1" operator="equal">
      <formula>"Towel"</formula>
    </cfRule>
    <cfRule type="cellIs" dxfId="7936" priority="4334" stopIfTrue="1" operator="equal">
      <formula>"Napkin Hs"</formula>
    </cfRule>
  </conditionalFormatting>
  <conditionalFormatting sqref="C107:C108">
    <cfRule type="cellIs" dxfId="7935" priority="4331" stopIfTrue="1" operator="equal">
      <formula>"Towel"</formula>
    </cfRule>
    <cfRule type="cellIs" dxfId="7934" priority="4332" stopIfTrue="1" operator="equal">
      <formula>"Napkin Hs"</formula>
    </cfRule>
  </conditionalFormatting>
  <conditionalFormatting sqref="C107:C108">
    <cfRule type="cellIs" dxfId="7933" priority="4329" stopIfTrue="1" operator="equal">
      <formula>"Towel"</formula>
    </cfRule>
    <cfRule type="cellIs" dxfId="7932" priority="4330" stopIfTrue="1" operator="equal">
      <formula>"Napkin Hs"</formula>
    </cfRule>
  </conditionalFormatting>
  <conditionalFormatting sqref="B107:C108">
    <cfRule type="cellIs" dxfId="7931" priority="4327" stopIfTrue="1" operator="equal">
      <formula>"Towel"</formula>
    </cfRule>
    <cfRule type="cellIs" dxfId="7930" priority="4328" stopIfTrue="1" operator="equal">
      <formula>"Napkin Hs"</formula>
    </cfRule>
  </conditionalFormatting>
  <conditionalFormatting sqref="C107:C108">
    <cfRule type="cellIs" dxfId="7929" priority="4325" stopIfTrue="1" operator="equal">
      <formula>"Towel"</formula>
    </cfRule>
    <cfRule type="cellIs" dxfId="7928" priority="4326" stopIfTrue="1" operator="equal">
      <formula>"Napkin Hs"</formula>
    </cfRule>
  </conditionalFormatting>
  <conditionalFormatting sqref="C107:C108">
    <cfRule type="cellIs" dxfId="7927" priority="4323" stopIfTrue="1" operator="equal">
      <formula>"Towel"</formula>
    </cfRule>
    <cfRule type="cellIs" dxfId="7926" priority="4324" stopIfTrue="1" operator="equal">
      <formula>"Napkin Hs"</formula>
    </cfRule>
  </conditionalFormatting>
  <conditionalFormatting sqref="B107:C108">
    <cfRule type="cellIs" dxfId="7925" priority="4321" stopIfTrue="1" operator="equal">
      <formula>"Towel"</formula>
    </cfRule>
    <cfRule type="cellIs" dxfId="7924" priority="4322" stopIfTrue="1" operator="equal">
      <formula>"Napkin Hs"</formula>
    </cfRule>
  </conditionalFormatting>
  <conditionalFormatting sqref="C107:C108">
    <cfRule type="cellIs" dxfId="7923" priority="4319" stopIfTrue="1" operator="equal">
      <formula>"Towel"</formula>
    </cfRule>
    <cfRule type="cellIs" dxfId="7922" priority="4320" stopIfTrue="1" operator="equal">
      <formula>"Napkin Hs"</formula>
    </cfRule>
  </conditionalFormatting>
  <conditionalFormatting sqref="C107:C108">
    <cfRule type="cellIs" dxfId="7921" priority="4317" stopIfTrue="1" operator="equal">
      <formula>"Towel"</formula>
    </cfRule>
    <cfRule type="cellIs" dxfId="7920" priority="4318" stopIfTrue="1" operator="equal">
      <formula>"Napkin Hs"</formula>
    </cfRule>
  </conditionalFormatting>
  <conditionalFormatting sqref="B107:C108">
    <cfRule type="cellIs" dxfId="7919" priority="4316" stopIfTrue="1" operator="equal">
      <formula>"Napkin Hs"</formula>
    </cfRule>
  </conditionalFormatting>
  <conditionalFormatting sqref="B107:C108">
    <cfRule type="cellIs" dxfId="7918" priority="4315" stopIfTrue="1" operator="equal">
      <formula>"Towel"</formula>
    </cfRule>
  </conditionalFormatting>
  <conditionalFormatting sqref="C107:C108">
    <cfRule type="cellIs" dxfId="7917" priority="4314" stopIfTrue="1" operator="equal">
      <formula>"Napkin Hs"</formula>
    </cfRule>
  </conditionalFormatting>
  <conditionalFormatting sqref="C107:C108">
    <cfRule type="cellIs" dxfId="7916" priority="4311" stopIfTrue="1" operator="equal">
      <formula>"Towel"</formula>
    </cfRule>
    <cfRule type="cellIs" dxfId="7915" priority="4312" stopIfTrue="1" operator="equal">
      <formula>"Napkin Hs"</formula>
    </cfRule>
  </conditionalFormatting>
  <conditionalFormatting sqref="C107:C108">
    <cfRule type="cellIs" dxfId="7914" priority="4313" stopIfTrue="1" operator="equal">
      <formula>"Towel"</formula>
    </cfRule>
  </conditionalFormatting>
  <conditionalFormatting sqref="B108:C108">
    <cfRule type="cellIs" dxfId="7913" priority="4310" stopIfTrue="1" operator="equal">
      <formula>"Napkin Hs"</formula>
    </cfRule>
  </conditionalFormatting>
  <conditionalFormatting sqref="B108:C108">
    <cfRule type="cellIs" dxfId="7912" priority="4309" stopIfTrue="1" operator="equal">
      <formula>"Towel"</formula>
    </cfRule>
  </conditionalFormatting>
  <conditionalFormatting sqref="C108">
    <cfRule type="cellIs" dxfId="7911" priority="4308" stopIfTrue="1" operator="equal">
      <formula>"Napkin Hs"</formula>
    </cfRule>
  </conditionalFormatting>
  <conditionalFormatting sqref="C108">
    <cfRule type="cellIs" dxfId="7910" priority="4305" stopIfTrue="1" operator="equal">
      <formula>"Towel"</formula>
    </cfRule>
    <cfRule type="cellIs" dxfId="7909" priority="4306" stopIfTrue="1" operator="equal">
      <formula>"Napkin Hs"</formula>
    </cfRule>
  </conditionalFormatting>
  <conditionalFormatting sqref="C108">
    <cfRule type="cellIs" dxfId="7908" priority="4307" stopIfTrue="1" operator="equal">
      <formula>"Towel"</formula>
    </cfRule>
  </conditionalFormatting>
  <conditionalFormatting sqref="B107:C107">
    <cfRule type="cellIs" dxfId="7907" priority="4304" stopIfTrue="1" operator="equal">
      <formula>"Napkin Hs"</formula>
    </cfRule>
  </conditionalFormatting>
  <conditionalFormatting sqref="B107:C107">
    <cfRule type="cellIs" dxfId="7906" priority="4303" stopIfTrue="1" operator="equal">
      <formula>"Towel"</formula>
    </cfRule>
  </conditionalFormatting>
  <conditionalFormatting sqref="C107">
    <cfRule type="cellIs" dxfId="7905" priority="4302" stopIfTrue="1" operator="equal">
      <formula>"Napkin Hs"</formula>
    </cfRule>
  </conditionalFormatting>
  <conditionalFormatting sqref="C107">
    <cfRule type="cellIs" dxfId="7904" priority="4299" stopIfTrue="1" operator="equal">
      <formula>"Towel"</formula>
    </cfRule>
    <cfRule type="cellIs" dxfId="7903" priority="4300" stopIfTrue="1" operator="equal">
      <formula>"Napkin Hs"</formula>
    </cfRule>
  </conditionalFormatting>
  <conditionalFormatting sqref="C107">
    <cfRule type="cellIs" dxfId="7902" priority="4301" stopIfTrue="1" operator="equal">
      <formula>"Towel"</formula>
    </cfRule>
  </conditionalFormatting>
  <conditionalFormatting sqref="B107">
    <cfRule type="cellIs" dxfId="7901" priority="4298" stopIfTrue="1" operator="equal">
      <formula>"Napkin Hs"</formula>
    </cfRule>
  </conditionalFormatting>
  <conditionalFormatting sqref="B107">
    <cfRule type="cellIs" dxfId="7900" priority="4297" stopIfTrue="1" operator="equal">
      <formula>"Towel"</formula>
    </cfRule>
  </conditionalFormatting>
  <conditionalFormatting sqref="C107">
    <cfRule type="cellIs" dxfId="7899" priority="4296" stopIfTrue="1" operator="equal">
      <formula>"Napkin Hs"</formula>
    </cfRule>
  </conditionalFormatting>
  <conditionalFormatting sqref="C107">
    <cfRule type="cellIs" dxfId="7898" priority="4295" stopIfTrue="1" operator="equal">
      <formula>"Towel"</formula>
    </cfRule>
  </conditionalFormatting>
  <conditionalFormatting sqref="C107">
    <cfRule type="cellIs" dxfId="7897" priority="4294" stopIfTrue="1" operator="equal">
      <formula>"Napkin Hs"</formula>
    </cfRule>
  </conditionalFormatting>
  <conditionalFormatting sqref="C107">
    <cfRule type="cellIs" dxfId="7896" priority="4291" stopIfTrue="1" operator="equal">
      <formula>"Towel"</formula>
    </cfRule>
    <cfRule type="cellIs" dxfId="7895" priority="4292" stopIfTrue="1" operator="equal">
      <formula>"Napkin Hs"</formula>
    </cfRule>
  </conditionalFormatting>
  <conditionalFormatting sqref="C107">
    <cfRule type="cellIs" dxfId="7894" priority="4293" stopIfTrue="1" operator="equal">
      <formula>"Towel"</formula>
    </cfRule>
  </conditionalFormatting>
  <conditionalFormatting sqref="B108:C108">
    <cfRule type="cellIs" dxfId="7893" priority="4290" stopIfTrue="1" operator="equal">
      <formula>"Napkin Hs"</formula>
    </cfRule>
  </conditionalFormatting>
  <conditionalFormatting sqref="B108:C108">
    <cfRule type="cellIs" dxfId="7892" priority="4289" stopIfTrue="1" operator="equal">
      <formula>"Towel"</formula>
    </cfRule>
  </conditionalFormatting>
  <conditionalFormatting sqref="C108">
    <cfRule type="cellIs" dxfId="7891" priority="4288" stopIfTrue="1" operator="equal">
      <formula>"Napkin Hs"</formula>
    </cfRule>
  </conditionalFormatting>
  <conditionalFormatting sqref="C108">
    <cfRule type="cellIs" dxfId="7890" priority="4285" stopIfTrue="1" operator="equal">
      <formula>"Towel"</formula>
    </cfRule>
    <cfRule type="cellIs" dxfId="7889" priority="4286" stopIfTrue="1" operator="equal">
      <formula>"Napkin Hs"</formula>
    </cfRule>
  </conditionalFormatting>
  <conditionalFormatting sqref="C108">
    <cfRule type="cellIs" dxfId="7888" priority="4287" stopIfTrue="1" operator="equal">
      <formula>"Towel"</formula>
    </cfRule>
  </conditionalFormatting>
  <conditionalFormatting sqref="B106:C106">
    <cfRule type="cellIs" dxfId="7887" priority="4284" stopIfTrue="1" operator="equal">
      <formula>"Napkin Hs"</formula>
    </cfRule>
  </conditionalFormatting>
  <conditionalFormatting sqref="B106:C106">
    <cfRule type="cellIs" dxfId="7886" priority="4283" stopIfTrue="1" operator="equal">
      <formula>"Towel"</formula>
    </cfRule>
  </conditionalFormatting>
  <conditionalFormatting sqref="C106">
    <cfRule type="cellIs" dxfId="7885" priority="4282" stopIfTrue="1" operator="equal">
      <formula>"Napkin Hs"</formula>
    </cfRule>
  </conditionalFormatting>
  <conditionalFormatting sqref="C106">
    <cfRule type="cellIs" dxfId="7884" priority="4279" stopIfTrue="1" operator="equal">
      <formula>"Towel"</formula>
    </cfRule>
    <cfRule type="cellIs" dxfId="7883" priority="4280" stopIfTrue="1" operator="equal">
      <formula>"Napkin Hs"</formula>
    </cfRule>
  </conditionalFormatting>
  <conditionalFormatting sqref="C106">
    <cfRule type="cellIs" dxfId="7882" priority="4281" stopIfTrue="1" operator="equal">
      <formula>"Towel"</formula>
    </cfRule>
  </conditionalFormatting>
  <conditionalFormatting sqref="B106:C106">
    <cfRule type="cellIs" dxfId="7881" priority="4278" stopIfTrue="1" operator="equal">
      <formula>"Napkin Hs"</formula>
    </cfRule>
  </conditionalFormatting>
  <conditionalFormatting sqref="B106:C106">
    <cfRule type="cellIs" dxfId="7880" priority="4277" stopIfTrue="1" operator="equal">
      <formula>"Towel"</formula>
    </cfRule>
  </conditionalFormatting>
  <conditionalFormatting sqref="C106">
    <cfRule type="cellIs" dxfId="7879" priority="4276" stopIfTrue="1" operator="equal">
      <formula>"Napkin Hs"</formula>
    </cfRule>
  </conditionalFormatting>
  <conditionalFormatting sqref="C106">
    <cfRule type="cellIs" dxfId="7878" priority="4273" stopIfTrue="1" operator="equal">
      <formula>"Towel"</formula>
    </cfRule>
    <cfRule type="cellIs" dxfId="7877" priority="4274" stopIfTrue="1" operator="equal">
      <formula>"Napkin Hs"</formula>
    </cfRule>
  </conditionalFormatting>
  <conditionalFormatting sqref="C106">
    <cfRule type="cellIs" dxfId="7876" priority="4275" stopIfTrue="1" operator="equal">
      <formula>"Towel"</formula>
    </cfRule>
  </conditionalFormatting>
  <conditionalFormatting sqref="B111:C111">
    <cfRule type="cellIs" dxfId="7875" priority="4260" stopIfTrue="1" operator="equal">
      <formula>"Napkin Hs"</formula>
    </cfRule>
  </conditionalFormatting>
  <conditionalFormatting sqref="B111:C111">
    <cfRule type="cellIs" dxfId="7874" priority="4259" stopIfTrue="1" operator="equal">
      <formula>"Towel"</formula>
    </cfRule>
  </conditionalFormatting>
  <conditionalFormatting sqref="C111">
    <cfRule type="cellIs" dxfId="7873" priority="4258" stopIfTrue="1" operator="equal">
      <formula>"Napkin Hs"</formula>
    </cfRule>
  </conditionalFormatting>
  <conditionalFormatting sqref="C111">
    <cfRule type="cellIs" dxfId="7872" priority="4257" stopIfTrue="1" operator="equal">
      <formula>"Towel"</formula>
    </cfRule>
  </conditionalFormatting>
  <conditionalFormatting sqref="C111">
    <cfRule type="cellIs" dxfId="7871" priority="4255" stopIfTrue="1" operator="equal">
      <formula>"Towel"</formula>
    </cfRule>
    <cfRule type="cellIs" dxfId="7870" priority="4256" stopIfTrue="1" operator="equal">
      <formula>"Napkin Hs"</formula>
    </cfRule>
  </conditionalFormatting>
  <conditionalFormatting sqref="B111:C111">
    <cfRule type="cellIs" dxfId="7869" priority="4253" stopIfTrue="1" operator="equal">
      <formula>"Towel"</formula>
    </cfRule>
    <cfRule type="cellIs" dxfId="7868" priority="4254" stopIfTrue="1" operator="equal">
      <formula>"Napkin Hs"</formula>
    </cfRule>
  </conditionalFormatting>
  <conditionalFormatting sqref="C111">
    <cfRule type="cellIs" dxfId="7867" priority="4249" stopIfTrue="1" operator="equal">
      <formula>"Towel"</formula>
    </cfRule>
    <cfRule type="cellIs" dxfId="7866" priority="4250" stopIfTrue="1" operator="equal">
      <formula>"Napkin Hs"</formula>
    </cfRule>
  </conditionalFormatting>
  <conditionalFormatting sqref="C111">
    <cfRule type="cellIs" dxfId="7865" priority="4251" stopIfTrue="1" operator="equal">
      <formula>"Towel"</formula>
    </cfRule>
    <cfRule type="cellIs" dxfId="7864" priority="4252" stopIfTrue="1" operator="equal">
      <formula>"Napkin Hs"</formula>
    </cfRule>
  </conditionalFormatting>
  <conditionalFormatting sqref="B111:C111">
    <cfRule type="cellIs" dxfId="7863" priority="4248" stopIfTrue="1" operator="equal">
      <formula>"Napkin Hs"</formula>
    </cfRule>
  </conditionalFormatting>
  <conditionalFormatting sqref="B111:C111">
    <cfRule type="cellIs" dxfId="7862" priority="4247" stopIfTrue="1" operator="equal">
      <formula>"Towel"</formula>
    </cfRule>
  </conditionalFormatting>
  <conditionalFormatting sqref="C111">
    <cfRule type="cellIs" dxfId="7861" priority="4246" stopIfTrue="1" operator="equal">
      <formula>"Napkin Hs"</formula>
    </cfRule>
  </conditionalFormatting>
  <conditionalFormatting sqref="C111">
    <cfRule type="cellIs" dxfId="7860" priority="4245" stopIfTrue="1" operator="equal">
      <formula>"Towel"</formula>
    </cfRule>
  </conditionalFormatting>
  <conditionalFormatting sqref="C111">
    <cfRule type="cellIs" dxfId="7859" priority="4243" stopIfTrue="1" operator="equal">
      <formula>"Towel"</formula>
    </cfRule>
    <cfRule type="cellIs" dxfId="7858" priority="4244" stopIfTrue="1" operator="equal">
      <formula>"Napkin Hs"</formula>
    </cfRule>
  </conditionalFormatting>
  <conditionalFormatting sqref="B111:C111">
    <cfRule type="cellIs" dxfId="7857" priority="4241" stopIfTrue="1" operator="equal">
      <formula>"Towel"</formula>
    </cfRule>
    <cfRule type="cellIs" dxfId="7856" priority="4242" stopIfTrue="1" operator="equal">
      <formula>"Napkin Hs"</formula>
    </cfRule>
  </conditionalFormatting>
  <conditionalFormatting sqref="C111">
    <cfRule type="cellIs" dxfId="7855" priority="4239" stopIfTrue="1" operator="equal">
      <formula>"Towel"</formula>
    </cfRule>
    <cfRule type="cellIs" dxfId="7854" priority="4240" stopIfTrue="1" operator="equal">
      <formula>"Napkin Hs"</formula>
    </cfRule>
  </conditionalFormatting>
  <conditionalFormatting sqref="C111">
    <cfRule type="cellIs" dxfId="7853" priority="4237" stopIfTrue="1" operator="equal">
      <formula>"Towel"</formula>
    </cfRule>
    <cfRule type="cellIs" dxfId="7852" priority="4238" stopIfTrue="1" operator="equal">
      <formula>"Napkin Hs"</formula>
    </cfRule>
  </conditionalFormatting>
  <conditionalFormatting sqref="B111:C111">
    <cfRule type="cellIs" dxfId="7851" priority="4235" stopIfTrue="1" operator="equal">
      <formula>"Towel"</formula>
    </cfRule>
    <cfRule type="cellIs" dxfId="7850" priority="4236" stopIfTrue="1" operator="equal">
      <formula>"Napkin Hs"</formula>
    </cfRule>
  </conditionalFormatting>
  <conditionalFormatting sqref="C111">
    <cfRule type="cellIs" dxfId="7849" priority="4233" stopIfTrue="1" operator="equal">
      <formula>"Towel"</formula>
    </cfRule>
    <cfRule type="cellIs" dxfId="7848" priority="4234" stopIfTrue="1" operator="equal">
      <formula>"Napkin Hs"</formula>
    </cfRule>
  </conditionalFormatting>
  <conditionalFormatting sqref="C111">
    <cfRule type="cellIs" dxfId="7847" priority="4231" stopIfTrue="1" operator="equal">
      <formula>"Towel"</formula>
    </cfRule>
    <cfRule type="cellIs" dxfId="7846" priority="4232" stopIfTrue="1" operator="equal">
      <formula>"Napkin Hs"</formula>
    </cfRule>
  </conditionalFormatting>
  <conditionalFormatting sqref="B111:C111">
    <cfRule type="cellIs" dxfId="7845" priority="4229" stopIfTrue="1" operator="equal">
      <formula>"Towel"</formula>
    </cfRule>
    <cfRule type="cellIs" dxfId="7844" priority="4230" stopIfTrue="1" operator="equal">
      <formula>"Napkin Hs"</formula>
    </cfRule>
  </conditionalFormatting>
  <conditionalFormatting sqref="C111">
    <cfRule type="cellIs" dxfId="7843" priority="4227" stopIfTrue="1" operator="equal">
      <formula>"Towel"</formula>
    </cfRule>
    <cfRule type="cellIs" dxfId="7842" priority="4228" stopIfTrue="1" operator="equal">
      <formula>"Napkin Hs"</formula>
    </cfRule>
  </conditionalFormatting>
  <conditionalFormatting sqref="C111">
    <cfRule type="cellIs" dxfId="7841" priority="4225" stopIfTrue="1" operator="equal">
      <formula>"Towel"</formula>
    </cfRule>
    <cfRule type="cellIs" dxfId="7840" priority="4226" stopIfTrue="1" operator="equal">
      <formula>"Napkin Hs"</formula>
    </cfRule>
  </conditionalFormatting>
  <conditionalFormatting sqref="B111:C111">
    <cfRule type="cellIs" dxfId="7839" priority="4223" stopIfTrue="1" operator="equal">
      <formula>"Towel"</formula>
    </cfRule>
    <cfRule type="cellIs" dxfId="7838" priority="4224" stopIfTrue="1" operator="equal">
      <formula>"Napkin Hs"</formula>
    </cfRule>
  </conditionalFormatting>
  <conditionalFormatting sqref="C111">
    <cfRule type="cellIs" dxfId="7837" priority="4221" stopIfTrue="1" operator="equal">
      <formula>"Towel"</formula>
    </cfRule>
    <cfRule type="cellIs" dxfId="7836" priority="4222" stopIfTrue="1" operator="equal">
      <formula>"Napkin Hs"</formula>
    </cfRule>
  </conditionalFormatting>
  <conditionalFormatting sqref="C111">
    <cfRule type="cellIs" dxfId="7835" priority="4219" stopIfTrue="1" operator="equal">
      <formula>"Towel"</formula>
    </cfRule>
    <cfRule type="cellIs" dxfId="7834" priority="4220" stopIfTrue="1" operator="equal">
      <formula>"Napkin Hs"</formula>
    </cfRule>
  </conditionalFormatting>
  <conditionalFormatting sqref="B111:C111">
    <cfRule type="cellIs" dxfId="7833" priority="4217" stopIfTrue="1" operator="equal">
      <formula>"Towel"</formula>
    </cfRule>
    <cfRule type="cellIs" dxfId="7832" priority="4218" stopIfTrue="1" operator="equal">
      <formula>"Napkin Hs"</formula>
    </cfRule>
  </conditionalFormatting>
  <conditionalFormatting sqref="C111">
    <cfRule type="cellIs" dxfId="7831" priority="4215" stopIfTrue="1" operator="equal">
      <formula>"Towel"</formula>
    </cfRule>
    <cfRule type="cellIs" dxfId="7830" priority="4216" stopIfTrue="1" operator="equal">
      <formula>"Napkin Hs"</formula>
    </cfRule>
  </conditionalFormatting>
  <conditionalFormatting sqref="C111">
    <cfRule type="cellIs" dxfId="7829" priority="4213" stopIfTrue="1" operator="equal">
      <formula>"Towel"</formula>
    </cfRule>
    <cfRule type="cellIs" dxfId="7828" priority="4214" stopIfTrue="1" operator="equal">
      <formula>"Napkin Hs"</formula>
    </cfRule>
  </conditionalFormatting>
  <conditionalFormatting sqref="B111:C111">
    <cfRule type="cellIs" dxfId="7827" priority="4212" stopIfTrue="1" operator="equal">
      <formula>"Napkin Hs"</formula>
    </cfRule>
  </conditionalFormatting>
  <conditionalFormatting sqref="B111:C111">
    <cfRule type="cellIs" dxfId="7826" priority="4211" stopIfTrue="1" operator="equal">
      <formula>"Towel"</formula>
    </cfRule>
  </conditionalFormatting>
  <conditionalFormatting sqref="C111">
    <cfRule type="cellIs" dxfId="7825" priority="4210" stopIfTrue="1" operator="equal">
      <formula>"Napkin Hs"</formula>
    </cfRule>
  </conditionalFormatting>
  <conditionalFormatting sqref="C111">
    <cfRule type="cellIs" dxfId="7824" priority="4207" stopIfTrue="1" operator="equal">
      <formula>"Towel"</formula>
    </cfRule>
    <cfRule type="cellIs" dxfId="7823" priority="4208" stopIfTrue="1" operator="equal">
      <formula>"Napkin Hs"</formula>
    </cfRule>
  </conditionalFormatting>
  <conditionalFormatting sqref="C111">
    <cfRule type="cellIs" dxfId="7822" priority="4209" stopIfTrue="1" operator="equal">
      <formula>"Towel"</formula>
    </cfRule>
  </conditionalFormatting>
  <conditionalFormatting sqref="B113:C113">
    <cfRule type="cellIs" dxfId="7821" priority="4206" stopIfTrue="1" operator="equal">
      <formula>"Napkin Hs"</formula>
    </cfRule>
  </conditionalFormatting>
  <conditionalFormatting sqref="B113:C113">
    <cfRule type="cellIs" dxfId="7820" priority="4205" stopIfTrue="1" operator="equal">
      <formula>"Towel"</formula>
    </cfRule>
  </conditionalFormatting>
  <conditionalFormatting sqref="C113">
    <cfRule type="cellIs" dxfId="7819" priority="4204" stopIfTrue="1" operator="equal">
      <formula>"Napkin Hs"</formula>
    </cfRule>
  </conditionalFormatting>
  <conditionalFormatting sqref="C113">
    <cfRule type="cellIs" dxfId="7818" priority="4203" stopIfTrue="1" operator="equal">
      <formula>"Towel"</formula>
    </cfRule>
  </conditionalFormatting>
  <conditionalFormatting sqref="C113">
    <cfRule type="cellIs" dxfId="7817" priority="4201" stopIfTrue="1" operator="equal">
      <formula>"Towel"</formula>
    </cfRule>
    <cfRule type="cellIs" dxfId="7816" priority="4202" stopIfTrue="1" operator="equal">
      <formula>"Napkin Hs"</formula>
    </cfRule>
  </conditionalFormatting>
  <conditionalFormatting sqref="B113:C113">
    <cfRule type="cellIs" dxfId="7815" priority="4199" stopIfTrue="1" operator="equal">
      <formula>"Towel"</formula>
    </cfRule>
    <cfRule type="cellIs" dxfId="7814" priority="4200" stopIfTrue="1" operator="equal">
      <formula>"Napkin Hs"</formula>
    </cfRule>
  </conditionalFormatting>
  <conditionalFormatting sqref="C113">
    <cfRule type="cellIs" dxfId="7813" priority="4195" stopIfTrue="1" operator="equal">
      <formula>"Towel"</formula>
    </cfRule>
    <cfRule type="cellIs" dxfId="7812" priority="4196" stopIfTrue="1" operator="equal">
      <formula>"Napkin Hs"</formula>
    </cfRule>
  </conditionalFormatting>
  <conditionalFormatting sqref="C113">
    <cfRule type="cellIs" dxfId="7811" priority="4197" stopIfTrue="1" operator="equal">
      <formula>"Towel"</formula>
    </cfRule>
    <cfRule type="cellIs" dxfId="7810" priority="4198" stopIfTrue="1" operator="equal">
      <formula>"Napkin Hs"</formula>
    </cfRule>
  </conditionalFormatting>
  <conditionalFormatting sqref="B113:C113">
    <cfRule type="cellIs" dxfId="7809" priority="4194" stopIfTrue="1" operator="equal">
      <formula>"Napkin Hs"</formula>
    </cfRule>
  </conditionalFormatting>
  <conditionalFormatting sqref="B113:C113">
    <cfRule type="cellIs" dxfId="7808" priority="4193" stopIfTrue="1" operator="equal">
      <formula>"Towel"</formula>
    </cfRule>
  </conditionalFormatting>
  <conditionalFormatting sqref="C113">
    <cfRule type="cellIs" dxfId="7807" priority="4192" stopIfTrue="1" operator="equal">
      <formula>"Napkin Hs"</formula>
    </cfRule>
  </conditionalFormatting>
  <conditionalFormatting sqref="C113">
    <cfRule type="cellIs" dxfId="7806" priority="4191" stopIfTrue="1" operator="equal">
      <formula>"Towel"</formula>
    </cfRule>
  </conditionalFormatting>
  <conditionalFormatting sqref="C113">
    <cfRule type="cellIs" dxfId="7805" priority="4189" stopIfTrue="1" operator="equal">
      <formula>"Towel"</formula>
    </cfRule>
    <cfRule type="cellIs" dxfId="7804" priority="4190" stopIfTrue="1" operator="equal">
      <formula>"Napkin Hs"</formula>
    </cfRule>
  </conditionalFormatting>
  <conditionalFormatting sqref="B113:C113">
    <cfRule type="cellIs" dxfId="7803" priority="4187" stopIfTrue="1" operator="equal">
      <formula>"Towel"</formula>
    </cfRule>
    <cfRule type="cellIs" dxfId="7802" priority="4188" stopIfTrue="1" operator="equal">
      <formula>"Napkin Hs"</formula>
    </cfRule>
  </conditionalFormatting>
  <conditionalFormatting sqref="C113">
    <cfRule type="cellIs" dxfId="7801" priority="4185" stopIfTrue="1" operator="equal">
      <formula>"Towel"</formula>
    </cfRule>
    <cfRule type="cellIs" dxfId="7800" priority="4186" stopIfTrue="1" operator="equal">
      <formula>"Napkin Hs"</formula>
    </cfRule>
  </conditionalFormatting>
  <conditionalFormatting sqref="C113">
    <cfRule type="cellIs" dxfId="7799" priority="4183" stopIfTrue="1" operator="equal">
      <formula>"Towel"</formula>
    </cfRule>
    <cfRule type="cellIs" dxfId="7798" priority="4184" stopIfTrue="1" operator="equal">
      <formula>"Napkin Hs"</formula>
    </cfRule>
  </conditionalFormatting>
  <conditionalFormatting sqref="B113:C113">
    <cfRule type="cellIs" dxfId="7797" priority="4181" stopIfTrue="1" operator="equal">
      <formula>"Towel"</formula>
    </cfRule>
    <cfRule type="cellIs" dxfId="7796" priority="4182" stopIfTrue="1" operator="equal">
      <formula>"Napkin Hs"</formula>
    </cfRule>
  </conditionalFormatting>
  <conditionalFormatting sqref="C113">
    <cfRule type="cellIs" dxfId="7795" priority="4179" stopIfTrue="1" operator="equal">
      <formula>"Towel"</formula>
    </cfRule>
    <cfRule type="cellIs" dxfId="7794" priority="4180" stopIfTrue="1" operator="equal">
      <formula>"Napkin Hs"</formula>
    </cfRule>
  </conditionalFormatting>
  <conditionalFormatting sqref="C113">
    <cfRule type="cellIs" dxfId="7793" priority="4177" stopIfTrue="1" operator="equal">
      <formula>"Towel"</formula>
    </cfRule>
    <cfRule type="cellIs" dxfId="7792" priority="4178" stopIfTrue="1" operator="equal">
      <formula>"Napkin Hs"</formula>
    </cfRule>
  </conditionalFormatting>
  <conditionalFormatting sqref="B113:C113">
    <cfRule type="cellIs" dxfId="7791" priority="4175" stopIfTrue="1" operator="equal">
      <formula>"Towel"</formula>
    </cfRule>
    <cfRule type="cellIs" dxfId="7790" priority="4176" stopIfTrue="1" operator="equal">
      <formula>"Napkin Hs"</formula>
    </cfRule>
  </conditionalFormatting>
  <conditionalFormatting sqref="C113">
    <cfRule type="cellIs" dxfId="7789" priority="4173" stopIfTrue="1" operator="equal">
      <formula>"Towel"</formula>
    </cfRule>
    <cfRule type="cellIs" dxfId="7788" priority="4174" stopIfTrue="1" operator="equal">
      <formula>"Napkin Hs"</formula>
    </cfRule>
  </conditionalFormatting>
  <conditionalFormatting sqref="C113">
    <cfRule type="cellIs" dxfId="7787" priority="4171" stopIfTrue="1" operator="equal">
      <formula>"Towel"</formula>
    </cfRule>
    <cfRule type="cellIs" dxfId="7786" priority="4172" stopIfTrue="1" operator="equal">
      <formula>"Napkin Hs"</formula>
    </cfRule>
  </conditionalFormatting>
  <conditionalFormatting sqref="B113:C113">
    <cfRule type="cellIs" dxfId="7785" priority="4169" stopIfTrue="1" operator="equal">
      <formula>"Towel"</formula>
    </cfRule>
    <cfRule type="cellIs" dxfId="7784" priority="4170" stopIfTrue="1" operator="equal">
      <formula>"Napkin Hs"</formula>
    </cfRule>
  </conditionalFormatting>
  <conditionalFormatting sqref="C113">
    <cfRule type="cellIs" dxfId="7783" priority="4167" stopIfTrue="1" operator="equal">
      <formula>"Towel"</formula>
    </cfRule>
    <cfRule type="cellIs" dxfId="7782" priority="4168" stopIfTrue="1" operator="equal">
      <formula>"Napkin Hs"</formula>
    </cfRule>
  </conditionalFormatting>
  <conditionalFormatting sqref="C113">
    <cfRule type="cellIs" dxfId="7781" priority="4165" stopIfTrue="1" operator="equal">
      <formula>"Towel"</formula>
    </cfRule>
    <cfRule type="cellIs" dxfId="7780" priority="4166" stopIfTrue="1" operator="equal">
      <formula>"Napkin Hs"</formula>
    </cfRule>
  </conditionalFormatting>
  <conditionalFormatting sqref="B113:C113">
    <cfRule type="cellIs" dxfId="7779" priority="4163" stopIfTrue="1" operator="equal">
      <formula>"Towel"</formula>
    </cfRule>
    <cfRule type="cellIs" dxfId="7778" priority="4164" stopIfTrue="1" operator="equal">
      <formula>"Napkin Hs"</formula>
    </cfRule>
  </conditionalFormatting>
  <conditionalFormatting sqref="C113">
    <cfRule type="cellIs" dxfId="7777" priority="4161" stopIfTrue="1" operator="equal">
      <formula>"Towel"</formula>
    </cfRule>
    <cfRule type="cellIs" dxfId="7776" priority="4162" stopIfTrue="1" operator="equal">
      <formula>"Napkin Hs"</formula>
    </cfRule>
  </conditionalFormatting>
  <conditionalFormatting sqref="C113">
    <cfRule type="cellIs" dxfId="7775" priority="4159" stopIfTrue="1" operator="equal">
      <formula>"Towel"</formula>
    </cfRule>
    <cfRule type="cellIs" dxfId="7774" priority="4160" stopIfTrue="1" operator="equal">
      <formula>"Napkin Hs"</formula>
    </cfRule>
  </conditionalFormatting>
  <conditionalFormatting sqref="B113:C113">
    <cfRule type="cellIs" dxfId="7773" priority="4158" stopIfTrue="1" operator="equal">
      <formula>"Napkin Hs"</formula>
    </cfRule>
  </conditionalFormatting>
  <conditionalFormatting sqref="B113:C113">
    <cfRule type="cellIs" dxfId="7772" priority="4157" stopIfTrue="1" operator="equal">
      <formula>"Towel"</formula>
    </cfRule>
  </conditionalFormatting>
  <conditionalFormatting sqref="C113">
    <cfRule type="cellIs" dxfId="7771" priority="4156" stopIfTrue="1" operator="equal">
      <formula>"Napkin Hs"</formula>
    </cfRule>
  </conditionalFormatting>
  <conditionalFormatting sqref="C113">
    <cfRule type="cellIs" dxfId="7770" priority="4153" stopIfTrue="1" operator="equal">
      <formula>"Towel"</formula>
    </cfRule>
    <cfRule type="cellIs" dxfId="7769" priority="4154" stopIfTrue="1" operator="equal">
      <formula>"Napkin Hs"</formula>
    </cfRule>
  </conditionalFormatting>
  <conditionalFormatting sqref="C113">
    <cfRule type="cellIs" dxfId="7768" priority="4155" stopIfTrue="1" operator="equal">
      <formula>"Towel"</formula>
    </cfRule>
  </conditionalFormatting>
  <conditionalFormatting sqref="B114:C115">
    <cfRule type="cellIs" dxfId="7767" priority="4152" stopIfTrue="1" operator="equal">
      <formula>"Napkin Hs"</formula>
    </cfRule>
  </conditionalFormatting>
  <conditionalFormatting sqref="B114:C115">
    <cfRule type="cellIs" dxfId="7766" priority="4151" stopIfTrue="1" operator="equal">
      <formula>"Towel"</formula>
    </cfRule>
  </conditionalFormatting>
  <conditionalFormatting sqref="C114:C115">
    <cfRule type="cellIs" dxfId="7765" priority="4150" stopIfTrue="1" operator="equal">
      <formula>"Napkin Hs"</formula>
    </cfRule>
  </conditionalFormatting>
  <conditionalFormatting sqref="C114:C115">
    <cfRule type="cellIs" dxfId="7764" priority="4149" stopIfTrue="1" operator="equal">
      <formula>"Towel"</formula>
    </cfRule>
  </conditionalFormatting>
  <conditionalFormatting sqref="C114:C115">
    <cfRule type="cellIs" dxfId="7763" priority="4147" stopIfTrue="1" operator="equal">
      <formula>"Towel"</formula>
    </cfRule>
    <cfRule type="cellIs" dxfId="7762" priority="4148" stopIfTrue="1" operator="equal">
      <formula>"Napkin Hs"</formula>
    </cfRule>
  </conditionalFormatting>
  <conditionalFormatting sqref="B114:C115">
    <cfRule type="cellIs" dxfId="7761" priority="4145" stopIfTrue="1" operator="equal">
      <formula>"Towel"</formula>
    </cfRule>
    <cfRule type="cellIs" dxfId="7760" priority="4146" stopIfTrue="1" operator="equal">
      <formula>"Napkin Hs"</formula>
    </cfRule>
  </conditionalFormatting>
  <conditionalFormatting sqref="C114:C115">
    <cfRule type="cellIs" dxfId="7759" priority="4141" stopIfTrue="1" operator="equal">
      <formula>"Towel"</formula>
    </cfRule>
    <cfRule type="cellIs" dxfId="7758" priority="4142" stopIfTrue="1" operator="equal">
      <formula>"Napkin Hs"</formula>
    </cfRule>
  </conditionalFormatting>
  <conditionalFormatting sqref="C114:C115">
    <cfRule type="cellIs" dxfId="7757" priority="4143" stopIfTrue="1" operator="equal">
      <formula>"Towel"</formula>
    </cfRule>
    <cfRule type="cellIs" dxfId="7756" priority="4144" stopIfTrue="1" operator="equal">
      <formula>"Napkin Hs"</formula>
    </cfRule>
  </conditionalFormatting>
  <conditionalFormatting sqref="B114:C115">
    <cfRule type="cellIs" dxfId="7755" priority="4140" stopIfTrue="1" operator="equal">
      <formula>"Napkin Hs"</formula>
    </cfRule>
  </conditionalFormatting>
  <conditionalFormatting sqref="B114:C115">
    <cfRule type="cellIs" dxfId="7754" priority="4139" stopIfTrue="1" operator="equal">
      <formula>"Towel"</formula>
    </cfRule>
  </conditionalFormatting>
  <conditionalFormatting sqref="C114:C115">
    <cfRule type="cellIs" dxfId="7753" priority="4138" stopIfTrue="1" operator="equal">
      <formula>"Napkin Hs"</formula>
    </cfRule>
  </conditionalFormatting>
  <conditionalFormatting sqref="C114:C115">
    <cfRule type="cellIs" dxfId="7752" priority="4137" stopIfTrue="1" operator="equal">
      <formula>"Towel"</formula>
    </cfRule>
  </conditionalFormatting>
  <conditionalFormatting sqref="C114:C115">
    <cfRule type="cellIs" dxfId="7751" priority="4135" stopIfTrue="1" operator="equal">
      <formula>"Towel"</formula>
    </cfRule>
    <cfRule type="cellIs" dxfId="7750" priority="4136" stopIfTrue="1" operator="equal">
      <formula>"Napkin Hs"</formula>
    </cfRule>
  </conditionalFormatting>
  <conditionalFormatting sqref="B114:C115">
    <cfRule type="cellIs" dxfId="7749" priority="4133" stopIfTrue="1" operator="equal">
      <formula>"Towel"</formula>
    </cfRule>
    <cfRule type="cellIs" dxfId="7748" priority="4134" stopIfTrue="1" operator="equal">
      <formula>"Napkin Hs"</formula>
    </cfRule>
  </conditionalFormatting>
  <conditionalFormatting sqref="C114:C115">
    <cfRule type="cellIs" dxfId="7747" priority="4131" stopIfTrue="1" operator="equal">
      <formula>"Towel"</formula>
    </cfRule>
    <cfRule type="cellIs" dxfId="7746" priority="4132" stopIfTrue="1" operator="equal">
      <formula>"Napkin Hs"</formula>
    </cfRule>
  </conditionalFormatting>
  <conditionalFormatting sqref="C114:C115">
    <cfRule type="cellIs" dxfId="7745" priority="4129" stopIfTrue="1" operator="equal">
      <formula>"Towel"</formula>
    </cfRule>
    <cfRule type="cellIs" dxfId="7744" priority="4130" stopIfTrue="1" operator="equal">
      <formula>"Napkin Hs"</formula>
    </cfRule>
  </conditionalFormatting>
  <conditionalFormatting sqref="B114:C115">
    <cfRule type="cellIs" dxfId="7743" priority="4127" stopIfTrue="1" operator="equal">
      <formula>"Towel"</formula>
    </cfRule>
    <cfRule type="cellIs" dxfId="7742" priority="4128" stopIfTrue="1" operator="equal">
      <formula>"Napkin Hs"</formula>
    </cfRule>
  </conditionalFormatting>
  <conditionalFormatting sqref="C114:C115">
    <cfRule type="cellIs" dxfId="7741" priority="4125" stopIfTrue="1" operator="equal">
      <formula>"Towel"</formula>
    </cfRule>
    <cfRule type="cellIs" dxfId="7740" priority="4126" stopIfTrue="1" operator="equal">
      <formula>"Napkin Hs"</formula>
    </cfRule>
  </conditionalFormatting>
  <conditionalFormatting sqref="C114:C115">
    <cfRule type="cellIs" dxfId="7739" priority="4123" stopIfTrue="1" operator="equal">
      <formula>"Towel"</formula>
    </cfRule>
    <cfRule type="cellIs" dxfId="7738" priority="4124" stopIfTrue="1" operator="equal">
      <formula>"Napkin Hs"</formula>
    </cfRule>
  </conditionalFormatting>
  <conditionalFormatting sqref="B114:C115">
    <cfRule type="cellIs" dxfId="7737" priority="4121" stopIfTrue="1" operator="equal">
      <formula>"Towel"</formula>
    </cfRule>
    <cfRule type="cellIs" dxfId="7736" priority="4122" stopIfTrue="1" operator="equal">
      <formula>"Napkin Hs"</formula>
    </cfRule>
  </conditionalFormatting>
  <conditionalFormatting sqref="C114:C115">
    <cfRule type="cellIs" dxfId="7735" priority="4119" stopIfTrue="1" operator="equal">
      <formula>"Towel"</formula>
    </cfRule>
    <cfRule type="cellIs" dxfId="7734" priority="4120" stopIfTrue="1" operator="equal">
      <formula>"Napkin Hs"</formula>
    </cfRule>
  </conditionalFormatting>
  <conditionalFormatting sqref="C114:C115">
    <cfRule type="cellIs" dxfId="7733" priority="4117" stopIfTrue="1" operator="equal">
      <formula>"Towel"</formula>
    </cfRule>
    <cfRule type="cellIs" dxfId="7732" priority="4118" stopIfTrue="1" operator="equal">
      <formula>"Napkin Hs"</formula>
    </cfRule>
  </conditionalFormatting>
  <conditionalFormatting sqref="B114:C115">
    <cfRule type="cellIs" dxfId="7731" priority="4115" stopIfTrue="1" operator="equal">
      <formula>"Towel"</formula>
    </cfRule>
    <cfRule type="cellIs" dxfId="7730" priority="4116" stopIfTrue="1" operator="equal">
      <formula>"Napkin Hs"</formula>
    </cfRule>
  </conditionalFormatting>
  <conditionalFormatting sqref="C114:C115">
    <cfRule type="cellIs" dxfId="7729" priority="4113" stopIfTrue="1" operator="equal">
      <formula>"Towel"</formula>
    </cfRule>
    <cfRule type="cellIs" dxfId="7728" priority="4114" stopIfTrue="1" operator="equal">
      <formula>"Napkin Hs"</formula>
    </cfRule>
  </conditionalFormatting>
  <conditionalFormatting sqref="C114:C115">
    <cfRule type="cellIs" dxfId="7727" priority="4111" stopIfTrue="1" operator="equal">
      <formula>"Towel"</formula>
    </cfRule>
    <cfRule type="cellIs" dxfId="7726" priority="4112" stopIfTrue="1" operator="equal">
      <formula>"Napkin Hs"</formula>
    </cfRule>
  </conditionalFormatting>
  <conditionalFormatting sqref="B114:C115">
    <cfRule type="cellIs" dxfId="7725" priority="4109" stopIfTrue="1" operator="equal">
      <formula>"Towel"</formula>
    </cfRule>
    <cfRule type="cellIs" dxfId="7724" priority="4110" stopIfTrue="1" operator="equal">
      <formula>"Napkin Hs"</formula>
    </cfRule>
  </conditionalFormatting>
  <conditionalFormatting sqref="C114:C115">
    <cfRule type="cellIs" dxfId="7723" priority="4107" stopIfTrue="1" operator="equal">
      <formula>"Towel"</formula>
    </cfRule>
    <cfRule type="cellIs" dxfId="7722" priority="4108" stopIfTrue="1" operator="equal">
      <formula>"Napkin Hs"</formula>
    </cfRule>
  </conditionalFormatting>
  <conditionalFormatting sqref="C114:C115">
    <cfRule type="cellIs" dxfId="7721" priority="4105" stopIfTrue="1" operator="equal">
      <formula>"Towel"</formula>
    </cfRule>
    <cfRule type="cellIs" dxfId="7720" priority="4106" stopIfTrue="1" operator="equal">
      <formula>"Napkin Hs"</formula>
    </cfRule>
  </conditionalFormatting>
  <conditionalFormatting sqref="B114:C115">
    <cfRule type="cellIs" dxfId="7719" priority="4104" stopIfTrue="1" operator="equal">
      <formula>"Napkin Hs"</formula>
    </cfRule>
  </conditionalFormatting>
  <conditionalFormatting sqref="B114:C115">
    <cfRule type="cellIs" dxfId="7718" priority="4103" stopIfTrue="1" operator="equal">
      <formula>"Towel"</formula>
    </cfRule>
  </conditionalFormatting>
  <conditionalFormatting sqref="C114:C115">
    <cfRule type="cellIs" dxfId="7717" priority="4102" stopIfTrue="1" operator="equal">
      <formula>"Napkin Hs"</formula>
    </cfRule>
  </conditionalFormatting>
  <conditionalFormatting sqref="C114:C115">
    <cfRule type="cellIs" dxfId="7716" priority="4099" stopIfTrue="1" operator="equal">
      <formula>"Towel"</formula>
    </cfRule>
    <cfRule type="cellIs" dxfId="7715" priority="4100" stopIfTrue="1" operator="equal">
      <formula>"Napkin Hs"</formula>
    </cfRule>
  </conditionalFormatting>
  <conditionalFormatting sqref="C114:C115">
    <cfRule type="cellIs" dxfId="7714" priority="4101" stopIfTrue="1" operator="equal">
      <formula>"Towel"</formula>
    </cfRule>
  </conditionalFormatting>
  <conditionalFormatting sqref="B114">
    <cfRule type="cellIs" dxfId="7713" priority="4098" stopIfTrue="1" operator="equal">
      <formula>"Napkin Hs"</formula>
    </cfRule>
  </conditionalFormatting>
  <conditionalFormatting sqref="B114">
    <cfRule type="cellIs" dxfId="7712" priority="4097" stopIfTrue="1" operator="equal">
      <formula>"Towel"</formula>
    </cfRule>
  </conditionalFormatting>
  <conditionalFormatting sqref="B114">
    <cfRule type="cellIs" dxfId="7711" priority="4095" stopIfTrue="1" operator="equal">
      <formula>"Towel"</formula>
    </cfRule>
    <cfRule type="cellIs" dxfId="7710" priority="4096" stopIfTrue="1" operator="equal">
      <formula>"Napkin Hs"</formula>
    </cfRule>
  </conditionalFormatting>
  <conditionalFormatting sqref="B114">
    <cfRule type="cellIs" dxfId="7709" priority="4094" stopIfTrue="1" operator="equal">
      <formula>"Napkin Hs"</formula>
    </cfRule>
  </conditionalFormatting>
  <conditionalFormatting sqref="B114">
    <cfRule type="cellIs" dxfId="7708" priority="4093" stopIfTrue="1" operator="equal">
      <formula>"Towel"</formula>
    </cfRule>
  </conditionalFormatting>
  <conditionalFormatting sqref="B114">
    <cfRule type="cellIs" dxfId="7707" priority="4091" stopIfTrue="1" operator="equal">
      <formula>"Towel"</formula>
    </cfRule>
    <cfRule type="cellIs" dxfId="7706" priority="4092" stopIfTrue="1" operator="equal">
      <formula>"Napkin Hs"</formula>
    </cfRule>
  </conditionalFormatting>
  <conditionalFormatting sqref="B114">
    <cfRule type="cellIs" dxfId="7705" priority="4089" stopIfTrue="1" operator="equal">
      <formula>"Towel"</formula>
    </cfRule>
    <cfRule type="cellIs" dxfId="7704" priority="4090" stopIfTrue="1" operator="equal">
      <formula>"Napkin Hs"</formula>
    </cfRule>
  </conditionalFormatting>
  <conditionalFormatting sqref="B114">
    <cfRule type="cellIs" dxfId="7703" priority="4087" stopIfTrue="1" operator="equal">
      <formula>"Towel"</formula>
    </cfRule>
    <cfRule type="cellIs" dxfId="7702" priority="4088" stopIfTrue="1" operator="equal">
      <formula>"Napkin Hs"</formula>
    </cfRule>
  </conditionalFormatting>
  <conditionalFormatting sqref="B114">
    <cfRule type="cellIs" dxfId="7701" priority="4085" stopIfTrue="1" operator="equal">
      <formula>"Towel"</formula>
    </cfRule>
    <cfRule type="cellIs" dxfId="7700" priority="4086" stopIfTrue="1" operator="equal">
      <formula>"Napkin Hs"</formula>
    </cfRule>
  </conditionalFormatting>
  <conditionalFormatting sqref="B114">
    <cfRule type="cellIs" dxfId="7699" priority="4083" stopIfTrue="1" operator="equal">
      <formula>"Towel"</formula>
    </cfRule>
    <cfRule type="cellIs" dxfId="7698" priority="4084" stopIfTrue="1" operator="equal">
      <formula>"Napkin Hs"</formula>
    </cfRule>
  </conditionalFormatting>
  <conditionalFormatting sqref="B114">
    <cfRule type="cellIs" dxfId="7697" priority="4082" stopIfTrue="1" operator="equal">
      <formula>"Napkin Hs"</formula>
    </cfRule>
  </conditionalFormatting>
  <conditionalFormatting sqref="B114">
    <cfRule type="cellIs" dxfId="7696" priority="4081" stopIfTrue="1" operator="equal">
      <formula>"Towel"</formula>
    </cfRule>
  </conditionalFormatting>
  <conditionalFormatting sqref="B115:C115 C114">
    <cfRule type="cellIs" dxfId="7695" priority="4080" stopIfTrue="1" operator="equal">
      <formula>"Napkin Hs"</formula>
    </cfRule>
  </conditionalFormatting>
  <conditionalFormatting sqref="B115:C115 C114">
    <cfRule type="cellIs" dxfId="7694" priority="4079" stopIfTrue="1" operator="equal">
      <formula>"Towel"</formula>
    </cfRule>
  </conditionalFormatting>
  <conditionalFormatting sqref="C114:C115">
    <cfRule type="cellIs" dxfId="7693" priority="4078" stopIfTrue="1" operator="equal">
      <formula>"Napkin Hs"</formula>
    </cfRule>
  </conditionalFormatting>
  <conditionalFormatting sqref="C114:C115">
    <cfRule type="cellIs" dxfId="7692" priority="4077" stopIfTrue="1" operator="equal">
      <formula>"Towel"</formula>
    </cfRule>
  </conditionalFormatting>
  <conditionalFormatting sqref="C114:C115">
    <cfRule type="cellIs" dxfId="7691" priority="4075" stopIfTrue="1" operator="equal">
      <formula>"Towel"</formula>
    </cfRule>
    <cfRule type="cellIs" dxfId="7690" priority="4076" stopIfTrue="1" operator="equal">
      <formula>"Napkin Hs"</formula>
    </cfRule>
  </conditionalFormatting>
  <conditionalFormatting sqref="B115:C115 C114">
    <cfRule type="cellIs" dxfId="7689" priority="4073" stopIfTrue="1" operator="equal">
      <formula>"Towel"</formula>
    </cfRule>
    <cfRule type="cellIs" dxfId="7688" priority="4074" stopIfTrue="1" operator="equal">
      <formula>"Napkin Hs"</formula>
    </cfRule>
  </conditionalFormatting>
  <conditionalFormatting sqref="C114:C115">
    <cfRule type="cellIs" dxfId="7687" priority="4069" stopIfTrue="1" operator="equal">
      <formula>"Towel"</formula>
    </cfRule>
    <cfRule type="cellIs" dxfId="7686" priority="4070" stopIfTrue="1" operator="equal">
      <formula>"Napkin Hs"</formula>
    </cfRule>
  </conditionalFormatting>
  <conditionalFormatting sqref="C114:C115">
    <cfRule type="cellIs" dxfId="7685" priority="4071" stopIfTrue="1" operator="equal">
      <formula>"Towel"</formula>
    </cfRule>
    <cfRule type="cellIs" dxfId="7684" priority="4072" stopIfTrue="1" operator="equal">
      <formula>"Napkin Hs"</formula>
    </cfRule>
  </conditionalFormatting>
  <conditionalFormatting sqref="B115:C115 C114">
    <cfRule type="cellIs" dxfId="7683" priority="4068" stopIfTrue="1" operator="equal">
      <formula>"Napkin Hs"</formula>
    </cfRule>
  </conditionalFormatting>
  <conditionalFormatting sqref="B115:C115 C114">
    <cfRule type="cellIs" dxfId="7682" priority="4067" stopIfTrue="1" operator="equal">
      <formula>"Towel"</formula>
    </cfRule>
  </conditionalFormatting>
  <conditionalFormatting sqref="C114:C115">
    <cfRule type="cellIs" dxfId="7681" priority="4066" stopIfTrue="1" operator="equal">
      <formula>"Napkin Hs"</formula>
    </cfRule>
  </conditionalFormatting>
  <conditionalFormatting sqref="C114:C115">
    <cfRule type="cellIs" dxfId="7680" priority="4065" stopIfTrue="1" operator="equal">
      <formula>"Towel"</formula>
    </cfRule>
  </conditionalFormatting>
  <conditionalFormatting sqref="C114:C115">
    <cfRule type="cellIs" dxfId="7679" priority="4063" stopIfTrue="1" operator="equal">
      <formula>"Towel"</formula>
    </cfRule>
    <cfRule type="cellIs" dxfId="7678" priority="4064" stopIfTrue="1" operator="equal">
      <formula>"Napkin Hs"</formula>
    </cfRule>
  </conditionalFormatting>
  <conditionalFormatting sqref="B115:C115 C114">
    <cfRule type="cellIs" dxfId="7677" priority="4061" stopIfTrue="1" operator="equal">
      <formula>"Towel"</formula>
    </cfRule>
    <cfRule type="cellIs" dxfId="7676" priority="4062" stopIfTrue="1" operator="equal">
      <formula>"Napkin Hs"</formula>
    </cfRule>
  </conditionalFormatting>
  <conditionalFormatting sqref="C114:C115">
    <cfRule type="cellIs" dxfId="7675" priority="4059" stopIfTrue="1" operator="equal">
      <formula>"Towel"</formula>
    </cfRule>
    <cfRule type="cellIs" dxfId="7674" priority="4060" stopIfTrue="1" operator="equal">
      <formula>"Napkin Hs"</formula>
    </cfRule>
  </conditionalFormatting>
  <conditionalFormatting sqref="C114:C115">
    <cfRule type="cellIs" dxfId="7673" priority="4057" stopIfTrue="1" operator="equal">
      <formula>"Towel"</formula>
    </cfRule>
    <cfRule type="cellIs" dxfId="7672" priority="4058" stopIfTrue="1" operator="equal">
      <formula>"Napkin Hs"</formula>
    </cfRule>
  </conditionalFormatting>
  <conditionalFormatting sqref="B115:C115 C114">
    <cfRule type="cellIs" dxfId="7671" priority="4055" stopIfTrue="1" operator="equal">
      <formula>"Towel"</formula>
    </cfRule>
    <cfRule type="cellIs" dxfId="7670" priority="4056" stopIfTrue="1" operator="equal">
      <formula>"Napkin Hs"</formula>
    </cfRule>
  </conditionalFormatting>
  <conditionalFormatting sqref="C114:C115">
    <cfRule type="cellIs" dxfId="7669" priority="4053" stopIfTrue="1" operator="equal">
      <formula>"Towel"</formula>
    </cfRule>
    <cfRule type="cellIs" dxfId="7668" priority="4054" stopIfTrue="1" operator="equal">
      <formula>"Napkin Hs"</formula>
    </cfRule>
  </conditionalFormatting>
  <conditionalFormatting sqref="C114:C115">
    <cfRule type="cellIs" dxfId="7667" priority="4051" stopIfTrue="1" operator="equal">
      <formula>"Towel"</formula>
    </cfRule>
    <cfRule type="cellIs" dxfId="7666" priority="4052" stopIfTrue="1" operator="equal">
      <formula>"Napkin Hs"</formula>
    </cfRule>
  </conditionalFormatting>
  <conditionalFormatting sqref="B115:C115 C114">
    <cfRule type="cellIs" dxfId="7665" priority="4049" stopIfTrue="1" operator="equal">
      <formula>"Towel"</formula>
    </cfRule>
    <cfRule type="cellIs" dxfId="7664" priority="4050" stopIfTrue="1" operator="equal">
      <formula>"Napkin Hs"</formula>
    </cfRule>
  </conditionalFormatting>
  <conditionalFormatting sqref="C114:C115">
    <cfRule type="cellIs" dxfId="7663" priority="4047" stopIfTrue="1" operator="equal">
      <formula>"Towel"</formula>
    </cfRule>
    <cfRule type="cellIs" dxfId="7662" priority="4048" stopIfTrue="1" operator="equal">
      <formula>"Napkin Hs"</formula>
    </cfRule>
  </conditionalFormatting>
  <conditionalFormatting sqref="C114:C115">
    <cfRule type="cellIs" dxfId="7661" priority="4045" stopIfTrue="1" operator="equal">
      <formula>"Towel"</formula>
    </cfRule>
    <cfRule type="cellIs" dxfId="7660" priority="4046" stopIfTrue="1" operator="equal">
      <formula>"Napkin Hs"</formula>
    </cfRule>
  </conditionalFormatting>
  <conditionalFormatting sqref="B115:C115 C114">
    <cfRule type="cellIs" dxfId="7659" priority="4043" stopIfTrue="1" operator="equal">
      <formula>"Towel"</formula>
    </cfRule>
    <cfRule type="cellIs" dxfId="7658" priority="4044" stopIfTrue="1" operator="equal">
      <formula>"Napkin Hs"</formula>
    </cfRule>
  </conditionalFormatting>
  <conditionalFormatting sqref="C114:C115">
    <cfRule type="cellIs" dxfId="7657" priority="4041" stopIfTrue="1" operator="equal">
      <formula>"Towel"</formula>
    </cfRule>
    <cfRule type="cellIs" dxfId="7656" priority="4042" stopIfTrue="1" operator="equal">
      <formula>"Napkin Hs"</formula>
    </cfRule>
  </conditionalFormatting>
  <conditionalFormatting sqref="C114:C115">
    <cfRule type="cellIs" dxfId="7655" priority="4039" stopIfTrue="1" operator="equal">
      <formula>"Towel"</formula>
    </cfRule>
    <cfRule type="cellIs" dxfId="7654" priority="4040" stopIfTrue="1" operator="equal">
      <formula>"Napkin Hs"</formula>
    </cfRule>
  </conditionalFormatting>
  <conditionalFormatting sqref="B115:C115 C114">
    <cfRule type="cellIs" dxfId="7653" priority="4037" stopIfTrue="1" operator="equal">
      <formula>"Towel"</formula>
    </cfRule>
    <cfRule type="cellIs" dxfId="7652" priority="4038" stopIfTrue="1" operator="equal">
      <formula>"Napkin Hs"</formula>
    </cfRule>
  </conditionalFormatting>
  <conditionalFormatting sqref="C114:C115">
    <cfRule type="cellIs" dxfId="7651" priority="4035" stopIfTrue="1" operator="equal">
      <formula>"Towel"</formula>
    </cfRule>
    <cfRule type="cellIs" dxfId="7650" priority="4036" stopIfTrue="1" operator="equal">
      <formula>"Napkin Hs"</formula>
    </cfRule>
  </conditionalFormatting>
  <conditionalFormatting sqref="C114:C115">
    <cfRule type="cellIs" dxfId="7649" priority="4033" stopIfTrue="1" operator="equal">
      <formula>"Towel"</formula>
    </cfRule>
    <cfRule type="cellIs" dxfId="7648" priority="4034" stopIfTrue="1" operator="equal">
      <formula>"Napkin Hs"</formula>
    </cfRule>
  </conditionalFormatting>
  <conditionalFormatting sqref="B115:C115 C114">
    <cfRule type="cellIs" dxfId="7647" priority="4032" stopIfTrue="1" operator="equal">
      <formula>"Napkin Hs"</formula>
    </cfRule>
  </conditionalFormatting>
  <conditionalFormatting sqref="B115:C115 C114">
    <cfRule type="cellIs" dxfId="7646" priority="4031" stopIfTrue="1" operator="equal">
      <formula>"Towel"</formula>
    </cfRule>
  </conditionalFormatting>
  <conditionalFormatting sqref="C114:C115">
    <cfRule type="cellIs" dxfId="7645" priority="4030" stopIfTrue="1" operator="equal">
      <formula>"Napkin Hs"</formula>
    </cfRule>
  </conditionalFormatting>
  <conditionalFormatting sqref="C114:C115">
    <cfRule type="cellIs" dxfId="7644" priority="4027" stopIfTrue="1" operator="equal">
      <formula>"Towel"</formula>
    </cfRule>
    <cfRule type="cellIs" dxfId="7643" priority="4028" stopIfTrue="1" operator="equal">
      <formula>"Napkin Hs"</formula>
    </cfRule>
  </conditionalFormatting>
  <conditionalFormatting sqref="C114:C115">
    <cfRule type="cellIs" dxfId="7642" priority="4029" stopIfTrue="1" operator="equal">
      <formula>"Towel"</formula>
    </cfRule>
  </conditionalFormatting>
  <conditionalFormatting sqref="B111:C111">
    <cfRule type="cellIs" dxfId="7641" priority="4026" stopIfTrue="1" operator="equal">
      <formula>"Napkin Hs"</formula>
    </cfRule>
  </conditionalFormatting>
  <conditionalFormatting sqref="B111:C111">
    <cfRule type="cellIs" dxfId="7640" priority="4025" stopIfTrue="1" operator="equal">
      <formula>"Towel"</formula>
    </cfRule>
  </conditionalFormatting>
  <conditionalFormatting sqref="C111">
    <cfRule type="cellIs" dxfId="7639" priority="4024" stopIfTrue="1" operator="equal">
      <formula>"Napkin Hs"</formula>
    </cfRule>
  </conditionalFormatting>
  <conditionalFormatting sqref="C111">
    <cfRule type="cellIs" dxfId="7638" priority="4023" stopIfTrue="1" operator="equal">
      <formula>"Towel"</formula>
    </cfRule>
  </conditionalFormatting>
  <conditionalFormatting sqref="C111">
    <cfRule type="cellIs" dxfId="7637" priority="4021" stopIfTrue="1" operator="equal">
      <formula>"Towel"</formula>
    </cfRule>
    <cfRule type="cellIs" dxfId="7636" priority="4022" stopIfTrue="1" operator="equal">
      <formula>"Napkin Hs"</formula>
    </cfRule>
  </conditionalFormatting>
  <conditionalFormatting sqref="B111:C111">
    <cfRule type="cellIs" dxfId="7635" priority="4019" stopIfTrue="1" operator="equal">
      <formula>"Towel"</formula>
    </cfRule>
    <cfRule type="cellIs" dxfId="7634" priority="4020" stopIfTrue="1" operator="equal">
      <formula>"Napkin Hs"</formula>
    </cfRule>
  </conditionalFormatting>
  <conditionalFormatting sqref="C111">
    <cfRule type="cellIs" dxfId="7633" priority="4015" stopIfTrue="1" operator="equal">
      <formula>"Towel"</formula>
    </cfRule>
    <cfRule type="cellIs" dxfId="7632" priority="4016" stopIfTrue="1" operator="equal">
      <formula>"Napkin Hs"</formula>
    </cfRule>
  </conditionalFormatting>
  <conditionalFormatting sqref="C111">
    <cfRule type="cellIs" dxfId="7631" priority="4017" stopIfTrue="1" operator="equal">
      <formula>"Towel"</formula>
    </cfRule>
    <cfRule type="cellIs" dxfId="7630" priority="4018" stopIfTrue="1" operator="equal">
      <formula>"Napkin Hs"</formula>
    </cfRule>
  </conditionalFormatting>
  <conditionalFormatting sqref="B111:C111">
    <cfRule type="cellIs" dxfId="7629" priority="4014" stopIfTrue="1" operator="equal">
      <formula>"Napkin Hs"</formula>
    </cfRule>
  </conditionalFormatting>
  <conditionalFormatting sqref="B111:C111">
    <cfRule type="cellIs" dxfId="7628" priority="4013" stopIfTrue="1" operator="equal">
      <formula>"Towel"</formula>
    </cfRule>
  </conditionalFormatting>
  <conditionalFormatting sqref="C111">
    <cfRule type="cellIs" dxfId="7627" priority="4012" stopIfTrue="1" operator="equal">
      <formula>"Napkin Hs"</formula>
    </cfRule>
  </conditionalFormatting>
  <conditionalFormatting sqref="C111">
    <cfRule type="cellIs" dxfId="7626" priority="4011" stopIfTrue="1" operator="equal">
      <formula>"Towel"</formula>
    </cfRule>
  </conditionalFormatting>
  <conditionalFormatting sqref="C111">
    <cfRule type="cellIs" dxfId="7625" priority="4009" stopIfTrue="1" operator="equal">
      <formula>"Towel"</formula>
    </cfRule>
    <cfRule type="cellIs" dxfId="7624" priority="4010" stopIfTrue="1" operator="equal">
      <formula>"Napkin Hs"</formula>
    </cfRule>
  </conditionalFormatting>
  <conditionalFormatting sqref="B111:C111">
    <cfRule type="cellIs" dxfId="7623" priority="4007" stopIfTrue="1" operator="equal">
      <formula>"Towel"</formula>
    </cfRule>
    <cfRule type="cellIs" dxfId="7622" priority="4008" stopIfTrue="1" operator="equal">
      <formula>"Napkin Hs"</formula>
    </cfRule>
  </conditionalFormatting>
  <conditionalFormatting sqref="C111">
    <cfRule type="cellIs" dxfId="7621" priority="4005" stopIfTrue="1" operator="equal">
      <formula>"Towel"</formula>
    </cfRule>
    <cfRule type="cellIs" dxfId="7620" priority="4006" stopIfTrue="1" operator="equal">
      <formula>"Napkin Hs"</formula>
    </cfRule>
  </conditionalFormatting>
  <conditionalFormatting sqref="C111">
    <cfRule type="cellIs" dxfId="7619" priority="4003" stopIfTrue="1" operator="equal">
      <formula>"Towel"</formula>
    </cfRule>
    <cfRule type="cellIs" dxfId="7618" priority="4004" stopIfTrue="1" operator="equal">
      <formula>"Napkin Hs"</formula>
    </cfRule>
  </conditionalFormatting>
  <conditionalFormatting sqref="B111:C111">
    <cfRule type="cellIs" dxfId="7617" priority="4001" stopIfTrue="1" operator="equal">
      <formula>"Towel"</formula>
    </cfRule>
    <cfRule type="cellIs" dxfId="7616" priority="4002" stopIfTrue="1" operator="equal">
      <formula>"Napkin Hs"</formula>
    </cfRule>
  </conditionalFormatting>
  <conditionalFormatting sqref="C111">
    <cfRule type="cellIs" dxfId="7615" priority="3999" stopIfTrue="1" operator="equal">
      <formula>"Towel"</formula>
    </cfRule>
    <cfRule type="cellIs" dxfId="7614" priority="4000" stopIfTrue="1" operator="equal">
      <formula>"Napkin Hs"</formula>
    </cfRule>
  </conditionalFormatting>
  <conditionalFormatting sqref="C111">
    <cfRule type="cellIs" dxfId="7613" priority="3997" stopIfTrue="1" operator="equal">
      <formula>"Towel"</formula>
    </cfRule>
    <cfRule type="cellIs" dxfId="7612" priority="3998" stopIfTrue="1" operator="equal">
      <formula>"Napkin Hs"</formula>
    </cfRule>
  </conditionalFormatting>
  <conditionalFormatting sqref="B111:C111">
    <cfRule type="cellIs" dxfId="7611" priority="3995" stopIfTrue="1" operator="equal">
      <formula>"Towel"</formula>
    </cfRule>
    <cfRule type="cellIs" dxfId="7610" priority="3996" stopIfTrue="1" operator="equal">
      <formula>"Napkin Hs"</formula>
    </cfRule>
  </conditionalFormatting>
  <conditionalFormatting sqref="C111">
    <cfRule type="cellIs" dxfId="7609" priority="3993" stopIfTrue="1" operator="equal">
      <formula>"Towel"</formula>
    </cfRule>
    <cfRule type="cellIs" dxfId="7608" priority="3994" stopIfTrue="1" operator="equal">
      <formula>"Napkin Hs"</formula>
    </cfRule>
  </conditionalFormatting>
  <conditionalFormatting sqref="C111">
    <cfRule type="cellIs" dxfId="7607" priority="3991" stopIfTrue="1" operator="equal">
      <formula>"Towel"</formula>
    </cfRule>
    <cfRule type="cellIs" dxfId="7606" priority="3992" stopIfTrue="1" operator="equal">
      <formula>"Napkin Hs"</formula>
    </cfRule>
  </conditionalFormatting>
  <conditionalFormatting sqref="B111:C111">
    <cfRule type="cellIs" dxfId="7605" priority="3989" stopIfTrue="1" operator="equal">
      <formula>"Towel"</formula>
    </cfRule>
    <cfRule type="cellIs" dxfId="7604" priority="3990" stopIfTrue="1" operator="equal">
      <formula>"Napkin Hs"</formula>
    </cfRule>
  </conditionalFormatting>
  <conditionalFormatting sqref="C111">
    <cfRule type="cellIs" dxfId="7603" priority="3987" stopIfTrue="1" operator="equal">
      <formula>"Towel"</formula>
    </cfRule>
    <cfRule type="cellIs" dxfId="7602" priority="3988" stopIfTrue="1" operator="equal">
      <formula>"Napkin Hs"</formula>
    </cfRule>
  </conditionalFormatting>
  <conditionalFormatting sqref="C111">
    <cfRule type="cellIs" dxfId="7601" priority="3985" stopIfTrue="1" operator="equal">
      <formula>"Towel"</formula>
    </cfRule>
    <cfRule type="cellIs" dxfId="7600" priority="3986" stopIfTrue="1" operator="equal">
      <formula>"Napkin Hs"</formula>
    </cfRule>
  </conditionalFormatting>
  <conditionalFormatting sqref="B111:C111">
    <cfRule type="cellIs" dxfId="7599" priority="3983" stopIfTrue="1" operator="equal">
      <formula>"Towel"</formula>
    </cfRule>
    <cfRule type="cellIs" dxfId="7598" priority="3984" stopIfTrue="1" operator="equal">
      <formula>"Napkin Hs"</formula>
    </cfRule>
  </conditionalFormatting>
  <conditionalFormatting sqref="C111">
    <cfRule type="cellIs" dxfId="7597" priority="3981" stopIfTrue="1" operator="equal">
      <formula>"Towel"</formula>
    </cfRule>
    <cfRule type="cellIs" dxfId="7596" priority="3982" stopIfTrue="1" operator="equal">
      <formula>"Napkin Hs"</formula>
    </cfRule>
  </conditionalFormatting>
  <conditionalFormatting sqref="C111">
    <cfRule type="cellIs" dxfId="7595" priority="3979" stopIfTrue="1" operator="equal">
      <formula>"Towel"</formula>
    </cfRule>
    <cfRule type="cellIs" dxfId="7594" priority="3980" stopIfTrue="1" operator="equal">
      <formula>"Napkin Hs"</formula>
    </cfRule>
  </conditionalFormatting>
  <conditionalFormatting sqref="B111:C111">
    <cfRule type="cellIs" dxfId="7593" priority="3978" stopIfTrue="1" operator="equal">
      <formula>"Napkin Hs"</formula>
    </cfRule>
  </conditionalFormatting>
  <conditionalFormatting sqref="B111:C111">
    <cfRule type="cellIs" dxfId="7592" priority="3977" stopIfTrue="1" operator="equal">
      <formula>"Towel"</formula>
    </cfRule>
  </conditionalFormatting>
  <conditionalFormatting sqref="C111">
    <cfRule type="cellIs" dxfId="7591" priority="3976" stopIfTrue="1" operator="equal">
      <formula>"Napkin Hs"</formula>
    </cfRule>
  </conditionalFormatting>
  <conditionalFormatting sqref="C111">
    <cfRule type="cellIs" dxfId="7590" priority="3973" stopIfTrue="1" operator="equal">
      <formula>"Towel"</formula>
    </cfRule>
    <cfRule type="cellIs" dxfId="7589" priority="3974" stopIfTrue="1" operator="equal">
      <formula>"Napkin Hs"</formula>
    </cfRule>
  </conditionalFormatting>
  <conditionalFormatting sqref="C111">
    <cfRule type="cellIs" dxfId="7588" priority="3975" stopIfTrue="1" operator="equal">
      <formula>"Towel"</formula>
    </cfRule>
  </conditionalFormatting>
  <conditionalFormatting sqref="B113:C113">
    <cfRule type="cellIs" dxfId="7587" priority="3972" stopIfTrue="1" operator="equal">
      <formula>"Napkin Hs"</formula>
    </cfRule>
  </conditionalFormatting>
  <conditionalFormatting sqref="B113:C113">
    <cfRule type="cellIs" dxfId="7586" priority="3971" stopIfTrue="1" operator="equal">
      <formula>"Towel"</formula>
    </cfRule>
  </conditionalFormatting>
  <conditionalFormatting sqref="C113">
    <cfRule type="cellIs" dxfId="7585" priority="3970" stopIfTrue="1" operator="equal">
      <formula>"Napkin Hs"</formula>
    </cfRule>
  </conditionalFormatting>
  <conditionalFormatting sqref="C113">
    <cfRule type="cellIs" dxfId="7584" priority="3969" stopIfTrue="1" operator="equal">
      <formula>"Towel"</formula>
    </cfRule>
  </conditionalFormatting>
  <conditionalFormatting sqref="C113">
    <cfRule type="cellIs" dxfId="7583" priority="3967" stopIfTrue="1" operator="equal">
      <formula>"Towel"</formula>
    </cfRule>
    <cfRule type="cellIs" dxfId="7582" priority="3968" stopIfTrue="1" operator="equal">
      <formula>"Napkin Hs"</formula>
    </cfRule>
  </conditionalFormatting>
  <conditionalFormatting sqref="B113:C113">
    <cfRule type="cellIs" dxfId="7581" priority="3965" stopIfTrue="1" operator="equal">
      <formula>"Towel"</formula>
    </cfRule>
    <cfRule type="cellIs" dxfId="7580" priority="3966" stopIfTrue="1" operator="equal">
      <formula>"Napkin Hs"</formula>
    </cfRule>
  </conditionalFormatting>
  <conditionalFormatting sqref="C113">
    <cfRule type="cellIs" dxfId="7579" priority="3961" stopIfTrue="1" operator="equal">
      <formula>"Towel"</formula>
    </cfRule>
    <cfRule type="cellIs" dxfId="7578" priority="3962" stopIfTrue="1" operator="equal">
      <formula>"Napkin Hs"</formula>
    </cfRule>
  </conditionalFormatting>
  <conditionalFormatting sqref="C113">
    <cfRule type="cellIs" dxfId="7577" priority="3963" stopIfTrue="1" operator="equal">
      <formula>"Towel"</formula>
    </cfRule>
    <cfRule type="cellIs" dxfId="7576" priority="3964" stopIfTrue="1" operator="equal">
      <formula>"Napkin Hs"</formula>
    </cfRule>
  </conditionalFormatting>
  <conditionalFormatting sqref="B113:C113">
    <cfRule type="cellIs" dxfId="7575" priority="3960" stopIfTrue="1" operator="equal">
      <formula>"Napkin Hs"</formula>
    </cfRule>
  </conditionalFormatting>
  <conditionalFormatting sqref="B113:C113">
    <cfRule type="cellIs" dxfId="7574" priority="3959" stopIfTrue="1" operator="equal">
      <formula>"Towel"</formula>
    </cfRule>
  </conditionalFormatting>
  <conditionalFormatting sqref="C113">
    <cfRule type="cellIs" dxfId="7573" priority="3958" stopIfTrue="1" operator="equal">
      <formula>"Napkin Hs"</formula>
    </cfRule>
  </conditionalFormatting>
  <conditionalFormatting sqref="C113">
    <cfRule type="cellIs" dxfId="7572" priority="3957" stopIfTrue="1" operator="equal">
      <formula>"Towel"</formula>
    </cfRule>
  </conditionalFormatting>
  <conditionalFormatting sqref="C113">
    <cfRule type="cellIs" dxfId="7571" priority="3955" stopIfTrue="1" operator="equal">
      <formula>"Towel"</formula>
    </cfRule>
    <cfRule type="cellIs" dxfId="7570" priority="3956" stopIfTrue="1" operator="equal">
      <formula>"Napkin Hs"</formula>
    </cfRule>
  </conditionalFormatting>
  <conditionalFormatting sqref="B113:C113">
    <cfRule type="cellIs" dxfId="7569" priority="3953" stopIfTrue="1" operator="equal">
      <formula>"Towel"</formula>
    </cfRule>
    <cfRule type="cellIs" dxfId="7568" priority="3954" stopIfTrue="1" operator="equal">
      <formula>"Napkin Hs"</formula>
    </cfRule>
  </conditionalFormatting>
  <conditionalFormatting sqref="C113">
    <cfRule type="cellIs" dxfId="7567" priority="3951" stopIfTrue="1" operator="equal">
      <formula>"Towel"</formula>
    </cfRule>
    <cfRule type="cellIs" dxfId="7566" priority="3952" stopIfTrue="1" operator="equal">
      <formula>"Napkin Hs"</formula>
    </cfRule>
  </conditionalFormatting>
  <conditionalFormatting sqref="C113">
    <cfRule type="cellIs" dxfId="7565" priority="3949" stopIfTrue="1" operator="equal">
      <formula>"Towel"</formula>
    </cfRule>
    <cfRule type="cellIs" dxfId="7564" priority="3950" stopIfTrue="1" operator="equal">
      <formula>"Napkin Hs"</formula>
    </cfRule>
  </conditionalFormatting>
  <conditionalFormatting sqref="B113:C113">
    <cfRule type="cellIs" dxfId="7563" priority="3947" stopIfTrue="1" operator="equal">
      <formula>"Towel"</formula>
    </cfRule>
    <cfRule type="cellIs" dxfId="7562" priority="3948" stopIfTrue="1" operator="equal">
      <formula>"Napkin Hs"</formula>
    </cfRule>
  </conditionalFormatting>
  <conditionalFormatting sqref="C113">
    <cfRule type="cellIs" dxfId="7561" priority="3945" stopIfTrue="1" operator="equal">
      <formula>"Towel"</formula>
    </cfRule>
    <cfRule type="cellIs" dxfId="7560" priority="3946" stopIfTrue="1" operator="equal">
      <formula>"Napkin Hs"</formula>
    </cfRule>
  </conditionalFormatting>
  <conditionalFormatting sqref="C113">
    <cfRule type="cellIs" dxfId="7559" priority="3943" stopIfTrue="1" operator="equal">
      <formula>"Towel"</formula>
    </cfRule>
    <cfRule type="cellIs" dxfId="7558" priority="3944" stopIfTrue="1" operator="equal">
      <formula>"Napkin Hs"</formula>
    </cfRule>
  </conditionalFormatting>
  <conditionalFormatting sqref="B113:C113">
    <cfRule type="cellIs" dxfId="7557" priority="3941" stopIfTrue="1" operator="equal">
      <formula>"Towel"</formula>
    </cfRule>
    <cfRule type="cellIs" dxfId="7556" priority="3942" stopIfTrue="1" operator="equal">
      <formula>"Napkin Hs"</formula>
    </cfRule>
  </conditionalFormatting>
  <conditionalFormatting sqref="C113">
    <cfRule type="cellIs" dxfId="7555" priority="3939" stopIfTrue="1" operator="equal">
      <formula>"Towel"</formula>
    </cfRule>
    <cfRule type="cellIs" dxfId="7554" priority="3940" stopIfTrue="1" operator="equal">
      <formula>"Napkin Hs"</formula>
    </cfRule>
  </conditionalFormatting>
  <conditionalFormatting sqref="C113">
    <cfRule type="cellIs" dxfId="7553" priority="3937" stopIfTrue="1" operator="equal">
      <formula>"Towel"</formula>
    </cfRule>
    <cfRule type="cellIs" dxfId="7552" priority="3938" stopIfTrue="1" operator="equal">
      <formula>"Napkin Hs"</formula>
    </cfRule>
  </conditionalFormatting>
  <conditionalFormatting sqref="B113:C113">
    <cfRule type="cellIs" dxfId="7551" priority="3935" stopIfTrue="1" operator="equal">
      <formula>"Towel"</formula>
    </cfRule>
    <cfRule type="cellIs" dxfId="7550" priority="3936" stopIfTrue="1" operator="equal">
      <formula>"Napkin Hs"</formula>
    </cfRule>
  </conditionalFormatting>
  <conditionalFormatting sqref="C113">
    <cfRule type="cellIs" dxfId="7549" priority="3933" stopIfTrue="1" operator="equal">
      <formula>"Towel"</formula>
    </cfRule>
    <cfRule type="cellIs" dxfId="7548" priority="3934" stopIfTrue="1" operator="equal">
      <formula>"Napkin Hs"</formula>
    </cfRule>
  </conditionalFormatting>
  <conditionalFormatting sqref="C113">
    <cfRule type="cellIs" dxfId="7547" priority="3931" stopIfTrue="1" operator="equal">
      <formula>"Towel"</formula>
    </cfRule>
    <cfRule type="cellIs" dxfId="7546" priority="3932" stopIfTrue="1" operator="equal">
      <formula>"Napkin Hs"</formula>
    </cfRule>
  </conditionalFormatting>
  <conditionalFormatting sqref="B113:C113">
    <cfRule type="cellIs" dxfId="7545" priority="3929" stopIfTrue="1" operator="equal">
      <formula>"Towel"</formula>
    </cfRule>
    <cfRule type="cellIs" dxfId="7544" priority="3930" stopIfTrue="1" operator="equal">
      <formula>"Napkin Hs"</formula>
    </cfRule>
  </conditionalFormatting>
  <conditionalFormatting sqref="C113">
    <cfRule type="cellIs" dxfId="7543" priority="3927" stopIfTrue="1" operator="equal">
      <formula>"Towel"</formula>
    </cfRule>
    <cfRule type="cellIs" dxfId="7542" priority="3928" stopIfTrue="1" operator="equal">
      <formula>"Napkin Hs"</formula>
    </cfRule>
  </conditionalFormatting>
  <conditionalFormatting sqref="C113">
    <cfRule type="cellIs" dxfId="7541" priority="3925" stopIfTrue="1" operator="equal">
      <formula>"Towel"</formula>
    </cfRule>
    <cfRule type="cellIs" dxfId="7540" priority="3926" stopIfTrue="1" operator="equal">
      <formula>"Napkin Hs"</formula>
    </cfRule>
  </conditionalFormatting>
  <conditionalFormatting sqref="B113:C113">
    <cfRule type="cellIs" dxfId="7539" priority="3924" stopIfTrue="1" operator="equal">
      <formula>"Napkin Hs"</formula>
    </cfRule>
  </conditionalFormatting>
  <conditionalFormatting sqref="B113:C113">
    <cfRule type="cellIs" dxfId="7538" priority="3923" stopIfTrue="1" operator="equal">
      <formula>"Towel"</formula>
    </cfRule>
  </conditionalFormatting>
  <conditionalFormatting sqref="C113">
    <cfRule type="cellIs" dxfId="7537" priority="3922" stopIfTrue="1" operator="equal">
      <formula>"Napkin Hs"</formula>
    </cfRule>
  </conditionalFormatting>
  <conditionalFormatting sqref="C113">
    <cfRule type="cellIs" dxfId="7536" priority="3919" stopIfTrue="1" operator="equal">
      <formula>"Towel"</formula>
    </cfRule>
    <cfRule type="cellIs" dxfId="7535" priority="3920" stopIfTrue="1" operator="equal">
      <formula>"Napkin Hs"</formula>
    </cfRule>
  </conditionalFormatting>
  <conditionalFormatting sqref="C113">
    <cfRule type="cellIs" dxfId="7534" priority="3921" stopIfTrue="1" operator="equal">
      <formula>"Towel"</formula>
    </cfRule>
  </conditionalFormatting>
  <conditionalFormatting sqref="B113:C113">
    <cfRule type="cellIs" dxfId="7533" priority="3918" stopIfTrue="1" operator="equal">
      <formula>"Napkin Hs"</formula>
    </cfRule>
  </conditionalFormatting>
  <conditionalFormatting sqref="B113:C113">
    <cfRule type="cellIs" dxfId="7532" priority="3917" stopIfTrue="1" operator="equal">
      <formula>"Towel"</formula>
    </cfRule>
  </conditionalFormatting>
  <conditionalFormatting sqref="C113">
    <cfRule type="cellIs" dxfId="7531" priority="3916" stopIfTrue="1" operator="equal">
      <formula>"Napkin Hs"</formula>
    </cfRule>
  </conditionalFormatting>
  <conditionalFormatting sqref="C113">
    <cfRule type="cellIs" dxfId="7530" priority="3913" stopIfTrue="1" operator="equal">
      <formula>"Towel"</formula>
    </cfRule>
    <cfRule type="cellIs" dxfId="7529" priority="3914" stopIfTrue="1" operator="equal">
      <formula>"Napkin Hs"</formula>
    </cfRule>
  </conditionalFormatting>
  <conditionalFormatting sqref="C113">
    <cfRule type="cellIs" dxfId="7528" priority="3915" stopIfTrue="1" operator="equal">
      <formula>"Towel"</formula>
    </cfRule>
  </conditionalFormatting>
  <conditionalFormatting sqref="B113:C113">
    <cfRule type="cellIs" dxfId="7527" priority="3898" stopIfTrue="1" operator="equal">
      <formula>"Napkin Hs"</formula>
    </cfRule>
  </conditionalFormatting>
  <conditionalFormatting sqref="B113:C113">
    <cfRule type="cellIs" dxfId="7526" priority="3897" stopIfTrue="1" operator="equal">
      <formula>"Towel"</formula>
    </cfRule>
  </conditionalFormatting>
  <conditionalFormatting sqref="C113">
    <cfRule type="cellIs" dxfId="7525" priority="3896" stopIfTrue="1" operator="equal">
      <formula>"Napkin Hs"</formula>
    </cfRule>
  </conditionalFormatting>
  <conditionalFormatting sqref="C113">
    <cfRule type="cellIs" dxfId="7524" priority="3893" stopIfTrue="1" operator="equal">
      <formula>"Towel"</formula>
    </cfRule>
    <cfRule type="cellIs" dxfId="7523" priority="3894" stopIfTrue="1" operator="equal">
      <formula>"Napkin Hs"</formula>
    </cfRule>
  </conditionalFormatting>
  <conditionalFormatting sqref="C113">
    <cfRule type="cellIs" dxfId="7522" priority="3895" stopIfTrue="1" operator="equal">
      <formula>"Towel"</formula>
    </cfRule>
  </conditionalFormatting>
  <conditionalFormatting sqref="B111:C111">
    <cfRule type="cellIs" dxfId="7521" priority="3892" stopIfTrue="1" operator="equal">
      <formula>"Napkin Hs"</formula>
    </cfRule>
  </conditionalFormatting>
  <conditionalFormatting sqref="B111:C111">
    <cfRule type="cellIs" dxfId="7520" priority="3891" stopIfTrue="1" operator="equal">
      <formula>"Towel"</formula>
    </cfRule>
  </conditionalFormatting>
  <conditionalFormatting sqref="C111">
    <cfRule type="cellIs" dxfId="7519" priority="3890" stopIfTrue="1" operator="equal">
      <formula>"Napkin Hs"</formula>
    </cfRule>
  </conditionalFormatting>
  <conditionalFormatting sqref="C111">
    <cfRule type="cellIs" dxfId="7518" priority="3887" stopIfTrue="1" operator="equal">
      <formula>"Towel"</formula>
    </cfRule>
    <cfRule type="cellIs" dxfId="7517" priority="3888" stopIfTrue="1" operator="equal">
      <formula>"Napkin Hs"</formula>
    </cfRule>
  </conditionalFormatting>
  <conditionalFormatting sqref="C111">
    <cfRule type="cellIs" dxfId="7516" priority="3889" stopIfTrue="1" operator="equal">
      <formula>"Towel"</formula>
    </cfRule>
  </conditionalFormatting>
  <conditionalFormatting sqref="B111:C111">
    <cfRule type="cellIs" dxfId="7515" priority="3886" stopIfTrue="1" operator="equal">
      <formula>"Napkin Hs"</formula>
    </cfRule>
  </conditionalFormatting>
  <conditionalFormatting sqref="B111:C111">
    <cfRule type="cellIs" dxfId="7514" priority="3885" stopIfTrue="1" operator="equal">
      <formula>"Towel"</formula>
    </cfRule>
  </conditionalFormatting>
  <conditionalFormatting sqref="C111">
    <cfRule type="cellIs" dxfId="7513" priority="3884" stopIfTrue="1" operator="equal">
      <formula>"Napkin Hs"</formula>
    </cfRule>
  </conditionalFormatting>
  <conditionalFormatting sqref="C111">
    <cfRule type="cellIs" dxfId="7512" priority="3881" stopIfTrue="1" operator="equal">
      <formula>"Towel"</formula>
    </cfRule>
    <cfRule type="cellIs" dxfId="7511" priority="3882" stopIfTrue="1" operator="equal">
      <formula>"Napkin Hs"</formula>
    </cfRule>
  </conditionalFormatting>
  <conditionalFormatting sqref="C111">
    <cfRule type="cellIs" dxfId="7510" priority="3883" stopIfTrue="1" operator="equal">
      <formula>"Towel"</formula>
    </cfRule>
  </conditionalFormatting>
  <conditionalFormatting sqref="B112:C112">
    <cfRule type="cellIs" dxfId="7509" priority="3879" stopIfTrue="1" operator="equal">
      <formula>"Towel"</formula>
    </cfRule>
    <cfRule type="cellIs" dxfId="7508" priority="3880" stopIfTrue="1" operator="equal">
      <formula>"Napkin Hs"</formula>
    </cfRule>
  </conditionalFormatting>
  <conditionalFormatting sqref="C112">
    <cfRule type="cellIs" dxfId="7507" priority="3877" stopIfTrue="1" operator="equal">
      <formula>"Towel"</formula>
    </cfRule>
    <cfRule type="cellIs" dxfId="7506" priority="3878" stopIfTrue="1" operator="equal">
      <formula>"Napkin Hs"</formula>
    </cfRule>
  </conditionalFormatting>
  <conditionalFormatting sqref="C112">
    <cfRule type="cellIs" dxfId="7505" priority="3875" stopIfTrue="1" operator="equal">
      <formula>"Towel"</formula>
    </cfRule>
    <cfRule type="cellIs" dxfId="7504" priority="3876" stopIfTrue="1" operator="equal">
      <formula>"Napkin Hs"</formula>
    </cfRule>
  </conditionalFormatting>
  <conditionalFormatting sqref="B112:C112">
    <cfRule type="cellIs" dxfId="7503" priority="3874" stopIfTrue="1" operator="equal">
      <formula>"Napkin Hs"</formula>
    </cfRule>
  </conditionalFormatting>
  <conditionalFormatting sqref="B112:C112">
    <cfRule type="cellIs" dxfId="7502" priority="3873" stopIfTrue="1" operator="equal">
      <formula>"Towel"</formula>
    </cfRule>
  </conditionalFormatting>
  <conditionalFormatting sqref="C112">
    <cfRule type="cellIs" dxfId="7501" priority="3872" stopIfTrue="1" operator="equal">
      <formula>"Napkin Hs"</formula>
    </cfRule>
  </conditionalFormatting>
  <conditionalFormatting sqref="C112">
    <cfRule type="cellIs" dxfId="7500" priority="3871" stopIfTrue="1" operator="equal">
      <formula>"Towel"</formula>
    </cfRule>
  </conditionalFormatting>
  <conditionalFormatting sqref="C112">
    <cfRule type="cellIs" dxfId="7499" priority="3869" stopIfTrue="1" operator="equal">
      <formula>"Towel"</formula>
    </cfRule>
    <cfRule type="cellIs" dxfId="7498" priority="3870" stopIfTrue="1" operator="equal">
      <formula>"Napkin Hs"</formula>
    </cfRule>
  </conditionalFormatting>
  <conditionalFormatting sqref="B112:C112">
    <cfRule type="cellIs" dxfId="7497" priority="3867" stopIfTrue="1" operator="equal">
      <formula>"Towel"</formula>
    </cfRule>
    <cfRule type="cellIs" dxfId="7496" priority="3868" stopIfTrue="1" operator="equal">
      <formula>"Napkin Hs"</formula>
    </cfRule>
  </conditionalFormatting>
  <conditionalFormatting sqref="C112">
    <cfRule type="cellIs" dxfId="7495" priority="3863" stopIfTrue="1" operator="equal">
      <formula>"Towel"</formula>
    </cfRule>
    <cfRule type="cellIs" dxfId="7494" priority="3864" stopIfTrue="1" operator="equal">
      <formula>"Napkin Hs"</formula>
    </cfRule>
  </conditionalFormatting>
  <conditionalFormatting sqref="C112">
    <cfRule type="cellIs" dxfId="7493" priority="3865" stopIfTrue="1" operator="equal">
      <formula>"Towel"</formula>
    </cfRule>
    <cfRule type="cellIs" dxfId="7492" priority="3866" stopIfTrue="1" operator="equal">
      <formula>"Napkin Hs"</formula>
    </cfRule>
  </conditionalFormatting>
  <conditionalFormatting sqref="B112:C112">
    <cfRule type="cellIs" dxfId="7491" priority="3862" stopIfTrue="1" operator="equal">
      <formula>"Napkin Hs"</formula>
    </cfRule>
  </conditionalFormatting>
  <conditionalFormatting sqref="B112:C112">
    <cfRule type="cellIs" dxfId="7490" priority="3861" stopIfTrue="1" operator="equal">
      <formula>"Towel"</formula>
    </cfRule>
  </conditionalFormatting>
  <conditionalFormatting sqref="C112">
    <cfRule type="cellIs" dxfId="7489" priority="3860" stopIfTrue="1" operator="equal">
      <formula>"Napkin Hs"</formula>
    </cfRule>
  </conditionalFormatting>
  <conditionalFormatting sqref="C112">
    <cfRule type="cellIs" dxfId="7488" priority="3859" stopIfTrue="1" operator="equal">
      <formula>"Towel"</formula>
    </cfRule>
  </conditionalFormatting>
  <conditionalFormatting sqref="C112">
    <cfRule type="cellIs" dxfId="7487" priority="3857" stopIfTrue="1" operator="equal">
      <formula>"Towel"</formula>
    </cfRule>
    <cfRule type="cellIs" dxfId="7486" priority="3858" stopIfTrue="1" operator="equal">
      <formula>"Napkin Hs"</formula>
    </cfRule>
  </conditionalFormatting>
  <conditionalFormatting sqref="B112:C112">
    <cfRule type="cellIs" dxfId="7485" priority="3855" stopIfTrue="1" operator="equal">
      <formula>"Towel"</formula>
    </cfRule>
    <cfRule type="cellIs" dxfId="7484" priority="3856" stopIfTrue="1" operator="equal">
      <formula>"Napkin Hs"</formula>
    </cfRule>
  </conditionalFormatting>
  <conditionalFormatting sqref="C112">
    <cfRule type="cellIs" dxfId="7483" priority="3853" stopIfTrue="1" operator="equal">
      <formula>"Towel"</formula>
    </cfRule>
    <cfRule type="cellIs" dxfId="7482" priority="3854" stopIfTrue="1" operator="equal">
      <formula>"Napkin Hs"</formula>
    </cfRule>
  </conditionalFormatting>
  <conditionalFormatting sqref="C112">
    <cfRule type="cellIs" dxfId="7481" priority="3851" stopIfTrue="1" operator="equal">
      <formula>"Towel"</formula>
    </cfRule>
    <cfRule type="cellIs" dxfId="7480" priority="3852" stopIfTrue="1" operator="equal">
      <formula>"Napkin Hs"</formula>
    </cfRule>
  </conditionalFormatting>
  <conditionalFormatting sqref="B112:C112">
    <cfRule type="cellIs" dxfId="7479" priority="3849" stopIfTrue="1" operator="equal">
      <formula>"Towel"</formula>
    </cfRule>
    <cfRule type="cellIs" dxfId="7478" priority="3850" stopIfTrue="1" operator="equal">
      <formula>"Napkin Hs"</formula>
    </cfRule>
  </conditionalFormatting>
  <conditionalFormatting sqref="C112">
    <cfRule type="cellIs" dxfId="7477" priority="3847" stopIfTrue="1" operator="equal">
      <formula>"Towel"</formula>
    </cfRule>
    <cfRule type="cellIs" dxfId="7476" priority="3848" stopIfTrue="1" operator="equal">
      <formula>"Napkin Hs"</formula>
    </cfRule>
  </conditionalFormatting>
  <conditionalFormatting sqref="C112">
    <cfRule type="cellIs" dxfId="7475" priority="3845" stopIfTrue="1" operator="equal">
      <formula>"Towel"</formula>
    </cfRule>
    <cfRule type="cellIs" dxfId="7474" priority="3846" stopIfTrue="1" operator="equal">
      <formula>"Napkin Hs"</formula>
    </cfRule>
  </conditionalFormatting>
  <conditionalFormatting sqref="B112:C112">
    <cfRule type="cellIs" dxfId="7473" priority="3843" stopIfTrue="1" operator="equal">
      <formula>"Towel"</formula>
    </cfRule>
    <cfRule type="cellIs" dxfId="7472" priority="3844" stopIfTrue="1" operator="equal">
      <formula>"Napkin Hs"</formula>
    </cfRule>
  </conditionalFormatting>
  <conditionalFormatting sqref="C112">
    <cfRule type="cellIs" dxfId="7471" priority="3841" stopIfTrue="1" operator="equal">
      <formula>"Towel"</formula>
    </cfRule>
    <cfRule type="cellIs" dxfId="7470" priority="3842" stopIfTrue="1" operator="equal">
      <formula>"Napkin Hs"</formula>
    </cfRule>
  </conditionalFormatting>
  <conditionalFormatting sqref="C112">
    <cfRule type="cellIs" dxfId="7469" priority="3839" stopIfTrue="1" operator="equal">
      <formula>"Towel"</formula>
    </cfRule>
    <cfRule type="cellIs" dxfId="7468" priority="3840" stopIfTrue="1" operator="equal">
      <formula>"Napkin Hs"</formula>
    </cfRule>
  </conditionalFormatting>
  <conditionalFormatting sqref="B112:C112">
    <cfRule type="cellIs" dxfId="7467" priority="3837" stopIfTrue="1" operator="equal">
      <formula>"Towel"</formula>
    </cfRule>
    <cfRule type="cellIs" dxfId="7466" priority="3838" stopIfTrue="1" operator="equal">
      <formula>"Napkin Hs"</formula>
    </cfRule>
  </conditionalFormatting>
  <conditionalFormatting sqref="C112">
    <cfRule type="cellIs" dxfId="7465" priority="3835" stopIfTrue="1" operator="equal">
      <formula>"Towel"</formula>
    </cfRule>
    <cfRule type="cellIs" dxfId="7464" priority="3836" stopIfTrue="1" operator="equal">
      <formula>"Napkin Hs"</formula>
    </cfRule>
  </conditionalFormatting>
  <conditionalFormatting sqref="C112">
    <cfRule type="cellIs" dxfId="7463" priority="3833" stopIfTrue="1" operator="equal">
      <formula>"Towel"</formula>
    </cfRule>
    <cfRule type="cellIs" dxfId="7462" priority="3834" stopIfTrue="1" operator="equal">
      <formula>"Napkin Hs"</formula>
    </cfRule>
  </conditionalFormatting>
  <conditionalFormatting sqref="B112:C112">
    <cfRule type="cellIs" dxfId="7461" priority="3831" stopIfTrue="1" operator="equal">
      <formula>"Towel"</formula>
    </cfRule>
    <cfRule type="cellIs" dxfId="7460" priority="3832" stopIfTrue="1" operator="equal">
      <formula>"Napkin Hs"</formula>
    </cfRule>
  </conditionalFormatting>
  <conditionalFormatting sqref="C112">
    <cfRule type="cellIs" dxfId="7459" priority="3829" stopIfTrue="1" operator="equal">
      <formula>"Towel"</formula>
    </cfRule>
    <cfRule type="cellIs" dxfId="7458" priority="3830" stopIfTrue="1" operator="equal">
      <formula>"Napkin Hs"</formula>
    </cfRule>
  </conditionalFormatting>
  <conditionalFormatting sqref="C112">
    <cfRule type="cellIs" dxfId="7457" priority="3827" stopIfTrue="1" operator="equal">
      <formula>"Towel"</formula>
    </cfRule>
    <cfRule type="cellIs" dxfId="7456" priority="3828" stopIfTrue="1" operator="equal">
      <formula>"Napkin Hs"</formula>
    </cfRule>
  </conditionalFormatting>
  <conditionalFormatting sqref="B112:C112">
    <cfRule type="cellIs" dxfId="7455" priority="3826" stopIfTrue="1" operator="equal">
      <formula>"Napkin Hs"</formula>
    </cfRule>
  </conditionalFormatting>
  <conditionalFormatting sqref="B112:C112">
    <cfRule type="cellIs" dxfId="7454" priority="3825" stopIfTrue="1" operator="equal">
      <formula>"Towel"</formula>
    </cfRule>
  </conditionalFormatting>
  <conditionalFormatting sqref="C112">
    <cfRule type="cellIs" dxfId="7453" priority="3824" stopIfTrue="1" operator="equal">
      <formula>"Napkin Hs"</formula>
    </cfRule>
  </conditionalFormatting>
  <conditionalFormatting sqref="C112">
    <cfRule type="cellIs" dxfId="7452" priority="3821" stopIfTrue="1" operator="equal">
      <formula>"Towel"</formula>
    </cfRule>
    <cfRule type="cellIs" dxfId="7451" priority="3822" stopIfTrue="1" operator="equal">
      <formula>"Napkin Hs"</formula>
    </cfRule>
  </conditionalFormatting>
  <conditionalFormatting sqref="C112">
    <cfRule type="cellIs" dxfId="7450" priority="3823" stopIfTrue="1" operator="equal">
      <formula>"Towel"</formula>
    </cfRule>
  </conditionalFormatting>
  <conditionalFormatting sqref="B112:C112">
    <cfRule type="cellIs" dxfId="7449" priority="3820" stopIfTrue="1" operator="equal">
      <formula>"Napkin Hs"</formula>
    </cfRule>
  </conditionalFormatting>
  <conditionalFormatting sqref="B112:C112">
    <cfRule type="cellIs" dxfId="7448" priority="3819" stopIfTrue="1" operator="equal">
      <formula>"Towel"</formula>
    </cfRule>
  </conditionalFormatting>
  <conditionalFormatting sqref="C112">
    <cfRule type="cellIs" dxfId="7447" priority="3818" stopIfTrue="1" operator="equal">
      <formula>"Napkin Hs"</formula>
    </cfRule>
  </conditionalFormatting>
  <conditionalFormatting sqref="C112">
    <cfRule type="cellIs" dxfId="7446" priority="3817" stopIfTrue="1" operator="equal">
      <formula>"Towel"</formula>
    </cfRule>
  </conditionalFormatting>
  <conditionalFormatting sqref="C112">
    <cfRule type="cellIs" dxfId="7445" priority="3815" stopIfTrue="1" operator="equal">
      <formula>"Towel"</formula>
    </cfRule>
    <cfRule type="cellIs" dxfId="7444" priority="3816" stopIfTrue="1" operator="equal">
      <formula>"Napkin Hs"</formula>
    </cfRule>
  </conditionalFormatting>
  <conditionalFormatting sqref="B112:C112">
    <cfRule type="cellIs" dxfId="7443" priority="3813" stopIfTrue="1" operator="equal">
      <formula>"Towel"</formula>
    </cfRule>
    <cfRule type="cellIs" dxfId="7442" priority="3814" stopIfTrue="1" operator="equal">
      <formula>"Napkin Hs"</formula>
    </cfRule>
  </conditionalFormatting>
  <conditionalFormatting sqref="C112">
    <cfRule type="cellIs" dxfId="7441" priority="3809" stopIfTrue="1" operator="equal">
      <formula>"Towel"</formula>
    </cfRule>
    <cfRule type="cellIs" dxfId="7440" priority="3810" stopIfTrue="1" operator="equal">
      <formula>"Napkin Hs"</formula>
    </cfRule>
  </conditionalFormatting>
  <conditionalFormatting sqref="C112">
    <cfRule type="cellIs" dxfId="7439" priority="3811" stopIfTrue="1" operator="equal">
      <formula>"Towel"</formula>
    </cfRule>
    <cfRule type="cellIs" dxfId="7438" priority="3812" stopIfTrue="1" operator="equal">
      <formula>"Napkin Hs"</formula>
    </cfRule>
  </conditionalFormatting>
  <conditionalFormatting sqref="B112:C112">
    <cfRule type="cellIs" dxfId="7437" priority="3808" stopIfTrue="1" operator="equal">
      <formula>"Napkin Hs"</formula>
    </cfRule>
  </conditionalFormatting>
  <conditionalFormatting sqref="B112:C112">
    <cfRule type="cellIs" dxfId="7436" priority="3807" stopIfTrue="1" operator="equal">
      <formula>"Towel"</formula>
    </cfRule>
  </conditionalFormatting>
  <conditionalFormatting sqref="C112">
    <cfRule type="cellIs" dxfId="7435" priority="3806" stopIfTrue="1" operator="equal">
      <formula>"Napkin Hs"</formula>
    </cfRule>
  </conditionalFormatting>
  <conditionalFormatting sqref="C112">
    <cfRule type="cellIs" dxfId="7434" priority="3805" stopIfTrue="1" operator="equal">
      <formula>"Towel"</formula>
    </cfRule>
  </conditionalFormatting>
  <conditionalFormatting sqref="C112">
    <cfRule type="cellIs" dxfId="7433" priority="3803" stopIfTrue="1" operator="equal">
      <formula>"Towel"</formula>
    </cfRule>
    <cfRule type="cellIs" dxfId="7432" priority="3804" stopIfTrue="1" operator="equal">
      <formula>"Napkin Hs"</formula>
    </cfRule>
  </conditionalFormatting>
  <conditionalFormatting sqref="B112:C112">
    <cfRule type="cellIs" dxfId="7431" priority="3801" stopIfTrue="1" operator="equal">
      <formula>"Towel"</formula>
    </cfRule>
    <cfRule type="cellIs" dxfId="7430" priority="3802" stopIfTrue="1" operator="equal">
      <formula>"Napkin Hs"</formula>
    </cfRule>
  </conditionalFormatting>
  <conditionalFormatting sqref="C112">
    <cfRule type="cellIs" dxfId="7429" priority="3799" stopIfTrue="1" operator="equal">
      <formula>"Towel"</formula>
    </cfRule>
    <cfRule type="cellIs" dxfId="7428" priority="3800" stopIfTrue="1" operator="equal">
      <formula>"Napkin Hs"</formula>
    </cfRule>
  </conditionalFormatting>
  <conditionalFormatting sqref="C112">
    <cfRule type="cellIs" dxfId="7427" priority="3797" stopIfTrue="1" operator="equal">
      <formula>"Towel"</formula>
    </cfRule>
    <cfRule type="cellIs" dxfId="7426" priority="3798" stopIfTrue="1" operator="equal">
      <formula>"Napkin Hs"</formula>
    </cfRule>
  </conditionalFormatting>
  <conditionalFormatting sqref="B112:C112">
    <cfRule type="cellIs" dxfId="7425" priority="3795" stopIfTrue="1" operator="equal">
      <formula>"Towel"</formula>
    </cfRule>
    <cfRule type="cellIs" dxfId="7424" priority="3796" stopIfTrue="1" operator="equal">
      <formula>"Napkin Hs"</formula>
    </cfRule>
  </conditionalFormatting>
  <conditionalFormatting sqref="C112">
    <cfRule type="cellIs" dxfId="7423" priority="3793" stopIfTrue="1" operator="equal">
      <formula>"Towel"</formula>
    </cfRule>
    <cfRule type="cellIs" dxfId="7422" priority="3794" stopIfTrue="1" operator="equal">
      <formula>"Napkin Hs"</formula>
    </cfRule>
  </conditionalFormatting>
  <conditionalFormatting sqref="C112">
    <cfRule type="cellIs" dxfId="7421" priority="3791" stopIfTrue="1" operator="equal">
      <formula>"Towel"</formula>
    </cfRule>
    <cfRule type="cellIs" dxfId="7420" priority="3792" stopIfTrue="1" operator="equal">
      <formula>"Napkin Hs"</formula>
    </cfRule>
  </conditionalFormatting>
  <conditionalFormatting sqref="B112:C112">
    <cfRule type="cellIs" dxfId="7419" priority="3789" stopIfTrue="1" operator="equal">
      <formula>"Towel"</formula>
    </cfRule>
    <cfRule type="cellIs" dxfId="7418" priority="3790" stopIfTrue="1" operator="equal">
      <formula>"Napkin Hs"</formula>
    </cfRule>
  </conditionalFormatting>
  <conditionalFormatting sqref="C112">
    <cfRule type="cellIs" dxfId="7417" priority="3787" stopIfTrue="1" operator="equal">
      <formula>"Towel"</formula>
    </cfRule>
    <cfRule type="cellIs" dxfId="7416" priority="3788" stopIfTrue="1" operator="equal">
      <formula>"Napkin Hs"</formula>
    </cfRule>
  </conditionalFormatting>
  <conditionalFormatting sqref="C112">
    <cfRule type="cellIs" dxfId="7415" priority="3785" stopIfTrue="1" operator="equal">
      <formula>"Towel"</formula>
    </cfRule>
    <cfRule type="cellIs" dxfId="7414" priority="3786" stopIfTrue="1" operator="equal">
      <formula>"Napkin Hs"</formula>
    </cfRule>
  </conditionalFormatting>
  <conditionalFormatting sqref="B112:C112">
    <cfRule type="cellIs" dxfId="7413" priority="3783" stopIfTrue="1" operator="equal">
      <formula>"Towel"</formula>
    </cfRule>
    <cfRule type="cellIs" dxfId="7412" priority="3784" stopIfTrue="1" operator="equal">
      <formula>"Napkin Hs"</formula>
    </cfRule>
  </conditionalFormatting>
  <conditionalFormatting sqref="C112">
    <cfRule type="cellIs" dxfId="7411" priority="3781" stopIfTrue="1" operator="equal">
      <formula>"Towel"</formula>
    </cfRule>
    <cfRule type="cellIs" dxfId="7410" priority="3782" stopIfTrue="1" operator="equal">
      <formula>"Napkin Hs"</formula>
    </cfRule>
  </conditionalFormatting>
  <conditionalFormatting sqref="C112">
    <cfRule type="cellIs" dxfId="7409" priority="3779" stopIfTrue="1" operator="equal">
      <formula>"Towel"</formula>
    </cfRule>
    <cfRule type="cellIs" dxfId="7408" priority="3780" stopIfTrue="1" operator="equal">
      <formula>"Napkin Hs"</formula>
    </cfRule>
  </conditionalFormatting>
  <conditionalFormatting sqref="B112:C112">
    <cfRule type="cellIs" dxfId="7407" priority="3777" stopIfTrue="1" operator="equal">
      <formula>"Towel"</formula>
    </cfRule>
    <cfRule type="cellIs" dxfId="7406" priority="3778" stopIfTrue="1" operator="equal">
      <formula>"Napkin Hs"</formula>
    </cfRule>
  </conditionalFormatting>
  <conditionalFormatting sqref="C112">
    <cfRule type="cellIs" dxfId="7405" priority="3775" stopIfTrue="1" operator="equal">
      <formula>"Towel"</formula>
    </cfRule>
    <cfRule type="cellIs" dxfId="7404" priority="3776" stopIfTrue="1" operator="equal">
      <formula>"Napkin Hs"</formula>
    </cfRule>
  </conditionalFormatting>
  <conditionalFormatting sqref="C112">
    <cfRule type="cellIs" dxfId="7403" priority="3773" stopIfTrue="1" operator="equal">
      <formula>"Towel"</formula>
    </cfRule>
    <cfRule type="cellIs" dxfId="7402" priority="3774" stopIfTrue="1" operator="equal">
      <formula>"Napkin Hs"</formula>
    </cfRule>
  </conditionalFormatting>
  <conditionalFormatting sqref="B112:C112">
    <cfRule type="cellIs" dxfId="7401" priority="3772" stopIfTrue="1" operator="equal">
      <formula>"Napkin Hs"</formula>
    </cfRule>
  </conditionalFormatting>
  <conditionalFormatting sqref="B112:C112">
    <cfRule type="cellIs" dxfId="7400" priority="3771" stopIfTrue="1" operator="equal">
      <formula>"Towel"</formula>
    </cfRule>
  </conditionalFormatting>
  <conditionalFormatting sqref="C112">
    <cfRule type="cellIs" dxfId="7399" priority="3770" stopIfTrue="1" operator="equal">
      <formula>"Napkin Hs"</formula>
    </cfRule>
  </conditionalFormatting>
  <conditionalFormatting sqref="C112">
    <cfRule type="cellIs" dxfId="7398" priority="3767" stopIfTrue="1" operator="equal">
      <formula>"Towel"</formula>
    </cfRule>
    <cfRule type="cellIs" dxfId="7397" priority="3768" stopIfTrue="1" operator="equal">
      <formula>"Napkin Hs"</formula>
    </cfRule>
  </conditionalFormatting>
  <conditionalFormatting sqref="C112">
    <cfRule type="cellIs" dxfId="7396" priority="3769" stopIfTrue="1" operator="equal">
      <formula>"Towel"</formula>
    </cfRule>
  </conditionalFormatting>
  <conditionalFormatting sqref="B112:C112">
    <cfRule type="cellIs" dxfId="7395" priority="3766" stopIfTrue="1" operator="equal">
      <formula>"Napkin Hs"</formula>
    </cfRule>
  </conditionalFormatting>
  <conditionalFormatting sqref="B112:C112">
    <cfRule type="cellIs" dxfId="7394" priority="3765" stopIfTrue="1" operator="equal">
      <formula>"Towel"</formula>
    </cfRule>
  </conditionalFormatting>
  <conditionalFormatting sqref="C112">
    <cfRule type="cellIs" dxfId="7393" priority="3764" stopIfTrue="1" operator="equal">
      <formula>"Napkin Hs"</formula>
    </cfRule>
  </conditionalFormatting>
  <conditionalFormatting sqref="C112">
    <cfRule type="cellIs" dxfId="7392" priority="3761" stopIfTrue="1" operator="equal">
      <formula>"Towel"</formula>
    </cfRule>
    <cfRule type="cellIs" dxfId="7391" priority="3762" stopIfTrue="1" operator="equal">
      <formula>"Napkin Hs"</formula>
    </cfRule>
  </conditionalFormatting>
  <conditionalFormatting sqref="C112">
    <cfRule type="cellIs" dxfId="7390" priority="3763" stopIfTrue="1" operator="equal">
      <formula>"Towel"</formula>
    </cfRule>
  </conditionalFormatting>
  <conditionalFormatting sqref="B112:C112">
    <cfRule type="cellIs" dxfId="7389" priority="3760" stopIfTrue="1" operator="equal">
      <formula>"Napkin Hs"</formula>
    </cfRule>
  </conditionalFormatting>
  <conditionalFormatting sqref="B112:C112">
    <cfRule type="cellIs" dxfId="7388" priority="3759" stopIfTrue="1" operator="equal">
      <formula>"Towel"</formula>
    </cfRule>
  </conditionalFormatting>
  <conditionalFormatting sqref="C112">
    <cfRule type="cellIs" dxfId="7387" priority="3758" stopIfTrue="1" operator="equal">
      <formula>"Napkin Hs"</formula>
    </cfRule>
  </conditionalFormatting>
  <conditionalFormatting sqref="C112">
    <cfRule type="cellIs" dxfId="7386" priority="3755" stopIfTrue="1" operator="equal">
      <formula>"Towel"</formula>
    </cfRule>
    <cfRule type="cellIs" dxfId="7385" priority="3756" stopIfTrue="1" operator="equal">
      <formula>"Napkin Hs"</formula>
    </cfRule>
  </conditionalFormatting>
  <conditionalFormatting sqref="C112">
    <cfRule type="cellIs" dxfId="7384" priority="3757" stopIfTrue="1" operator="equal">
      <formula>"Towel"</formula>
    </cfRule>
  </conditionalFormatting>
  <conditionalFormatting sqref="B118:C118">
    <cfRule type="cellIs" dxfId="7383" priority="3754" stopIfTrue="1" operator="equal">
      <formula>"Napkin Hs"</formula>
    </cfRule>
  </conditionalFormatting>
  <conditionalFormatting sqref="B118:C118">
    <cfRule type="cellIs" dxfId="7382" priority="3753" stopIfTrue="1" operator="equal">
      <formula>"Towel"</formula>
    </cfRule>
  </conditionalFormatting>
  <conditionalFormatting sqref="C119">
    <cfRule type="cellIs" dxfId="7381" priority="3735" stopIfTrue="1" operator="equal">
      <formula>"Towel"</formula>
    </cfRule>
    <cfRule type="cellIs" dxfId="7380" priority="3736" stopIfTrue="1" operator="equal">
      <formula>"Napkin Hs"</formula>
    </cfRule>
  </conditionalFormatting>
  <conditionalFormatting sqref="B119:C119">
    <cfRule type="cellIs" dxfId="7379" priority="3741" stopIfTrue="1" operator="equal">
      <formula>"Towel"</formula>
    </cfRule>
    <cfRule type="cellIs" dxfId="7378" priority="3742" stopIfTrue="1" operator="equal">
      <formula>"Napkin Hs"</formula>
    </cfRule>
  </conditionalFormatting>
  <conditionalFormatting sqref="C118">
    <cfRule type="cellIs" dxfId="7377" priority="3752" stopIfTrue="1" operator="equal">
      <formula>"Napkin Hs"</formula>
    </cfRule>
  </conditionalFormatting>
  <conditionalFormatting sqref="C118">
    <cfRule type="cellIs" dxfId="7376" priority="3751" stopIfTrue="1" operator="equal">
      <formula>"Towel"</formula>
    </cfRule>
  </conditionalFormatting>
  <conditionalFormatting sqref="C118">
    <cfRule type="cellIs" dxfId="7375" priority="3749" stopIfTrue="1" operator="equal">
      <formula>"Towel"</formula>
    </cfRule>
    <cfRule type="cellIs" dxfId="7374" priority="3750" stopIfTrue="1" operator="equal">
      <formula>"Napkin Hs"</formula>
    </cfRule>
  </conditionalFormatting>
  <conditionalFormatting sqref="C119">
    <cfRule type="cellIs" dxfId="7373" priority="3739" stopIfTrue="1" operator="equal">
      <formula>"Towel"</formula>
    </cfRule>
    <cfRule type="cellIs" dxfId="7372" priority="3740" stopIfTrue="1" operator="equal">
      <formula>"Napkin Hs"</formula>
    </cfRule>
  </conditionalFormatting>
  <conditionalFormatting sqref="B118:C119">
    <cfRule type="cellIs" dxfId="7371" priority="3726" stopIfTrue="1" operator="equal">
      <formula>"Napkin Hs"</formula>
    </cfRule>
  </conditionalFormatting>
  <conditionalFormatting sqref="B118:C119">
    <cfRule type="cellIs" dxfId="7370" priority="3725" stopIfTrue="1" operator="equal">
      <formula>"Towel"</formula>
    </cfRule>
  </conditionalFormatting>
  <conditionalFormatting sqref="C118:C119">
    <cfRule type="cellIs" dxfId="7369" priority="3724" stopIfTrue="1" operator="equal">
      <formula>"Napkin Hs"</formula>
    </cfRule>
  </conditionalFormatting>
  <conditionalFormatting sqref="C118:C119">
    <cfRule type="cellIs" dxfId="7368" priority="3723" stopIfTrue="1" operator="equal">
      <formula>"Towel"</formula>
    </cfRule>
  </conditionalFormatting>
  <conditionalFormatting sqref="C118:C119">
    <cfRule type="cellIs" dxfId="7367" priority="3721" stopIfTrue="1" operator="equal">
      <formula>"Towel"</formula>
    </cfRule>
    <cfRule type="cellIs" dxfId="7366" priority="3722" stopIfTrue="1" operator="equal">
      <formula>"Napkin Hs"</formula>
    </cfRule>
  </conditionalFormatting>
  <conditionalFormatting sqref="B118:C119">
    <cfRule type="cellIs" dxfId="7365" priority="3719" stopIfTrue="1" operator="equal">
      <formula>"Towel"</formula>
    </cfRule>
    <cfRule type="cellIs" dxfId="7364" priority="3720" stopIfTrue="1" operator="equal">
      <formula>"Napkin Hs"</formula>
    </cfRule>
  </conditionalFormatting>
  <conditionalFormatting sqref="C118:C119">
    <cfRule type="cellIs" dxfId="7363" priority="3715" stopIfTrue="1" operator="equal">
      <formula>"Towel"</formula>
    </cfRule>
    <cfRule type="cellIs" dxfId="7362" priority="3716" stopIfTrue="1" operator="equal">
      <formula>"Napkin Hs"</formula>
    </cfRule>
  </conditionalFormatting>
  <conditionalFormatting sqref="C118:C119">
    <cfRule type="cellIs" dxfId="7361" priority="3717" stopIfTrue="1" operator="equal">
      <formula>"Towel"</formula>
    </cfRule>
    <cfRule type="cellIs" dxfId="7360" priority="3718" stopIfTrue="1" operator="equal">
      <formula>"Napkin Hs"</formula>
    </cfRule>
  </conditionalFormatting>
  <conditionalFormatting sqref="B118:C119">
    <cfRule type="cellIs" dxfId="7359" priority="3714" stopIfTrue="1" operator="equal">
      <formula>"Napkin Hs"</formula>
    </cfRule>
  </conditionalFormatting>
  <conditionalFormatting sqref="B118:C119">
    <cfRule type="cellIs" dxfId="7358" priority="3713" stopIfTrue="1" operator="equal">
      <formula>"Towel"</formula>
    </cfRule>
  </conditionalFormatting>
  <conditionalFormatting sqref="C118:C119">
    <cfRule type="cellIs" dxfId="7357" priority="3712" stopIfTrue="1" operator="equal">
      <formula>"Napkin Hs"</formula>
    </cfRule>
  </conditionalFormatting>
  <conditionalFormatting sqref="C118:C119">
    <cfRule type="cellIs" dxfId="7356" priority="3711" stopIfTrue="1" operator="equal">
      <formula>"Towel"</formula>
    </cfRule>
  </conditionalFormatting>
  <conditionalFormatting sqref="C118:C119">
    <cfRule type="cellIs" dxfId="7355" priority="3709" stopIfTrue="1" operator="equal">
      <formula>"Towel"</formula>
    </cfRule>
    <cfRule type="cellIs" dxfId="7354" priority="3710" stopIfTrue="1" operator="equal">
      <formula>"Napkin Hs"</formula>
    </cfRule>
  </conditionalFormatting>
  <conditionalFormatting sqref="B118:C119">
    <cfRule type="cellIs" dxfId="7353" priority="3707" stopIfTrue="1" operator="equal">
      <formula>"Towel"</formula>
    </cfRule>
    <cfRule type="cellIs" dxfId="7352" priority="3708" stopIfTrue="1" operator="equal">
      <formula>"Napkin Hs"</formula>
    </cfRule>
  </conditionalFormatting>
  <conditionalFormatting sqref="C118:C119">
    <cfRule type="cellIs" dxfId="7351" priority="3705" stopIfTrue="1" operator="equal">
      <formula>"Towel"</formula>
    </cfRule>
    <cfRule type="cellIs" dxfId="7350" priority="3706" stopIfTrue="1" operator="equal">
      <formula>"Napkin Hs"</formula>
    </cfRule>
  </conditionalFormatting>
  <conditionalFormatting sqref="C118:C119">
    <cfRule type="cellIs" dxfId="7349" priority="3703" stopIfTrue="1" operator="equal">
      <formula>"Towel"</formula>
    </cfRule>
    <cfRule type="cellIs" dxfId="7348" priority="3704" stopIfTrue="1" operator="equal">
      <formula>"Napkin Hs"</formula>
    </cfRule>
  </conditionalFormatting>
  <conditionalFormatting sqref="B118:C119">
    <cfRule type="cellIs" dxfId="7347" priority="3701" stopIfTrue="1" operator="equal">
      <formula>"Towel"</formula>
    </cfRule>
    <cfRule type="cellIs" dxfId="7346" priority="3702" stopIfTrue="1" operator="equal">
      <formula>"Napkin Hs"</formula>
    </cfRule>
  </conditionalFormatting>
  <conditionalFormatting sqref="C118:C119">
    <cfRule type="cellIs" dxfId="7345" priority="3699" stopIfTrue="1" operator="equal">
      <formula>"Towel"</formula>
    </cfRule>
    <cfRule type="cellIs" dxfId="7344" priority="3700" stopIfTrue="1" operator="equal">
      <formula>"Napkin Hs"</formula>
    </cfRule>
  </conditionalFormatting>
  <conditionalFormatting sqref="C118:C119">
    <cfRule type="cellIs" dxfId="7343" priority="3697" stopIfTrue="1" operator="equal">
      <formula>"Towel"</formula>
    </cfRule>
    <cfRule type="cellIs" dxfId="7342" priority="3698" stopIfTrue="1" operator="equal">
      <formula>"Napkin Hs"</formula>
    </cfRule>
  </conditionalFormatting>
  <conditionalFormatting sqref="B118:C119">
    <cfRule type="cellIs" dxfId="7341" priority="3695" stopIfTrue="1" operator="equal">
      <formula>"Towel"</formula>
    </cfRule>
    <cfRule type="cellIs" dxfId="7340" priority="3696" stopIfTrue="1" operator="equal">
      <formula>"Napkin Hs"</formula>
    </cfRule>
  </conditionalFormatting>
  <conditionalFormatting sqref="C118:C119">
    <cfRule type="cellIs" dxfId="7339" priority="3693" stopIfTrue="1" operator="equal">
      <formula>"Towel"</formula>
    </cfRule>
    <cfRule type="cellIs" dxfId="7338" priority="3694" stopIfTrue="1" operator="equal">
      <formula>"Napkin Hs"</formula>
    </cfRule>
  </conditionalFormatting>
  <conditionalFormatting sqref="C118:C119">
    <cfRule type="cellIs" dxfId="7337" priority="3691" stopIfTrue="1" operator="equal">
      <formula>"Towel"</formula>
    </cfRule>
    <cfRule type="cellIs" dxfId="7336" priority="3692" stopIfTrue="1" operator="equal">
      <formula>"Napkin Hs"</formula>
    </cfRule>
  </conditionalFormatting>
  <conditionalFormatting sqref="B118:C119">
    <cfRule type="cellIs" dxfId="7335" priority="3689" stopIfTrue="1" operator="equal">
      <formula>"Towel"</formula>
    </cfRule>
    <cfRule type="cellIs" dxfId="7334" priority="3690" stopIfTrue="1" operator="equal">
      <formula>"Napkin Hs"</formula>
    </cfRule>
  </conditionalFormatting>
  <conditionalFormatting sqref="C118:C119">
    <cfRule type="cellIs" dxfId="7333" priority="3687" stopIfTrue="1" operator="equal">
      <formula>"Towel"</formula>
    </cfRule>
    <cfRule type="cellIs" dxfId="7332" priority="3688" stopIfTrue="1" operator="equal">
      <formula>"Napkin Hs"</formula>
    </cfRule>
  </conditionalFormatting>
  <conditionalFormatting sqref="C118:C119">
    <cfRule type="cellIs" dxfId="7331" priority="3685" stopIfTrue="1" operator="equal">
      <formula>"Towel"</formula>
    </cfRule>
    <cfRule type="cellIs" dxfId="7330" priority="3686" stopIfTrue="1" operator="equal">
      <formula>"Napkin Hs"</formula>
    </cfRule>
  </conditionalFormatting>
  <conditionalFormatting sqref="B118:C119">
    <cfRule type="cellIs" dxfId="7329" priority="3683" stopIfTrue="1" operator="equal">
      <formula>"Towel"</formula>
    </cfRule>
    <cfRule type="cellIs" dxfId="7328" priority="3684" stopIfTrue="1" operator="equal">
      <formula>"Napkin Hs"</formula>
    </cfRule>
  </conditionalFormatting>
  <conditionalFormatting sqref="C118:C119">
    <cfRule type="cellIs" dxfId="7327" priority="3681" stopIfTrue="1" operator="equal">
      <formula>"Towel"</formula>
    </cfRule>
    <cfRule type="cellIs" dxfId="7326" priority="3682" stopIfTrue="1" operator="equal">
      <formula>"Napkin Hs"</formula>
    </cfRule>
  </conditionalFormatting>
  <conditionalFormatting sqref="C118:C119">
    <cfRule type="cellIs" dxfId="7325" priority="3679" stopIfTrue="1" operator="equal">
      <formula>"Towel"</formula>
    </cfRule>
    <cfRule type="cellIs" dxfId="7324" priority="3680" stopIfTrue="1" operator="equal">
      <formula>"Napkin Hs"</formula>
    </cfRule>
  </conditionalFormatting>
  <conditionalFormatting sqref="B118:C119">
    <cfRule type="cellIs" dxfId="7323" priority="3678" stopIfTrue="1" operator="equal">
      <formula>"Napkin Hs"</formula>
    </cfRule>
  </conditionalFormatting>
  <conditionalFormatting sqref="B118:C119">
    <cfRule type="cellIs" dxfId="7322" priority="3677" stopIfTrue="1" operator="equal">
      <formula>"Towel"</formula>
    </cfRule>
  </conditionalFormatting>
  <conditionalFormatting sqref="C118:C119">
    <cfRule type="cellIs" dxfId="7321" priority="3676" stopIfTrue="1" operator="equal">
      <formula>"Napkin Hs"</formula>
    </cfRule>
  </conditionalFormatting>
  <conditionalFormatting sqref="C118:C119">
    <cfRule type="cellIs" dxfId="7320" priority="3673" stopIfTrue="1" operator="equal">
      <formula>"Towel"</formula>
    </cfRule>
    <cfRule type="cellIs" dxfId="7319" priority="3674" stopIfTrue="1" operator="equal">
      <formula>"Napkin Hs"</formula>
    </cfRule>
  </conditionalFormatting>
  <conditionalFormatting sqref="C118:C119">
    <cfRule type="cellIs" dxfId="7318" priority="3675" stopIfTrue="1" operator="equal">
      <formula>"Towel"</formula>
    </cfRule>
  </conditionalFormatting>
  <conditionalFormatting sqref="B118:C118">
    <cfRule type="cellIs" dxfId="7317" priority="3618" stopIfTrue="1" operator="equal">
      <formula>"Napkin Hs"</formula>
    </cfRule>
  </conditionalFormatting>
  <conditionalFormatting sqref="B118:C118">
    <cfRule type="cellIs" dxfId="7316" priority="3617" stopIfTrue="1" operator="equal">
      <formula>"Towel"</formula>
    </cfRule>
  </conditionalFormatting>
  <conditionalFormatting sqref="C118">
    <cfRule type="cellIs" dxfId="7315" priority="3616" stopIfTrue="1" operator="equal">
      <formula>"Napkin Hs"</formula>
    </cfRule>
  </conditionalFormatting>
  <conditionalFormatting sqref="C118">
    <cfRule type="cellIs" dxfId="7314" priority="3615" stopIfTrue="1" operator="equal">
      <formula>"Towel"</formula>
    </cfRule>
  </conditionalFormatting>
  <conditionalFormatting sqref="C118">
    <cfRule type="cellIs" dxfId="7313" priority="3613" stopIfTrue="1" operator="equal">
      <formula>"Towel"</formula>
    </cfRule>
    <cfRule type="cellIs" dxfId="7312" priority="3614" stopIfTrue="1" operator="equal">
      <formula>"Napkin Hs"</formula>
    </cfRule>
  </conditionalFormatting>
  <conditionalFormatting sqref="B118:C118">
    <cfRule type="cellIs" dxfId="7311" priority="3611" stopIfTrue="1" operator="equal">
      <formula>"Towel"</formula>
    </cfRule>
    <cfRule type="cellIs" dxfId="7310" priority="3612" stopIfTrue="1" operator="equal">
      <formula>"Napkin Hs"</formula>
    </cfRule>
  </conditionalFormatting>
  <conditionalFormatting sqref="C118">
    <cfRule type="cellIs" dxfId="7309" priority="3607" stopIfTrue="1" operator="equal">
      <formula>"Towel"</formula>
    </cfRule>
    <cfRule type="cellIs" dxfId="7308" priority="3608" stopIfTrue="1" operator="equal">
      <formula>"Napkin Hs"</formula>
    </cfRule>
  </conditionalFormatting>
  <conditionalFormatting sqref="C118">
    <cfRule type="cellIs" dxfId="7307" priority="3609" stopIfTrue="1" operator="equal">
      <formula>"Towel"</formula>
    </cfRule>
    <cfRule type="cellIs" dxfId="7306" priority="3610" stopIfTrue="1" operator="equal">
      <formula>"Napkin Hs"</formula>
    </cfRule>
  </conditionalFormatting>
  <conditionalFormatting sqref="B118:C118">
    <cfRule type="cellIs" dxfId="7305" priority="3606" stopIfTrue="1" operator="equal">
      <formula>"Napkin Hs"</formula>
    </cfRule>
  </conditionalFormatting>
  <conditionalFormatting sqref="B118:C118">
    <cfRule type="cellIs" dxfId="7304" priority="3605" stopIfTrue="1" operator="equal">
      <formula>"Towel"</formula>
    </cfRule>
  </conditionalFormatting>
  <conditionalFormatting sqref="C118">
    <cfRule type="cellIs" dxfId="7303" priority="3604" stopIfTrue="1" operator="equal">
      <formula>"Napkin Hs"</formula>
    </cfRule>
  </conditionalFormatting>
  <conditionalFormatting sqref="C118">
    <cfRule type="cellIs" dxfId="7302" priority="3603" stopIfTrue="1" operator="equal">
      <formula>"Towel"</formula>
    </cfRule>
  </conditionalFormatting>
  <conditionalFormatting sqref="C118">
    <cfRule type="cellIs" dxfId="7301" priority="3601" stopIfTrue="1" operator="equal">
      <formula>"Towel"</formula>
    </cfRule>
    <cfRule type="cellIs" dxfId="7300" priority="3602" stopIfTrue="1" operator="equal">
      <formula>"Napkin Hs"</formula>
    </cfRule>
  </conditionalFormatting>
  <conditionalFormatting sqref="B118:C118">
    <cfRule type="cellIs" dxfId="7299" priority="3599" stopIfTrue="1" operator="equal">
      <formula>"Towel"</formula>
    </cfRule>
    <cfRule type="cellIs" dxfId="7298" priority="3600" stopIfTrue="1" operator="equal">
      <formula>"Napkin Hs"</formula>
    </cfRule>
  </conditionalFormatting>
  <conditionalFormatting sqref="C118">
    <cfRule type="cellIs" dxfId="7297" priority="3597" stopIfTrue="1" operator="equal">
      <formula>"Towel"</formula>
    </cfRule>
    <cfRule type="cellIs" dxfId="7296" priority="3598" stopIfTrue="1" operator="equal">
      <formula>"Napkin Hs"</formula>
    </cfRule>
  </conditionalFormatting>
  <conditionalFormatting sqref="C118">
    <cfRule type="cellIs" dxfId="7295" priority="3595" stopIfTrue="1" operator="equal">
      <formula>"Towel"</formula>
    </cfRule>
    <cfRule type="cellIs" dxfId="7294" priority="3596" stopIfTrue="1" operator="equal">
      <formula>"Napkin Hs"</formula>
    </cfRule>
  </conditionalFormatting>
  <conditionalFormatting sqref="B118:C118">
    <cfRule type="cellIs" dxfId="7293" priority="3593" stopIfTrue="1" operator="equal">
      <formula>"Towel"</formula>
    </cfRule>
    <cfRule type="cellIs" dxfId="7292" priority="3594" stopIfTrue="1" operator="equal">
      <formula>"Napkin Hs"</formula>
    </cfRule>
  </conditionalFormatting>
  <conditionalFormatting sqref="C118">
    <cfRule type="cellIs" dxfId="7291" priority="3591" stopIfTrue="1" operator="equal">
      <formula>"Towel"</formula>
    </cfRule>
    <cfRule type="cellIs" dxfId="7290" priority="3592" stopIfTrue="1" operator="equal">
      <formula>"Napkin Hs"</formula>
    </cfRule>
  </conditionalFormatting>
  <conditionalFormatting sqref="C118">
    <cfRule type="cellIs" dxfId="7289" priority="3589" stopIfTrue="1" operator="equal">
      <formula>"Towel"</formula>
    </cfRule>
    <cfRule type="cellIs" dxfId="7288" priority="3590" stopIfTrue="1" operator="equal">
      <formula>"Napkin Hs"</formula>
    </cfRule>
  </conditionalFormatting>
  <conditionalFormatting sqref="B118:C118">
    <cfRule type="cellIs" dxfId="7287" priority="3587" stopIfTrue="1" operator="equal">
      <formula>"Towel"</formula>
    </cfRule>
    <cfRule type="cellIs" dxfId="7286" priority="3588" stopIfTrue="1" operator="equal">
      <formula>"Napkin Hs"</formula>
    </cfRule>
  </conditionalFormatting>
  <conditionalFormatting sqref="C118">
    <cfRule type="cellIs" dxfId="7285" priority="3585" stopIfTrue="1" operator="equal">
      <formula>"Towel"</formula>
    </cfRule>
    <cfRule type="cellIs" dxfId="7284" priority="3586" stopIfTrue="1" operator="equal">
      <formula>"Napkin Hs"</formula>
    </cfRule>
  </conditionalFormatting>
  <conditionalFormatting sqref="C118">
    <cfRule type="cellIs" dxfId="7283" priority="3583" stopIfTrue="1" operator="equal">
      <formula>"Towel"</formula>
    </cfRule>
    <cfRule type="cellIs" dxfId="7282" priority="3584" stopIfTrue="1" operator="equal">
      <formula>"Napkin Hs"</formula>
    </cfRule>
  </conditionalFormatting>
  <conditionalFormatting sqref="B118:C118">
    <cfRule type="cellIs" dxfId="7281" priority="3581" stopIfTrue="1" operator="equal">
      <formula>"Towel"</formula>
    </cfRule>
    <cfRule type="cellIs" dxfId="7280" priority="3582" stopIfTrue="1" operator="equal">
      <formula>"Napkin Hs"</formula>
    </cfRule>
  </conditionalFormatting>
  <conditionalFormatting sqref="C118">
    <cfRule type="cellIs" dxfId="7279" priority="3579" stopIfTrue="1" operator="equal">
      <formula>"Towel"</formula>
    </cfRule>
    <cfRule type="cellIs" dxfId="7278" priority="3580" stopIfTrue="1" operator="equal">
      <formula>"Napkin Hs"</formula>
    </cfRule>
  </conditionalFormatting>
  <conditionalFormatting sqref="C118">
    <cfRule type="cellIs" dxfId="7277" priority="3577" stopIfTrue="1" operator="equal">
      <formula>"Towel"</formula>
    </cfRule>
    <cfRule type="cellIs" dxfId="7276" priority="3578" stopIfTrue="1" operator="equal">
      <formula>"Napkin Hs"</formula>
    </cfRule>
  </conditionalFormatting>
  <conditionalFormatting sqref="B118:C118">
    <cfRule type="cellIs" dxfId="7275" priority="3575" stopIfTrue="1" operator="equal">
      <formula>"Towel"</formula>
    </cfRule>
    <cfRule type="cellIs" dxfId="7274" priority="3576" stopIfTrue="1" operator="equal">
      <formula>"Napkin Hs"</formula>
    </cfRule>
  </conditionalFormatting>
  <conditionalFormatting sqref="C118">
    <cfRule type="cellIs" dxfId="7273" priority="3573" stopIfTrue="1" operator="equal">
      <formula>"Towel"</formula>
    </cfRule>
    <cfRule type="cellIs" dxfId="7272" priority="3574" stopIfTrue="1" operator="equal">
      <formula>"Napkin Hs"</formula>
    </cfRule>
  </conditionalFormatting>
  <conditionalFormatting sqref="C118">
    <cfRule type="cellIs" dxfId="7271" priority="3571" stopIfTrue="1" operator="equal">
      <formula>"Towel"</formula>
    </cfRule>
    <cfRule type="cellIs" dxfId="7270" priority="3572" stopIfTrue="1" operator="equal">
      <formula>"Napkin Hs"</formula>
    </cfRule>
  </conditionalFormatting>
  <conditionalFormatting sqref="B118:C118">
    <cfRule type="cellIs" dxfId="7269" priority="3570" stopIfTrue="1" operator="equal">
      <formula>"Napkin Hs"</formula>
    </cfRule>
  </conditionalFormatting>
  <conditionalFormatting sqref="B118:C118">
    <cfRule type="cellIs" dxfId="7268" priority="3569" stopIfTrue="1" operator="equal">
      <formula>"Towel"</formula>
    </cfRule>
  </conditionalFormatting>
  <conditionalFormatting sqref="C118">
    <cfRule type="cellIs" dxfId="7267" priority="3568" stopIfTrue="1" operator="equal">
      <formula>"Napkin Hs"</formula>
    </cfRule>
  </conditionalFormatting>
  <conditionalFormatting sqref="C118">
    <cfRule type="cellIs" dxfId="7266" priority="3565" stopIfTrue="1" operator="equal">
      <formula>"Towel"</formula>
    </cfRule>
    <cfRule type="cellIs" dxfId="7265" priority="3566" stopIfTrue="1" operator="equal">
      <formula>"Napkin Hs"</formula>
    </cfRule>
  </conditionalFormatting>
  <conditionalFormatting sqref="C118">
    <cfRule type="cellIs" dxfId="7264" priority="3567" stopIfTrue="1" operator="equal">
      <formula>"Towel"</formula>
    </cfRule>
  </conditionalFormatting>
  <conditionalFormatting sqref="B119:C119">
    <cfRule type="cellIs" dxfId="7263" priority="3564" stopIfTrue="1" operator="equal">
      <formula>"Napkin Hs"</formula>
    </cfRule>
  </conditionalFormatting>
  <conditionalFormatting sqref="B119:C119">
    <cfRule type="cellIs" dxfId="7262" priority="3563" stopIfTrue="1" operator="equal">
      <formula>"Towel"</formula>
    </cfRule>
  </conditionalFormatting>
  <conditionalFormatting sqref="C119">
    <cfRule type="cellIs" dxfId="7261" priority="3562" stopIfTrue="1" operator="equal">
      <formula>"Napkin Hs"</formula>
    </cfRule>
  </conditionalFormatting>
  <conditionalFormatting sqref="C119">
    <cfRule type="cellIs" dxfId="7260" priority="3561" stopIfTrue="1" operator="equal">
      <formula>"Towel"</formula>
    </cfRule>
  </conditionalFormatting>
  <conditionalFormatting sqref="C119">
    <cfRule type="cellIs" dxfId="7259" priority="3559" stopIfTrue="1" operator="equal">
      <formula>"Towel"</formula>
    </cfRule>
    <cfRule type="cellIs" dxfId="7258" priority="3560" stopIfTrue="1" operator="equal">
      <formula>"Napkin Hs"</formula>
    </cfRule>
  </conditionalFormatting>
  <conditionalFormatting sqref="B119:C119">
    <cfRule type="cellIs" dxfId="7257" priority="3557" stopIfTrue="1" operator="equal">
      <formula>"Towel"</formula>
    </cfRule>
    <cfRule type="cellIs" dxfId="7256" priority="3558" stopIfTrue="1" operator="equal">
      <formula>"Napkin Hs"</formula>
    </cfRule>
  </conditionalFormatting>
  <conditionalFormatting sqref="C119">
    <cfRule type="cellIs" dxfId="7255" priority="3553" stopIfTrue="1" operator="equal">
      <formula>"Towel"</formula>
    </cfRule>
    <cfRule type="cellIs" dxfId="7254" priority="3554" stopIfTrue="1" operator="equal">
      <formula>"Napkin Hs"</formula>
    </cfRule>
  </conditionalFormatting>
  <conditionalFormatting sqref="C119">
    <cfRule type="cellIs" dxfId="7253" priority="3555" stopIfTrue="1" operator="equal">
      <formula>"Towel"</formula>
    </cfRule>
    <cfRule type="cellIs" dxfId="7252" priority="3556" stopIfTrue="1" operator="equal">
      <formula>"Napkin Hs"</formula>
    </cfRule>
  </conditionalFormatting>
  <conditionalFormatting sqref="B119:C119">
    <cfRule type="cellIs" dxfId="7251" priority="3552" stopIfTrue="1" operator="equal">
      <formula>"Napkin Hs"</formula>
    </cfRule>
  </conditionalFormatting>
  <conditionalFormatting sqref="B119:C119">
    <cfRule type="cellIs" dxfId="7250" priority="3551" stopIfTrue="1" operator="equal">
      <formula>"Towel"</formula>
    </cfRule>
  </conditionalFormatting>
  <conditionalFormatting sqref="C119">
    <cfRule type="cellIs" dxfId="7249" priority="3550" stopIfTrue="1" operator="equal">
      <formula>"Napkin Hs"</formula>
    </cfRule>
  </conditionalFormatting>
  <conditionalFormatting sqref="C119">
    <cfRule type="cellIs" dxfId="7248" priority="3549" stopIfTrue="1" operator="equal">
      <formula>"Towel"</formula>
    </cfRule>
  </conditionalFormatting>
  <conditionalFormatting sqref="C119">
    <cfRule type="cellIs" dxfId="7247" priority="3547" stopIfTrue="1" operator="equal">
      <formula>"Towel"</formula>
    </cfRule>
    <cfRule type="cellIs" dxfId="7246" priority="3548" stopIfTrue="1" operator="equal">
      <formula>"Napkin Hs"</formula>
    </cfRule>
  </conditionalFormatting>
  <conditionalFormatting sqref="B119:C119">
    <cfRule type="cellIs" dxfId="7245" priority="3545" stopIfTrue="1" operator="equal">
      <formula>"Towel"</formula>
    </cfRule>
    <cfRule type="cellIs" dxfId="7244" priority="3546" stopIfTrue="1" operator="equal">
      <formula>"Napkin Hs"</formula>
    </cfRule>
  </conditionalFormatting>
  <conditionalFormatting sqref="C119">
    <cfRule type="cellIs" dxfId="7243" priority="3543" stopIfTrue="1" operator="equal">
      <formula>"Towel"</formula>
    </cfRule>
    <cfRule type="cellIs" dxfId="7242" priority="3544" stopIfTrue="1" operator="equal">
      <formula>"Napkin Hs"</formula>
    </cfRule>
  </conditionalFormatting>
  <conditionalFormatting sqref="C119">
    <cfRule type="cellIs" dxfId="7241" priority="3541" stopIfTrue="1" operator="equal">
      <formula>"Towel"</formula>
    </cfRule>
    <cfRule type="cellIs" dxfId="7240" priority="3542" stopIfTrue="1" operator="equal">
      <formula>"Napkin Hs"</formula>
    </cfRule>
  </conditionalFormatting>
  <conditionalFormatting sqref="B119:C119">
    <cfRule type="cellIs" dxfId="7239" priority="3539" stopIfTrue="1" operator="equal">
      <formula>"Towel"</formula>
    </cfRule>
    <cfRule type="cellIs" dxfId="7238" priority="3540" stopIfTrue="1" operator="equal">
      <formula>"Napkin Hs"</formula>
    </cfRule>
  </conditionalFormatting>
  <conditionalFormatting sqref="C119">
    <cfRule type="cellIs" dxfId="7237" priority="3537" stopIfTrue="1" operator="equal">
      <formula>"Towel"</formula>
    </cfRule>
    <cfRule type="cellIs" dxfId="7236" priority="3538" stopIfTrue="1" operator="equal">
      <formula>"Napkin Hs"</formula>
    </cfRule>
  </conditionalFormatting>
  <conditionalFormatting sqref="C119">
    <cfRule type="cellIs" dxfId="7235" priority="3535" stopIfTrue="1" operator="equal">
      <formula>"Towel"</formula>
    </cfRule>
    <cfRule type="cellIs" dxfId="7234" priority="3536" stopIfTrue="1" operator="equal">
      <formula>"Napkin Hs"</formula>
    </cfRule>
  </conditionalFormatting>
  <conditionalFormatting sqref="B119:C119">
    <cfRule type="cellIs" dxfId="7233" priority="3533" stopIfTrue="1" operator="equal">
      <formula>"Towel"</formula>
    </cfRule>
    <cfRule type="cellIs" dxfId="7232" priority="3534" stopIfTrue="1" operator="equal">
      <formula>"Napkin Hs"</formula>
    </cfRule>
  </conditionalFormatting>
  <conditionalFormatting sqref="C119">
    <cfRule type="cellIs" dxfId="7231" priority="3531" stopIfTrue="1" operator="equal">
      <formula>"Towel"</formula>
    </cfRule>
    <cfRule type="cellIs" dxfId="7230" priority="3532" stopIfTrue="1" operator="equal">
      <formula>"Napkin Hs"</formula>
    </cfRule>
  </conditionalFormatting>
  <conditionalFormatting sqref="C119">
    <cfRule type="cellIs" dxfId="7229" priority="3529" stopIfTrue="1" operator="equal">
      <formula>"Towel"</formula>
    </cfRule>
    <cfRule type="cellIs" dxfId="7228" priority="3530" stopIfTrue="1" operator="equal">
      <formula>"Napkin Hs"</formula>
    </cfRule>
  </conditionalFormatting>
  <conditionalFormatting sqref="B119:C119">
    <cfRule type="cellIs" dxfId="7227" priority="3527" stopIfTrue="1" operator="equal">
      <formula>"Towel"</formula>
    </cfRule>
    <cfRule type="cellIs" dxfId="7226" priority="3528" stopIfTrue="1" operator="equal">
      <formula>"Napkin Hs"</formula>
    </cfRule>
  </conditionalFormatting>
  <conditionalFormatting sqref="C119">
    <cfRule type="cellIs" dxfId="7225" priority="3525" stopIfTrue="1" operator="equal">
      <formula>"Towel"</formula>
    </cfRule>
    <cfRule type="cellIs" dxfId="7224" priority="3526" stopIfTrue="1" operator="equal">
      <formula>"Napkin Hs"</formula>
    </cfRule>
  </conditionalFormatting>
  <conditionalFormatting sqref="C119">
    <cfRule type="cellIs" dxfId="7223" priority="3523" stopIfTrue="1" operator="equal">
      <formula>"Towel"</formula>
    </cfRule>
    <cfRule type="cellIs" dxfId="7222" priority="3524" stopIfTrue="1" operator="equal">
      <formula>"Napkin Hs"</formula>
    </cfRule>
  </conditionalFormatting>
  <conditionalFormatting sqref="B119:C119">
    <cfRule type="cellIs" dxfId="7221" priority="3521" stopIfTrue="1" operator="equal">
      <formula>"Towel"</formula>
    </cfRule>
    <cfRule type="cellIs" dxfId="7220" priority="3522" stopIfTrue="1" operator="equal">
      <formula>"Napkin Hs"</formula>
    </cfRule>
  </conditionalFormatting>
  <conditionalFormatting sqref="C119">
    <cfRule type="cellIs" dxfId="7219" priority="3519" stopIfTrue="1" operator="equal">
      <formula>"Towel"</formula>
    </cfRule>
    <cfRule type="cellIs" dxfId="7218" priority="3520" stopIfTrue="1" operator="equal">
      <formula>"Napkin Hs"</formula>
    </cfRule>
  </conditionalFormatting>
  <conditionalFormatting sqref="C119">
    <cfRule type="cellIs" dxfId="7217" priority="3517" stopIfTrue="1" operator="equal">
      <formula>"Towel"</formula>
    </cfRule>
    <cfRule type="cellIs" dxfId="7216" priority="3518" stopIfTrue="1" operator="equal">
      <formula>"Napkin Hs"</formula>
    </cfRule>
  </conditionalFormatting>
  <conditionalFormatting sqref="B119:C119">
    <cfRule type="cellIs" dxfId="7215" priority="3516" stopIfTrue="1" operator="equal">
      <formula>"Napkin Hs"</formula>
    </cfRule>
  </conditionalFormatting>
  <conditionalFormatting sqref="B119:C119">
    <cfRule type="cellIs" dxfId="7214" priority="3515" stopIfTrue="1" operator="equal">
      <formula>"Towel"</formula>
    </cfRule>
  </conditionalFormatting>
  <conditionalFormatting sqref="C119">
    <cfRule type="cellIs" dxfId="7213" priority="3514" stopIfTrue="1" operator="equal">
      <formula>"Napkin Hs"</formula>
    </cfRule>
  </conditionalFormatting>
  <conditionalFormatting sqref="C119">
    <cfRule type="cellIs" dxfId="7212" priority="3511" stopIfTrue="1" operator="equal">
      <formula>"Towel"</formula>
    </cfRule>
    <cfRule type="cellIs" dxfId="7211" priority="3512" stopIfTrue="1" operator="equal">
      <formula>"Napkin Hs"</formula>
    </cfRule>
  </conditionalFormatting>
  <conditionalFormatting sqref="C119">
    <cfRule type="cellIs" dxfId="7210" priority="3513" stopIfTrue="1" operator="equal">
      <formula>"Towel"</formula>
    </cfRule>
  </conditionalFormatting>
  <conditionalFormatting sqref="B119">
    <cfRule type="cellIs" dxfId="7209" priority="3510" stopIfTrue="1" operator="equal">
      <formula>"Napkin Hs"</formula>
    </cfRule>
  </conditionalFormatting>
  <conditionalFormatting sqref="B119">
    <cfRule type="cellIs" dxfId="7208" priority="3509" stopIfTrue="1" operator="equal">
      <formula>"Towel"</formula>
    </cfRule>
  </conditionalFormatting>
  <conditionalFormatting sqref="B119">
    <cfRule type="cellIs" dxfId="7207" priority="3507" stopIfTrue="1" operator="equal">
      <formula>"Towel"</formula>
    </cfRule>
    <cfRule type="cellIs" dxfId="7206" priority="3508" stopIfTrue="1" operator="equal">
      <formula>"Napkin Hs"</formula>
    </cfRule>
  </conditionalFormatting>
  <conditionalFormatting sqref="B119">
    <cfRule type="cellIs" dxfId="7205" priority="3506" stopIfTrue="1" operator="equal">
      <formula>"Napkin Hs"</formula>
    </cfRule>
  </conditionalFormatting>
  <conditionalFormatting sqref="B119">
    <cfRule type="cellIs" dxfId="7204" priority="3505" stopIfTrue="1" operator="equal">
      <formula>"Towel"</formula>
    </cfRule>
  </conditionalFormatting>
  <conditionalFormatting sqref="B119">
    <cfRule type="cellIs" dxfId="7203" priority="3503" stopIfTrue="1" operator="equal">
      <formula>"Towel"</formula>
    </cfRule>
    <cfRule type="cellIs" dxfId="7202" priority="3504" stopIfTrue="1" operator="equal">
      <formula>"Napkin Hs"</formula>
    </cfRule>
  </conditionalFormatting>
  <conditionalFormatting sqref="B119">
    <cfRule type="cellIs" dxfId="7201" priority="3501" stopIfTrue="1" operator="equal">
      <formula>"Towel"</formula>
    </cfRule>
    <cfRule type="cellIs" dxfId="7200" priority="3502" stopIfTrue="1" operator="equal">
      <formula>"Napkin Hs"</formula>
    </cfRule>
  </conditionalFormatting>
  <conditionalFormatting sqref="B119">
    <cfRule type="cellIs" dxfId="7199" priority="3499" stopIfTrue="1" operator="equal">
      <formula>"Towel"</formula>
    </cfRule>
    <cfRule type="cellIs" dxfId="7198" priority="3500" stopIfTrue="1" operator="equal">
      <formula>"Napkin Hs"</formula>
    </cfRule>
  </conditionalFormatting>
  <conditionalFormatting sqref="B119">
    <cfRule type="cellIs" dxfId="7197" priority="3497" stopIfTrue="1" operator="equal">
      <formula>"Towel"</formula>
    </cfRule>
    <cfRule type="cellIs" dxfId="7196" priority="3498" stopIfTrue="1" operator="equal">
      <formula>"Napkin Hs"</formula>
    </cfRule>
  </conditionalFormatting>
  <conditionalFormatting sqref="B119">
    <cfRule type="cellIs" dxfId="7195" priority="3495" stopIfTrue="1" operator="equal">
      <formula>"Towel"</formula>
    </cfRule>
    <cfRule type="cellIs" dxfId="7194" priority="3496" stopIfTrue="1" operator="equal">
      <formula>"Napkin Hs"</formula>
    </cfRule>
  </conditionalFormatting>
  <conditionalFormatting sqref="B119">
    <cfRule type="cellIs" dxfId="7193" priority="3494" stopIfTrue="1" operator="equal">
      <formula>"Napkin Hs"</formula>
    </cfRule>
  </conditionalFormatting>
  <conditionalFormatting sqref="B119">
    <cfRule type="cellIs" dxfId="7192" priority="3493" stopIfTrue="1" operator="equal">
      <formula>"Towel"</formula>
    </cfRule>
  </conditionalFormatting>
  <conditionalFormatting sqref="C119">
    <cfRule type="cellIs" dxfId="7191" priority="3492" stopIfTrue="1" operator="equal">
      <formula>"Napkin Hs"</formula>
    </cfRule>
  </conditionalFormatting>
  <conditionalFormatting sqref="C119">
    <cfRule type="cellIs" dxfId="7190" priority="3491" stopIfTrue="1" operator="equal">
      <formula>"Towel"</formula>
    </cfRule>
  </conditionalFormatting>
  <conditionalFormatting sqref="C119">
    <cfRule type="cellIs" dxfId="7189" priority="3490" stopIfTrue="1" operator="equal">
      <formula>"Napkin Hs"</formula>
    </cfRule>
  </conditionalFormatting>
  <conditionalFormatting sqref="C119">
    <cfRule type="cellIs" dxfId="7188" priority="3489" stopIfTrue="1" operator="equal">
      <formula>"Towel"</formula>
    </cfRule>
  </conditionalFormatting>
  <conditionalFormatting sqref="C119">
    <cfRule type="cellIs" dxfId="7187" priority="3487" stopIfTrue="1" operator="equal">
      <formula>"Towel"</formula>
    </cfRule>
    <cfRule type="cellIs" dxfId="7186" priority="3488" stopIfTrue="1" operator="equal">
      <formula>"Napkin Hs"</formula>
    </cfRule>
  </conditionalFormatting>
  <conditionalFormatting sqref="C119">
    <cfRule type="cellIs" dxfId="7185" priority="3485" stopIfTrue="1" operator="equal">
      <formula>"Towel"</formula>
    </cfRule>
    <cfRule type="cellIs" dxfId="7184" priority="3486" stopIfTrue="1" operator="equal">
      <formula>"Napkin Hs"</formula>
    </cfRule>
  </conditionalFormatting>
  <conditionalFormatting sqref="C119">
    <cfRule type="cellIs" dxfId="7183" priority="3481" stopIfTrue="1" operator="equal">
      <formula>"Towel"</formula>
    </cfRule>
    <cfRule type="cellIs" dxfId="7182" priority="3482" stopIfTrue="1" operator="equal">
      <formula>"Napkin Hs"</formula>
    </cfRule>
  </conditionalFormatting>
  <conditionalFormatting sqref="C119">
    <cfRule type="cellIs" dxfId="7181" priority="3483" stopIfTrue="1" operator="equal">
      <formula>"Towel"</formula>
    </cfRule>
    <cfRule type="cellIs" dxfId="7180" priority="3484" stopIfTrue="1" operator="equal">
      <formula>"Napkin Hs"</formula>
    </cfRule>
  </conditionalFormatting>
  <conditionalFormatting sqref="C119">
    <cfRule type="cellIs" dxfId="7179" priority="3480" stopIfTrue="1" operator="equal">
      <formula>"Napkin Hs"</formula>
    </cfRule>
  </conditionalFormatting>
  <conditionalFormatting sqref="C119">
    <cfRule type="cellIs" dxfId="7178" priority="3479" stopIfTrue="1" operator="equal">
      <formula>"Towel"</formula>
    </cfRule>
  </conditionalFormatting>
  <conditionalFormatting sqref="C119">
    <cfRule type="cellIs" dxfId="7177" priority="3478" stopIfTrue="1" operator="equal">
      <formula>"Napkin Hs"</formula>
    </cfRule>
  </conditionalFormatting>
  <conditionalFormatting sqref="C119">
    <cfRule type="cellIs" dxfId="7176" priority="3477" stopIfTrue="1" operator="equal">
      <formula>"Towel"</formula>
    </cfRule>
  </conditionalFormatting>
  <conditionalFormatting sqref="C119">
    <cfRule type="cellIs" dxfId="7175" priority="3475" stopIfTrue="1" operator="equal">
      <formula>"Towel"</formula>
    </cfRule>
    <cfRule type="cellIs" dxfId="7174" priority="3476" stopIfTrue="1" operator="equal">
      <formula>"Napkin Hs"</formula>
    </cfRule>
  </conditionalFormatting>
  <conditionalFormatting sqref="C119">
    <cfRule type="cellIs" dxfId="7173" priority="3473" stopIfTrue="1" operator="equal">
      <formula>"Towel"</formula>
    </cfRule>
    <cfRule type="cellIs" dxfId="7172" priority="3474" stopIfTrue="1" operator="equal">
      <formula>"Napkin Hs"</formula>
    </cfRule>
  </conditionalFormatting>
  <conditionalFormatting sqref="C119">
    <cfRule type="cellIs" dxfId="7171" priority="3471" stopIfTrue="1" operator="equal">
      <formula>"Towel"</formula>
    </cfRule>
    <cfRule type="cellIs" dxfId="7170" priority="3472" stopIfTrue="1" operator="equal">
      <formula>"Napkin Hs"</formula>
    </cfRule>
  </conditionalFormatting>
  <conditionalFormatting sqref="C119">
    <cfRule type="cellIs" dxfId="7169" priority="3469" stopIfTrue="1" operator="equal">
      <formula>"Towel"</formula>
    </cfRule>
    <cfRule type="cellIs" dxfId="7168" priority="3470" stopIfTrue="1" operator="equal">
      <formula>"Napkin Hs"</formula>
    </cfRule>
  </conditionalFormatting>
  <conditionalFormatting sqref="C119">
    <cfRule type="cellIs" dxfId="7167" priority="3467" stopIfTrue="1" operator="equal">
      <formula>"Towel"</formula>
    </cfRule>
    <cfRule type="cellIs" dxfId="7166" priority="3468" stopIfTrue="1" operator="equal">
      <formula>"Napkin Hs"</formula>
    </cfRule>
  </conditionalFormatting>
  <conditionalFormatting sqref="C119">
    <cfRule type="cellIs" dxfId="7165" priority="3465" stopIfTrue="1" operator="equal">
      <formula>"Towel"</formula>
    </cfRule>
    <cfRule type="cellIs" dxfId="7164" priority="3466" stopIfTrue="1" operator="equal">
      <formula>"Napkin Hs"</formula>
    </cfRule>
  </conditionalFormatting>
  <conditionalFormatting sqref="C119">
    <cfRule type="cellIs" dxfId="7163" priority="3463" stopIfTrue="1" operator="equal">
      <formula>"Towel"</formula>
    </cfRule>
    <cfRule type="cellIs" dxfId="7162" priority="3464" stopIfTrue="1" operator="equal">
      <formula>"Napkin Hs"</formula>
    </cfRule>
  </conditionalFormatting>
  <conditionalFormatting sqref="C119">
    <cfRule type="cellIs" dxfId="7161" priority="3461" stopIfTrue="1" operator="equal">
      <formula>"Towel"</formula>
    </cfRule>
    <cfRule type="cellIs" dxfId="7160" priority="3462" stopIfTrue="1" operator="equal">
      <formula>"Napkin Hs"</formula>
    </cfRule>
  </conditionalFormatting>
  <conditionalFormatting sqref="C119">
    <cfRule type="cellIs" dxfId="7159" priority="3459" stopIfTrue="1" operator="equal">
      <formula>"Towel"</formula>
    </cfRule>
    <cfRule type="cellIs" dxfId="7158" priority="3460" stopIfTrue="1" operator="equal">
      <formula>"Napkin Hs"</formula>
    </cfRule>
  </conditionalFormatting>
  <conditionalFormatting sqref="C119">
    <cfRule type="cellIs" dxfId="7157" priority="3457" stopIfTrue="1" operator="equal">
      <formula>"Towel"</formula>
    </cfRule>
    <cfRule type="cellIs" dxfId="7156" priority="3458" stopIfTrue="1" operator="equal">
      <formula>"Napkin Hs"</formula>
    </cfRule>
  </conditionalFormatting>
  <conditionalFormatting sqref="C119">
    <cfRule type="cellIs" dxfId="7155" priority="3455" stopIfTrue="1" operator="equal">
      <formula>"Towel"</formula>
    </cfRule>
    <cfRule type="cellIs" dxfId="7154" priority="3456" stopIfTrue="1" operator="equal">
      <formula>"Napkin Hs"</formula>
    </cfRule>
  </conditionalFormatting>
  <conditionalFormatting sqref="C119">
    <cfRule type="cellIs" dxfId="7153" priority="3453" stopIfTrue="1" operator="equal">
      <formula>"Towel"</formula>
    </cfRule>
    <cfRule type="cellIs" dxfId="7152" priority="3454" stopIfTrue="1" operator="equal">
      <formula>"Napkin Hs"</formula>
    </cfRule>
  </conditionalFormatting>
  <conditionalFormatting sqref="C119">
    <cfRule type="cellIs" dxfId="7151" priority="3451" stopIfTrue="1" operator="equal">
      <formula>"Towel"</formula>
    </cfRule>
    <cfRule type="cellIs" dxfId="7150" priority="3452" stopIfTrue="1" operator="equal">
      <formula>"Napkin Hs"</formula>
    </cfRule>
  </conditionalFormatting>
  <conditionalFormatting sqref="C119">
    <cfRule type="cellIs" dxfId="7149" priority="3449" stopIfTrue="1" operator="equal">
      <formula>"Towel"</formula>
    </cfRule>
    <cfRule type="cellIs" dxfId="7148" priority="3450" stopIfTrue="1" operator="equal">
      <formula>"Napkin Hs"</formula>
    </cfRule>
  </conditionalFormatting>
  <conditionalFormatting sqref="C119">
    <cfRule type="cellIs" dxfId="7147" priority="3447" stopIfTrue="1" operator="equal">
      <formula>"Towel"</formula>
    </cfRule>
    <cfRule type="cellIs" dxfId="7146" priority="3448" stopIfTrue="1" operator="equal">
      <formula>"Napkin Hs"</formula>
    </cfRule>
  </conditionalFormatting>
  <conditionalFormatting sqref="C119">
    <cfRule type="cellIs" dxfId="7145" priority="3445" stopIfTrue="1" operator="equal">
      <formula>"Towel"</formula>
    </cfRule>
    <cfRule type="cellIs" dxfId="7144" priority="3446" stopIfTrue="1" operator="equal">
      <formula>"Napkin Hs"</formula>
    </cfRule>
  </conditionalFormatting>
  <conditionalFormatting sqref="C119">
    <cfRule type="cellIs" dxfId="7143" priority="3444" stopIfTrue="1" operator="equal">
      <formula>"Napkin Hs"</formula>
    </cfRule>
  </conditionalFormatting>
  <conditionalFormatting sqref="C119">
    <cfRule type="cellIs" dxfId="7142" priority="3443" stopIfTrue="1" operator="equal">
      <formula>"Towel"</formula>
    </cfRule>
  </conditionalFormatting>
  <conditionalFormatting sqref="C119">
    <cfRule type="cellIs" dxfId="7141" priority="3442" stopIfTrue="1" operator="equal">
      <formula>"Napkin Hs"</formula>
    </cfRule>
  </conditionalFormatting>
  <conditionalFormatting sqref="C119">
    <cfRule type="cellIs" dxfId="7140" priority="3439" stopIfTrue="1" operator="equal">
      <formula>"Towel"</formula>
    </cfRule>
    <cfRule type="cellIs" dxfId="7139" priority="3440" stopIfTrue="1" operator="equal">
      <formula>"Napkin Hs"</formula>
    </cfRule>
  </conditionalFormatting>
  <conditionalFormatting sqref="C119">
    <cfRule type="cellIs" dxfId="7138" priority="3441" stopIfTrue="1" operator="equal">
      <formula>"Towel"</formula>
    </cfRule>
  </conditionalFormatting>
  <conditionalFormatting sqref="B118:C118">
    <cfRule type="cellIs" dxfId="7137" priority="3384" stopIfTrue="1" operator="equal">
      <formula>"Napkin Hs"</formula>
    </cfRule>
  </conditionalFormatting>
  <conditionalFormatting sqref="B118:C118">
    <cfRule type="cellIs" dxfId="7136" priority="3383" stopIfTrue="1" operator="equal">
      <formula>"Towel"</formula>
    </cfRule>
  </conditionalFormatting>
  <conditionalFormatting sqref="C118">
    <cfRule type="cellIs" dxfId="7135" priority="3382" stopIfTrue="1" operator="equal">
      <formula>"Napkin Hs"</formula>
    </cfRule>
  </conditionalFormatting>
  <conditionalFormatting sqref="C118">
    <cfRule type="cellIs" dxfId="7134" priority="3381" stopIfTrue="1" operator="equal">
      <formula>"Towel"</formula>
    </cfRule>
  </conditionalFormatting>
  <conditionalFormatting sqref="C118">
    <cfRule type="cellIs" dxfId="7133" priority="3379" stopIfTrue="1" operator="equal">
      <formula>"Towel"</formula>
    </cfRule>
    <cfRule type="cellIs" dxfId="7132" priority="3380" stopIfTrue="1" operator="equal">
      <formula>"Napkin Hs"</formula>
    </cfRule>
  </conditionalFormatting>
  <conditionalFormatting sqref="B118:C118">
    <cfRule type="cellIs" dxfId="7131" priority="3377" stopIfTrue="1" operator="equal">
      <formula>"Towel"</formula>
    </cfRule>
    <cfRule type="cellIs" dxfId="7130" priority="3378" stopIfTrue="1" operator="equal">
      <formula>"Napkin Hs"</formula>
    </cfRule>
  </conditionalFormatting>
  <conditionalFormatting sqref="C118">
    <cfRule type="cellIs" dxfId="7129" priority="3373" stopIfTrue="1" operator="equal">
      <formula>"Towel"</formula>
    </cfRule>
    <cfRule type="cellIs" dxfId="7128" priority="3374" stopIfTrue="1" operator="equal">
      <formula>"Napkin Hs"</formula>
    </cfRule>
  </conditionalFormatting>
  <conditionalFormatting sqref="C118">
    <cfRule type="cellIs" dxfId="7127" priority="3375" stopIfTrue="1" operator="equal">
      <formula>"Towel"</formula>
    </cfRule>
    <cfRule type="cellIs" dxfId="7126" priority="3376" stopIfTrue="1" operator="equal">
      <formula>"Napkin Hs"</formula>
    </cfRule>
  </conditionalFormatting>
  <conditionalFormatting sqref="B118:C118">
    <cfRule type="cellIs" dxfId="7125" priority="3372" stopIfTrue="1" operator="equal">
      <formula>"Napkin Hs"</formula>
    </cfRule>
  </conditionalFormatting>
  <conditionalFormatting sqref="B118:C118">
    <cfRule type="cellIs" dxfId="7124" priority="3371" stopIfTrue="1" operator="equal">
      <formula>"Towel"</formula>
    </cfRule>
  </conditionalFormatting>
  <conditionalFormatting sqref="C118">
    <cfRule type="cellIs" dxfId="7123" priority="3370" stopIfTrue="1" operator="equal">
      <formula>"Napkin Hs"</formula>
    </cfRule>
  </conditionalFormatting>
  <conditionalFormatting sqref="C118">
    <cfRule type="cellIs" dxfId="7122" priority="3369" stopIfTrue="1" operator="equal">
      <formula>"Towel"</formula>
    </cfRule>
  </conditionalFormatting>
  <conditionalFormatting sqref="C118">
    <cfRule type="cellIs" dxfId="7121" priority="3367" stopIfTrue="1" operator="equal">
      <formula>"Towel"</formula>
    </cfRule>
    <cfRule type="cellIs" dxfId="7120" priority="3368" stopIfTrue="1" operator="equal">
      <formula>"Napkin Hs"</formula>
    </cfRule>
  </conditionalFormatting>
  <conditionalFormatting sqref="B118:C118">
    <cfRule type="cellIs" dxfId="7119" priority="3365" stopIfTrue="1" operator="equal">
      <formula>"Towel"</formula>
    </cfRule>
    <cfRule type="cellIs" dxfId="7118" priority="3366" stopIfTrue="1" operator="equal">
      <formula>"Napkin Hs"</formula>
    </cfRule>
  </conditionalFormatting>
  <conditionalFormatting sqref="C118">
    <cfRule type="cellIs" dxfId="7117" priority="3363" stopIfTrue="1" operator="equal">
      <formula>"Towel"</formula>
    </cfRule>
    <cfRule type="cellIs" dxfId="7116" priority="3364" stopIfTrue="1" operator="equal">
      <formula>"Napkin Hs"</formula>
    </cfRule>
  </conditionalFormatting>
  <conditionalFormatting sqref="C118">
    <cfRule type="cellIs" dxfId="7115" priority="3361" stopIfTrue="1" operator="equal">
      <formula>"Towel"</formula>
    </cfRule>
    <cfRule type="cellIs" dxfId="7114" priority="3362" stopIfTrue="1" operator="equal">
      <formula>"Napkin Hs"</formula>
    </cfRule>
  </conditionalFormatting>
  <conditionalFormatting sqref="B118:C118">
    <cfRule type="cellIs" dxfId="7113" priority="3359" stopIfTrue="1" operator="equal">
      <formula>"Towel"</formula>
    </cfRule>
    <cfRule type="cellIs" dxfId="7112" priority="3360" stopIfTrue="1" operator="equal">
      <formula>"Napkin Hs"</formula>
    </cfRule>
  </conditionalFormatting>
  <conditionalFormatting sqref="C118">
    <cfRule type="cellIs" dxfId="7111" priority="3357" stopIfTrue="1" operator="equal">
      <formula>"Towel"</formula>
    </cfRule>
    <cfRule type="cellIs" dxfId="7110" priority="3358" stopIfTrue="1" operator="equal">
      <formula>"Napkin Hs"</formula>
    </cfRule>
  </conditionalFormatting>
  <conditionalFormatting sqref="C118">
    <cfRule type="cellIs" dxfId="7109" priority="3355" stopIfTrue="1" operator="equal">
      <formula>"Towel"</formula>
    </cfRule>
    <cfRule type="cellIs" dxfId="7108" priority="3356" stopIfTrue="1" operator="equal">
      <formula>"Napkin Hs"</formula>
    </cfRule>
  </conditionalFormatting>
  <conditionalFormatting sqref="B118:C118">
    <cfRule type="cellIs" dxfId="7107" priority="3353" stopIfTrue="1" operator="equal">
      <formula>"Towel"</formula>
    </cfRule>
    <cfRule type="cellIs" dxfId="7106" priority="3354" stopIfTrue="1" operator="equal">
      <formula>"Napkin Hs"</formula>
    </cfRule>
  </conditionalFormatting>
  <conditionalFormatting sqref="C118">
    <cfRule type="cellIs" dxfId="7105" priority="3351" stopIfTrue="1" operator="equal">
      <formula>"Towel"</formula>
    </cfRule>
    <cfRule type="cellIs" dxfId="7104" priority="3352" stopIfTrue="1" operator="equal">
      <formula>"Napkin Hs"</formula>
    </cfRule>
  </conditionalFormatting>
  <conditionalFormatting sqref="C118">
    <cfRule type="cellIs" dxfId="7103" priority="3349" stopIfTrue="1" operator="equal">
      <formula>"Towel"</formula>
    </cfRule>
    <cfRule type="cellIs" dxfId="7102" priority="3350" stopIfTrue="1" operator="equal">
      <formula>"Napkin Hs"</formula>
    </cfRule>
  </conditionalFormatting>
  <conditionalFormatting sqref="B118:C118">
    <cfRule type="cellIs" dxfId="7101" priority="3347" stopIfTrue="1" operator="equal">
      <formula>"Towel"</formula>
    </cfRule>
    <cfRule type="cellIs" dxfId="7100" priority="3348" stopIfTrue="1" operator="equal">
      <formula>"Napkin Hs"</formula>
    </cfRule>
  </conditionalFormatting>
  <conditionalFormatting sqref="C118">
    <cfRule type="cellIs" dxfId="7099" priority="3345" stopIfTrue="1" operator="equal">
      <formula>"Towel"</formula>
    </cfRule>
    <cfRule type="cellIs" dxfId="7098" priority="3346" stopIfTrue="1" operator="equal">
      <formula>"Napkin Hs"</formula>
    </cfRule>
  </conditionalFormatting>
  <conditionalFormatting sqref="C118">
    <cfRule type="cellIs" dxfId="7097" priority="3343" stopIfTrue="1" operator="equal">
      <formula>"Towel"</formula>
    </cfRule>
    <cfRule type="cellIs" dxfId="7096" priority="3344" stopIfTrue="1" operator="equal">
      <formula>"Napkin Hs"</formula>
    </cfRule>
  </conditionalFormatting>
  <conditionalFormatting sqref="B118:C118">
    <cfRule type="cellIs" dxfId="7095" priority="3341" stopIfTrue="1" operator="equal">
      <formula>"Towel"</formula>
    </cfRule>
    <cfRule type="cellIs" dxfId="7094" priority="3342" stopIfTrue="1" operator="equal">
      <formula>"Napkin Hs"</formula>
    </cfRule>
  </conditionalFormatting>
  <conditionalFormatting sqref="C118">
    <cfRule type="cellIs" dxfId="7093" priority="3339" stopIfTrue="1" operator="equal">
      <formula>"Towel"</formula>
    </cfRule>
    <cfRule type="cellIs" dxfId="7092" priority="3340" stopIfTrue="1" operator="equal">
      <formula>"Napkin Hs"</formula>
    </cfRule>
  </conditionalFormatting>
  <conditionalFormatting sqref="C118">
    <cfRule type="cellIs" dxfId="7091" priority="3337" stopIfTrue="1" operator="equal">
      <formula>"Towel"</formula>
    </cfRule>
    <cfRule type="cellIs" dxfId="7090" priority="3338" stopIfTrue="1" operator="equal">
      <formula>"Napkin Hs"</formula>
    </cfRule>
  </conditionalFormatting>
  <conditionalFormatting sqref="B118:C118">
    <cfRule type="cellIs" dxfId="7089" priority="3336" stopIfTrue="1" operator="equal">
      <formula>"Napkin Hs"</formula>
    </cfRule>
  </conditionalFormatting>
  <conditionalFormatting sqref="B118:C118">
    <cfRule type="cellIs" dxfId="7088" priority="3335" stopIfTrue="1" operator="equal">
      <formula>"Towel"</formula>
    </cfRule>
  </conditionalFormatting>
  <conditionalFormatting sqref="C118">
    <cfRule type="cellIs" dxfId="7087" priority="3334" stopIfTrue="1" operator="equal">
      <formula>"Napkin Hs"</formula>
    </cfRule>
  </conditionalFormatting>
  <conditionalFormatting sqref="C118">
    <cfRule type="cellIs" dxfId="7086" priority="3331" stopIfTrue="1" operator="equal">
      <formula>"Towel"</formula>
    </cfRule>
    <cfRule type="cellIs" dxfId="7085" priority="3332" stopIfTrue="1" operator="equal">
      <formula>"Napkin Hs"</formula>
    </cfRule>
  </conditionalFormatting>
  <conditionalFormatting sqref="C118">
    <cfRule type="cellIs" dxfId="7084" priority="3333" stopIfTrue="1" operator="equal">
      <formula>"Towel"</formula>
    </cfRule>
  </conditionalFormatting>
  <conditionalFormatting sqref="B118:C118">
    <cfRule type="cellIs" dxfId="7083" priority="3330" stopIfTrue="1" operator="equal">
      <formula>"Napkin Hs"</formula>
    </cfRule>
  </conditionalFormatting>
  <conditionalFormatting sqref="B118:C118">
    <cfRule type="cellIs" dxfId="7082" priority="3329" stopIfTrue="1" operator="equal">
      <formula>"Towel"</formula>
    </cfRule>
  </conditionalFormatting>
  <conditionalFormatting sqref="C118">
    <cfRule type="cellIs" dxfId="7081" priority="3328" stopIfTrue="1" operator="equal">
      <formula>"Napkin Hs"</formula>
    </cfRule>
  </conditionalFormatting>
  <conditionalFormatting sqref="C118">
    <cfRule type="cellIs" dxfId="7080" priority="3325" stopIfTrue="1" operator="equal">
      <formula>"Towel"</formula>
    </cfRule>
    <cfRule type="cellIs" dxfId="7079" priority="3326" stopIfTrue="1" operator="equal">
      <formula>"Napkin Hs"</formula>
    </cfRule>
  </conditionalFormatting>
  <conditionalFormatting sqref="C118">
    <cfRule type="cellIs" dxfId="7078" priority="3327" stopIfTrue="1" operator="equal">
      <formula>"Towel"</formula>
    </cfRule>
  </conditionalFormatting>
  <conditionalFormatting sqref="B118:C118">
    <cfRule type="cellIs" dxfId="7077" priority="3324" stopIfTrue="1" operator="equal">
      <formula>"Napkin Hs"</formula>
    </cfRule>
  </conditionalFormatting>
  <conditionalFormatting sqref="B118:C118">
    <cfRule type="cellIs" dxfId="7076" priority="3323" stopIfTrue="1" operator="equal">
      <formula>"Towel"</formula>
    </cfRule>
  </conditionalFormatting>
  <conditionalFormatting sqref="C118">
    <cfRule type="cellIs" dxfId="7075" priority="3322" stopIfTrue="1" operator="equal">
      <formula>"Napkin Hs"</formula>
    </cfRule>
  </conditionalFormatting>
  <conditionalFormatting sqref="C118">
    <cfRule type="cellIs" dxfId="7074" priority="3319" stopIfTrue="1" operator="equal">
      <formula>"Towel"</formula>
    </cfRule>
    <cfRule type="cellIs" dxfId="7073" priority="3320" stopIfTrue="1" operator="equal">
      <formula>"Napkin Hs"</formula>
    </cfRule>
  </conditionalFormatting>
  <conditionalFormatting sqref="C118">
    <cfRule type="cellIs" dxfId="7072" priority="3321" stopIfTrue="1" operator="equal">
      <formula>"Towel"</formula>
    </cfRule>
  </conditionalFormatting>
  <conditionalFormatting sqref="B117:C117">
    <cfRule type="cellIs" dxfId="7071" priority="3305" stopIfTrue="1" operator="equal">
      <formula>"Towel"</formula>
    </cfRule>
    <cfRule type="cellIs" dxfId="7070" priority="3306" stopIfTrue="1" operator="equal">
      <formula>"Napkin Hs"</formula>
    </cfRule>
  </conditionalFormatting>
  <conditionalFormatting sqref="C117">
    <cfRule type="cellIs" dxfId="7069" priority="3303" stopIfTrue="1" operator="equal">
      <formula>"Towel"</formula>
    </cfRule>
    <cfRule type="cellIs" dxfId="7068" priority="3304" stopIfTrue="1" operator="equal">
      <formula>"Napkin Hs"</formula>
    </cfRule>
  </conditionalFormatting>
  <conditionalFormatting sqref="C117">
    <cfRule type="cellIs" dxfId="7067" priority="3301" stopIfTrue="1" operator="equal">
      <formula>"Towel"</formula>
    </cfRule>
    <cfRule type="cellIs" dxfId="7066" priority="3302" stopIfTrue="1" operator="equal">
      <formula>"Napkin Hs"</formula>
    </cfRule>
  </conditionalFormatting>
  <conditionalFormatting sqref="B117:C117">
    <cfRule type="cellIs" dxfId="7065" priority="3300" stopIfTrue="1" operator="equal">
      <formula>"Napkin Hs"</formula>
    </cfRule>
  </conditionalFormatting>
  <conditionalFormatting sqref="B117:C117">
    <cfRule type="cellIs" dxfId="7064" priority="3299" stopIfTrue="1" operator="equal">
      <formula>"Towel"</formula>
    </cfRule>
  </conditionalFormatting>
  <conditionalFormatting sqref="C117">
    <cfRule type="cellIs" dxfId="7063" priority="3298" stopIfTrue="1" operator="equal">
      <formula>"Napkin Hs"</formula>
    </cfRule>
  </conditionalFormatting>
  <conditionalFormatting sqref="C117">
    <cfRule type="cellIs" dxfId="7062" priority="3297" stopIfTrue="1" operator="equal">
      <formula>"Towel"</formula>
    </cfRule>
  </conditionalFormatting>
  <conditionalFormatting sqref="C117">
    <cfRule type="cellIs" dxfId="7061" priority="3295" stopIfTrue="1" operator="equal">
      <formula>"Towel"</formula>
    </cfRule>
    <cfRule type="cellIs" dxfId="7060" priority="3296" stopIfTrue="1" operator="equal">
      <formula>"Napkin Hs"</formula>
    </cfRule>
  </conditionalFormatting>
  <conditionalFormatting sqref="B117:C117">
    <cfRule type="cellIs" dxfId="7059" priority="3293" stopIfTrue="1" operator="equal">
      <formula>"Towel"</formula>
    </cfRule>
    <cfRule type="cellIs" dxfId="7058" priority="3294" stopIfTrue="1" operator="equal">
      <formula>"Napkin Hs"</formula>
    </cfRule>
  </conditionalFormatting>
  <conditionalFormatting sqref="C117">
    <cfRule type="cellIs" dxfId="7057" priority="3289" stopIfTrue="1" operator="equal">
      <formula>"Towel"</formula>
    </cfRule>
    <cfRule type="cellIs" dxfId="7056" priority="3290" stopIfTrue="1" operator="equal">
      <formula>"Napkin Hs"</formula>
    </cfRule>
  </conditionalFormatting>
  <conditionalFormatting sqref="C117">
    <cfRule type="cellIs" dxfId="7055" priority="3291" stopIfTrue="1" operator="equal">
      <formula>"Towel"</formula>
    </cfRule>
    <cfRule type="cellIs" dxfId="7054" priority="3292" stopIfTrue="1" operator="equal">
      <formula>"Napkin Hs"</formula>
    </cfRule>
  </conditionalFormatting>
  <conditionalFormatting sqref="B117:C117">
    <cfRule type="cellIs" dxfId="7053" priority="3288" stopIfTrue="1" operator="equal">
      <formula>"Napkin Hs"</formula>
    </cfRule>
  </conditionalFormatting>
  <conditionalFormatting sqref="B117:C117">
    <cfRule type="cellIs" dxfId="7052" priority="3287" stopIfTrue="1" operator="equal">
      <formula>"Towel"</formula>
    </cfRule>
  </conditionalFormatting>
  <conditionalFormatting sqref="C117">
    <cfRule type="cellIs" dxfId="7051" priority="3286" stopIfTrue="1" operator="equal">
      <formula>"Napkin Hs"</formula>
    </cfRule>
  </conditionalFormatting>
  <conditionalFormatting sqref="C117">
    <cfRule type="cellIs" dxfId="7050" priority="3285" stopIfTrue="1" operator="equal">
      <formula>"Towel"</formula>
    </cfRule>
  </conditionalFormatting>
  <conditionalFormatting sqref="C117">
    <cfRule type="cellIs" dxfId="7049" priority="3283" stopIfTrue="1" operator="equal">
      <formula>"Towel"</formula>
    </cfRule>
    <cfRule type="cellIs" dxfId="7048" priority="3284" stopIfTrue="1" operator="equal">
      <formula>"Napkin Hs"</formula>
    </cfRule>
  </conditionalFormatting>
  <conditionalFormatting sqref="B117:C117">
    <cfRule type="cellIs" dxfId="7047" priority="3281" stopIfTrue="1" operator="equal">
      <formula>"Towel"</formula>
    </cfRule>
    <cfRule type="cellIs" dxfId="7046" priority="3282" stopIfTrue="1" operator="equal">
      <formula>"Napkin Hs"</formula>
    </cfRule>
  </conditionalFormatting>
  <conditionalFormatting sqref="C117">
    <cfRule type="cellIs" dxfId="7045" priority="3279" stopIfTrue="1" operator="equal">
      <formula>"Towel"</formula>
    </cfRule>
    <cfRule type="cellIs" dxfId="7044" priority="3280" stopIfTrue="1" operator="equal">
      <formula>"Napkin Hs"</formula>
    </cfRule>
  </conditionalFormatting>
  <conditionalFormatting sqref="C117">
    <cfRule type="cellIs" dxfId="7043" priority="3277" stopIfTrue="1" operator="equal">
      <formula>"Towel"</formula>
    </cfRule>
    <cfRule type="cellIs" dxfId="7042" priority="3278" stopIfTrue="1" operator="equal">
      <formula>"Napkin Hs"</formula>
    </cfRule>
  </conditionalFormatting>
  <conditionalFormatting sqref="B117:C117">
    <cfRule type="cellIs" dxfId="7041" priority="3275" stopIfTrue="1" operator="equal">
      <formula>"Towel"</formula>
    </cfRule>
    <cfRule type="cellIs" dxfId="7040" priority="3276" stopIfTrue="1" operator="equal">
      <formula>"Napkin Hs"</formula>
    </cfRule>
  </conditionalFormatting>
  <conditionalFormatting sqref="C117">
    <cfRule type="cellIs" dxfId="7039" priority="3273" stopIfTrue="1" operator="equal">
      <formula>"Towel"</formula>
    </cfRule>
    <cfRule type="cellIs" dxfId="7038" priority="3274" stopIfTrue="1" operator="equal">
      <formula>"Napkin Hs"</formula>
    </cfRule>
  </conditionalFormatting>
  <conditionalFormatting sqref="C117">
    <cfRule type="cellIs" dxfId="7037" priority="3271" stopIfTrue="1" operator="equal">
      <formula>"Towel"</formula>
    </cfRule>
    <cfRule type="cellIs" dxfId="7036" priority="3272" stopIfTrue="1" operator="equal">
      <formula>"Napkin Hs"</formula>
    </cfRule>
  </conditionalFormatting>
  <conditionalFormatting sqref="B117:C117">
    <cfRule type="cellIs" dxfId="7035" priority="3269" stopIfTrue="1" operator="equal">
      <formula>"Towel"</formula>
    </cfRule>
    <cfRule type="cellIs" dxfId="7034" priority="3270" stopIfTrue="1" operator="equal">
      <formula>"Napkin Hs"</formula>
    </cfRule>
  </conditionalFormatting>
  <conditionalFormatting sqref="C117">
    <cfRule type="cellIs" dxfId="7033" priority="3267" stopIfTrue="1" operator="equal">
      <formula>"Towel"</formula>
    </cfRule>
    <cfRule type="cellIs" dxfId="7032" priority="3268" stopIfTrue="1" operator="equal">
      <formula>"Napkin Hs"</formula>
    </cfRule>
  </conditionalFormatting>
  <conditionalFormatting sqref="C117">
    <cfRule type="cellIs" dxfId="7031" priority="3265" stopIfTrue="1" operator="equal">
      <formula>"Towel"</formula>
    </cfRule>
    <cfRule type="cellIs" dxfId="7030" priority="3266" stopIfTrue="1" operator="equal">
      <formula>"Napkin Hs"</formula>
    </cfRule>
  </conditionalFormatting>
  <conditionalFormatting sqref="B117:C117">
    <cfRule type="cellIs" dxfId="7029" priority="3263" stopIfTrue="1" operator="equal">
      <formula>"Towel"</formula>
    </cfRule>
    <cfRule type="cellIs" dxfId="7028" priority="3264" stopIfTrue="1" operator="equal">
      <formula>"Napkin Hs"</formula>
    </cfRule>
  </conditionalFormatting>
  <conditionalFormatting sqref="C117">
    <cfRule type="cellIs" dxfId="7027" priority="3261" stopIfTrue="1" operator="equal">
      <formula>"Towel"</formula>
    </cfRule>
    <cfRule type="cellIs" dxfId="7026" priority="3262" stopIfTrue="1" operator="equal">
      <formula>"Napkin Hs"</formula>
    </cfRule>
  </conditionalFormatting>
  <conditionalFormatting sqref="C117">
    <cfRule type="cellIs" dxfId="7025" priority="3259" stopIfTrue="1" operator="equal">
      <formula>"Towel"</formula>
    </cfRule>
    <cfRule type="cellIs" dxfId="7024" priority="3260" stopIfTrue="1" operator="equal">
      <formula>"Napkin Hs"</formula>
    </cfRule>
  </conditionalFormatting>
  <conditionalFormatting sqref="B117:C117">
    <cfRule type="cellIs" dxfId="7023" priority="3257" stopIfTrue="1" operator="equal">
      <formula>"Towel"</formula>
    </cfRule>
    <cfRule type="cellIs" dxfId="7022" priority="3258" stopIfTrue="1" operator="equal">
      <formula>"Napkin Hs"</formula>
    </cfRule>
  </conditionalFormatting>
  <conditionalFormatting sqref="C117">
    <cfRule type="cellIs" dxfId="7021" priority="3255" stopIfTrue="1" operator="equal">
      <formula>"Towel"</formula>
    </cfRule>
    <cfRule type="cellIs" dxfId="7020" priority="3256" stopIfTrue="1" operator="equal">
      <formula>"Napkin Hs"</formula>
    </cfRule>
  </conditionalFormatting>
  <conditionalFormatting sqref="C117">
    <cfRule type="cellIs" dxfId="7019" priority="3253" stopIfTrue="1" operator="equal">
      <formula>"Towel"</formula>
    </cfRule>
    <cfRule type="cellIs" dxfId="7018" priority="3254" stopIfTrue="1" operator="equal">
      <formula>"Napkin Hs"</formula>
    </cfRule>
  </conditionalFormatting>
  <conditionalFormatting sqref="B117:C117">
    <cfRule type="cellIs" dxfId="7017" priority="3252" stopIfTrue="1" operator="equal">
      <formula>"Napkin Hs"</formula>
    </cfRule>
  </conditionalFormatting>
  <conditionalFormatting sqref="B117:C117">
    <cfRule type="cellIs" dxfId="7016" priority="3251" stopIfTrue="1" operator="equal">
      <formula>"Towel"</formula>
    </cfRule>
  </conditionalFormatting>
  <conditionalFormatting sqref="C117">
    <cfRule type="cellIs" dxfId="7015" priority="3250" stopIfTrue="1" operator="equal">
      <formula>"Napkin Hs"</formula>
    </cfRule>
  </conditionalFormatting>
  <conditionalFormatting sqref="C117">
    <cfRule type="cellIs" dxfId="7014" priority="3247" stopIfTrue="1" operator="equal">
      <formula>"Towel"</formula>
    </cfRule>
    <cfRule type="cellIs" dxfId="7013" priority="3248" stopIfTrue="1" operator="equal">
      <formula>"Napkin Hs"</formula>
    </cfRule>
  </conditionalFormatting>
  <conditionalFormatting sqref="C117">
    <cfRule type="cellIs" dxfId="7012" priority="3249" stopIfTrue="1" operator="equal">
      <formula>"Towel"</formula>
    </cfRule>
  </conditionalFormatting>
  <conditionalFormatting sqref="B117:C117">
    <cfRule type="cellIs" dxfId="7011" priority="3246" stopIfTrue="1" operator="equal">
      <formula>"Napkin Hs"</formula>
    </cfRule>
  </conditionalFormatting>
  <conditionalFormatting sqref="B117:C117">
    <cfRule type="cellIs" dxfId="7010" priority="3245" stopIfTrue="1" operator="equal">
      <formula>"Towel"</formula>
    </cfRule>
  </conditionalFormatting>
  <conditionalFormatting sqref="C117">
    <cfRule type="cellIs" dxfId="7009" priority="3244" stopIfTrue="1" operator="equal">
      <formula>"Napkin Hs"</formula>
    </cfRule>
  </conditionalFormatting>
  <conditionalFormatting sqref="C117">
    <cfRule type="cellIs" dxfId="7008" priority="3243" stopIfTrue="1" operator="equal">
      <formula>"Towel"</formula>
    </cfRule>
  </conditionalFormatting>
  <conditionalFormatting sqref="C117">
    <cfRule type="cellIs" dxfId="7007" priority="3241" stopIfTrue="1" operator="equal">
      <formula>"Towel"</formula>
    </cfRule>
    <cfRule type="cellIs" dxfId="7006" priority="3242" stopIfTrue="1" operator="equal">
      <formula>"Napkin Hs"</formula>
    </cfRule>
  </conditionalFormatting>
  <conditionalFormatting sqref="B117:C117">
    <cfRule type="cellIs" dxfId="7005" priority="3239" stopIfTrue="1" operator="equal">
      <formula>"Towel"</formula>
    </cfRule>
    <cfRule type="cellIs" dxfId="7004" priority="3240" stopIfTrue="1" operator="equal">
      <formula>"Napkin Hs"</formula>
    </cfRule>
  </conditionalFormatting>
  <conditionalFormatting sqref="C117">
    <cfRule type="cellIs" dxfId="7003" priority="3235" stopIfTrue="1" operator="equal">
      <formula>"Towel"</formula>
    </cfRule>
    <cfRule type="cellIs" dxfId="7002" priority="3236" stopIfTrue="1" operator="equal">
      <formula>"Napkin Hs"</formula>
    </cfRule>
  </conditionalFormatting>
  <conditionalFormatting sqref="C117">
    <cfRule type="cellIs" dxfId="7001" priority="3237" stopIfTrue="1" operator="equal">
      <formula>"Towel"</formula>
    </cfRule>
    <cfRule type="cellIs" dxfId="7000" priority="3238" stopIfTrue="1" operator="equal">
      <formula>"Napkin Hs"</formula>
    </cfRule>
  </conditionalFormatting>
  <conditionalFormatting sqref="B117:C117">
    <cfRule type="cellIs" dxfId="6999" priority="3234" stopIfTrue="1" operator="equal">
      <formula>"Napkin Hs"</formula>
    </cfRule>
  </conditionalFormatting>
  <conditionalFormatting sqref="B117:C117">
    <cfRule type="cellIs" dxfId="6998" priority="3233" stopIfTrue="1" operator="equal">
      <formula>"Towel"</formula>
    </cfRule>
  </conditionalFormatting>
  <conditionalFormatting sqref="C117">
    <cfRule type="cellIs" dxfId="6997" priority="3232" stopIfTrue="1" operator="equal">
      <formula>"Napkin Hs"</formula>
    </cfRule>
  </conditionalFormatting>
  <conditionalFormatting sqref="C117">
    <cfRule type="cellIs" dxfId="6996" priority="3231" stopIfTrue="1" operator="equal">
      <formula>"Towel"</formula>
    </cfRule>
  </conditionalFormatting>
  <conditionalFormatting sqref="C117">
    <cfRule type="cellIs" dxfId="6995" priority="3229" stopIfTrue="1" operator="equal">
      <formula>"Towel"</formula>
    </cfRule>
    <cfRule type="cellIs" dxfId="6994" priority="3230" stopIfTrue="1" operator="equal">
      <formula>"Napkin Hs"</formula>
    </cfRule>
  </conditionalFormatting>
  <conditionalFormatting sqref="B117:C117">
    <cfRule type="cellIs" dxfId="6993" priority="3227" stopIfTrue="1" operator="equal">
      <formula>"Towel"</formula>
    </cfRule>
    <cfRule type="cellIs" dxfId="6992" priority="3228" stopIfTrue="1" operator="equal">
      <formula>"Napkin Hs"</formula>
    </cfRule>
  </conditionalFormatting>
  <conditionalFormatting sqref="C117">
    <cfRule type="cellIs" dxfId="6991" priority="3225" stopIfTrue="1" operator="equal">
      <formula>"Towel"</formula>
    </cfRule>
    <cfRule type="cellIs" dxfId="6990" priority="3226" stopIfTrue="1" operator="equal">
      <formula>"Napkin Hs"</formula>
    </cfRule>
  </conditionalFormatting>
  <conditionalFormatting sqref="C117">
    <cfRule type="cellIs" dxfId="6989" priority="3223" stopIfTrue="1" operator="equal">
      <formula>"Towel"</formula>
    </cfRule>
    <cfRule type="cellIs" dxfId="6988" priority="3224" stopIfTrue="1" operator="equal">
      <formula>"Napkin Hs"</formula>
    </cfRule>
  </conditionalFormatting>
  <conditionalFormatting sqref="B117:C117">
    <cfRule type="cellIs" dxfId="6987" priority="3221" stopIfTrue="1" operator="equal">
      <formula>"Towel"</formula>
    </cfRule>
    <cfRule type="cellIs" dxfId="6986" priority="3222" stopIfTrue="1" operator="equal">
      <formula>"Napkin Hs"</formula>
    </cfRule>
  </conditionalFormatting>
  <conditionalFormatting sqref="C117">
    <cfRule type="cellIs" dxfId="6985" priority="3219" stopIfTrue="1" operator="equal">
      <formula>"Towel"</formula>
    </cfRule>
    <cfRule type="cellIs" dxfId="6984" priority="3220" stopIfTrue="1" operator="equal">
      <formula>"Napkin Hs"</formula>
    </cfRule>
  </conditionalFormatting>
  <conditionalFormatting sqref="C117">
    <cfRule type="cellIs" dxfId="6983" priority="3217" stopIfTrue="1" operator="equal">
      <formula>"Towel"</formula>
    </cfRule>
    <cfRule type="cellIs" dxfId="6982" priority="3218" stopIfTrue="1" operator="equal">
      <formula>"Napkin Hs"</formula>
    </cfRule>
  </conditionalFormatting>
  <conditionalFormatting sqref="B117:C117">
    <cfRule type="cellIs" dxfId="6981" priority="3215" stopIfTrue="1" operator="equal">
      <formula>"Towel"</formula>
    </cfRule>
    <cfRule type="cellIs" dxfId="6980" priority="3216" stopIfTrue="1" operator="equal">
      <formula>"Napkin Hs"</formula>
    </cfRule>
  </conditionalFormatting>
  <conditionalFormatting sqref="C117">
    <cfRule type="cellIs" dxfId="6979" priority="3213" stopIfTrue="1" operator="equal">
      <formula>"Towel"</formula>
    </cfRule>
    <cfRule type="cellIs" dxfId="6978" priority="3214" stopIfTrue="1" operator="equal">
      <formula>"Napkin Hs"</formula>
    </cfRule>
  </conditionalFormatting>
  <conditionalFormatting sqref="C117">
    <cfRule type="cellIs" dxfId="6977" priority="3211" stopIfTrue="1" operator="equal">
      <formula>"Towel"</formula>
    </cfRule>
    <cfRule type="cellIs" dxfId="6976" priority="3212" stopIfTrue="1" operator="equal">
      <formula>"Napkin Hs"</formula>
    </cfRule>
  </conditionalFormatting>
  <conditionalFormatting sqref="B117:C117">
    <cfRule type="cellIs" dxfId="6975" priority="3209" stopIfTrue="1" operator="equal">
      <formula>"Towel"</formula>
    </cfRule>
    <cfRule type="cellIs" dxfId="6974" priority="3210" stopIfTrue="1" operator="equal">
      <formula>"Napkin Hs"</formula>
    </cfRule>
  </conditionalFormatting>
  <conditionalFormatting sqref="C117">
    <cfRule type="cellIs" dxfId="6973" priority="3207" stopIfTrue="1" operator="equal">
      <formula>"Towel"</formula>
    </cfRule>
    <cfRule type="cellIs" dxfId="6972" priority="3208" stopIfTrue="1" operator="equal">
      <formula>"Napkin Hs"</formula>
    </cfRule>
  </conditionalFormatting>
  <conditionalFormatting sqref="C117">
    <cfRule type="cellIs" dxfId="6971" priority="3205" stopIfTrue="1" operator="equal">
      <formula>"Towel"</formula>
    </cfRule>
    <cfRule type="cellIs" dxfId="6970" priority="3206" stopIfTrue="1" operator="equal">
      <formula>"Napkin Hs"</formula>
    </cfRule>
  </conditionalFormatting>
  <conditionalFormatting sqref="B117:C117">
    <cfRule type="cellIs" dxfId="6969" priority="3203" stopIfTrue="1" operator="equal">
      <formula>"Towel"</formula>
    </cfRule>
    <cfRule type="cellIs" dxfId="6968" priority="3204" stopIfTrue="1" operator="equal">
      <formula>"Napkin Hs"</formula>
    </cfRule>
  </conditionalFormatting>
  <conditionalFormatting sqref="C117">
    <cfRule type="cellIs" dxfId="6967" priority="3201" stopIfTrue="1" operator="equal">
      <formula>"Towel"</formula>
    </cfRule>
    <cfRule type="cellIs" dxfId="6966" priority="3202" stopIfTrue="1" operator="equal">
      <formula>"Napkin Hs"</formula>
    </cfRule>
  </conditionalFormatting>
  <conditionalFormatting sqref="C117">
    <cfRule type="cellIs" dxfId="6965" priority="3199" stopIfTrue="1" operator="equal">
      <formula>"Towel"</formula>
    </cfRule>
    <cfRule type="cellIs" dxfId="6964" priority="3200" stopIfTrue="1" operator="equal">
      <formula>"Napkin Hs"</formula>
    </cfRule>
  </conditionalFormatting>
  <conditionalFormatting sqref="B117:C117">
    <cfRule type="cellIs" dxfId="6963" priority="3198" stopIfTrue="1" operator="equal">
      <formula>"Napkin Hs"</formula>
    </cfRule>
  </conditionalFormatting>
  <conditionalFormatting sqref="B117:C117">
    <cfRule type="cellIs" dxfId="6962" priority="3197" stopIfTrue="1" operator="equal">
      <formula>"Towel"</formula>
    </cfRule>
  </conditionalFormatting>
  <conditionalFormatting sqref="C117">
    <cfRule type="cellIs" dxfId="6961" priority="3196" stopIfTrue="1" operator="equal">
      <formula>"Napkin Hs"</formula>
    </cfRule>
  </conditionalFormatting>
  <conditionalFormatting sqref="C117">
    <cfRule type="cellIs" dxfId="6960" priority="3193" stopIfTrue="1" operator="equal">
      <formula>"Towel"</formula>
    </cfRule>
    <cfRule type="cellIs" dxfId="6959" priority="3194" stopIfTrue="1" operator="equal">
      <formula>"Napkin Hs"</formula>
    </cfRule>
  </conditionalFormatting>
  <conditionalFormatting sqref="C117">
    <cfRule type="cellIs" dxfId="6958" priority="3195" stopIfTrue="1" operator="equal">
      <formula>"Towel"</formula>
    </cfRule>
  </conditionalFormatting>
  <conditionalFormatting sqref="B117:C117">
    <cfRule type="cellIs" dxfId="6957" priority="3192" stopIfTrue="1" operator="equal">
      <formula>"Napkin Hs"</formula>
    </cfRule>
  </conditionalFormatting>
  <conditionalFormatting sqref="B117:C117">
    <cfRule type="cellIs" dxfId="6956" priority="3191" stopIfTrue="1" operator="equal">
      <formula>"Towel"</formula>
    </cfRule>
  </conditionalFormatting>
  <conditionalFormatting sqref="C117">
    <cfRule type="cellIs" dxfId="6955" priority="3190" stopIfTrue="1" operator="equal">
      <formula>"Napkin Hs"</formula>
    </cfRule>
  </conditionalFormatting>
  <conditionalFormatting sqref="C117">
    <cfRule type="cellIs" dxfId="6954" priority="3187" stopIfTrue="1" operator="equal">
      <formula>"Towel"</formula>
    </cfRule>
    <cfRule type="cellIs" dxfId="6953" priority="3188" stopIfTrue="1" operator="equal">
      <formula>"Napkin Hs"</formula>
    </cfRule>
  </conditionalFormatting>
  <conditionalFormatting sqref="C117">
    <cfRule type="cellIs" dxfId="6952" priority="3189" stopIfTrue="1" operator="equal">
      <formula>"Towel"</formula>
    </cfRule>
  </conditionalFormatting>
  <conditionalFormatting sqref="B117:C117">
    <cfRule type="cellIs" dxfId="6951" priority="3186" stopIfTrue="1" operator="equal">
      <formula>"Napkin Hs"</formula>
    </cfRule>
  </conditionalFormatting>
  <conditionalFormatting sqref="B117:C117">
    <cfRule type="cellIs" dxfId="6950" priority="3185" stopIfTrue="1" operator="equal">
      <formula>"Towel"</formula>
    </cfRule>
  </conditionalFormatting>
  <conditionalFormatting sqref="C117">
    <cfRule type="cellIs" dxfId="6949" priority="3184" stopIfTrue="1" operator="equal">
      <formula>"Napkin Hs"</formula>
    </cfRule>
  </conditionalFormatting>
  <conditionalFormatting sqref="C117">
    <cfRule type="cellIs" dxfId="6948" priority="3181" stopIfTrue="1" operator="equal">
      <formula>"Towel"</formula>
    </cfRule>
    <cfRule type="cellIs" dxfId="6947" priority="3182" stopIfTrue="1" operator="equal">
      <formula>"Napkin Hs"</formula>
    </cfRule>
  </conditionalFormatting>
  <conditionalFormatting sqref="C117">
    <cfRule type="cellIs" dxfId="6946" priority="3183" stopIfTrue="1" operator="equal">
      <formula>"Towel"</formula>
    </cfRule>
  </conditionalFormatting>
  <conditionalFormatting sqref="B116:C116">
    <cfRule type="cellIs" dxfId="6945" priority="3179" stopIfTrue="1" operator="equal">
      <formula>"Towel"</formula>
    </cfRule>
    <cfRule type="cellIs" dxfId="6944" priority="3180" stopIfTrue="1" operator="equal">
      <formula>"Napkin Hs"</formula>
    </cfRule>
  </conditionalFormatting>
  <conditionalFormatting sqref="C116">
    <cfRule type="cellIs" dxfId="6943" priority="3177" stopIfTrue="1" operator="equal">
      <formula>"Towel"</formula>
    </cfRule>
    <cfRule type="cellIs" dxfId="6942" priority="3178" stopIfTrue="1" operator="equal">
      <formula>"Napkin Hs"</formula>
    </cfRule>
  </conditionalFormatting>
  <conditionalFormatting sqref="C116">
    <cfRule type="cellIs" dxfId="6941" priority="3175" stopIfTrue="1" operator="equal">
      <formula>"Towel"</formula>
    </cfRule>
    <cfRule type="cellIs" dxfId="6940" priority="3176" stopIfTrue="1" operator="equal">
      <formula>"Napkin Hs"</formula>
    </cfRule>
  </conditionalFormatting>
  <conditionalFormatting sqref="B116:C116">
    <cfRule type="cellIs" dxfId="6939" priority="3174" stopIfTrue="1" operator="equal">
      <formula>"Napkin Hs"</formula>
    </cfRule>
  </conditionalFormatting>
  <conditionalFormatting sqref="B116:C116">
    <cfRule type="cellIs" dxfId="6938" priority="3173" stopIfTrue="1" operator="equal">
      <formula>"Towel"</formula>
    </cfRule>
  </conditionalFormatting>
  <conditionalFormatting sqref="C116">
    <cfRule type="cellIs" dxfId="6937" priority="3172" stopIfTrue="1" operator="equal">
      <formula>"Napkin Hs"</formula>
    </cfRule>
  </conditionalFormatting>
  <conditionalFormatting sqref="C116">
    <cfRule type="cellIs" dxfId="6936" priority="3171" stopIfTrue="1" operator="equal">
      <formula>"Towel"</formula>
    </cfRule>
  </conditionalFormatting>
  <conditionalFormatting sqref="C116">
    <cfRule type="cellIs" dxfId="6935" priority="3169" stopIfTrue="1" operator="equal">
      <formula>"Towel"</formula>
    </cfRule>
    <cfRule type="cellIs" dxfId="6934" priority="3170" stopIfTrue="1" operator="equal">
      <formula>"Napkin Hs"</formula>
    </cfRule>
  </conditionalFormatting>
  <conditionalFormatting sqref="B116:C116">
    <cfRule type="cellIs" dxfId="6933" priority="3167" stopIfTrue="1" operator="equal">
      <formula>"Towel"</formula>
    </cfRule>
    <cfRule type="cellIs" dxfId="6932" priority="3168" stopIfTrue="1" operator="equal">
      <formula>"Napkin Hs"</formula>
    </cfRule>
  </conditionalFormatting>
  <conditionalFormatting sqref="C116">
    <cfRule type="cellIs" dxfId="6931" priority="3163" stopIfTrue="1" operator="equal">
      <formula>"Towel"</formula>
    </cfRule>
    <cfRule type="cellIs" dxfId="6930" priority="3164" stopIfTrue="1" operator="equal">
      <formula>"Napkin Hs"</formula>
    </cfRule>
  </conditionalFormatting>
  <conditionalFormatting sqref="C116">
    <cfRule type="cellIs" dxfId="6929" priority="3165" stopIfTrue="1" operator="equal">
      <formula>"Towel"</formula>
    </cfRule>
    <cfRule type="cellIs" dxfId="6928" priority="3166" stopIfTrue="1" operator="equal">
      <formula>"Napkin Hs"</formula>
    </cfRule>
  </conditionalFormatting>
  <conditionalFormatting sqref="B116:C116">
    <cfRule type="cellIs" dxfId="6927" priority="3162" stopIfTrue="1" operator="equal">
      <formula>"Napkin Hs"</formula>
    </cfRule>
  </conditionalFormatting>
  <conditionalFormatting sqref="B116:C116">
    <cfRule type="cellIs" dxfId="6926" priority="3161" stopIfTrue="1" operator="equal">
      <formula>"Towel"</formula>
    </cfRule>
  </conditionalFormatting>
  <conditionalFormatting sqref="C116">
    <cfRule type="cellIs" dxfId="6925" priority="3160" stopIfTrue="1" operator="equal">
      <formula>"Napkin Hs"</formula>
    </cfRule>
  </conditionalFormatting>
  <conditionalFormatting sqref="C116">
    <cfRule type="cellIs" dxfId="6924" priority="3159" stopIfTrue="1" operator="equal">
      <formula>"Towel"</formula>
    </cfRule>
  </conditionalFormatting>
  <conditionalFormatting sqref="C116">
    <cfRule type="cellIs" dxfId="6923" priority="3157" stopIfTrue="1" operator="equal">
      <formula>"Towel"</formula>
    </cfRule>
    <cfRule type="cellIs" dxfId="6922" priority="3158" stopIfTrue="1" operator="equal">
      <formula>"Napkin Hs"</formula>
    </cfRule>
  </conditionalFormatting>
  <conditionalFormatting sqref="B116:C116">
    <cfRule type="cellIs" dxfId="6921" priority="3155" stopIfTrue="1" operator="equal">
      <formula>"Towel"</formula>
    </cfRule>
    <cfRule type="cellIs" dxfId="6920" priority="3156" stopIfTrue="1" operator="equal">
      <formula>"Napkin Hs"</formula>
    </cfRule>
  </conditionalFormatting>
  <conditionalFormatting sqref="C116">
    <cfRule type="cellIs" dxfId="6919" priority="3153" stopIfTrue="1" operator="equal">
      <formula>"Towel"</formula>
    </cfRule>
    <cfRule type="cellIs" dxfId="6918" priority="3154" stopIfTrue="1" operator="equal">
      <formula>"Napkin Hs"</formula>
    </cfRule>
  </conditionalFormatting>
  <conditionalFormatting sqref="C116">
    <cfRule type="cellIs" dxfId="6917" priority="3151" stopIfTrue="1" operator="equal">
      <formula>"Towel"</formula>
    </cfRule>
    <cfRule type="cellIs" dxfId="6916" priority="3152" stopIfTrue="1" operator="equal">
      <formula>"Napkin Hs"</formula>
    </cfRule>
  </conditionalFormatting>
  <conditionalFormatting sqref="B116:C116">
    <cfRule type="cellIs" dxfId="6915" priority="3149" stopIfTrue="1" operator="equal">
      <formula>"Towel"</formula>
    </cfRule>
    <cfRule type="cellIs" dxfId="6914" priority="3150" stopIfTrue="1" operator="equal">
      <formula>"Napkin Hs"</formula>
    </cfRule>
  </conditionalFormatting>
  <conditionalFormatting sqref="C116">
    <cfRule type="cellIs" dxfId="6913" priority="3147" stopIfTrue="1" operator="equal">
      <formula>"Towel"</formula>
    </cfRule>
    <cfRule type="cellIs" dxfId="6912" priority="3148" stopIfTrue="1" operator="equal">
      <formula>"Napkin Hs"</formula>
    </cfRule>
  </conditionalFormatting>
  <conditionalFormatting sqref="C116">
    <cfRule type="cellIs" dxfId="6911" priority="3145" stopIfTrue="1" operator="equal">
      <formula>"Towel"</formula>
    </cfRule>
    <cfRule type="cellIs" dxfId="6910" priority="3146" stopIfTrue="1" operator="equal">
      <formula>"Napkin Hs"</formula>
    </cfRule>
  </conditionalFormatting>
  <conditionalFormatting sqref="B116:C116">
    <cfRule type="cellIs" dxfId="6909" priority="3143" stopIfTrue="1" operator="equal">
      <formula>"Towel"</formula>
    </cfRule>
    <cfRule type="cellIs" dxfId="6908" priority="3144" stopIfTrue="1" operator="equal">
      <formula>"Napkin Hs"</formula>
    </cfRule>
  </conditionalFormatting>
  <conditionalFormatting sqref="C116">
    <cfRule type="cellIs" dxfId="6907" priority="3141" stopIfTrue="1" operator="equal">
      <formula>"Towel"</formula>
    </cfRule>
    <cfRule type="cellIs" dxfId="6906" priority="3142" stopIfTrue="1" operator="equal">
      <formula>"Napkin Hs"</formula>
    </cfRule>
  </conditionalFormatting>
  <conditionalFormatting sqref="C116">
    <cfRule type="cellIs" dxfId="6905" priority="3139" stopIfTrue="1" operator="equal">
      <formula>"Towel"</formula>
    </cfRule>
    <cfRule type="cellIs" dxfId="6904" priority="3140" stopIfTrue="1" operator="equal">
      <formula>"Napkin Hs"</formula>
    </cfRule>
  </conditionalFormatting>
  <conditionalFormatting sqref="B116:C116">
    <cfRule type="cellIs" dxfId="6903" priority="3137" stopIfTrue="1" operator="equal">
      <formula>"Towel"</formula>
    </cfRule>
    <cfRule type="cellIs" dxfId="6902" priority="3138" stopIfTrue="1" operator="equal">
      <formula>"Napkin Hs"</formula>
    </cfRule>
  </conditionalFormatting>
  <conditionalFormatting sqref="C116">
    <cfRule type="cellIs" dxfId="6901" priority="3135" stopIfTrue="1" operator="equal">
      <formula>"Towel"</formula>
    </cfRule>
    <cfRule type="cellIs" dxfId="6900" priority="3136" stopIfTrue="1" operator="equal">
      <formula>"Napkin Hs"</formula>
    </cfRule>
  </conditionalFormatting>
  <conditionalFormatting sqref="C116">
    <cfRule type="cellIs" dxfId="6899" priority="3133" stopIfTrue="1" operator="equal">
      <formula>"Towel"</formula>
    </cfRule>
    <cfRule type="cellIs" dxfId="6898" priority="3134" stopIfTrue="1" operator="equal">
      <formula>"Napkin Hs"</formula>
    </cfRule>
  </conditionalFormatting>
  <conditionalFormatting sqref="B116:C116">
    <cfRule type="cellIs" dxfId="6897" priority="3131" stopIfTrue="1" operator="equal">
      <formula>"Towel"</formula>
    </cfRule>
    <cfRule type="cellIs" dxfId="6896" priority="3132" stopIfTrue="1" operator="equal">
      <formula>"Napkin Hs"</formula>
    </cfRule>
  </conditionalFormatting>
  <conditionalFormatting sqref="C116">
    <cfRule type="cellIs" dxfId="6895" priority="3129" stopIfTrue="1" operator="equal">
      <formula>"Towel"</formula>
    </cfRule>
    <cfRule type="cellIs" dxfId="6894" priority="3130" stopIfTrue="1" operator="equal">
      <formula>"Napkin Hs"</formula>
    </cfRule>
  </conditionalFormatting>
  <conditionalFormatting sqref="C116">
    <cfRule type="cellIs" dxfId="6893" priority="3127" stopIfTrue="1" operator="equal">
      <formula>"Towel"</formula>
    </cfRule>
    <cfRule type="cellIs" dxfId="6892" priority="3128" stopIfTrue="1" operator="equal">
      <formula>"Napkin Hs"</formula>
    </cfRule>
  </conditionalFormatting>
  <conditionalFormatting sqref="B116:C116">
    <cfRule type="cellIs" dxfId="6891" priority="3126" stopIfTrue="1" operator="equal">
      <formula>"Napkin Hs"</formula>
    </cfRule>
  </conditionalFormatting>
  <conditionalFormatting sqref="B116:C116">
    <cfRule type="cellIs" dxfId="6890" priority="3125" stopIfTrue="1" operator="equal">
      <formula>"Towel"</formula>
    </cfRule>
  </conditionalFormatting>
  <conditionalFormatting sqref="C116">
    <cfRule type="cellIs" dxfId="6889" priority="3124" stopIfTrue="1" operator="equal">
      <formula>"Napkin Hs"</formula>
    </cfRule>
  </conditionalFormatting>
  <conditionalFormatting sqref="C116">
    <cfRule type="cellIs" dxfId="6888" priority="3121" stopIfTrue="1" operator="equal">
      <formula>"Towel"</formula>
    </cfRule>
    <cfRule type="cellIs" dxfId="6887" priority="3122" stopIfTrue="1" operator="equal">
      <formula>"Napkin Hs"</formula>
    </cfRule>
  </conditionalFormatting>
  <conditionalFormatting sqref="C116">
    <cfRule type="cellIs" dxfId="6886" priority="3123" stopIfTrue="1" operator="equal">
      <formula>"Towel"</formula>
    </cfRule>
  </conditionalFormatting>
  <conditionalFormatting sqref="B116:C116">
    <cfRule type="cellIs" dxfId="6885" priority="3120" stopIfTrue="1" operator="equal">
      <formula>"Napkin Hs"</formula>
    </cfRule>
  </conditionalFormatting>
  <conditionalFormatting sqref="B116:C116">
    <cfRule type="cellIs" dxfId="6884" priority="3119" stopIfTrue="1" operator="equal">
      <formula>"Towel"</formula>
    </cfRule>
  </conditionalFormatting>
  <conditionalFormatting sqref="C116">
    <cfRule type="cellIs" dxfId="6883" priority="3118" stopIfTrue="1" operator="equal">
      <formula>"Napkin Hs"</formula>
    </cfRule>
  </conditionalFormatting>
  <conditionalFormatting sqref="C116">
    <cfRule type="cellIs" dxfId="6882" priority="3117" stopIfTrue="1" operator="equal">
      <formula>"Towel"</formula>
    </cfRule>
  </conditionalFormatting>
  <conditionalFormatting sqref="C116">
    <cfRule type="cellIs" dxfId="6881" priority="3115" stopIfTrue="1" operator="equal">
      <formula>"Towel"</formula>
    </cfRule>
    <cfRule type="cellIs" dxfId="6880" priority="3116" stopIfTrue="1" operator="equal">
      <formula>"Napkin Hs"</formula>
    </cfRule>
  </conditionalFormatting>
  <conditionalFormatting sqref="B116:C116">
    <cfRule type="cellIs" dxfId="6879" priority="3113" stopIfTrue="1" operator="equal">
      <formula>"Towel"</formula>
    </cfRule>
    <cfRule type="cellIs" dxfId="6878" priority="3114" stopIfTrue="1" operator="equal">
      <formula>"Napkin Hs"</formula>
    </cfRule>
  </conditionalFormatting>
  <conditionalFormatting sqref="C116">
    <cfRule type="cellIs" dxfId="6877" priority="3109" stopIfTrue="1" operator="equal">
      <formula>"Towel"</formula>
    </cfRule>
    <cfRule type="cellIs" dxfId="6876" priority="3110" stopIfTrue="1" operator="equal">
      <formula>"Napkin Hs"</formula>
    </cfRule>
  </conditionalFormatting>
  <conditionalFormatting sqref="C116">
    <cfRule type="cellIs" dxfId="6875" priority="3111" stopIfTrue="1" operator="equal">
      <formula>"Towel"</formula>
    </cfRule>
    <cfRule type="cellIs" dxfId="6874" priority="3112" stopIfTrue="1" operator="equal">
      <formula>"Napkin Hs"</formula>
    </cfRule>
  </conditionalFormatting>
  <conditionalFormatting sqref="B116:C116">
    <cfRule type="cellIs" dxfId="6873" priority="3108" stopIfTrue="1" operator="equal">
      <formula>"Napkin Hs"</formula>
    </cfRule>
  </conditionalFormatting>
  <conditionalFormatting sqref="B116:C116">
    <cfRule type="cellIs" dxfId="6872" priority="3107" stopIfTrue="1" operator="equal">
      <formula>"Towel"</formula>
    </cfRule>
  </conditionalFormatting>
  <conditionalFormatting sqref="C116">
    <cfRule type="cellIs" dxfId="6871" priority="3106" stopIfTrue="1" operator="equal">
      <formula>"Napkin Hs"</formula>
    </cfRule>
  </conditionalFormatting>
  <conditionalFormatting sqref="C116">
    <cfRule type="cellIs" dxfId="6870" priority="3105" stopIfTrue="1" operator="equal">
      <formula>"Towel"</formula>
    </cfRule>
  </conditionalFormatting>
  <conditionalFormatting sqref="C116">
    <cfRule type="cellIs" dxfId="6869" priority="3103" stopIfTrue="1" operator="equal">
      <formula>"Towel"</formula>
    </cfRule>
    <cfRule type="cellIs" dxfId="6868" priority="3104" stopIfTrue="1" operator="equal">
      <formula>"Napkin Hs"</formula>
    </cfRule>
  </conditionalFormatting>
  <conditionalFormatting sqref="B116:C116">
    <cfRule type="cellIs" dxfId="6867" priority="3101" stopIfTrue="1" operator="equal">
      <formula>"Towel"</formula>
    </cfRule>
    <cfRule type="cellIs" dxfId="6866" priority="3102" stopIfTrue="1" operator="equal">
      <formula>"Napkin Hs"</formula>
    </cfRule>
  </conditionalFormatting>
  <conditionalFormatting sqref="C116">
    <cfRule type="cellIs" dxfId="6865" priority="3099" stopIfTrue="1" operator="equal">
      <formula>"Towel"</formula>
    </cfRule>
    <cfRule type="cellIs" dxfId="6864" priority="3100" stopIfTrue="1" operator="equal">
      <formula>"Napkin Hs"</formula>
    </cfRule>
  </conditionalFormatting>
  <conditionalFormatting sqref="C116">
    <cfRule type="cellIs" dxfId="6863" priority="3097" stopIfTrue="1" operator="equal">
      <formula>"Towel"</formula>
    </cfRule>
    <cfRule type="cellIs" dxfId="6862" priority="3098" stopIfTrue="1" operator="equal">
      <formula>"Napkin Hs"</formula>
    </cfRule>
  </conditionalFormatting>
  <conditionalFormatting sqref="B116:C116">
    <cfRule type="cellIs" dxfId="6861" priority="3095" stopIfTrue="1" operator="equal">
      <formula>"Towel"</formula>
    </cfRule>
    <cfRule type="cellIs" dxfId="6860" priority="3096" stopIfTrue="1" operator="equal">
      <formula>"Napkin Hs"</formula>
    </cfRule>
  </conditionalFormatting>
  <conditionalFormatting sqref="C116">
    <cfRule type="cellIs" dxfId="6859" priority="3093" stopIfTrue="1" operator="equal">
      <formula>"Towel"</formula>
    </cfRule>
    <cfRule type="cellIs" dxfId="6858" priority="3094" stopIfTrue="1" operator="equal">
      <formula>"Napkin Hs"</formula>
    </cfRule>
  </conditionalFormatting>
  <conditionalFormatting sqref="C116">
    <cfRule type="cellIs" dxfId="6857" priority="3091" stopIfTrue="1" operator="equal">
      <formula>"Towel"</formula>
    </cfRule>
    <cfRule type="cellIs" dxfId="6856" priority="3092" stopIfTrue="1" operator="equal">
      <formula>"Napkin Hs"</formula>
    </cfRule>
  </conditionalFormatting>
  <conditionalFormatting sqref="B116:C116">
    <cfRule type="cellIs" dxfId="6855" priority="3089" stopIfTrue="1" operator="equal">
      <formula>"Towel"</formula>
    </cfRule>
    <cfRule type="cellIs" dxfId="6854" priority="3090" stopIfTrue="1" operator="equal">
      <formula>"Napkin Hs"</formula>
    </cfRule>
  </conditionalFormatting>
  <conditionalFormatting sqref="C116">
    <cfRule type="cellIs" dxfId="6853" priority="3087" stopIfTrue="1" operator="equal">
      <formula>"Towel"</formula>
    </cfRule>
    <cfRule type="cellIs" dxfId="6852" priority="3088" stopIfTrue="1" operator="equal">
      <formula>"Napkin Hs"</formula>
    </cfRule>
  </conditionalFormatting>
  <conditionalFormatting sqref="C116">
    <cfRule type="cellIs" dxfId="6851" priority="3085" stopIfTrue="1" operator="equal">
      <formula>"Towel"</formula>
    </cfRule>
    <cfRule type="cellIs" dxfId="6850" priority="3086" stopIfTrue="1" operator="equal">
      <formula>"Napkin Hs"</formula>
    </cfRule>
  </conditionalFormatting>
  <conditionalFormatting sqref="B116:C116">
    <cfRule type="cellIs" dxfId="6849" priority="3083" stopIfTrue="1" operator="equal">
      <formula>"Towel"</formula>
    </cfRule>
    <cfRule type="cellIs" dxfId="6848" priority="3084" stopIfTrue="1" operator="equal">
      <formula>"Napkin Hs"</formula>
    </cfRule>
  </conditionalFormatting>
  <conditionalFormatting sqref="C116">
    <cfRule type="cellIs" dxfId="6847" priority="3081" stopIfTrue="1" operator="equal">
      <formula>"Towel"</formula>
    </cfRule>
    <cfRule type="cellIs" dxfId="6846" priority="3082" stopIfTrue="1" operator="equal">
      <formula>"Napkin Hs"</formula>
    </cfRule>
  </conditionalFormatting>
  <conditionalFormatting sqref="C116">
    <cfRule type="cellIs" dxfId="6845" priority="3079" stopIfTrue="1" operator="equal">
      <formula>"Towel"</formula>
    </cfRule>
    <cfRule type="cellIs" dxfId="6844" priority="3080" stopIfTrue="1" operator="equal">
      <formula>"Napkin Hs"</formula>
    </cfRule>
  </conditionalFormatting>
  <conditionalFormatting sqref="B116:C116">
    <cfRule type="cellIs" dxfId="6843" priority="3077" stopIfTrue="1" operator="equal">
      <formula>"Towel"</formula>
    </cfRule>
    <cfRule type="cellIs" dxfId="6842" priority="3078" stopIfTrue="1" operator="equal">
      <formula>"Napkin Hs"</formula>
    </cfRule>
  </conditionalFormatting>
  <conditionalFormatting sqref="C116">
    <cfRule type="cellIs" dxfId="6841" priority="3075" stopIfTrue="1" operator="equal">
      <formula>"Towel"</formula>
    </cfRule>
    <cfRule type="cellIs" dxfId="6840" priority="3076" stopIfTrue="1" operator="equal">
      <formula>"Napkin Hs"</formula>
    </cfRule>
  </conditionalFormatting>
  <conditionalFormatting sqref="C116">
    <cfRule type="cellIs" dxfId="6839" priority="3073" stopIfTrue="1" operator="equal">
      <formula>"Towel"</formula>
    </cfRule>
    <cfRule type="cellIs" dxfId="6838" priority="3074" stopIfTrue="1" operator="equal">
      <formula>"Napkin Hs"</formula>
    </cfRule>
  </conditionalFormatting>
  <conditionalFormatting sqref="B116:C116">
    <cfRule type="cellIs" dxfId="6837" priority="3072" stopIfTrue="1" operator="equal">
      <formula>"Napkin Hs"</formula>
    </cfRule>
  </conditionalFormatting>
  <conditionalFormatting sqref="B116:C116">
    <cfRule type="cellIs" dxfId="6836" priority="3071" stopIfTrue="1" operator="equal">
      <formula>"Towel"</formula>
    </cfRule>
  </conditionalFormatting>
  <conditionalFormatting sqref="C116">
    <cfRule type="cellIs" dxfId="6835" priority="3070" stopIfTrue="1" operator="equal">
      <formula>"Napkin Hs"</formula>
    </cfRule>
  </conditionalFormatting>
  <conditionalFormatting sqref="C116">
    <cfRule type="cellIs" dxfId="6834" priority="3067" stopIfTrue="1" operator="equal">
      <formula>"Towel"</formula>
    </cfRule>
    <cfRule type="cellIs" dxfId="6833" priority="3068" stopIfTrue="1" operator="equal">
      <formula>"Napkin Hs"</formula>
    </cfRule>
  </conditionalFormatting>
  <conditionalFormatting sqref="C116">
    <cfRule type="cellIs" dxfId="6832" priority="3069" stopIfTrue="1" operator="equal">
      <formula>"Towel"</formula>
    </cfRule>
  </conditionalFormatting>
  <conditionalFormatting sqref="B116:C116">
    <cfRule type="cellIs" dxfId="6831" priority="3066" stopIfTrue="1" operator="equal">
      <formula>"Napkin Hs"</formula>
    </cfRule>
  </conditionalFormatting>
  <conditionalFormatting sqref="B116:C116">
    <cfRule type="cellIs" dxfId="6830" priority="3065" stopIfTrue="1" operator="equal">
      <formula>"Towel"</formula>
    </cfRule>
  </conditionalFormatting>
  <conditionalFormatting sqref="C116">
    <cfRule type="cellIs" dxfId="6829" priority="3064" stopIfTrue="1" operator="equal">
      <formula>"Napkin Hs"</formula>
    </cfRule>
  </conditionalFormatting>
  <conditionalFormatting sqref="C116">
    <cfRule type="cellIs" dxfId="6828" priority="3061" stopIfTrue="1" operator="equal">
      <formula>"Towel"</formula>
    </cfRule>
    <cfRule type="cellIs" dxfId="6827" priority="3062" stopIfTrue="1" operator="equal">
      <formula>"Napkin Hs"</formula>
    </cfRule>
  </conditionalFormatting>
  <conditionalFormatting sqref="C116">
    <cfRule type="cellIs" dxfId="6826" priority="3063" stopIfTrue="1" operator="equal">
      <formula>"Towel"</formula>
    </cfRule>
  </conditionalFormatting>
  <conditionalFormatting sqref="B116:C116">
    <cfRule type="cellIs" dxfId="6825" priority="3060" stopIfTrue="1" operator="equal">
      <formula>"Napkin Hs"</formula>
    </cfRule>
  </conditionalFormatting>
  <conditionalFormatting sqref="B116:C116">
    <cfRule type="cellIs" dxfId="6824" priority="3059" stopIfTrue="1" operator="equal">
      <formula>"Towel"</formula>
    </cfRule>
  </conditionalFormatting>
  <conditionalFormatting sqref="C116">
    <cfRule type="cellIs" dxfId="6823" priority="3058" stopIfTrue="1" operator="equal">
      <formula>"Napkin Hs"</formula>
    </cfRule>
  </conditionalFormatting>
  <conditionalFormatting sqref="C116">
    <cfRule type="cellIs" dxfId="6822" priority="3055" stopIfTrue="1" operator="equal">
      <formula>"Towel"</formula>
    </cfRule>
    <cfRule type="cellIs" dxfId="6821" priority="3056" stopIfTrue="1" operator="equal">
      <formula>"Napkin Hs"</formula>
    </cfRule>
  </conditionalFormatting>
  <conditionalFormatting sqref="C116">
    <cfRule type="cellIs" dxfId="6820" priority="3057" stopIfTrue="1" operator="equal">
      <formula>"Towel"</formula>
    </cfRule>
  </conditionalFormatting>
  <conditionalFormatting sqref="B122:C122">
    <cfRule type="cellIs" dxfId="6819" priority="3054" stopIfTrue="1" operator="equal">
      <formula>"Napkin Hs"</formula>
    </cfRule>
  </conditionalFormatting>
  <conditionalFormatting sqref="B122:C122">
    <cfRule type="cellIs" dxfId="6818" priority="3053" stopIfTrue="1" operator="equal">
      <formula>"Towel"</formula>
    </cfRule>
  </conditionalFormatting>
  <conditionalFormatting sqref="C122">
    <cfRule type="cellIs" dxfId="6817" priority="3052" stopIfTrue="1" operator="equal">
      <formula>"Napkin Hs"</formula>
    </cfRule>
  </conditionalFormatting>
  <conditionalFormatting sqref="C122">
    <cfRule type="cellIs" dxfId="6816" priority="3051" stopIfTrue="1" operator="equal">
      <formula>"Towel"</formula>
    </cfRule>
  </conditionalFormatting>
  <conditionalFormatting sqref="C122">
    <cfRule type="cellIs" dxfId="6815" priority="3049" stopIfTrue="1" operator="equal">
      <formula>"Towel"</formula>
    </cfRule>
    <cfRule type="cellIs" dxfId="6814" priority="3050" stopIfTrue="1" operator="equal">
      <formula>"Napkin Hs"</formula>
    </cfRule>
  </conditionalFormatting>
  <conditionalFormatting sqref="B122:C122">
    <cfRule type="cellIs" dxfId="6813" priority="3048" stopIfTrue="1" operator="equal">
      <formula>"Napkin Hs"</formula>
    </cfRule>
  </conditionalFormatting>
  <conditionalFormatting sqref="B122:C122">
    <cfRule type="cellIs" dxfId="6812" priority="3047" stopIfTrue="1" operator="equal">
      <formula>"Towel"</formula>
    </cfRule>
  </conditionalFormatting>
  <conditionalFormatting sqref="C122">
    <cfRule type="cellIs" dxfId="6811" priority="3046" stopIfTrue="1" operator="equal">
      <formula>"Napkin Hs"</formula>
    </cfRule>
  </conditionalFormatting>
  <conditionalFormatting sqref="C122">
    <cfRule type="cellIs" dxfId="6810" priority="3045" stopIfTrue="1" operator="equal">
      <formula>"Towel"</formula>
    </cfRule>
  </conditionalFormatting>
  <conditionalFormatting sqref="C122">
    <cfRule type="cellIs" dxfId="6809" priority="3043" stopIfTrue="1" operator="equal">
      <formula>"Towel"</formula>
    </cfRule>
    <cfRule type="cellIs" dxfId="6808" priority="3044" stopIfTrue="1" operator="equal">
      <formula>"Napkin Hs"</formula>
    </cfRule>
  </conditionalFormatting>
  <conditionalFormatting sqref="B122:C122">
    <cfRule type="cellIs" dxfId="6807" priority="3041" stopIfTrue="1" operator="equal">
      <formula>"Towel"</formula>
    </cfRule>
    <cfRule type="cellIs" dxfId="6806" priority="3042" stopIfTrue="1" operator="equal">
      <formula>"Napkin Hs"</formula>
    </cfRule>
  </conditionalFormatting>
  <conditionalFormatting sqref="C122">
    <cfRule type="cellIs" dxfId="6805" priority="3037" stopIfTrue="1" operator="equal">
      <formula>"Towel"</formula>
    </cfRule>
    <cfRule type="cellIs" dxfId="6804" priority="3038" stopIfTrue="1" operator="equal">
      <formula>"Napkin Hs"</formula>
    </cfRule>
  </conditionalFormatting>
  <conditionalFormatting sqref="C122">
    <cfRule type="cellIs" dxfId="6803" priority="3039" stopIfTrue="1" operator="equal">
      <formula>"Towel"</formula>
    </cfRule>
    <cfRule type="cellIs" dxfId="6802" priority="3040" stopIfTrue="1" operator="equal">
      <formula>"Napkin Hs"</formula>
    </cfRule>
  </conditionalFormatting>
  <conditionalFormatting sqref="B122:C122">
    <cfRule type="cellIs" dxfId="6801" priority="3036" stopIfTrue="1" operator="equal">
      <formula>"Napkin Hs"</formula>
    </cfRule>
  </conditionalFormatting>
  <conditionalFormatting sqref="B122:C122">
    <cfRule type="cellIs" dxfId="6800" priority="3035" stopIfTrue="1" operator="equal">
      <formula>"Towel"</formula>
    </cfRule>
  </conditionalFormatting>
  <conditionalFormatting sqref="C122">
    <cfRule type="cellIs" dxfId="6799" priority="3034" stopIfTrue="1" operator="equal">
      <formula>"Napkin Hs"</formula>
    </cfRule>
  </conditionalFormatting>
  <conditionalFormatting sqref="C122">
    <cfRule type="cellIs" dxfId="6798" priority="3033" stopIfTrue="1" operator="equal">
      <formula>"Towel"</formula>
    </cfRule>
  </conditionalFormatting>
  <conditionalFormatting sqref="C122">
    <cfRule type="cellIs" dxfId="6797" priority="3031" stopIfTrue="1" operator="equal">
      <formula>"Towel"</formula>
    </cfRule>
    <cfRule type="cellIs" dxfId="6796" priority="3032" stopIfTrue="1" operator="equal">
      <formula>"Napkin Hs"</formula>
    </cfRule>
  </conditionalFormatting>
  <conditionalFormatting sqref="B122:C122">
    <cfRule type="cellIs" dxfId="6795" priority="3029" stopIfTrue="1" operator="equal">
      <formula>"Towel"</formula>
    </cfRule>
    <cfRule type="cellIs" dxfId="6794" priority="3030" stopIfTrue="1" operator="equal">
      <formula>"Napkin Hs"</formula>
    </cfRule>
  </conditionalFormatting>
  <conditionalFormatting sqref="C122">
    <cfRule type="cellIs" dxfId="6793" priority="3027" stopIfTrue="1" operator="equal">
      <formula>"Towel"</formula>
    </cfRule>
    <cfRule type="cellIs" dxfId="6792" priority="3028" stopIfTrue="1" operator="equal">
      <formula>"Napkin Hs"</formula>
    </cfRule>
  </conditionalFormatting>
  <conditionalFormatting sqref="C122">
    <cfRule type="cellIs" dxfId="6791" priority="3025" stopIfTrue="1" operator="equal">
      <formula>"Towel"</formula>
    </cfRule>
    <cfRule type="cellIs" dxfId="6790" priority="3026" stopIfTrue="1" operator="equal">
      <formula>"Napkin Hs"</formula>
    </cfRule>
  </conditionalFormatting>
  <conditionalFormatting sqref="B122:C122">
    <cfRule type="cellIs" dxfId="6789" priority="3023" stopIfTrue="1" operator="equal">
      <formula>"Towel"</formula>
    </cfRule>
    <cfRule type="cellIs" dxfId="6788" priority="3024" stopIfTrue="1" operator="equal">
      <formula>"Napkin Hs"</formula>
    </cfRule>
  </conditionalFormatting>
  <conditionalFormatting sqref="C122">
    <cfRule type="cellIs" dxfId="6787" priority="3021" stopIfTrue="1" operator="equal">
      <formula>"Towel"</formula>
    </cfRule>
    <cfRule type="cellIs" dxfId="6786" priority="3022" stopIfTrue="1" operator="equal">
      <formula>"Napkin Hs"</formula>
    </cfRule>
  </conditionalFormatting>
  <conditionalFormatting sqref="C122">
    <cfRule type="cellIs" dxfId="6785" priority="3019" stopIfTrue="1" operator="equal">
      <formula>"Towel"</formula>
    </cfRule>
    <cfRule type="cellIs" dxfId="6784" priority="3020" stopIfTrue="1" operator="equal">
      <formula>"Napkin Hs"</formula>
    </cfRule>
  </conditionalFormatting>
  <conditionalFormatting sqref="B122:C122">
    <cfRule type="cellIs" dxfId="6783" priority="3017" stopIfTrue="1" operator="equal">
      <formula>"Towel"</formula>
    </cfRule>
    <cfRule type="cellIs" dxfId="6782" priority="3018" stopIfTrue="1" operator="equal">
      <formula>"Napkin Hs"</formula>
    </cfRule>
  </conditionalFormatting>
  <conditionalFormatting sqref="C122">
    <cfRule type="cellIs" dxfId="6781" priority="3015" stopIfTrue="1" operator="equal">
      <formula>"Towel"</formula>
    </cfRule>
    <cfRule type="cellIs" dxfId="6780" priority="3016" stopIfTrue="1" operator="equal">
      <formula>"Napkin Hs"</formula>
    </cfRule>
  </conditionalFormatting>
  <conditionalFormatting sqref="C122">
    <cfRule type="cellIs" dxfId="6779" priority="3013" stopIfTrue="1" operator="equal">
      <formula>"Towel"</formula>
    </cfRule>
    <cfRule type="cellIs" dxfId="6778" priority="3014" stopIfTrue="1" operator="equal">
      <formula>"Napkin Hs"</formula>
    </cfRule>
  </conditionalFormatting>
  <conditionalFormatting sqref="B122:C122">
    <cfRule type="cellIs" dxfId="6777" priority="3011" stopIfTrue="1" operator="equal">
      <formula>"Towel"</formula>
    </cfRule>
    <cfRule type="cellIs" dxfId="6776" priority="3012" stopIfTrue="1" operator="equal">
      <formula>"Napkin Hs"</formula>
    </cfRule>
  </conditionalFormatting>
  <conditionalFormatting sqref="C122">
    <cfRule type="cellIs" dxfId="6775" priority="3009" stopIfTrue="1" operator="equal">
      <formula>"Towel"</formula>
    </cfRule>
    <cfRule type="cellIs" dxfId="6774" priority="3010" stopIfTrue="1" operator="equal">
      <formula>"Napkin Hs"</formula>
    </cfRule>
  </conditionalFormatting>
  <conditionalFormatting sqref="C122">
    <cfRule type="cellIs" dxfId="6773" priority="3007" stopIfTrue="1" operator="equal">
      <formula>"Towel"</formula>
    </cfRule>
    <cfRule type="cellIs" dxfId="6772" priority="3008" stopIfTrue="1" operator="equal">
      <formula>"Napkin Hs"</formula>
    </cfRule>
  </conditionalFormatting>
  <conditionalFormatting sqref="B122:C122">
    <cfRule type="cellIs" dxfId="6771" priority="3005" stopIfTrue="1" operator="equal">
      <formula>"Towel"</formula>
    </cfRule>
    <cfRule type="cellIs" dxfId="6770" priority="3006" stopIfTrue="1" operator="equal">
      <formula>"Napkin Hs"</formula>
    </cfRule>
  </conditionalFormatting>
  <conditionalFormatting sqref="C122">
    <cfRule type="cellIs" dxfId="6769" priority="3003" stopIfTrue="1" operator="equal">
      <formula>"Towel"</formula>
    </cfRule>
    <cfRule type="cellIs" dxfId="6768" priority="3004" stopIfTrue="1" operator="equal">
      <formula>"Napkin Hs"</formula>
    </cfRule>
  </conditionalFormatting>
  <conditionalFormatting sqref="C122">
    <cfRule type="cellIs" dxfId="6767" priority="3001" stopIfTrue="1" operator="equal">
      <formula>"Towel"</formula>
    </cfRule>
    <cfRule type="cellIs" dxfId="6766" priority="3002" stopIfTrue="1" operator="equal">
      <formula>"Napkin Hs"</formula>
    </cfRule>
  </conditionalFormatting>
  <conditionalFormatting sqref="B122:C122">
    <cfRule type="cellIs" dxfId="6765" priority="3000" stopIfTrue="1" operator="equal">
      <formula>"Napkin Hs"</formula>
    </cfRule>
  </conditionalFormatting>
  <conditionalFormatting sqref="B122:C122">
    <cfRule type="cellIs" dxfId="6764" priority="2999" stopIfTrue="1" operator="equal">
      <formula>"Towel"</formula>
    </cfRule>
  </conditionalFormatting>
  <conditionalFormatting sqref="C122">
    <cfRule type="cellIs" dxfId="6763" priority="2998" stopIfTrue="1" operator="equal">
      <formula>"Napkin Hs"</formula>
    </cfRule>
  </conditionalFormatting>
  <conditionalFormatting sqref="C122">
    <cfRule type="cellIs" dxfId="6762" priority="2995" stopIfTrue="1" operator="equal">
      <formula>"Towel"</formula>
    </cfRule>
    <cfRule type="cellIs" dxfId="6761" priority="2996" stopIfTrue="1" operator="equal">
      <formula>"Napkin Hs"</formula>
    </cfRule>
  </conditionalFormatting>
  <conditionalFormatting sqref="C122">
    <cfRule type="cellIs" dxfId="6760" priority="2997" stopIfTrue="1" operator="equal">
      <formula>"Towel"</formula>
    </cfRule>
  </conditionalFormatting>
  <conditionalFormatting sqref="B122:C122">
    <cfRule type="cellIs" dxfId="6759" priority="2994" stopIfTrue="1" operator="equal">
      <formula>"Napkin Hs"</formula>
    </cfRule>
  </conditionalFormatting>
  <conditionalFormatting sqref="B122:C122">
    <cfRule type="cellIs" dxfId="6758" priority="2993" stopIfTrue="1" operator="equal">
      <formula>"Towel"</formula>
    </cfRule>
  </conditionalFormatting>
  <conditionalFormatting sqref="C122">
    <cfRule type="cellIs" dxfId="6757" priority="2992" stopIfTrue="1" operator="equal">
      <formula>"Napkin Hs"</formula>
    </cfRule>
  </conditionalFormatting>
  <conditionalFormatting sqref="C122">
    <cfRule type="cellIs" dxfId="6756" priority="2991" stopIfTrue="1" operator="equal">
      <formula>"Towel"</formula>
    </cfRule>
  </conditionalFormatting>
  <conditionalFormatting sqref="C122">
    <cfRule type="cellIs" dxfId="6755" priority="2989" stopIfTrue="1" operator="equal">
      <formula>"Towel"</formula>
    </cfRule>
    <cfRule type="cellIs" dxfId="6754" priority="2990" stopIfTrue="1" operator="equal">
      <formula>"Napkin Hs"</formula>
    </cfRule>
  </conditionalFormatting>
  <conditionalFormatting sqref="B122:C122">
    <cfRule type="cellIs" dxfId="6753" priority="2987" stopIfTrue="1" operator="equal">
      <formula>"Towel"</formula>
    </cfRule>
    <cfRule type="cellIs" dxfId="6752" priority="2988" stopIfTrue="1" operator="equal">
      <formula>"Napkin Hs"</formula>
    </cfRule>
  </conditionalFormatting>
  <conditionalFormatting sqref="C122">
    <cfRule type="cellIs" dxfId="6751" priority="2983" stopIfTrue="1" operator="equal">
      <formula>"Towel"</formula>
    </cfRule>
    <cfRule type="cellIs" dxfId="6750" priority="2984" stopIfTrue="1" operator="equal">
      <formula>"Napkin Hs"</formula>
    </cfRule>
  </conditionalFormatting>
  <conditionalFormatting sqref="C122">
    <cfRule type="cellIs" dxfId="6749" priority="2985" stopIfTrue="1" operator="equal">
      <formula>"Towel"</formula>
    </cfRule>
    <cfRule type="cellIs" dxfId="6748" priority="2986" stopIfTrue="1" operator="equal">
      <formula>"Napkin Hs"</formula>
    </cfRule>
  </conditionalFormatting>
  <conditionalFormatting sqref="B122:C122">
    <cfRule type="cellIs" dxfId="6747" priority="2982" stopIfTrue="1" operator="equal">
      <formula>"Napkin Hs"</formula>
    </cfRule>
  </conditionalFormatting>
  <conditionalFormatting sqref="B122:C122">
    <cfRule type="cellIs" dxfId="6746" priority="2981" stopIfTrue="1" operator="equal">
      <formula>"Towel"</formula>
    </cfRule>
  </conditionalFormatting>
  <conditionalFormatting sqref="C122">
    <cfRule type="cellIs" dxfId="6745" priority="2980" stopIfTrue="1" operator="equal">
      <formula>"Napkin Hs"</formula>
    </cfRule>
  </conditionalFormatting>
  <conditionalFormatting sqref="C122">
    <cfRule type="cellIs" dxfId="6744" priority="2979" stopIfTrue="1" operator="equal">
      <formula>"Towel"</formula>
    </cfRule>
  </conditionalFormatting>
  <conditionalFormatting sqref="C122">
    <cfRule type="cellIs" dxfId="6743" priority="2977" stopIfTrue="1" operator="equal">
      <formula>"Towel"</formula>
    </cfRule>
    <cfRule type="cellIs" dxfId="6742" priority="2978" stopIfTrue="1" operator="equal">
      <formula>"Napkin Hs"</formula>
    </cfRule>
  </conditionalFormatting>
  <conditionalFormatting sqref="B122:C122">
    <cfRule type="cellIs" dxfId="6741" priority="2975" stopIfTrue="1" operator="equal">
      <formula>"Towel"</formula>
    </cfRule>
    <cfRule type="cellIs" dxfId="6740" priority="2976" stopIfTrue="1" operator="equal">
      <formula>"Napkin Hs"</formula>
    </cfRule>
  </conditionalFormatting>
  <conditionalFormatting sqref="C122">
    <cfRule type="cellIs" dxfId="6739" priority="2973" stopIfTrue="1" operator="equal">
      <formula>"Towel"</formula>
    </cfRule>
    <cfRule type="cellIs" dxfId="6738" priority="2974" stopIfTrue="1" operator="equal">
      <formula>"Napkin Hs"</formula>
    </cfRule>
  </conditionalFormatting>
  <conditionalFormatting sqref="C122">
    <cfRule type="cellIs" dxfId="6737" priority="2971" stopIfTrue="1" operator="equal">
      <formula>"Towel"</formula>
    </cfRule>
    <cfRule type="cellIs" dxfId="6736" priority="2972" stopIfTrue="1" operator="equal">
      <formula>"Napkin Hs"</formula>
    </cfRule>
  </conditionalFormatting>
  <conditionalFormatting sqref="B122:C122">
    <cfRule type="cellIs" dxfId="6735" priority="2969" stopIfTrue="1" operator="equal">
      <formula>"Towel"</formula>
    </cfRule>
    <cfRule type="cellIs" dxfId="6734" priority="2970" stopIfTrue="1" operator="equal">
      <formula>"Napkin Hs"</formula>
    </cfRule>
  </conditionalFormatting>
  <conditionalFormatting sqref="C122">
    <cfRule type="cellIs" dxfId="6733" priority="2967" stopIfTrue="1" operator="equal">
      <formula>"Towel"</formula>
    </cfRule>
    <cfRule type="cellIs" dxfId="6732" priority="2968" stopIfTrue="1" operator="equal">
      <formula>"Napkin Hs"</formula>
    </cfRule>
  </conditionalFormatting>
  <conditionalFormatting sqref="C122">
    <cfRule type="cellIs" dxfId="6731" priority="2965" stopIfTrue="1" operator="equal">
      <formula>"Towel"</formula>
    </cfRule>
    <cfRule type="cellIs" dxfId="6730" priority="2966" stopIfTrue="1" operator="equal">
      <formula>"Napkin Hs"</formula>
    </cfRule>
  </conditionalFormatting>
  <conditionalFormatting sqref="B122:C122">
    <cfRule type="cellIs" dxfId="6729" priority="2963" stopIfTrue="1" operator="equal">
      <formula>"Towel"</formula>
    </cfRule>
    <cfRule type="cellIs" dxfId="6728" priority="2964" stopIfTrue="1" operator="equal">
      <formula>"Napkin Hs"</formula>
    </cfRule>
  </conditionalFormatting>
  <conditionalFormatting sqref="C122">
    <cfRule type="cellIs" dxfId="6727" priority="2961" stopIfTrue="1" operator="equal">
      <formula>"Towel"</formula>
    </cfRule>
    <cfRule type="cellIs" dxfId="6726" priority="2962" stopIfTrue="1" operator="equal">
      <formula>"Napkin Hs"</formula>
    </cfRule>
  </conditionalFormatting>
  <conditionalFormatting sqref="C122">
    <cfRule type="cellIs" dxfId="6725" priority="2959" stopIfTrue="1" operator="equal">
      <formula>"Towel"</formula>
    </cfRule>
    <cfRule type="cellIs" dxfId="6724" priority="2960" stopIfTrue="1" operator="equal">
      <formula>"Napkin Hs"</formula>
    </cfRule>
  </conditionalFormatting>
  <conditionalFormatting sqref="B122:C122">
    <cfRule type="cellIs" dxfId="6723" priority="2957" stopIfTrue="1" operator="equal">
      <formula>"Towel"</formula>
    </cfRule>
    <cfRule type="cellIs" dxfId="6722" priority="2958" stopIfTrue="1" operator="equal">
      <formula>"Napkin Hs"</formula>
    </cfRule>
  </conditionalFormatting>
  <conditionalFormatting sqref="C122">
    <cfRule type="cellIs" dxfId="6721" priority="2955" stopIfTrue="1" operator="equal">
      <formula>"Towel"</formula>
    </cfRule>
    <cfRule type="cellIs" dxfId="6720" priority="2956" stopIfTrue="1" operator="equal">
      <formula>"Napkin Hs"</formula>
    </cfRule>
  </conditionalFormatting>
  <conditionalFormatting sqref="C122">
    <cfRule type="cellIs" dxfId="6719" priority="2953" stopIfTrue="1" operator="equal">
      <formula>"Towel"</formula>
    </cfRule>
    <cfRule type="cellIs" dxfId="6718" priority="2954" stopIfTrue="1" operator="equal">
      <formula>"Napkin Hs"</formula>
    </cfRule>
  </conditionalFormatting>
  <conditionalFormatting sqref="B122:C122">
    <cfRule type="cellIs" dxfId="6717" priority="2951" stopIfTrue="1" operator="equal">
      <formula>"Towel"</formula>
    </cfRule>
    <cfRule type="cellIs" dxfId="6716" priority="2952" stopIfTrue="1" operator="equal">
      <formula>"Napkin Hs"</formula>
    </cfRule>
  </conditionalFormatting>
  <conditionalFormatting sqref="C122">
    <cfRule type="cellIs" dxfId="6715" priority="2949" stopIfTrue="1" operator="equal">
      <formula>"Towel"</formula>
    </cfRule>
    <cfRule type="cellIs" dxfId="6714" priority="2950" stopIfTrue="1" operator="equal">
      <formula>"Napkin Hs"</formula>
    </cfRule>
  </conditionalFormatting>
  <conditionalFormatting sqref="C122">
    <cfRule type="cellIs" dxfId="6713" priority="2947" stopIfTrue="1" operator="equal">
      <formula>"Towel"</formula>
    </cfRule>
    <cfRule type="cellIs" dxfId="6712" priority="2948" stopIfTrue="1" operator="equal">
      <formula>"Napkin Hs"</formula>
    </cfRule>
  </conditionalFormatting>
  <conditionalFormatting sqref="B122:C122">
    <cfRule type="cellIs" dxfId="6711" priority="2946" stopIfTrue="1" operator="equal">
      <formula>"Napkin Hs"</formula>
    </cfRule>
  </conditionalFormatting>
  <conditionalFormatting sqref="B122:C122">
    <cfRule type="cellIs" dxfId="6710" priority="2945" stopIfTrue="1" operator="equal">
      <formula>"Towel"</formula>
    </cfRule>
  </conditionalFormatting>
  <conditionalFormatting sqref="C122">
    <cfRule type="cellIs" dxfId="6709" priority="2944" stopIfTrue="1" operator="equal">
      <formula>"Napkin Hs"</formula>
    </cfRule>
  </conditionalFormatting>
  <conditionalFormatting sqref="C122">
    <cfRule type="cellIs" dxfId="6708" priority="2941" stopIfTrue="1" operator="equal">
      <formula>"Towel"</formula>
    </cfRule>
    <cfRule type="cellIs" dxfId="6707" priority="2942" stopIfTrue="1" operator="equal">
      <formula>"Napkin Hs"</formula>
    </cfRule>
  </conditionalFormatting>
  <conditionalFormatting sqref="C122">
    <cfRule type="cellIs" dxfId="6706" priority="2943" stopIfTrue="1" operator="equal">
      <formula>"Towel"</formula>
    </cfRule>
  </conditionalFormatting>
  <conditionalFormatting sqref="B122:C122">
    <cfRule type="cellIs" dxfId="6705" priority="2940" stopIfTrue="1" operator="equal">
      <formula>"Napkin Hs"</formula>
    </cfRule>
  </conditionalFormatting>
  <conditionalFormatting sqref="B122:C122">
    <cfRule type="cellIs" dxfId="6704" priority="2939" stopIfTrue="1" operator="equal">
      <formula>"Towel"</formula>
    </cfRule>
  </conditionalFormatting>
  <conditionalFormatting sqref="C122">
    <cfRule type="cellIs" dxfId="6703" priority="2938" stopIfTrue="1" operator="equal">
      <formula>"Napkin Hs"</formula>
    </cfRule>
  </conditionalFormatting>
  <conditionalFormatting sqref="C122">
    <cfRule type="cellIs" dxfId="6702" priority="2937" stopIfTrue="1" operator="equal">
      <formula>"Towel"</formula>
    </cfRule>
  </conditionalFormatting>
  <conditionalFormatting sqref="C122">
    <cfRule type="cellIs" dxfId="6701" priority="2935" stopIfTrue="1" operator="equal">
      <formula>"Towel"</formula>
    </cfRule>
    <cfRule type="cellIs" dxfId="6700" priority="2936" stopIfTrue="1" operator="equal">
      <formula>"Napkin Hs"</formula>
    </cfRule>
  </conditionalFormatting>
  <conditionalFormatting sqref="B122:C122">
    <cfRule type="cellIs" dxfId="6699" priority="2933" stopIfTrue="1" operator="equal">
      <formula>"Towel"</formula>
    </cfRule>
    <cfRule type="cellIs" dxfId="6698" priority="2934" stopIfTrue="1" operator="equal">
      <formula>"Napkin Hs"</formula>
    </cfRule>
  </conditionalFormatting>
  <conditionalFormatting sqref="C122">
    <cfRule type="cellIs" dxfId="6697" priority="2929" stopIfTrue="1" operator="equal">
      <formula>"Towel"</formula>
    </cfRule>
    <cfRule type="cellIs" dxfId="6696" priority="2930" stopIfTrue="1" operator="equal">
      <formula>"Napkin Hs"</formula>
    </cfRule>
  </conditionalFormatting>
  <conditionalFormatting sqref="C122">
    <cfRule type="cellIs" dxfId="6695" priority="2931" stopIfTrue="1" operator="equal">
      <formula>"Towel"</formula>
    </cfRule>
    <cfRule type="cellIs" dxfId="6694" priority="2932" stopIfTrue="1" operator="equal">
      <formula>"Napkin Hs"</formula>
    </cfRule>
  </conditionalFormatting>
  <conditionalFormatting sqref="B122:C122">
    <cfRule type="cellIs" dxfId="6693" priority="2928" stopIfTrue="1" operator="equal">
      <formula>"Napkin Hs"</formula>
    </cfRule>
  </conditionalFormatting>
  <conditionalFormatting sqref="B122:C122">
    <cfRule type="cellIs" dxfId="6692" priority="2927" stopIfTrue="1" operator="equal">
      <formula>"Towel"</formula>
    </cfRule>
  </conditionalFormatting>
  <conditionalFormatting sqref="C122">
    <cfRule type="cellIs" dxfId="6691" priority="2926" stopIfTrue="1" operator="equal">
      <formula>"Napkin Hs"</formula>
    </cfRule>
  </conditionalFormatting>
  <conditionalFormatting sqref="C122">
    <cfRule type="cellIs" dxfId="6690" priority="2925" stopIfTrue="1" operator="equal">
      <formula>"Towel"</formula>
    </cfRule>
  </conditionalFormatting>
  <conditionalFormatting sqref="C122">
    <cfRule type="cellIs" dxfId="6689" priority="2923" stopIfTrue="1" operator="equal">
      <formula>"Towel"</formula>
    </cfRule>
    <cfRule type="cellIs" dxfId="6688" priority="2924" stopIfTrue="1" operator="equal">
      <formula>"Napkin Hs"</formula>
    </cfRule>
  </conditionalFormatting>
  <conditionalFormatting sqref="B122:C122">
    <cfRule type="cellIs" dxfId="6687" priority="2921" stopIfTrue="1" operator="equal">
      <formula>"Towel"</formula>
    </cfRule>
    <cfRule type="cellIs" dxfId="6686" priority="2922" stopIfTrue="1" operator="equal">
      <formula>"Napkin Hs"</formula>
    </cfRule>
  </conditionalFormatting>
  <conditionalFormatting sqref="C122">
    <cfRule type="cellIs" dxfId="6685" priority="2919" stopIfTrue="1" operator="equal">
      <formula>"Towel"</formula>
    </cfRule>
    <cfRule type="cellIs" dxfId="6684" priority="2920" stopIfTrue="1" operator="equal">
      <formula>"Napkin Hs"</formula>
    </cfRule>
  </conditionalFormatting>
  <conditionalFormatting sqref="C122">
    <cfRule type="cellIs" dxfId="6683" priority="2917" stopIfTrue="1" operator="equal">
      <formula>"Towel"</formula>
    </cfRule>
    <cfRule type="cellIs" dxfId="6682" priority="2918" stopIfTrue="1" operator="equal">
      <formula>"Napkin Hs"</formula>
    </cfRule>
  </conditionalFormatting>
  <conditionalFormatting sqref="B122:C122">
    <cfRule type="cellIs" dxfId="6681" priority="2915" stopIfTrue="1" operator="equal">
      <formula>"Towel"</formula>
    </cfRule>
    <cfRule type="cellIs" dxfId="6680" priority="2916" stopIfTrue="1" operator="equal">
      <formula>"Napkin Hs"</formula>
    </cfRule>
  </conditionalFormatting>
  <conditionalFormatting sqref="C122">
    <cfRule type="cellIs" dxfId="6679" priority="2913" stopIfTrue="1" operator="equal">
      <formula>"Towel"</formula>
    </cfRule>
    <cfRule type="cellIs" dxfId="6678" priority="2914" stopIfTrue="1" operator="equal">
      <formula>"Napkin Hs"</formula>
    </cfRule>
  </conditionalFormatting>
  <conditionalFormatting sqref="C122">
    <cfRule type="cellIs" dxfId="6677" priority="2911" stopIfTrue="1" operator="equal">
      <formula>"Towel"</formula>
    </cfRule>
    <cfRule type="cellIs" dxfId="6676" priority="2912" stopIfTrue="1" operator="equal">
      <formula>"Napkin Hs"</formula>
    </cfRule>
  </conditionalFormatting>
  <conditionalFormatting sqref="B122:C122">
    <cfRule type="cellIs" dxfId="6675" priority="2909" stopIfTrue="1" operator="equal">
      <formula>"Towel"</formula>
    </cfRule>
    <cfRule type="cellIs" dxfId="6674" priority="2910" stopIfTrue="1" operator="equal">
      <formula>"Napkin Hs"</formula>
    </cfRule>
  </conditionalFormatting>
  <conditionalFormatting sqref="C122">
    <cfRule type="cellIs" dxfId="6673" priority="2907" stopIfTrue="1" operator="equal">
      <formula>"Towel"</formula>
    </cfRule>
    <cfRule type="cellIs" dxfId="6672" priority="2908" stopIfTrue="1" operator="equal">
      <formula>"Napkin Hs"</formula>
    </cfRule>
  </conditionalFormatting>
  <conditionalFormatting sqref="C122">
    <cfRule type="cellIs" dxfId="6671" priority="2905" stopIfTrue="1" operator="equal">
      <formula>"Towel"</formula>
    </cfRule>
    <cfRule type="cellIs" dxfId="6670" priority="2906" stopIfTrue="1" operator="equal">
      <formula>"Napkin Hs"</formula>
    </cfRule>
  </conditionalFormatting>
  <conditionalFormatting sqref="B122:C122">
    <cfRule type="cellIs" dxfId="6669" priority="2903" stopIfTrue="1" operator="equal">
      <formula>"Towel"</formula>
    </cfRule>
    <cfRule type="cellIs" dxfId="6668" priority="2904" stopIfTrue="1" operator="equal">
      <formula>"Napkin Hs"</formula>
    </cfRule>
  </conditionalFormatting>
  <conditionalFormatting sqref="C122">
    <cfRule type="cellIs" dxfId="6667" priority="2901" stopIfTrue="1" operator="equal">
      <formula>"Towel"</formula>
    </cfRule>
    <cfRule type="cellIs" dxfId="6666" priority="2902" stopIfTrue="1" operator="equal">
      <formula>"Napkin Hs"</formula>
    </cfRule>
  </conditionalFormatting>
  <conditionalFormatting sqref="C122">
    <cfRule type="cellIs" dxfId="6665" priority="2899" stopIfTrue="1" operator="equal">
      <formula>"Towel"</formula>
    </cfRule>
    <cfRule type="cellIs" dxfId="6664" priority="2900" stopIfTrue="1" operator="equal">
      <formula>"Napkin Hs"</formula>
    </cfRule>
  </conditionalFormatting>
  <conditionalFormatting sqref="B122:C122">
    <cfRule type="cellIs" dxfId="6663" priority="2897" stopIfTrue="1" operator="equal">
      <formula>"Towel"</formula>
    </cfRule>
    <cfRule type="cellIs" dxfId="6662" priority="2898" stopIfTrue="1" operator="equal">
      <formula>"Napkin Hs"</formula>
    </cfRule>
  </conditionalFormatting>
  <conditionalFormatting sqref="C122">
    <cfRule type="cellIs" dxfId="6661" priority="2895" stopIfTrue="1" operator="equal">
      <formula>"Towel"</formula>
    </cfRule>
    <cfRule type="cellIs" dxfId="6660" priority="2896" stopIfTrue="1" operator="equal">
      <formula>"Napkin Hs"</formula>
    </cfRule>
  </conditionalFormatting>
  <conditionalFormatting sqref="C122">
    <cfRule type="cellIs" dxfId="6659" priority="2893" stopIfTrue="1" operator="equal">
      <formula>"Towel"</formula>
    </cfRule>
    <cfRule type="cellIs" dxfId="6658" priority="2894" stopIfTrue="1" operator="equal">
      <formula>"Napkin Hs"</formula>
    </cfRule>
  </conditionalFormatting>
  <conditionalFormatting sqref="B122:C122">
    <cfRule type="cellIs" dxfId="6657" priority="2892" stopIfTrue="1" operator="equal">
      <formula>"Napkin Hs"</formula>
    </cfRule>
  </conditionalFormatting>
  <conditionalFormatting sqref="B122:C122">
    <cfRule type="cellIs" dxfId="6656" priority="2891" stopIfTrue="1" operator="equal">
      <formula>"Towel"</formula>
    </cfRule>
  </conditionalFormatting>
  <conditionalFormatting sqref="C122">
    <cfRule type="cellIs" dxfId="6655" priority="2890" stopIfTrue="1" operator="equal">
      <formula>"Napkin Hs"</formula>
    </cfRule>
  </conditionalFormatting>
  <conditionalFormatting sqref="C122">
    <cfRule type="cellIs" dxfId="6654" priority="2887" stopIfTrue="1" operator="equal">
      <formula>"Towel"</formula>
    </cfRule>
    <cfRule type="cellIs" dxfId="6653" priority="2888" stopIfTrue="1" operator="equal">
      <formula>"Napkin Hs"</formula>
    </cfRule>
  </conditionalFormatting>
  <conditionalFormatting sqref="C122">
    <cfRule type="cellIs" dxfId="6652" priority="2889" stopIfTrue="1" operator="equal">
      <formula>"Towel"</formula>
    </cfRule>
  </conditionalFormatting>
  <conditionalFormatting sqref="B122:C122">
    <cfRule type="cellIs" dxfId="6651" priority="2886" stopIfTrue="1" operator="equal">
      <formula>"Napkin Hs"</formula>
    </cfRule>
  </conditionalFormatting>
  <conditionalFormatting sqref="B122:C122">
    <cfRule type="cellIs" dxfId="6650" priority="2885" stopIfTrue="1" operator="equal">
      <formula>"Towel"</formula>
    </cfRule>
  </conditionalFormatting>
  <conditionalFormatting sqref="C122">
    <cfRule type="cellIs" dxfId="6649" priority="2884" stopIfTrue="1" operator="equal">
      <formula>"Napkin Hs"</formula>
    </cfRule>
  </conditionalFormatting>
  <conditionalFormatting sqref="C122">
    <cfRule type="cellIs" dxfId="6648" priority="2881" stopIfTrue="1" operator="equal">
      <formula>"Towel"</formula>
    </cfRule>
    <cfRule type="cellIs" dxfId="6647" priority="2882" stopIfTrue="1" operator="equal">
      <formula>"Napkin Hs"</formula>
    </cfRule>
  </conditionalFormatting>
  <conditionalFormatting sqref="C122">
    <cfRule type="cellIs" dxfId="6646" priority="2883" stopIfTrue="1" operator="equal">
      <formula>"Towel"</formula>
    </cfRule>
  </conditionalFormatting>
  <conditionalFormatting sqref="B122:C122">
    <cfRule type="cellIs" dxfId="6645" priority="2880" stopIfTrue="1" operator="equal">
      <formula>"Napkin Hs"</formula>
    </cfRule>
  </conditionalFormatting>
  <conditionalFormatting sqref="B122:C122">
    <cfRule type="cellIs" dxfId="6644" priority="2879" stopIfTrue="1" operator="equal">
      <formula>"Towel"</formula>
    </cfRule>
  </conditionalFormatting>
  <conditionalFormatting sqref="C122">
    <cfRule type="cellIs" dxfId="6643" priority="2878" stopIfTrue="1" operator="equal">
      <formula>"Napkin Hs"</formula>
    </cfRule>
  </conditionalFormatting>
  <conditionalFormatting sqref="C122">
    <cfRule type="cellIs" dxfId="6642" priority="2875" stopIfTrue="1" operator="equal">
      <formula>"Towel"</formula>
    </cfRule>
    <cfRule type="cellIs" dxfId="6641" priority="2876" stopIfTrue="1" operator="equal">
      <formula>"Napkin Hs"</formula>
    </cfRule>
  </conditionalFormatting>
  <conditionalFormatting sqref="C122">
    <cfRule type="cellIs" dxfId="6640" priority="2877" stopIfTrue="1" operator="equal">
      <formula>"Towel"</formula>
    </cfRule>
  </conditionalFormatting>
  <conditionalFormatting sqref="B120:C120">
    <cfRule type="cellIs" dxfId="6639" priority="2747" stopIfTrue="1" operator="equal">
      <formula>"Towel"</formula>
    </cfRule>
    <cfRule type="cellIs" dxfId="6638" priority="2748" stopIfTrue="1" operator="equal">
      <formula>"Napkin Hs"</formula>
    </cfRule>
  </conditionalFormatting>
  <conditionalFormatting sqref="C120">
    <cfRule type="cellIs" dxfId="6637" priority="2745" stopIfTrue="1" operator="equal">
      <formula>"Towel"</formula>
    </cfRule>
    <cfRule type="cellIs" dxfId="6636" priority="2746" stopIfTrue="1" operator="equal">
      <formula>"Napkin Hs"</formula>
    </cfRule>
  </conditionalFormatting>
  <conditionalFormatting sqref="C120">
    <cfRule type="cellIs" dxfId="6635" priority="2743" stopIfTrue="1" operator="equal">
      <formula>"Towel"</formula>
    </cfRule>
    <cfRule type="cellIs" dxfId="6634" priority="2744" stopIfTrue="1" operator="equal">
      <formula>"Napkin Hs"</formula>
    </cfRule>
  </conditionalFormatting>
  <conditionalFormatting sqref="B120:C120">
    <cfRule type="cellIs" dxfId="6633" priority="2742" stopIfTrue="1" operator="equal">
      <formula>"Napkin Hs"</formula>
    </cfRule>
  </conditionalFormatting>
  <conditionalFormatting sqref="B120:C120">
    <cfRule type="cellIs" dxfId="6632" priority="2741" stopIfTrue="1" operator="equal">
      <formula>"Towel"</formula>
    </cfRule>
  </conditionalFormatting>
  <conditionalFormatting sqref="C120">
    <cfRule type="cellIs" dxfId="6631" priority="2740" stopIfTrue="1" operator="equal">
      <formula>"Napkin Hs"</formula>
    </cfRule>
  </conditionalFormatting>
  <conditionalFormatting sqref="C120">
    <cfRule type="cellIs" dxfId="6630" priority="2739" stopIfTrue="1" operator="equal">
      <formula>"Towel"</formula>
    </cfRule>
  </conditionalFormatting>
  <conditionalFormatting sqref="C120">
    <cfRule type="cellIs" dxfId="6629" priority="2737" stopIfTrue="1" operator="equal">
      <formula>"Towel"</formula>
    </cfRule>
    <cfRule type="cellIs" dxfId="6628" priority="2738" stopIfTrue="1" operator="equal">
      <formula>"Napkin Hs"</formula>
    </cfRule>
  </conditionalFormatting>
  <conditionalFormatting sqref="B120:C120">
    <cfRule type="cellIs" dxfId="6627" priority="2735" stopIfTrue="1" operator="equal">
      <formula>"Towel"</formula>
    </cfRule>
    <cfRule type="cellIs" dxfId="6626" priority="2736" stopIfTrue="1" operator="equal">
      <formula>"Napkin Hs"</formula>
    </cfRule>
  </conditionalFormatting>
  <conditionalFormatting sqref="C120">
    <cfRule type="cellIs" dxfId="6625" priority="2731" stopIfTrue="1" operator="equal">
      <formula>"Towel"</formula>
    </cfRule>
    <cfRule type="cellIs" dxfId="6624" priority="2732" stopIfTrue="1" operator="equal">
      <formula>"Napkin Hs"</formula>
    </cfRule>
  </conditionalFormatting>
  <conditionalFormatting sqref="C120">
    <cfRule type="cellIs" dxfId="6623" priority="2733" stopIfTrue="1" operator="equal">
      <formula>"Towel"</formula>
    </cfRule>
    <cfRule type="cellIs" dxfId="6622" priority="2734" stopIfTrue="1" operator="equal">
      <formula>"Napkin Hs"</formula>
    </cfRule>
  </conditionalFormatting>
  <conditionalFormatting sqref="B120:C120">
    <cfRule type="cellIs" dxfId="6621" priority="2730" stopIfTrue="1" operator="equal">
      <formula>"Napkin Hs"</formula>
    </cfRule>
  </conditionalFormatting>
  <conditionalFormatting sqref="B120:C120">
    <cfRule type="cellIs" dxfId="6620" priority="2729" stopIfTrue="1" operator="equal">
      <formula>"Towel"</formula>
    </cfRule>
  </conditionalFormatting>
  <conditionalFormatting sqref="C120">
    <cfRule type="cellIs" dxfId="6619" priority="2728" stopIfTrue="1" operator="equal">
      <formula>"Napkin Hs"</formula>
    </cfRule>
  </conditionalFormatting>
  <conditionalFormatting sqref="C120">
    <cfRule type="cellIs" dxfId="6618" priority="2727" stopIfTrue="1" operator="equal">
      <formula>"Towel"</formula>
    </cfRule>
  </conditionalFormatting>
  <conditionalFormatting sqref="C120">
    <cfRule type="cellIs" dxfId="6617" priority="2725" stopIfTrue="1" operator="equal">
      <formula>"Towel"</formula>
    </cfRule>
    <cfRule type="cellIs" dxfId="6616" priority="2726" stopIfTrue="1" operator="equal">
      <formula>"Napkin Hs"</formula>
    </cfRule>
  </conditionalFormatting>
  <conditionalFormatting sqref="B120:C120">
    <cfRule type="cellIs" dxfId="6615" priority="2723" stopIfTrue="1" operator="equal">
      <formula>"Towel"</formula>
    </cfRule>
    <cfRule type="cellIs" dxfId="6614" priority="2724" stopIfTrue="1" operator="equal">
      <formula>"Napkin Hs"</formula>
    </cfRule>
  </conditionalFormatting>
  <conditionalFormatting sqref="C120">
    <cfRule type="cellIs" dxfId="6613" priority="2721" stopIfTrue="1" operator="equal">
      <formula>"Towel"</formula>
    </cfRule>
    <cfRule type="cellIs" dxfId="6612" priority="2722" stopIfTrue="1" operator="equal">
      <formula>"Napkin Hs"</formula>
    </cfRule>
  </conditionalFormatting>
  <conditionalFormatting sqref="C120">
    <cfRule type="cellIs" dxfId="6611" priority="2719" stopIfTrue="1" operator="equal">
      <formula>"Towel"</formula>
    </cfRule>
    <cfRule type="cellIs" dxfId="6610" priority="2720" stopIfTrue="1" operator="equal">
      <formula>"Napkin Hs"</formula>
    </cfRule>
  </conditionalFormatting>
  <conditionalFormatting sqref="B120:C120">
    <cfRule type="cellIs" dxfId="6609" priority="2717" stopIfTrue="1" operator="equal">
      <formula>"Towel"</formula>
    </cfRule>
    <cfRule type="cellIs" dxfId="6608" priority="2718" stopIfTrue="1" operator="equal">
      <formula>"Napkin Hs"</formula>
    </cfRule>
  </conditionalFormatting>
  <conditionalFormatting sqref="C120">
    <cfRule type="cellIs" dxfId="6607" priority="2715" stopIfTrue="1" operator="equal">
      <formula>"Towel"</formula>
    </cfRule>
    <cfRule type="cellIs" dxfId="6606" priority="2716" stopIfTrue="1" operator="equal">
      <formula>"Napkin Hs"</formula>
    </cfRule>
  </conditionalFormatting>
  <conditionalFormatting sqref="C120">
    <cfRule type="cellIs" dxfId="6605" priority="2713" stopIfTrue="1" operator="equal">
      <formula>"Towel"</formula>
    </cfRule>
    <cfRule type="cellIs" dxfId="6604" priority="2714" stopIfTrue="1" operator="equal">
      <formula>"Napkin Hs"</formula>
    </cfRule>
  </conditionalFormatting>
  <conditionalFormatting sqref="B120:C120">
    <cfRule type="cellIs" dxfId="6603" priority="2711" stopIfTrue="1" operator="equal">
      <formula>"Towel"</formula>
    </cfRule>
    <cfRule type="cellIs" dxfId="6602" priority="2712" stopIfTrue="1" operator="equal">
      <formula>"Napkin Hs"</formula>
    </cfRule>
  </conditionalFormatting>
  <conditionalFormatting sqref="C120">
    <cfRule type="cellIs" dxfId="6601" priority="2709" stopIfTrue="1" operator="equal">
      <formula>"Towel"</formula>
    </cfRule>
    <cfRule type="cellIs" dxfId="6600" priority="2710" stopIfTrue="1" operator="equal">
      <formula>"Napkin Hs"</formula>
    </cfRule>
  </conditionalFormatting>
  <conditionalFormatting sqref="C120">
    <cfRule type="cellIs" dxfId="6599" priority="2707" stopIfTrue="1" operator="equal">
      <formula>"Towel"</formula>
    </cfRule>
    <cfRule type="cellIs" dxfId="6598" priority="2708" stopIfTrue="1" operator="equal">
      <formula>"Napkin Hs"</formula>
    </cfRule>
  </conditionalFormatting>
  <conditionalFormatting sqref="B120:C120">
    <cfRule type="cellIs" dxfId="6597" priority="2705" stopIfTrue="1" operator="equal">
      <formula>"Towel"</formula>
    </cfRule>
    <cfRule type="cellIs" dxfId="6596" priority="2706" stopIfTrue="1" operator="equal">
      <formula>"Napkin Hs"</formula>
    </cfRule>
  </conditionalFormatting>
  <conditionalFormatting sqref="C120">
    <cfRule type="cellIs" dxfId="6595" priority="2703" stopIfTrue="1" operator="equal">
      <formula>"Towel"</formula>
    </cfRule>
    <cfRule type="cellIs" dxfId="6594" priority="2704" stopIfTrue="1" operator="equal">
      <formula>"Napkin Hs"</formula>
    </cfRule>
  </conditionalFormatting>
  <conditionalFormatting sqref="C120">
    <cfRule type="cellIs" dxfId="6593" priority="2701" stopIfTrue="1" operator="equal">
      <formula>"Towel"</formula>
    </cfRule>
    <cfRule type="cellIs" dxfId="6592" priority="2702" stopIfTrue="1" operator="equal">
      <formula>"Napkin Hs"</formula>
    </cfRule>
  </conditionalFormatting>
  <conditionalFormatting sqref="B120:C120">
    <cfRule type="cellIs" dxfId="6591" priority="2699" stopIfTrue="1" operator="equal">
      <formula>"Towel"</formula>
    </cfRule>
    <cfRule type="cellIs" dxfId="6590" priority="2700" stopIfTrue="1" operator="equal">
      <formula>"Napkin Hs"</formula>
    </cfRule>
  </conditionalFormatting>
  <conditionalFormatting sqref="C120">
    <cfRule type="cellIs" dxfId="6589" priority="2697" stopIfTrue="1" operator="equal">
      <formula>"Towel"</formula>
    </cfRule>
    <cfRule type="cellIs" dxfId="6588" priority="2698" stopIfTrue="1" operator="equal">
      <formula>"Napkin Hs"</formula>
    </cfRule>
  </conditionalFormatting>
  <conditionalFormatting sqref="C120">
    <cfRule type="cellIs" dxfId="6587" priority="2695" stopIfTrue="1" operator="equal">
      <formula>"Towel"</formula>
    </cfRule>
    <cfRule type="cellIs" dxfId="6586" priority="2696" stopIfTrue="1" operator="equal">
      <formula>"Napkin Hs"</formula>
    </cfRule>
  </conditionalFormatting>
  <conditionalFormatting sqref="B120:C120">
    <cfRule type="cellIs" dxfId="6585" priority="2694" stopIfTrue="1" operator="equal">
      <formula>"Napkin Hs"</formula>
    </cfRule>
  </conditionalFormatting>
  <conditionalFormatting sqref="B120:C120">
    <cfRule type="cellIs" dxfId="6584" priority="2693" stopIfTrue="1" operator="equal">
      <formula>"Towel"</formula>
    </cfRule>
  </conditionalFormatting>
  <conditionalFormatting sqref="C120">
    <cfRule type="cellIs" dxfId="6583" priority="2692" stopIfTrue="1" operator="equal">
      <formula>"Napkin Hs"</formula>
    </cfRule>
  </conditionalFormatting>
  <conditionalFormatting sqref="C120">
    <cfRule type="cellIs" dxfId="6582" priority="2689" stopIfTrue="1" operator="equal">
      <formula>"Towel"</formula>
    </cfRule>
    <cfRule type="cellIs" dxfId="6581" priority="2690" stopIfTrue="1" operator="equal">
      <formula>"Napkin Hs"</formula>
    </cfRule>
  </conditionalFormatting>
  <conditionalFormatting sqref="C120">
    <cfRule type="cellIs" dxfId="6580" priority="2691" stopIfTrue="1" operator="equal">
      <formula>"Towel"</formula>
    </cfRule>
  </conditionalFormatting>
  <conditionalFormatting sqref="B120:C120">
    <cfRule type="cellIs" dxfId="6579" priority="2688" stopIfTrue="1" operator="equal">
      <formula>"Napkin Hs"</formula>
    </cfRule>
  </conditionalFormatting>
  <conditionalFormatting sqref="B120:C120">
    <cfRule type="cellIs" dxfId="6578" priority="2687" stopIfTrue="1" operator="equal">
      <formula>"Towel"</formula>
    </cfRule>
  </conditionalFormatting>
  <conditionalFormatting sqref="C120">
    <cfRule type="cellIs" dxfId="6577" priority="2686" stopIfTrue="1" operator="equal">
      <formula>"Napkin Hs"</formula>
    </cfRule>
  </conditionalFormatting>
  <conditionalFormatting sqref="C120">
    <cfRule type="cellIs" dxfId="6576" priority="2685" stopIfTrue="1" operator="equal">
      <formula>"Towel"</formula>
    </cfRule>
  </conditionalFormatting>
  <conditionalFormatting sqref="C120">
    <cfRule type="cellIs" dxfId="6575" priority="2683" stopIfTrue="1" operator="equal">
      <formula>"Towel"</formula>
    </cfRule>
    <cfRule type="cellIs" dxfId="6574" priority="2684" stopIfTrue="1" operator="equal">
      <formula>"Napkin Hs"</formula>
    </cfRule>
  </conditionalFormatting>
  <conditionalFormatting sqref="B120:C120">
    <cfRule type="cellIs" dxfId="6573" priority="2681" stopIfTrue="1" operator="equal">
      <formula>"Towel"</formula>
    </cfRule>
    <cfRule type="cellIs" dxfId="6572" priority="2682" stopIfTrue="1" operator="equal">
      <formula>"Napkin Hs"</formula>
    </cfRule>
  </conditionalFormatting>
  <conditionalFormatting sqref="C120">
    <cfRule type="cellIs" dxfId="6571" priority="2677" stopIfTrue="1" operator="equal">
      <formula>"Towel"</formula>
    </cfRule>
    <cfRule type="cellIs" dxfId="6570" priority="2678" stopIfTrue="1" operator="equal">
      <formula>"Napkin Hs"</formula>
    </cfRule>
  </conditionalFormatting>
  <conditionalFormatting sqref="C120">
    <cfRule type="cellIs" dxfId="6569" priority="2679" stopIfTrue="1" operator="equal">
      <formula>"Towel"</formula>
    </cfRule>
    <cfRule type="cellIs" dxfId="6568" priority="2680" stopIfTrue="1" operator="equal">
      <formula>"Napkin Hs"</formula>
    </cfRule>
  </conditionalFormatting>
  <conditionalFormatting sqref="B120:C120">
    <cfRule type="cellIs" dxfId="6567" priority="2676" stopIfTrue="1" operator="equal">
      <formula>"Napkin Hs"</formula>
    </cfRule>
  </conditionalFormatting>
  <conditionalFormatting sqref="B120:C120">
    <cfRule type="cellIs" dxfId="6566" priority="2675" stopIfTrue="1" operator="equal">
      <formula>"Towel"</formula>
    </cfRule>
  </conditionalFormatting>
  <conditionalFormatting sqref="C120">
    <cfRule type="cellIs" dxfId="6565" priority="2674" stopIfTrue="1" operator="equal">
      <formula>"Napkin Hs"</formula>
    </cfRule>
  </conditionalFormatting>
  <conditionalFormatting sqref="C120">
    <cfRule type="cellIs" dxfId="6564" priority="2673" stopIfTrue="1" operator="equal">
      <formula>"Towel"</formula>
    </cfRule>
  </conditionalFormatting>
  <conditionalFormatting sqref="C120">
    <cfRule type="cellIs" dxfId="6563" priority="2671" stopIfTrue="1" operator="equal">
      <formula>"Towel"</formula>
    </cfRule>
    <cfRule type="cellIs" dxfId="6562" priority="2672" stopIfTrue="1" operator="equal">
      <formula>"Napkin Hs"</formula>
    </cfRule>
  </conditionalFormatting>
  <conditionalFormatting sqref="B120:C120">
    <cfRule type="cellIs" dxfId="6561" priority="2669" stopIfTrue="1" operator="equal">
      <formula>"Towel"</formula>
    </cfRule>
    <cfRule type="cellIs" dxfId="6560" priority="2670" stopIfTrue="1" operator="equal">
      <formula>"Napkin Hs"</formula>
    </cfRule>
  </conditionalFormatting>
  <conditionalFormatting sqref="C120">
    <cfRule type="cellIs" dxfId="6559" priority="2667" stopIfTrue="1" operator="equal">
      <formula>"Towel"</formula>
    </cfRule>
    <cfRule type="cellIs" dxfId="6558" priority="2668" stopIfTrue="1" operator="equal">
      <formula>"Napkin Hs"</formula>
    </cfRule>
  </conditionalFormatting>
  <conditionalFormatting sqref="C120">
    <cfRule type="cellIs" dxfId="6557" priority="2665" stopIfTrue="1" operator="equal">
      <formula>"Towel"</formula>
    </cfRule>
    <cfRule type="cellIs" dxfId="6556" priority="2666" stopIfTrue="1" operator="equal">
      <formula>"Napkin Hs"</formula>
    </cfRule>
  </conditionalFormatting>
  <conditionalFormatting sqref="B120:C120">
    <cfRule type="cellIs" dxfId="6555" priority="2663" stopIfTrue="1" operator="equal">
      <formula>"Towel"</formula>
    </cfRule>
    <cfRule type="cellIs" dxfId="6554" priority="2664" stopIfTrue="1" operator="equal">
      <formula>"Napkin Hs"</formula>
    </cfRule>
  </conditionalFormatting>
  <conditionalFormatting sqref="C120">
    <cfRule type="cellIs" dxfId="6553" priority="2661" stopIfTrue="1" operator="equal">
      <formula>"Towel"</formula>
    </cfRule>
    <cfRule type="cellIs" dxfId="6552" priority="2662" stopIfTrue="1" operator="equal">
      <formula>"Napkin Hs"</formula>
    </cfRule>
  </conditionalFormatting>
  <conditionalFormatting sqref="C120">
    <cfRule type="cellIs" dxfId="6551" priority="2659" stopIfTrue="1" operator="equal">
      <formula>"Towel"</formula>
    </cfRule>
    <cfRule type="cellIs" dxfId="6550" priority="2660" stopIfTrue="1" operator="equal">
      <formula>"Napkin Hs"</formula>
    </cfRule>
  </conditionalFormatting>
  <conditionalFormatting sqref="B120:C120">
    <cfRule type="cellIs" dxfId="6549" priority="2657" stopIfTrue="1" operator="equal">
      <formula>"Towel"</formula>
    </cfRule>
    <cfRule type="cellIs" dxfId="6548" priority="2658" stopIfTrue="1" operator="equal">
      <formula>"Napkin Hs"</formula>
    </cfRule>
  </conditionalFormatting>
  <conditionalFormatting sqref="C120">
    <cfRule type="cellIs" dxfId="6547" priority="2655" stopIfTrue="1" operator="equal">
      <formula>"Towel"</formula>
    </cfRule>
    <cfRule type="cellIs" dxfId="6546" priority="2656" stopIfTrue="1" operator="equal">
      <formula>"Napkin Hs"</formula>
    </cfRule>
  </conditionalFormatting>
  <conditionalFormatting sqref="C120">
    <cfRule type="cellIs" dxfId="6545" priority="2653" stopIfTrue="1" operator="equal">
      <formula>"Towel"</formula>
    </cfRule>
    <cfRule type="cellIs" dxfId="6544" priority="2654" stopIfTrue="1" operator="equal">
      <formula>"Napkin Hs"</formula>
    </cfRule>
  </conditionalFormatting>
  <conditionalFormatting sqref="B120:C120">
    <cfRule type="cellIs" dxfId="6543" priority="2651" stopIfTrue="1" operator="equal">
      <formula>"Towel"</formula>
    </cfRule>
    <cfRule type="cellIs" dxfId="6542" priority="2652" stopIfTrue="1" operator="equal">
      <formula>"Napkin Hs"</formula>
    </cfRule>
  </conditionalFormatting>
  <conditionalFormatting sqref="C120">
    <cfRule type="cellIs" dxfId="6541" priority="2649" stopIfTrue="1" operator="equal">
      <formula>"Towel"</formula>
    </cfRule>
    <cfRule type="cellIs" dxfId="6540" priority="2650" stopIfTrue="1" operator="equal">
      <formula>"Napkin Hs"</formula>
    </cfRule>
  </conditionalFormatting>
  <conditionalFormatting sqref="C120">
    <cfRule type="cellIs" dxfId="6539" priority="2647" stopIfTrue="1" operator="equal">
      <formula>"Towel"</formula>
    </cfRule>
    <cfRule type="cellIs" dxfId="6538" priority="2648" stopIfTrue="1" operator="equal">
      <formula>"Napkin Hs"</formula>
    </cfRule>
  </conditionalFormatting>
  <conditionalFormatting sqref="B120:C120">
    <cfRule type="cellIs" dxfId="6537" priority="2645" stopIfTrue="1" operator="equal">
      <formula>"Towel"</formula>
    </cfRule>
    <cfRule type="cellIs" dxfId="6536" priority="2646" stopIfTrue="1" operator="equal">
      <formula>"Napkin Hs"</formula>
    </cfRule>
  </conditionalFormatting>
  <conditionalFormatting sqref="C120">
    <cfRule type="cellIs" dxfId="6535" priority="2643" stopIfTrue="1" operator="equal">
      <formula>"Towel"</formula>
    </cfRule>
    <cfRule type="cellIs" dxfId="6534" priority="2644" stopIfTrue="1" operator="equal">
      <formula>"Napkin Hs"</formula>
    </cfRule>
  </conditionalFormatting>
  <conditionalFormatting sqref="C120">
    <cfRule type="cellIs" dxfId="6533" priority="2641" stopIfTrue="1" operator="equal">
      <formula>"Towel"</formula>
    </cfRule>
    <cfRule type="cellIs" dxfId="6532" priority="2642" stopIfTrue="1" operator="equal">
      <formula>"Napkin Hs"</formula>
    </cfRule>
  </conditionalFormatting>
  <conditionalFormatting sqref="B120:C120">
    <cfRule type="cellIs" dxfId="6531" priority="2640" stopIfTrue="1" operator="equal">
      <formula>"Napkin Hs"</formula>
    </cfRule>
  </conditionalFormatting>
  <conditionalFormatting sqref="B120:C120">
    <cfRule type="cellIs" dxfId="6530" priority="2639" stopIfTrue="1" operator="equal">
      <formula>"Towel"</formula>
    </cfRule>
  </conditionalFormatting>
  <conditionalFormatting sqref="C120">
    <cfRule type="cellIs" dxfId="6529" priority="2638" stopIfTrue="1" operator="equal">
      <formula>"Napkin Hs"</formula>
    </cfRule>
  </conditionalFormatting>
  <conditionalFormatting sqref="C120">
    <cfRule type="cellIs" dxfId="6528" priority="2635" stopIfTrue="1" operator="equal">
      <formula>"Towel"</formula>
    </cfRule>
    <cfRule type="cellIs" dxfId="6527" priority="2636" stopIfTrue="1" operator="equal">
      <formula>"Napkin Hs"</formula>
    </cfRule>
  </conditionalFormatting>
  <conditionalFormatting sqref="C120">
    <cfRule type="cellIs" dxfId="6526" priority="2637" stopIfTrue="1" operator="equal">
      <formula>"Towel"</formula>
    </cfRule>
  </conditionalFormatting>
  <conditionalFormatting sqref="B120:C120">
    <cfRule type="cellIs" dxfId="6525" priority="2634" stopIfTrue="1" operator="equal">
      <formula>"Napkin Hs"</formula>
    </cfRule>
  </conditionalFormatting>
  <conditionalFormatting sqref="B120:C120">
    <cfRule type="cellIs" dxfId="6524" priority="2633" stopIfTrue="1" operator="equal">
      <formula>"Towel"</formula>
    </cfRule>
  </conditionalFormatting>
  <conditionalFormatting sqref="C120">
    <cfRule type="cellIs" dxfId="6523" priority="2632" stopIfTrue="1" operator="equal">
      <formula>"Napkin Hs"</formula>
    </cfRule>
  </conditionalFormatting>
  <conditionalFormatting sqref="C120">
    <cfRule type="cellIs" dxfId="6522" priority="2629" stopIfTrue="1" operator="equal">
      <formula>"Towel"</formula>
    </cfRule>
    <cfRule type="cellIs" dxfId="6521" priority="2630" stopIfTrue="1" operator="equal">
      <formula>"Napkin Hs"</formula>
    </cfRule>
  </conditionalFormatting>
  <conditionalFormatting sqref="C120">
    <cfRule type="cellIs" dxfId="6520" priority="2631" stopIfTrue="1" operator="equal">
      <formula>"Towel"</formula>
    </cfRule>
  </conditionalFormatting>
  <conditionalFormatting sqref="B120:C120">
    <cfRule type="cellIs" dxfId="6519" priority="2628" stopIfTrue="1" operator="equal">
      <formula>"Napkin Hs"</formula>
    </cfRule>
  </conditionalFormatting>
  <conditionalFormatting sqref="B120:C120">
    <cfRule type="cellIs" dxfId="6518" priority="2627" stopIfTrue="1" operator="equal">
      <formula>"Towel"</formula>
    </cfRule>
  </conditionalFormatting>
  <conditionalFormatting sqref="C120">
    <cfRule type="cellIs" dxfId="6517" priority="2626" stopIfTrue="1" operator="equal">
      <formula>"Napkin Hs"</formula>
    </cfRule>
  </conditionalFormatting>
  <conditionalFormatting sqref="C120">
    <cfRule type="cellIs" dxfId="6516" priority="2623" stopIfTrue="1" operator="equal">
      <formula>"Towel"</formula>
    </cfRule>
    <cfRule type="cellIs" dxfId="6515" priority="2624" stopIfTrue="1" operator="equal">
      <formula>"Napkin Hs"</formula>
    </cfRule>
  </conditionalFormatting>
  <conditionalFormatting sqref="C120">
    <cfRule type="cellIs" dxfId="6514" priority="2625" stopIfTrue="1" operator="equal">
      <formula>"Towel"</formula>
    </cfRule>
  </conditionalFormatting>
  <conditionalFormatting sqref="B121:C121">
    <cfRule type="cellIs" dxfId="6513" priority="2621" stopIfTrue="1" operator="equal">
      <formula>"Towel"</formula>
    </cfRule>
    <cfRule type="cellIs" dxfId="6512" priority="2622" stopIfTrue="1" operator="equal">
      <formula>"Napkin Hs"</formula>
    </cfRule>
  </conditionalFormatting>
  <conditionalFormatting sqref="C121">
    <cfRule type="cellIs" dxfId="6511" priority="2619" stopIfTrue="1" operator="equal">
      <formula>"Towel"</formula>
    </cfRule>
    <cfRule type="cellIs" dxfId="6510" priority="2620" stopIfTrue="1" operator="equal">
      <formula>"Napkin Hs"</formula>
    </cfRule>
  </conditionalFormatting>
  <conditionalFormatting sqref="C121">
    <cfRule type="cellIs" dxfId="6509" priority="2617" stopIfTrue="1" operator="equal">
      <formula>"Towel"</formula>
    </cfRule>
    <cfRule type="cellIs" dxfId="6508" priority="2618" stopIfTrue="1" operator="equal">
      <formula>"Napkin Hs"</formula>
    </cfRule>
  </conditionalFormatting>
  <conditionalFormatting sqref="B121:C121">
    <cfRule type="cellIs" dxfId="6507" priority="2616" stopIfTrue="1" operator="equal">
      <formula>"Napkin Hs"</formula>
    </cfRule>
  </conditionalFormatting>
  <conditionalFormatting sqref="B121:C121">
    <cfRule type="cellIs" dxfId="6506" priority="2615" stopIfTrue="1" operator="equal">
      <formula>"Towel"</formula>
    </cfRule>
  </conditionalFormatting>
  <conditionalFormatting sqref="C121">
    <cfRule type="cellIs" dxfId="6505" priority="2614" stopIfTrue="1" operator="equal">
      <formula>"Napkin Hs"</formula>
    </cfRule>
  </conditionalFormatting>
  <conditionalFormatting sqref="C121">
    <cfRule type="cellIs" dxfId="6504" priority="2613" stopIfTrue="1" operator="equal">
      <formula>"Towel"</formula>
    </cfRule>
  </conditionalFormatting>
  <conditionalFormatting sqref="C121">
    <cfRule type="cellIs" dxfId="6503" priority="2611" stopIfTrue="1" operator="equal">
      <formula>"Towel"</formula>
    </cfRule>
    <cfRule type="cellIs" dxfId="6502" priority="2612" stopIfTrue="1" operator="equal">
      <formula>"Napkin Hs"</formula>
    </cfRule>
  </conditionalFormatting>
  <conditionalFormatting sqref="B121:C121">
    <cfRule type="cellIs" dxfId="6501" priority="2609" stopIfTrue="1" operator="equal">
      <formula>"Towel"</formula>
    </cfRule>
    <cfRule type="cellIs" dxfId="6500" priority="2610" stopIfTrue="1" operator="equal">
      <formula>"Napkin Hs"</formula>
    </cfRule>
  </conditionalFormatting>
  <conditionalFormatting sqref="C121">
    <cfRule type="cellIs" dxfId="6499" priority="2605" stopIfTrue="1" operator="equal">
      <formula>"Towel"</formula>
    </cfRule>
    <cfRule type="cellIs" dxfId="6498" priority="2606" stopIfTrue="1" operator="equal">
      <formula>"Napkin Hs"</formula>
    </cfRule>
  </conditionalFormatting>
  <conditionalFormatting sqref="C121">
    <cfRule type="cellIs" dxfId="6497" priority="2607" stopIfTrue="1" operator="equal">
      <formula>"Towel"</formula>
    </cfRule>
    <cfRule type="cellIs" dxfId="6496" priority="2608" stopIfTrue="1" operator="equal">
      <formula>"Napkin Hs"</formula>
    </cfRule>
  </conditionalFormatting>
  <conditionalFormatting sqref="B121:C121">
    <cfRule type="cellIs" dxfId="6495" priority="2604" stopIfTrue="1" operator="equal">
      <formula>"Napkin Hs"</formula>
    </cfRule>
  </conditionalFormatting>
  <conditionalFormatting sqref="B121:C121">
    <cfRule type="cellIs" dxfId="6494" priority="2603" stopIfTrue="1" operator="equal">
      <formula>"Towel"</formula>
    </cfRule>
  </conditionalFormatting>
  <conditionalFormatting sqref="C121">
    <cfRule type="cellIs" dxfId="6493" priority="2602" stopIfTrue="1" operator="equal">
      <formula>"Napkin Hs"</formula>
    </cfRule>
  </conditionalFormatting>
  <conditionalFormatting sqref="C121">
    <cfRule type="cellIs" dxfId="6492" priority="2601" stopIfTrue="1" operator="equal">
      <formula>"Towel"</formula>
    </cfRule>
  </conditionalFormatting>
  <conditionalFormatting sqref="C121">
    <cfRule type="cellIs" dxfId="6491" priority="2599" stopIfTrue="1" operator="equal">
      <formula>"Towel"</formula>
    </cfRule>
    <cfRule type="cellIs" dxfId="6490" priority="2600" stopIfTrue="1" operator="equal">
      <formula>"Napkin Hs"</formula>
    </cfRule>
  </conditionalFormatting>
  <conditionalFormatting sqref="B121:C121">
    <cfRule type="cellIs" dxfId="6489" priority="2597" stopIfTrue="1" operator="equal">
      <formula>"Towel"</formula>
    </cfRule>
    <cfRule type="cellIs" dxfId="6488" priority="2598" stopIfTrue="1" operator="equal">
      <formula>"Napkin Hs"</formula>
    </cfRule>
  </conditionalFormatting>
  <conditionalFormatting sqref="C121">
    <cfRule type="cellIs" dxfId="6487" priority="2595" stopIfTrue="1" operator="equal">
      <formula>"Towel"</formula>
    </cfRule>
    <cfRule type="cellIs" dxfId="6486" priority="2596" stopIfTrue="1" operator="equal">
      <formula>"Napkin Hs"</formula>
    </cfRule>
  </conditionalFormatting>
  <conditionalFormatting sqref="C121">
    <cfRule type="cellIs" dxfId="6485" priority="2593" stopIfTrue="1" operator="equal">
      <formula>"Towel"</formula>
    </cfRule>
    <cfRule type="cellIs" dxfId="6484" priority="2594" stopIfTrue="1" operator="equal">
      <formula>"Napkin Hs"</formula>
    </cfRule>
  </conditionalFormatting>
  <conditionalFormatting sqref="B121:C121">
    <cfRule type="cellIs" dxfId="6483" priority="2591" stopIfTrue="1" operator="equal">
      <formula>"Towel"</formula>
    </cfRule>
    <cfRule type="cellIs" dxfId="6482" priority="2592" stopIfTrue="1" operator="equal">
      <formula>"Napkin Hs"</formula>
    </cfRule>
  </conditionalFormatting>
  <conditionalFormatting sqref="C121">
    <cfRule type="cellIs" dxfId="6481" priority="2589" stopIfTrue="1" operator="equal">
      <formula>"Towel"</formula>
    </cfRule>
    <cfRule type="cellIs" dxfId="6480" priority="2590" stopIfTrue="1" operator="equal">
      <formula>"Napkin Hs"</formula>
    </cfRule>
  </conditionalFormatting>
  <conditionalFormatting sqref="C121">
    <cfRule type="cellIs" dxfId="6479" priority="2587" stopIfTrue="1" operator="equal">
      <formula>"Towel"</formula>
    </cfRule>
    <cfRule type="cellIs" dxfId="6478" priority="2588" stopIfTrue="1" operator="equal">
      <formula>"Napkin Hs"</formula>
    </cfRule>
  </conditionalFormatting>
  <conditionalFormatting sqref="B121:C121">
    <cfRule type="cellIs" dxfId="6477" priority="2585" stopIfTrue="1" operator="equal">
      <formula>"Towel"</formula>
    </cfRule>
    <cfRule type="cellIs" dxfId="6476" priority="2586" stopIfTrue="1" operator="equal">
      <formula>"Napkin Hs"</formula>
    </cfRule>
  </conditionalFormatting>
  <conditionalFormatting sqref="C121">
    <cfRule type="cellIs" dxfId="6475" priority="2583" stopIfTrue="1" operator="equal">
      <formula>"Towel"</formula>
    </cfRule>
    <cfRule type="cellIs" dxfId="6474" priority="2584" stopIfTrue="1" operator="equal">
      <formula>"Napkin Hs"</formula>
    </cfRule>
  </conditionalFormatting>
  <conditionalFormatting sqref="C121">
    <cfRule type="cellIs" dxfId="6473" priority="2581" stopIfTrue="1" operator="equal">
      <formula>"Towel"</formula>
    </cfRule>
    <cfRule type="cellIs" dxfId="6472" priority="2582" stopIfTrue="1" operator="equal">
      <formula>"Napkin Hs"</formula>
    </cfRule>
  </conditionalFormatting>
  <conditionalFormatting sqref="B121:C121">
    <cfRule type="cellIs" dxfId="6471" priority="2579" stopIfTrue="1" operator="equal">
      <formula>"Towel"</formula>
    </cfRule>
    <cfRule type="cellIs" dxfId="6470" priority="2580" stopIfTrue="1" operator="equal">
      <formula>"Napkin Hs"</formula>
    </cfRule>
  </conditionalFormatting>
  <conditionalFormatting sqref="C121">
    <cfRule type="cellIs" dxfId="6469" priority="2577" stopIfTrue="1" operator="equal">
      <formula>"Towel"</formula>
    </cfRule>
    <cfRule type="cellIs" dxfId="6468" priority="2578" stopIfTrue="1" operator="equal">
      <formula>"Napkin Hs"</formula>
    </cfRule>
  </conditionalFormatting>
  <conditionalFormatting sqref="C121">
    <cfRule type="cellIs" dxfId="6467" priority="2575" stopIfTrue="1" operator="equal">
      <formula>"Towel"</formula>
    </cfRule>
    <cfRule type="cellIs" dxfId="6466" priority="2576" stopIfTrue="1" operator="equal">
      <formula>"Napkin Hs"</formula>
    </cfRule>
  </conditionalFormatting>
  <conditionalFormatting sqref="B121:C121">
    <cfRule type="cellIs" dxfId="6465" priority="2573" stopIfTrue="1" operator="equal">
      <formula>"Towel"</formula>
    </cfRule>
    <cfRule type="cellIs" dxfId="6464" priority="2574" stopIfTrue="1" operator="equal">
      <formula>"Napkin Hs"</formula>
    </cfRule>
  </conditionalFormatting>
  <conditionalFormatting sqref="C121">
    <cfRule type="cellIs" dxfId="6463" priority="2571" stopIfTrue="1" operator="equal">
      <formula>"Towel"</formula>
    </cfRule>
    <cfRule type="cellIs" dxfId="6462" priority="2572" stopIfTrue="1" operator="equal">
      <formula>"Napkin Hs"</formula>
    </cfRule>
  </conditionalFormatting>
  <conditionalFormatting sqref="C121">
    <cfRule type="cellIs" dxfId="6461" priority="2569" stopIfTrue="1" operator="equal">
      <formula>"Towel"</formula>
    </cfRule>
    <cfRule type="cellIs" dxfId="6460" priority="2570" stopIfTrue="1" operator="equal">
      <formula>"Napkin Hs"</formula>
    </cfRule>
  </conditionalFormatting>
  <conditionalFormatting sqref="B121:C121">
    <cfRule type="cellIs" dxfId="6459" priority="2568" stopIfTrue="1" operator="equal">
      <formula>"Napkin Hs"</formula>
    </cfRule>
  </conditionalFormatting>
  <conditionalFormatting sqref="B121:C121">
    <cfRule type="cellIs" dxfId="6458" priority="2567" stopIfTrue="1" operator="equal">
      <formula>"Towel"</formula>
    </cfRule>
  </conditionalFormatting>
  <conditionalFormatting sqref="C121">
    <cfRule type="cellIs" dxfId="6457" priority="2566" stopIfTrue="1" operator="equal">
      <formula>"Napkin Hs"</formula>
    </cfRule>
  </conditionalFormatting>
  <conditionalFormatting sqref="C121">
    <cfRule type="cellIs" dxfId="6456" priority="2563" stopIfTrue="1" operator="equal">
      <formula>"Towel"</formula>
    </cfRule>
    <cfRule type="cellIs" dxfId="6455" priority="2564" stopIfTrue="1" operator="equal">
      <formula>"Napkin Hs"</formula>
    </cfRule>
  </conditionalFormatting>
  <conditionalFormatting sqref="C121">
    <cfRule type="cellIs" dxfId="6454" priority="2565" stopIfTrue="1" operator="equal">
      <formula>"Towel"</formula>
    </cfRule>
  </conditionalFormatting>
  <conditionalFormatting sqref="B121:C121">
    <cfRule type="cellIs" dxfId="6453" priority="2562" stopIfTrue="1" operator="equal">
      <formula>"Napkin Hs"</formula>
    </cfRule>
  </conditionalFormatting>
  <conditionalFormatting sqref="B121:C121">
    <cfRule type="cellIs" dxfId="6452" priority="2561" stopIfTrue="1" operator="equal">
      <formula>"Towel"</formula>
    </cfRule>
  </conditionalFormatting>
  <conditionalFormatting sqref="C121">
    <cfRule type="cellIs" dxfId="6451" priority="2560" stopIfTrue="1" operator="equal">
      <formula>"Napkin Hs"</formula>
    </cfRule>
  </conditionalFormatting>
  <conditionalFormatting sqref="C121">
    <cfRule type="cellIs" dxfId="6450" priority="2559" stopIfTrue="1" operator="equal">
      <formula>"Towel"</formula>
    </cfRule>
  </conditionalFormatting>
  <conditionalFormatting sqref="C121">
    <cfRule type="cellIs" dxfId="6449" priority="2557" stopIfTrue="1" operator="equal">
      <formula>"Towel"</formula>
    </cfRule>
    <cfRule type="cellIs" dxfId="6448" priority="2558" stopIfTrue="1" operator="equal">
      <formula>"Napkin Hs"</formula>
    </cfRule>
  </conditionalFormatting>
  <conditionalFormatting sqref="B121:C121">
    <cfRule type="cellIs" dxfId="6447" priority="2555" stopIfTrue="1" operator="equal">
      <formula>"Towel"</formula>
    </cfRule>
    <cfRule type="cellIs" dxfId="6446" priority="2556" stopIfTrue="1" operator="equal">
      <formula>"Napkin Hs"</formula>
    </cfRule>
  </conditionalFormatting>
  <conditionalFormatting sqref="C121">
    <cfRule type="cellIs" dxfId="6445" priority="2551" stopIfTrue="1" operator="equal">
      <formula>"Towel"</formula>
    </cfRule>
    <cfRule type="cellIs" dxfId="6444" priority="2552" stopIfTrue="1" operator="equal">
      <formula>"Napkin Hs"</formula>
    </cfRule>
  </conditionalFormatting>
  <conditionalFormatting sqref="C121">
    <cfRule type="cellIs" dxfId="6443" priority="2553" stopIfTrue="1" operator="equal">
      <formula>"Towel"</formula>
    </cfRule>
    <cfRule type="cellIs" dxfId="6442" priority="2554" stopIfTrue="1" operator="equal">
      <formula>"Napkin Hs"</formula>
    </cfRule>
  </conditionalFormatting>
  <conditionalFormatting sqref="B121:C121">
    <cfRule type="cellIs" dxfId="6441" priority="2550" stopIfTrue="1" operator="equal">
      <formula>"Napkin Hs"</formula>
    </cfRule>
  </conditionalFormatting>
  <conditionalFormatting sqref="B121:C121">
    <cfRule type="cellIs" dxfId="6440" priority="2549" stopIfTrue="1" operator="equal">
      <formula>"Towel"</formula>
    </cfRule>
  </conditionalFormatting>
  <conditionalFormatting sqref="C121">
    <cfRule type="cellIs" dxfId="6439" priority="2548" stopIfTrue="1" operator="equal">
      <formula>"Napkin Hs"</formula>
    </cfRule>
  </conditionalFormatting>
  <conditionalFormatting sqref="C121">
    <cfRule type="cellIs" dxfId="6438" priority="2547" stopIfTrue="1" operator="equal">
      <formula>"Towel"</formula>
    </cfRule>
  </conditionalFormatting>
  <conditionalFormatting sqref="C121">
    <cfRule type="cellIs" dxfId="6437" priority="2545" stopIfTrue="1" operator="equal">
      <formula>"Towel"</formula>
    </cfRule>
    <cfRule type="cellIs" dxfId="6436" priority="2546" stopIfTrue="1" operator="equal">
      <formula>"Napkin Hs"</formula>
    </cfRule>
  </conditionalFormatting>
  <conditionalFormatting sqref="B121:C121">
    <cfRule type="cellIs" dxfId="6435" priority="2543" stopIfTrue="1" operator="equal">
      <formula>"Towel"</formula>
    </cfRule>
    <cfRule type="cellIs" dxfId="6434" priority="2544" stopIfTrue="1" operator="equal">
      <formula>"Napkin Hs"</formula>
    </cfRule>
  </conditionalFormatting>
  <conditionalFormatting sqref="C121">
    <cfRule type="cellIs" dxfId="6433" priority="2541" stopIfTrue="1" operator="equal">
      <formula>"Towel"</formula>
    </cfRule>
    <cfRule type="cellIs" dxfId="6432" priority="2542" stopIfTrue="1" operator="equal">
      <formula>"Napkin Hs"</formula>
    </cfRule>
  </conditionalFormatting>
  <conditionalFormatting sqref="C121">
    <cfRule type="cellIs" dxfId="6431" priority="2539" stopIfTrue="1" operator="equal">
      <formula>"Towel"</formula>
    </cfRule>
    <cfRule type="cellIs" dxfId="6430" priority="2540" stopIfTrue="1" operator="equal">
      <formula>"Napkin Hs"</formula>
    </cfRule>
  </conditionalFormatting>
  <conditionalFormatting sqref="B121:C121">
    <cfRule type="cellIs" dxfId="6429" priority="2537" stopIfTrue="1" operator="equal">
      <formula>"Towel"</formula>
    </cfRule>
    <cfRule type="cellIs" dxfId="6428" priority="2538" stopIfTrue="1" operator="equal">
      <formula>"Napkin Hs"</formula>
    </cfRule>
  </conditionalFormatting>
  <conditionalFormatting sqref="C121">
    <cfRule type="cellIs" dxfId="6427" priority="2535" stopIfTrue="1" operator="equal">
      <formula>"Towel"</formula>
    </cfRule>
    <cfRule type="cellIs" dxfId="6426" priority="2536" stopIfTrue="1" operator="equal">
      <formula>"Napkin Hs"</formula>
    </cfRule>
  </conditionalFormatting>
  <conditionalFormatting sqref="C121">
    <cfRule type="cellIs" dxfId="6425" priority="2533" stopIfTrue="1" operator="equal">
      <formula>"Towel"</formula>
    </cfRule>
    <cfRule type="cellIs" dxfId="6424" priority="2534" stopIfTrue="1" operator="equal">
      <formula>"Napkin Hs"</formula>
    </cfRule>
  </conditionalFormatting>
  <conditionalFormatting sqref="B121:C121">
    <cfRule type="cellIs" dxfId="6423" priority="2531" stopIfTrue="1" operator="equal">
      <formula>"Towel"</formula>
    </cfRule>
    <cfRule type="cellIs" dxfId="6422" priority="2532" stopIfTrue="1" operator="equal">
      <formula>"Napkin Hs"</formula>
    </cfRule>
  </conditionalFormatting>
  <conditionalFormatting sqref="C121">
    <cfRule type="cellIs" dxfId="6421" priority="2529" stopIfTrue="1" operator="equal">
      <formula>"Towel"</formula>
    </cfRule>
    <cfRule type="cellIs" dxfId="6420" priority="2530" stopIfTrue="1" operator="equal">
      <formula>"Napkin Hs"</formula>
    </cfRule>
  </conditionalFormatting>
  <conditionalFormatting sqref="C121">
    <cfRule type="cellIs" dxfId="6419" priority="2527" stopIfTrue="1" operator="equal">
      <formula>"Towel"</formula>
    </cfRule>
    <cfRule type="cellIs" dxfId="6418" priority="2528" stopIfTrue="1" operator="equal">
      <formula>"Napkin Hs"</formula>
    </cfRule>
  </conditionalFormatting>
  <conditionalFormatting sqref="B121:C121">
    <cfRule type="cellIs" dxfId="6417" priority="2525" stopIfTrue="1" operator="equal">
      <formula>"Towel"</formula>
    </cfRule>
    <cfRule type="cellIs" dxfId="6416" priority="2526" stopIfTrue="1" operator="equal">
      <formula>"Napkin Hs"</formula>
    </cfRule>
  </conditionalFormatting>
  <conditionalFormatting sqref="C121">
    <cfRule type="cellIs" dxfId="6415" priority="2523" stopIfTrue="1" operator="equal">
      <formula>"Towel"</formula>
    </cfRule>
    <cfRule type="cellIs" dxfId="6414" priority="2524" stopIfTrue="1" operator="equal">
      <formula>"Napkin Hs"</formula>
    </cfRule>
  </conditionalFormatting>
  <conditionalFormatting sqref="C121">
    <cfRule type="cellIs" dxfId="6413" priority="2521" stopIfTrue="1" operator="equal">
      <formula>"Towel"</formula>
    </cfRule>
    <cfRule type="cellIs" dxfId="6412" priority="2522" stopIfTrue="1" operator="equal">
      <formula>"Napkin Hs"</formula>
    </cfRule>
  </conditionalFormatting>
  <conditionalFormatting sqref="B121:C121">
    <cfRule type="cellIs" dxfId="6411" priority="2519" stopIfTrue="1" operator="equal">
      <formula>"Towel"</formula>
    </cfRule>
    <cfRule type="cellIs" dxfId="6410" priority="2520" stopIfTrue="1" operator="equal">
      <formula>"Napkin Hs"</formula>
    </cfRule>
  </conditionalFormatting>
  <conditionalFormatting sqref="C121">
    <cfRule type="cellIs" dxfId="6409" priority="2517" stopIfTrue="1" operator="equal">
      <formula>"Towel"</formula>
    </cfRule>
    <cfRule type="cellIs" dxfId="6408" priority="2518" stopIfTrue="1" operator="equal">
      <formula>"Napkin Hs"</formula>
    </cfRule>
  </conditionalFormatting>
  <conditionalFormatting sqref="C121">
    <cfRule type="cellIs" dxfId="6407" priority="2515" stopIfTrue="1" operator="equal">
      <formula>"Towel"</formula>
    </cfRule>
    <cfRule type="cellIs" dxfId="6406" priority="2516" stopIfTrue="1" operator="equal">
      <formula>"Napkin Hs"</formula>
    </cfRule>
  </conditionalFormatting>
  <conditionalFormatting sqref="B121:C121">
    <cfRule type="cellIs" dxfId="6405" priority="2514" stopIfTrue="1" operator="equal">
      <formula>"Napkin Hs"</formula>
    </cfRule>
  </conditionalFormatting>
  <conditionalFormatting sqref="B121:C121">
    <cfRule type="cellIs" dxfId="6404" priority="2513" stopIfTrue="1" operator="equal">
      <formula>"Towel"</formula>
    </cfRule>
  </conditionalFormatting>
  <conditionalFormatting sqref="C121">
    <cfRule type="cellIs" dxfId="6403" priority="2512" stopIfTrue="1" operator="equal">
      <formula>"Napkin Hs"</formula>
    </cfRule>
  </conditionalFormatting>
  <conditionalFormatting sqref="C121">
    <cfRule type="cellIs" dxfId="6402" priority="2509" stopIfTrue="1" operator="equal">
      <formula>"Towel"</formula>
    </cfRule>
    <cfRule type="cellIs" dxfId="6401" priority="2510" stopIfTrue="1" operator="equal">
      <formula>"Napkin Hs"</formula>
    </cfRule>
  </conditionalFormatting>
  <conditionalFormatting sqref="C121">
    <cfRule type="cellIs" dxfId="6400" priority="2511" stopIfTrue="1" operator="equal">
      <formula>"Towel"</formula>
    </cfRule>
  </conditionalFormatting>
  <conditionalFormatting sqref="B121:C121">
    <cfRule type="cellIs" dxfId="6399" priority="2508" stopIfTrue="1" operator="equal">
      <formula>"Napkin Hs"</formula>
    </cfRule>
  </conditionalFormatting>
  <conditionalFormatting sqref="B121:C121">
    <cfRule type="cellIs" dxfId="6398" priority="2507" stopIfTrue="1" operator="equal">
      <formula>"Towel"</formula>
    </cfRule>
  </conditionalFormatting>
  <conditionalFormatting sqref="C121">
    <cfRule type="cellIs" dxfId="6397" priority="2506" stopIfTrue="1" operator="equal">
      <formula>"Napkin Hs"</formula>
    </cfRule>
  </conditionalFormatting>
  <conditionalFormatting sqref="C121">
    <cfRule type="cellIs" dxfId="6396" priority="2503" stopIfTrue="1" operator="equal">
      <formula>"Towel"</formula>
    </cfRule>
    <cfRule type="cellIs" dxfId="6395" priority="2504" stopIfTrue="1" operator="equal">
      <formula>"Napkin Hs"</formula>
    </cfRule>
  </conditionalFormatting>
  <conditionalFormatting sqref="C121">
    <cfRule type="cellIs" dxfId="6394" priority="2505" stopIfTrue="1" operator="equal">
      <formula>"Towel"</formula>
    </cfRule>
  </conditionalFormatting>
  <conditionalFormatting sqref="B121:C121">
    <cfRule type="cellIs" dxfId="6393" priority="2502" stopIfTrue="1" operator="equal">
      <formula>"Napkin Hs"</formula>
    </cfRule>
  </conditionalFormatting>
  <conditionalFormatting sqref="B121:C121">
    <cfRule type="cellIs" dxfId="6392" priority="2501" stopIfTrue="1" operator="equal">
      <formula>"Towel"</formula>
    </cfRule>
  </conditionalFormatting>
  <conditionalFormatting sqref="C121">
    <cfRule type="cellIs" dxfId="6391" priority="2500" stopIfTrue="1" operator="equal">
      <formula>"Napkin Hs"</formula>
    </cfRule>
  </conditionalFormatting>
  <conditionalFormatting sqref="C121">
    <cfRule type="cellIs" dxfId="6390" priority="2497" stopIfTrue="1" operator="equal">
      <formula>"Towel"</formula>
    </cfRule>
    <cfRule type="cellIs" dxfId="6389" priority="2498" stopIfTrue="1" operator="equal">
      <formula>"Napkin Hs"</formula>
    </cfRule>
  </conditionalFormatting>
  <conditionalFormatting sqref="C121">
    <cfRule type="cellIs" dxfId="6388" priority="2499" stopIfTrue="1" operator="equal">
      <formula>"Towel"</formula>
    </cfRule>
  </conditionalFormatting>
  <conditionalFormatting sqref="B127:C127">
    <cfRule type="cellIs" dxfId="6387" priority="2496" stopIfTrue="1" operator="equal">
      <formula>"Napkin Hs"</formula>
    </cfRule>
  </conditionalFormatting>
  <conditionalFormatting sqref="B127:C127">
    <cfRule type="cellIs" dxfId="6386" priority="2495" stopIfTrue="1" operator="equal">
      <formula>"Towel"</formula>
    </cfRule>
  </conditionalFormatting>
  <conditionalFormatting sqref="C127">
    <cfRule type="cellIs" dxfId="6385" priority="2494" stopIfTrue="1" operator="equal">
      <formula>"Napkin Hs"</formula>
    </cfRule>
  </conditionalFormatting>
  <conditionalFormatting sqref="C127">
    <cfRule type="cellIs" dxfId="6384" priority="2493" stopIfTrue="1" operator="equal">
      <formula>"Towel"</formula>
    </cfRule>
  </conditionalFormatting>
  <conditionalFormatting sqref="C127">
    <cfRule type="cellIs" dxfId="6383" priority="2491" stopIfTrue="1" operator="equal">
      <formula>"Towel"</formula>
    </cfRule>
    <cfRule type="cellIs" dxfId="6382" priority="2492" stopIfTrue="1" operator="equal">
      <formula>"Napkin Hs"</formula>
    </cfRule>
  </conditionalFormatting>
  <conditionalFormatting sqref="C126">
    <cfRule type="cellIs" dxfId="6381" priority="2490" stopIfTrue="1" operator="equal">
      <formula>"Napkin Hs"</formula>
    </cfRule>
  </conditionalFormatting>
  <conditionalFormatting sqref="C126">
    <cfRule type="cellIs" dxfId="6380" priority="2489" stopIfTrue="1" operator="equal">
      <formula>"Towel"</formula>
    </cfRule>
  </conditionalFormatting>
  <conditionalFormatting sqref="C126">
    <cfRule type="cellIs" dxfId="6379" priority="2488" stopIfTrue="1" operator="equal">
      <formula>"Napkin Hs"</formula>
    </cfRule>
  </conditionalFormatting>
  <conditionalFormatting sqref="C126">
    <cfRule type="cellIs" dxfId="6378" priority="2487" stopIfTrue="1" operator="equal">
      <formula>"Towel"</formula>
    </cfRule>
  </conditionalFormatting>
  <conditionalFormatting sqref="C126">
    <cfRule type="cellIs" dxfId="6377" priority="2485" stopIfTrue="1" operator="equal">
      <formula>"Towel"</formula>
    </cfRule>
    <cfRule type="cellIs" dxfId="6376" priority="2486" stopIfTrue="1" operator="equal">
      <formula>"Napkin Hs"</formula>
    </cfRule>
  </conditionalFormatting>
  <conditionalFormatting sqref="C126">
    <cfRule type="cellIs" dxfId="6375" priority="2484" stopIfTrue="1" operator="equal">
      <formula>"Napkin Hs"</formula>
    </cfRule>
  </conditionalFormatting>
  <conditionalFormatting sqref="C126">
    <cfRule type="cellIs" dxfId="6374" priority="2483" stopIfTrue="1" operator="equal">
      <formula>"Towel"</formula>
    </cfRule>
  </conditionalFormatting>
  <conditionalFormatting sqref="C126">
    <cfRule type="cellIs" dxfId="6373" priority="2482" stopIfTrue="1" operator="equal">
      <formula>"Napkin Hs"</formula>
    </cfRule>
  </conditionalFormatting>
  <conditionalFormatting sqref="C126">
    <cfRule type="cellIs" dxfId="6372" priority="2481" stopIfTrue="1" operator="equal">
      <formula>"Towel"</formula>
    </cfRule>
  </conditionalFormatting>
  <conditionalFormatting sqref="C126">
    <cfRule type="cellIs" dxfId="6371" priority="2479" stopIfTrue="1" operator="equal">
      <formula>"Towel"</formula>
    </cfRule>
    <cfRule type="cellIs" dxfId="6370" priority="2480" stopIfTrue="1" operator="equal">
      <formula>"Napkin Hs"</formula>
    </cfRule>
  </conditionalFormatting>
  <conditionalFormatting sqref="C126">
    <cfRule type="cellIs" dxfId="6369" priority="2477" stopIfTrue="1" operator="equal">
      <formula>"Towel"</formula>
    </cfRule>
    <cfRule type="cellIs" dxfId="6368" priority="2478" stopIfTrue="1" operator="equal">
      <formula>"Napkin Hs"</formula>
    </cfRule>
  </conditionalFormatting>
  <conditionalFormatting sqref="C126">
    <cfRule type="cellIs" dxfId="6367" priority="2473" stopIfTrue="1" operator="equal">
      <formula>"Towel"</formula>
    </cfRule>
    <cfRule type="cellIs" dxfId="6366" priority="2474" stopIfTrue="1" operator="equal">
      <formula>"Napkin Hs"</formula>
    </cfRule>
  </conditionalFormatting>
  <conditionalFormatting sqref="C126">
    <cfRule type="cellIs" dxfId="6365" priority="2475" stopIfTrue="1" operator="equal">
      <formula>"Towel"</formula>
    </cfRule>
    <cfRule type="cellIs" dxfId="6364" priority="2476" stopIfTrue="1" operator="equal">
      <formula>"Napkin Hs"</formula>
    </cfRule>
  </conditionalFormatting>
  <conditionalFormatting sqref="C126">
    <cfRule type="cellIs" dxfId="6363" priority="2472" stopIfTrue="1" operator="equal">
      <formula>"Napkin Hs"</formula>
    </cfRule>
  </conditionalFormatting>
  <conditionalFormatting sqref="C126">
    <cfRule type="cellIs" dxfId="6362" priority="2471" stopIfTrue="1" operator="equal">
      <formula>"Towel"</formula>
    </cfRule>
  </conditionalFormatting>
  <conditionalFormatting sqref="C126">
    <cfRule type="cellIs" dxfId="6361" priority="2470" stopIfTrue="1" operator="equal">
      <formula>"Napkin Hs"</formula>
    </cfRule>
  </conditionalFormatting>
  <conditionalFormatting sqref="C126">
    <cfRule type="cellIs" dxfId="6360" priority="2469" stopIfTrue="1" operator="equal">
      <formula>"Towel"</formula>
    </cfRule>
  </conditionalFormatting>
  <conditionalFormatting sqref="C126">
    <cfRule type="cellIs" dxfId="6359" priority="2467" stopIfTrue="1" operator="equal">
      <formula>"Towel"</formula>
    </cfRule>
    <cfRule type="cellIs" dxfId="6358" priority="2468" stopIfTrue="1" operator="equal">
      <formula>"Napkin Hs"</formula>
    </cfRule>
  </conditionalFormatting>
  <conditionalFormatting sqref="C126">
    <cfRule type="cellIs" dxfId="6357" priority="2465" stopIfTrue="1" operator="equal">
      <formula>"Towel"</formula>
    </cfRule>
    <cfRule type="cellIs" dxfId="6356" priority="2466" stopIfTrue="1" operator="equal">
      <formula>"Napkin Hs"</formula>
    </cfRule>
  </conditionalFormatting>
  <conditionalFormatting sqref="C126">
    <cfRule type="cellIs" dxfId="6355" priority="2463" stopIfTrue="1" operator="equal">
      <formula>"Towel"</formula>
    </cfRule>
    <cfRule type="cellIs" dxfId="6354" priority="2464" stopIfTrue="1" operator="equal">
      <formula>"Napkin Hs"</formula>
    </cfRule>
  </conditionalFormatting>
  <conditionalFormatting sqref="C126">
    <cfRule type="cellIs" dxfId="6353" priority="2461" stopIfTrue="1" operator="equal">
      <formula>"Towel"</formula>
    </cfRule>
    <cfRule type="cellIs" dxfId="6352" priority="2462" stopIfTrue="1" operator="equal">
      <formula>"Napkin Hs"</formula>
    </cfRule>
  </conditionalFormatting>
  <conditionalFormatting sqref="C126">
    <cfRule type="cellIs" dxfId="6351" priority="2459" stopIfTrue="1" operator="equal">
      <formula>"Towel"</formula>
    </cfRule>
    <cfRule type="cellIs" dxfId="6350" priority="2460" stopIfTrue="1" operator="equal">
      <formula>"Napkin Hs"</formula>
    </cfRule>
  </conditionalFormatting>
  <conditionalFormatting sqref="C126">
    <cfRule type="cellIs" dxfId="6349" priority="2457" stopIfTrue="1" operator="equal">
      <formula>"Towel"</formula>
    </cfRule>
    <cfRule type="cellIs" dxfId="6348" priority="2458" stopIfTrue="1" operator="equal">
      <formula>"Napkin Hs"</formula>
    </cfRule>
  </conditionalFormatting>
  <conditionalFormatting sqref="C126">
    <cfRule type="cellIs" dxfId="6347" priority="2455" stopIfTrue="1" operator="equal">
      <formula>"Towel"</formula>
    </cfRule>
    <cfRule type="cellIs" dxfId="6346" priority="2456" stopIfTrue="1" operator="equal">
      <formula>"Napkin Hs"</formula>
    </cfRule>
  </conditionalFormatting>
  <conditionalFormatting sqref="C126">
    <cfRule type="cellIs" dxfId="6345" priority="2453" stopIfTrue="1" operator="equal">
      <formula>"Towel"</formula>
    </cfRule>
    <cfRule type="cellIs" dxfId="6344" priority="2454" stopIfTrue="1" operator="equal">
      <formula>"Napkin Hs"</formula>
    </cfRule>
  </conditionalFormatting>
  <conditionalFormatting sqref="C126">
    <cfRule type="cellIs" dxfId="6343" priority="2451" stopIfTrue="1" operator="equal">
      <formula>"Towel"</formula>
    </cfRule>
    <cfRule type="cellIs" dxfId="6342" priority="2452" stopIfTrue="1" operator="equal">
      <formula>"Napkin Hs"</formula>
    </cfRule>
  </conditionalFormatting>
  <conditionalFormatting sqref="C126">
    <cfRule type="cellIs" dxfId="6341" priority="2449" stopIfTrue="1" operator="equal">
      <formula>"Towel"</formula>
    </cfRule>
    <cfRule type="cellIs" dxfId="6340" priority="2450" stopIfTrue="1" operator="equal">
      <formula>"Napkin Hs"</formula>
    </cfRule>
  </conditionalFormatting>
  <conditionalFormatting sqref="C126">
    <cfRule type="cellIs" dxfId="6339" priority="2447" stopIfTrue="1" operator="equal">
      <formula>"Towel"</formula>
    </cfRule>
    <cfRule type="cellIs" dxfId="6338" priority="2448" stopIfTrue="1" operator="equal">
      <formula>"Napkin Hs"</formula>
    </cfRule>
  </conditionalFormatting>
  <conditionalFormatting sqref="C126">
    <cfRule type="cellIs" dxfId="6337" priority="2445" stopIfTrue="1" operator="equal">
      <formula>"Towel"</formula>
    </cfRule>
    <cfRule type="cellIs" dxfId="6336" priority="2446" stopIfTrue="1" operator="equal">
      <formula>"Napkin Hs"</formula>
    </cfRule>
  </conditionalFormatting>
  <conditionalFormatting sqref="C126">
    <cfRule type="cellIs" dxfId="6335" priority="2443" stopIfTrue="1" operator="equal">
      <formula>"Towel"</formula>
    </cfRule>
    <cfRule type="cellIs" dxfId="6334" priority="2444" stopIfTrue="1" operator="equal">
      <formula>"Napkin Hs"</formula>
    </cfRule>
  </conditionalFormatting>
  <conditionalFormatting sqref="C126">
    <cfRule type="cellIs" dxfId="6333" priority="2441" stopIfTrue="1" operator="equal">
      <formula>"Towel"</formula>
    </cfRule>
    <cfRule type="cellIs" dxfId="6332" priority="2442" stopIfTrue="1" operator="equal">
      <formula>"Napkin Hs"</formula>
    </cfRule>
  </conditionalFormatting>
  <conditionalFormatting sqref="C126">
    <cfRule type="cellIs" dxfId="6331" priority="2439" stopIfTrue="1" operator="equal">
      <formula>"Towel"</formula>
    </cfRule>
    <cfRule type="cellIs" dxfId="6330" priority="2440" stopIfTrue="1" operator="equal">
      <formula>"Napkin Hs"</formula>
    </cfRule>
  </conditionalFormatting>
  <conditionalFormatting sqref="C126">
    <cfRule type="cellIs" dxfId="6329" priority="2437" stopIfTrue="1" operator="equal">
      <formula>"Towel"</formula>
    </cfRule>
    <cfRule type="cellIs" dxfId="6328" priority="2438" stopIfTrue="1" operator="equal">
      <formula>"Napkin Hs"</formula>
    </cfRule>
  </conditionalFormatting>
  <conditionalFormatting sqref="C126">
    <cfRule type="cellIs" dxfId="6327" priority="2436" stopIfTrue="1" operator="equal">
      <formula>"Napkin Hs"</formula>
    </cfRule>
  </conditionalFormatting>
  <conditionalFormatting sqref="C126">
    <cfRule type="cellIs" dxfId="6326" priority="2435" stopIfTrue="1" operator="equal">
      <formula>"Towel"</formula>
    </cfRule>
  </conditionalFormatting>
  <conditionalFormatting sqref="C126">
    <cfRule type="cellIs" dxfId="6325" priority="2434" stopIfTrue="1" operator="equal">
      <formula>"Napkin Hs"</formula>
    </cfRule>
  </conditionalFormatting>
  <conditionalFormatting sqref="C126">
    <cfRule type="cellIs" dxfId="6324" priority="2431" stopIfTrue="1" operator="equal">
      <formula>"Towel"</formula>
    </cfRule>
    <cfRule type="cellIs" dxfId="6323" priority="2432" stopIfTrue="1" operator="equal">
      <formula>"Napkin Hs"</formula>
    </cfRule>
  </conditionalFormatting>
  <conditionalFormatting sqref="C126">
    <cfRule type="cellIs" dxfId="6322" priority="2433" stopIfTrue="1" operator="equal">
      <formula>"Towel"</formula>
    </cfRule>
  </conditionalFormatting>
  <conditionalFormatting sqref="C126">
    <cfRule type="cellIs" dxfId="6321" priority="2430" stopIfTrue="1" operator="equal">
      <formula>"Napkin Hs"</formula>
    </cfRule>
  </conditionalFormatting>
  <conditionalFormatting sqref="C126">
    <cfRule type="cellIs" dxfId="6320" priority="2429" stopIfTrue="1" operator="equal">
      <formula>"Towel"</formula>
    </cfRule>
  </conditionalFormatting>
  <conditionalFormatting sqref="C126">
    <cfRule type="cellIs" dxfId="6319" priority="2428" stopIfTrue="1" operator="equal">
      <formula>"Napkin Hs"</formula>
    </cfRule>
  </conditionalFormatting>
  <conditionalFormatting sqref="C126">
    <cfRule type="cellIs" dxfId="6318" priority="2427" stopIfTrue="1" operator="equal">
      <formula>"Towel"</formula>
    </cfRule>
  </conditionalFormatting>
  <conditionalFormatting sqref="C126">
    <cfRule type="cellIs" dxfId="6317" priority="2425" stopIfTrue="1" operator="equal">
      <formula>"Towel"</formula>
    </cfRule>
    <cfRule type="cellIs" dxfId="6316" priority="2426" stopIfTrue="1" operator="equal">
      <formula>"Napkin Hs"</formula>
    </cfRule>
  </conditionalFormatting>
  <conditionalFormatting sqref="C126">
    <cfRule type="cellIs" dxfId="6315" priority="2423" stopIfTrue="1" operator="equal">
      <formula>"Towel"</formula>
    </cfRule>
    <cfRule type="cellIs" dxfId="6314" priority="2424" stopIfTrue="1" operator="equal">
      <formula>"Napkin Hs"</formula>
    </cfRule>
  </conditionalFormatting>
  <conditionalFormatting sqref="C126">
    <cfRule type="cellIs" dxfId="6313" priority="2419" stopIfTrue="1" operator="equal">
      <formula>"Towel"</formula>
    </cfRule>
    <cfRule type="cellIs" dxfId="6312" priority="2420" stopIfTrue="1" operator="equal">
      <formula>"Napkin Hs"</formula>
    </cfRule>
  </conditionalFormatting>
  <conditionalFormatting sqref="C126">
    <cfRule type="cellIs" dxfId="6311" priority="2421" stopIfTrue="1" operator="equal">
      <formula>"Towel"</formula>
    </cfRule>
    <cfRule type="cellIs" dxfId="6310" priority="2422" stopIfTrue="1" operator="equal">
      <formula>"Napkin Hs"</formula>
    </cfRule>
  </conditionalFormatting>
  <conditionalFormatting sqref="C126">
    <cfRule type="cellIs" dxfId="6309" priority="2418" stopIfTrue="1" operator="equal">
      <formula>"Napkin Hs"</formula>
    </cfRule>
  </conditionalFormatting>
  <conditionalFormatting sqref="C126">
    <cfRule type="cellIs" dxfId="6308" priority="2417" stopIfTrue="1" operator="equal">
      <formula>"Towel"</formula>
    </cfRule>
  </conditionalFormatting>
  <conditionalFormatting sqref="C126">
    <cfRule type="cellIs" dxfId="6307" priority="2416" stopIfTrue="1" operator="equal">
      <formula>"Napkin Hs"</formula>
    </cfRule>
  </conditionalFormatting>
  <conditionalFormatting sqref="C126">
    <cfRule type="cellIs" dxfId="6306" priority="2415" stopIfTrue="1" operator="equal">
      <formula>"Towel"</formula>
    </cfRule>
  </conditionalFormatting>
  <conditionalFormatting sqref="C126">
    <cfRule type="cellIs" dxfId="6305" priority="2413" stopIfTrue="1" operator="equal">
      <formula>"Towel"</formula>
    </cfRule>
    <cfRule type="cellIs" dxfId="6304" priority="2414" stopIfTrue="1" operator="equal">
      <formula>"Napkin Hs"</formula>
    </cfRule>
  </conditionalFormatting>
  <conditionalFormatting sqref="C126">
    <cfRule type="cellIs" dxfId="6303" priority="2411" stopIfTrue="1" operator="equal">
      <formula>"Towel"</formula>
    </cfRule>
    <cfRule type="cellIs" dxfId="6302" priority="2412" stopIfTrue="1" operator="equal">
      <formula>"Napkin Hs"</formula>
    </cfRule>
  </conditionalFormatting>
  <conditionalFormatting sqref="C126">
    <cfRule type="cellIs" dxfId="6301" priority="2409" stopIfTrue="1" operator="equal">
      <formula>"Towel"</formula>
    </cfRule>
    <cfRule type="cellIs" dxfId="6300" priority="2410" stopIfTrue="1" operator="equal">
      <formula>"Napkin Hs"</formula>
    </cfRule>
  </conditionalFormatting>
  <conditionalFormatting sqref="C126">
    <cfRule type="cellIs" dxfId="6299" priority="2407" stopIfTrue="1" operator="equal">
      <formula>"Towel"</formula>
    </cfRule>
    <cfRule type="cellIs" dxfId="6298" priority="2408" stopIfTrue="1" operator="equal">
      <formula>"Napkin Hs"</formula>
    </cfRule>
  </conditionalFormatting>
  <conditionalFormatting sqref="C126">
    <cfRule type="cellIs" dxfId="6297" priority="2405" stopIfTrue="1" operator="equal">
      <formula>"Towel"</formula>
    </cfRule>
    <cfRule type="cellIs" dxfId="6296" priority="2406" stopIfTrue="1" operator="equal">
      <formula>"Napkin Hs"</formula>
    </cfRule>
  </conditionalFormatting>
  <conditionalFormatting sqref="C126">
    <cfRule type="cellIs" dxfId="6295" priority="2403" stopIfTrue="1" operator="equal">
      <formula>"Towel"</formula>
    </cfRule>
    <cfRule type="cellIs" dxfId="6294" priority="2404" stopIfTrue="1" operator="equal">
      <formula>"Napkin Hs"</formula>
    </cfRule>
  </conditionalFormatting>
  <conditionalFormatting sqref="C126">
    <cfRule type="cellIs" dxfId="6293" priority="2401" stopIfTrue="1" operator="equal">
      <formula>"Towel"</formula>
    </cfRule>
    <cfRule type="cellIs" dxfId="6292" priority="2402" stopIfTrue="1" operator="equal">
      <formula>"Napkin Hs"</formula>
    </cfRule>
  </conditionalFormatting>
  <conditionalFormatting sqref="C126">
    <cfRule type="cellIs" dxfId="6291" priority="2399" stopIfTrue="1" operator="equal">
      <formula>"Towel"</formula>
    </cfRule>
    <cfRule type="cellIs" dxfId="6290" priority="2400" stopIfTrue="1" operator="equal">
      <formula>"Napkin Hs"</formula>
    </cfRule>
  </conditionalFormatting>
  <conditionalFormatting sqref="C126">
    <cfRule type="cellIs" dxfId="6289" priority="2397" stopIfTrue="1" operator="equal">
      <formula>"Towel"</formula>
    </cfRule>
    <cfRule type="cellIs" dxfId="6288" priority="2398" stopIfTrue="1" operator="equal">
      <formula>"Napkin Hs"</formula>
    </cfRule>
  </conditionalFormatting>
  <conditionalFormatting sqref="C126">
    <cfRule type="cellIs" dxfId="6287" priority="2395" stopIfTrue="1" operator="equal">
      <formula>"Towel"</formula>
    </cfRule>
    <cfRule type="cellIs" dxfId="6286" priority="2396" stopIfTrue="1" operator="equal">
      <formula>"Napkin Hs"</formula>
    </cfRule>
  </conditionalFormatting>
  <conditionalFormatting sqref="C126">
    <cfRule type="cellIs" dxfId="6285" priority="2393" stopIfTrue="1" operator="equal">
      <formula>"Towel"</formula>
    </cfRule>
    <cfRule type="cellIs" dxfId="6284" priority="2394" stopIfTrue="1" operator="equal">
      <formula>"Napkin Hs"</formula>
    </cfRule>
  </conditionalFormatting>
  <conditionalFormatting sqref="C126">
    <cfRule type="cellIs" dxfId="6283" priority="2391" stopIfTrue="1" operator="equal">
      <formula>"Towel"</formula>
    </cfRule>
    <cfRule type="cellIs" dxfId="6282" priority="2392" stopIfTrue="1" operator="equal">
      <formula>"Napkin Hs"</formula>
    </cfRule>
  </conditionalFormatting>
  <conditionalFormatting sqref="C126">
    <cfRule type="cellIs" dxfId="6281" priority="2389" stopIfTrue="1" operator="equal">
      <formula>"Towel"</formula>
    </cfRule>
    <cfRule type="cellIs" dxfId="6280" priority="2390" stopIfTrue="1" operator="equal">
      <formula>"Napkin Hs"</formula>
    </cfRule>
  </conditionalFormatting>
  <conditionalFormatting sqref="C126">
    <cfRule type="cellIs" dxfId="6279" priority="2387" stopIfTrue="1" operator="equal">
      <formula>"Towel"</formula>
    </cfRule>
    <cfRule type="cellIs" dxfId="6278" priority="2388" stopIfTrue="1" operator="equal">
      <formula>"Napkin Hs"</formula>
    </cfRule>
  </conditionalFormatting>
  <conditionalFormatting sqref="C126">
    <cfRule type="cellIs" dxfId="6277" priority="2385" stopIfTrue="1" operator="equal">
      <formula>"Towel"</formula>
    </cfRule>
    <cfRule type="cellIs" dxfId="6276" priority="2386" stopIfTrue="1" operator="equal">
      <formula>"Napkin Hs"</formula>
    </cfRule>
  </conditionalFormatting>
  <conditionalFormatting sqref="C126">
    <cfRule type="cellIs" dxfId="6275" priority="2383" stopIfTrue="1" operator="equal">
      <formula>"Towel"</formula>
    </cfRule>
    <cfRule type="cellIs" dxfId="6274" priority="2384" stopIfTrue="1" operator="equal">
      <formula>"Napkin Hs"</formula>
    </cfRule>
  </conditionalFormatting>
  <conditionalFormatting sqref="C126">
    <cfRule type="cellIs" dxfId="6273" priority="2382" stopIfTrue="1" operator="equal">
      <formula>"Napkin Hs"</formula>
    </cfRule>
  </conditionalFormatting>
  <conditionalFormatting sqref="C126">
    <cfRule type="cellIs" dxfId="6272" priority="2381" stopIfTrue="1" operator="equal">
      <formula>"Towel"</formula>
    </cfRule>
  </conditionalFormatting>
  <conditionalFormatting sqref="C126">
    <cfRule type="cellIs" dxfId="6271" priority="2380" stopIfTrue="1" operator="equal">
      <formula>"Napkin Hs"</formula>
    </cfRule>
  </conditionalFormatting>
  <conditionalFormatting sqref="C126">
    <cfRule type="cellIs" dxfId="6270" priority="2377" stopIfTrue="1" operator="equal">
      <formula>"Towel"</formula>
    </cfRule>
    <cfRule type="cellIs" dxfId="6269" priority="2378" stopIfTrue="1" operator="equal">
      <formula>"Napkin Hs"</formula>
    </cfRule>
  </conditionalFormatting>
  <conditionalFormatting sqref="C126">
    <cfRule type="cellIs" dxfId="6268" priority="2379" stopIfTrue="1" operator="equal">
      <formula>"Towel"</formula>
    </cfRule>
  </conditionalFormatting>
  <conditionalFormatting sqref="C126">
    <cfRule type="cellIs" dxfId="6267" priority="2376" stopIfTrue="1" operator="equal">
      <formula>"Napkin Hs"</formula>
    </cfRule>
  </conditionalFormatting>
  <conditionalFormatting sqref="C126">
    <cfRule type="cellIs" dxfId="6266" priority="2375" stopIfTrue="1" operator="equal">
      <formula>"Towel"</formula>
    </cfRule>
  </conditionalFormatting>
  <conditionalFormatting sqref="C126">
    <cfRule type="cellIs" dxfId="6265" priority="2374" stopIfTrue="1" operator="equal">
      <formula>"Napkin Hs"</formula>
    </cfRule>
  </conditionalFormatting>
  <conditionalFormatting sqref="C126">
    <cfRule type="cellIs" dxfId="6264" priority="2373" stopIfTrue="1" operator="equal">
      <formula>"Towel"</formula>
    </cfRule>
  </conditionalFormatting>
  <conditionalFormatting sqref="C126">
    <cfRule type="cellIs" dxfId="6263" priority="2371" stopIfTrue="1" operator="equal">
      <formula>"Towel"</formula>
    </cfRule>
    <cfRule type="cellIs" dxfId="6262" priority="2372" stopIfTrue="1" operator="equal">
      <formula>"Napkin Hs"</formula>
    </cfRule>
  </conditionalFormatting>
  <conditionalFormatting sqref="C126">
    <cfRule type="cellIs" dxfId="6261" priority="2369" stopIfTrue="1" operator="equal">
      <formula>"Towel"</formula>
    </cfRule>
    <cfRule type="cellIs" dxfId="6260" priority="2370" stopIfTrue="1" operator="equal">
      <formula>"Napkin Hs"</formula>
    </cfRule>
  </conditionalFormatting>
  <conditionalFormatting sqref="C126">
    <cfRule type="cellIs" dxfId="6259" priority="2365" stopIfTrue="1" operator="equal">
      <formula>"Towel"</formula>
    </cfRule>
    <cfRule type="cellIs" dxfId="6258" priority="2366" stopIfTrue="1" operator="equal">
      <formula>"Napkin Hs"</formula>
    </cfRule>
  </conditionalFormatting>
  <conditionalFormatting sqref="C126">
    <cfRule type="cellIs" dxfId="6257" priority="2367" stopIfTrue="1" operator="equal">
      <formula>"Towel"</formula>
    </cfRule>
    <cfRule type="cellIs" dxfId="6256" priority="2368" stopIfTrue="1" operator="equal">
      <formula>"Napkin Hs"</formula>
    </cfRule>
  </conditionalFormatting>
  <conditionalFormatting sqref="C126">
    <cfRule type="cellIs" dxfId="6255" priority="2364" stopIfTrue="1" operator="equal">
      <formula>"Napkin Hs"</formula>
    </cfRule>
  </conditionalFormatting>
  <conditionalFormatting sqref="C126">
    <cfRule type="cellIs" dxfId="6254" priority="2363" stopIfTrue="1" operator="equal">
      <formula>"Towel"</formula>
    </cfRule>
  </conditionalFormatting>
  <conditionalFormatting sqref="C126">
    <cfRule type="cellIs" dxfId="6253" priority="2362" stopIfTrue="1" operator="equal">
      <formula>"Napkin Hs"</formula>
    </cfRule>
  </conditionalFormatting>
  <conditionalFormatting sqref="C126">
    <cfRule type="cellIs" dxfId="6252" priority="2361" stopIfTrue="1" operator="equal">
      <formula>"Towel"</formula>
    </cfRule>
  </conditionalFormatting>
  <conditionalFormatting sqref="C126">
    <cfRule type="cellIs" dxfId="6251" priority="2359" stopIfTrue="1" operator="equal">
      <formula>"Towel"</formula>
    </cfRule>
    <cfRule type="cellIs" dxfId="6250" priority="2360" stopIfTrue="1" operator="equal">
      <formula>"Napkin Hs"</formula>
    </cfRule>
  </conditionalFormatting>
  <conditionalFormatting sqref="C126">
    <cfRule type="cellIs" dxfId="6249" priority="2357" stopIfTrue="1" operator="equal">
      <formula>"Towel"</formula>
    </cfRule>
    <cfRule type="cellIs" dxfId="6248" priority="2358" stopIfTrue="1" operator="equal">
      <formula>"Napkin Hs"</formula>
    </cfRule>
  </conditionalFormatting>
  <conditionalFormatting sqref="C126">
    <cfRule type="cellIs" dxfId="6247" priority="2355" stopIfTrue="1" operator="equal">
      <formula>"Towel"</formula>
    </cfRule>
    <cfRule type="cellIs" dxfId="6246" priority="2356" stopIfTrue="1" operator="equal">
      <formula>"Napkin Hs"</formula>
    </cfRule>
  </conditionalFormatting>
  <conditionalFormatting sqref="C126">
    <cfRule type="cellIs" dxfId="6245" priority="2353" stopIfTrue="1" operator="equal">
      <formula>"Towel"</formula>
    </cfRule>
    <cfRule type="cellIs" dxfId="6244" priority="2354" stopIfTrue="1" operator="equal">
      <formula>"Napkin Hs"</formula>
    </cfRule>
  </conditionalFormatting>
  <conditionalFormatting sqref="C126">
    <cfRule type="cellIs" dxfId="6243" priority="2351" stopIfTrue="1" operator="equal">
      <formula>"Towel"</formula>
    </cfRule>
    <cfRule type="cellIs" dxfId="6242" priority="2352" stopIfTrue="1" operator="equal">
      <formula>"Napkin Hs"</formula>
    </cfRule>
  </conditionalFormatting>
  <conditionalFormatting sqref="C126">
    <cfRule type="cellIs" dxfId="6241" priority="2349" stopIfTrue="1" operator="equal">
      <formula>"Towel"</formula>
    </cfRule>
    <cfRule type="cellIs" dxfId="6240" priority="2350" stopIfTrue="1" operator="equal">
      <formula>"Napkin Hs"</formula>
    </cfRule>
  </conditionalFormatting>
  <conditionalFormatting sqref="C126">
    <cfRule type="cellIs" dxfId="6239" priority="2347" stopIfTrue="1" operator="equal">
      <formula>"Towel"</formula>
    </cfRule>
    <cfRule type="cellIs" dxfId="6238" priority="2348" stopIfTrue="1" operator="equal">
      <formula>"Napkin Hs"</formula>
    </cfRule>
  </conditionalFormatting>
  <conditionalFormatting sqref="C126">
    <cfRule type="cellIs" dxfId="6237" priority="2345" stopIfTrue="1" operator="equal">
      <formula>"Towel"</formula>
    </cfRule>
    <cfRule type="cellIs" dxfId="6236" priority="2346" stopIfTrue="1" operator="equal">
      <formula>"Napkin Hs"</formula>
    </cfRule>
  </conditionalFormatting>
  <conditionalFormatting sqref="C126">
    <cfRule type="cellIs" dxfId="6235" priority="2343" stopIfTrue="1" operator="equal">
      <formula>"Towel"</formula>
    </cfRule>
    <cfRule type="cellIs" dxfId="6234" priority="2344" stopIfTrue="1" operator="equal">
      <formula>"Napkin Hs"</formula>
    </cfRule>
  </conditionalFormatting>
  <conditionalFormatting sqref="C126">
    <cfRule type="cellIs" dxfId="6233" priority="2341" stopIfTrue="1" operator="equal">
      <formula>"Towel"</formula>
    </cfRule>
    <cfRule type="cellIs" dxfId="6232" priority="2342" stopIfTrue="1" operator="equal">
      <formula>"Napkin Hs"</formula>
    </cfRule>
  </conditionalFormatting>
  <conditionalFormatting sqref="C126">
    <cfRule type="cellIs" dxfId="6231" priority="2339" stopIfTrue="1" operator="equal">
      <formula>"Towel"</formula>
    </cfRule>
    <cfRule type="cellIs" dxfId="6230" priority="2340" stopIfTrue="1" operator="equal">
      <formula>"Napkin Hs"</formula>
    </cfRule>
  </conditionalFormatting>
  <conditionalFormatting sqref="C126">
    <cfRule type="cellIs" dxfId="6229" priority="2337" stopIfTrue="1" operator="equal">
      <formula>"Towel"</formula>
    </cfRule>
    <cfRule type="cellIs" dxfId="6228" priority="2338" stopIfTrue="1" operator="equal">
      <formula>"Napkin Hs"</formula>
    </cfRule>
  </conditionalFormatting>
  <conditionalFormatting sqref="C126">
    <cfRule type="cellIs" dxfId="6227" priority="2335" stopIfTrue="1" operator="equal">
      <formula>"Towel"</formula>
    </cfRule>
    <cfRule type="cellIs" dxfId="6226" priority="2336" stopIfTrue="1" operator="equal">
      <formula>"Napkin Hs"</formula>
    </cfRule>
  </conditionalFormatting>
  <conditionalFormatting sqref="C126">
    <cfRule type="cellIs" dxfId="6225" priority="2333" stopIfTrue="1" operator="equal">
      <formula>"Towel"</formula>
    </cfRule>
    <cfRule type="cellIs" dxfId="6224" priority="2334" stopIfTrue="1" operator="equal">
      <formula>"Napkin Hs"</formula>
    </cfRule>
  </conditionalFormatting>
  <conditionalFormatting sqref="C126">
    <cfRule type="cellIs" dxfId="6223" priority="2331" stopIfTrue="1" operator="equal">
      <formula>"Towel"</formula>
    </cfRule>
    <cfRule type="cellIs" dxfId="6222" priority="2332" stopIfTrue="1" operator="equal">
      <formula>"Napkin Hs"</formula>
    </cfRule>
  </conditionalFormatting>
  <conditionalFormatting sqref="C126">
    <cfRule type="cellIs" dxfId="6221" priority="2329" stopIfTrue="1" operator="equal">
      <formula>"Towel"</formula>
    </cfRule>
    <cfRule type="cellIs" dxfId="6220" priority="2330" stopIfTrue="1" operator="equal">
      <formula>"Napkin Hs"</formula>
    </cfRule>
  </conditionalFormatting>
  <conditionalFormatting sqref="C126">
    <cfRule type="cellIs" dxfId="6219" priority="2328" stopIfTrue="1" operator="equal">
      <formula>"Napkin Hs"</formula>
    </cfRule>
  </conditionalFormatting>
  <conditionalFormatting sqref="C126">
    <cfRule type="cellIs" dxfId="6218" priority="2327" stopIfTrue="1" operator="equal">
      <formula>"Towel"</formula>
    </cfRule>
  </conditionalFormatting>
  <conditionalFormatting sqref="C126">
    <cfRule type="cellIs" dxfId="6217" priority="2326" stopIfTrue="1" operator="equal">
      <formula>"Napkin Hs"</formula>
    </cfRule>
  </conditionalFormatting>
  <conditionalFormatting sqref="C126">
    <cfRule type="cellIs" dxfId="6216" priority="2323" stopIfTrue="1" operator="equal">
      <formula>"Towel"</formula>
    </cfRule>
    <cfRule type="cellIs" dxfId="6215" priority="2324" stopIfTrue="1" operator="equal">
      <formula>"Napkin Hs"</formula>
    </cfRule>
  </conditionalFormatting>
  <conditionalFormatting sqref="C126">
    <cfRule type="cellIs" dxfId="6214" priority="2325" stopIfTrue="1" operator="equal">
      <formula>"Towel"</formula>
    </cfRule>
  </conditionalFormatting>
  <conditionalFormatting sqref="C126">
    <cfRule type="cellIs" dxfId="6213" priority="2322" stopIfTrue="1" operator="equal">
      <formula>"Napkin Hs"</formula>
    </cfRule>
  </conditionalFormatting>
  <conditionalFormatting sqref="C126">
    <cfRule type="cellIs" dxfId="6212" priority="2321" stopIfTrue="1" operator="equal">
      <formula>"Towel"</formula>
    </cfRule>
  </conditionalFormatting>
  <conditionalFormatting sqref="C126">
    <cfRule type="cellIs" dxfId="6211" priority="2320" stopIfTrue="1" operator="equal">
      <formula>"Napkin Hs"</formula>
    </cfRule>
  </conditionalFormatting>
  <conditionalFormatting sqref="C126">
    <cfRule type="cellIs" dxfId="6210" priority="2317" stopIfTrue="1" operator="equal">
      <formula>"Towel"</formula>
    </cfRule>
    <cfRule type="cellIs" dxfId="6209" priority="2318" stopIfTrue="1" operator="equal">
      <formula>"Napkin Hs"</formula>
    </cfRule>
  </conditionalFormatting>
  <conditionalFormatting sqref="C126">
    <cfRule type="cellIs" dxfId="6208" priority="2319" stopIfTrue="1" operator="equal">
      <formula>"Towel"</formula>
    </cfRule>
  </conditionalFormatting>
  <conditionalFormatting sqref="C126">
    <cfRule type="cellIs" dxfId="6207" priority="2316" stopIfTrue="1" operator="equal">
      <formula>"Napkin Hs"</formula>
    </cfRule>
  </conditionalFormatting>
  <conditionalFormatting sqref="C126">
    <cfRule type="cellIs" dxfId="6206" priority="2315" stopIfTrue="1" operator="equal">
      <formula>"Towel"</formula>
    </cfRule>
  </conditionalFormatting>
  <conditionalFormatting sqref="C126">
    <cfRule type="cellIs" dxfId="6205" priority="2314" stopIfTrue="1" operator="equal">
      <formula>"Napkin Hs"</formula>
    </cfRule>
  </conditionalFormatting>
  <conditionalFormatting sqref="C126">
    <cfRule type="cellIs" dxfId="6204" priority="2311" stopIfTrue="1" operator="equal">
      <formula>"Towel"</formula>
    </cfRule>
    <cfRule type="cellIs" dxfId="6203" priority="2312" stopIfTrue="1" operator="equal">
      <formula>"Napkin Hs"</formula>
    </cfRule>
  </conditionalFormatting>
  <conditionalFormatting sqref="C126">
    <cfRule type="cellIs" dxfId="6202" priority="2313" stopIfTrue="1" operator="equal">
      <formula>"Towel"</formula>
    </cfRule>
  </conditionalFormatting>
  <conditionalFormatting sqref="B124:C125 B126">
    <cfRule type="cellIs" dxfId="6201" priority="2057" stopIfTrue="1" operator="equal">
      <formula>"Towel"</formula>
    </cfRule>
    <cfRule type="cellIs" dxfId="6200" priority="2058" stopIfTrue="1" operator="equal">
      <formula>"Napkin Hs"</formula>
    </cfRule>
  </conditionalFormatting>
  <conditionalFormatting sqref="C124:C125">
    <cfRule type="cellIs" dxfId="6199" priority="2055" stopIfTrue="1" operator="equal">
      <formula>"Towel"</formula>
    </cfRule>
    <cfRule type="cellIs" dxfId="6198" priority="2056" stopIfTrue="1" operator="equal">
      <formula>"Napkin Hs"</formula>
    </cfRule>
  </conditionalFormatting>
  <conditionalFormatting sqref="C124:C125">
    <cfRule type="cellIs" dxfId="6197" priority="2053" stopIfTrue="1" operator="equal">
      <formula>"Towel"</formula>
    </cfRule>
    <cfRule type="cellIs" dxfId="6196" priority="2054" stopIfTrue="1" operator="equal">
      <formula>"Napkin Hs"</formula>
    </cfRule>
  </conditionalFormatting>
  <conditionalFormatting sqref="B124:C125 B126">
    <cfRule type="cellIs" dxfId="6195" priority="2052" stopIfTrue="1" operator="equal">
      <formula>"Napkin Hs"</formula>
    </cfRule>
  </conditionalFormatting>
  <conditionalFormatting sqref="B124:C125 B126">
    <cfRule type="cellIs" dxfId="6194" priority="2051" stopIfTrue="1" operator="equal">
      <formula>"Towel"</formula>
    </cfRule>
  </conditionalFormatting>
  <conditionalFormatting sqref="C124:C125">
    <cfRule type="cellIs" dxfId="6193" priority="2050" stopIfTrue="1" operator="equal">
      <formula>"Napkin Hs"</formula>
    </cfRule>
  </conditionalFormatting>
  <conditionalFormatting sqref="C124:C125">
    <cfRule type="cellIs" dxfId="6192" priority="2049" stopIfTrue="1" operator="equal">
      <formula>"Towel"</formula>
    </cfRule>
  </conditionalFormatting>
  <conditionalFormatting sqref="C124:C125">
    <cfRule type="cellIs" dxfId="6191" priority="2047" stopIfTrue="1" operator="equal">
      <formula>"Towel"</formula>
    </cfRule>
    <cfRule type="cellIs" dxfId="6190" priority="2048" stopIfTrue="1" operator="equal">
      <formula>"Napkin Hs"</formula>
    </cfRule>
  </conditionalFormatting>
  <conditionalFormatting sqref="B124:C125 B126">
    <cfRule type="cellIs" dxfId="6189" priority="2045" stopIfTrue="1" operator="equal">
      <formula>"Towel"</formula>
    </cfRule>
    <cfRule type="cellIs" dxfId="6188" priority="2046" stopIfTrue="1" operator="equal">
      <formula>"Napkin Hs"</formula>
    </cfRule>
  </conditionalFormatting>
  <conditionalFormatting sqref="C124:C125">
    <cfRule type="cellIs" dxfId="6187" priority="2041" stopIfTrue="1" operator="equal">
      <formula>"Towel"</formula>
    </cfRule>
    <cfRule type="cellIs" dxfId="6186" priority="2042" stopIfTrue="1" operator="equal">
      <formula>"Napkin Hs"</formula>
    </cfRule>
  </conditionalFormatting>
  <conditionalFormatting sqref="C124:C125">
    <cfRule type="cellIs" dxfId="6185" priority="2043" stopIfTrue="1" operator="equal">
      <formula>"Towel"</formula>
    </cfRule>
    <cfRule type="cellIs" dxfId="6184" priority="2044" stopIfTrue="1" operator="equal">
      <formula>"Napkin Hs"</formula>
    </cfRule>
  </conditionalFormatting>
  <conditionalFormatting sqref="B124:C125 B126">
    <cfRule type="cellIs" dxfId="6183" priority="2040" stopIfTrue="1" operator="equal">
      <formula>"Napkin Hs"</formula>
    </cfRule>
  </conditionalFormatting>
  <conditionalFormatting sqref="B124:C125 B126">
    <cfRule type="cellIs" dxfId="6182" priority="2039" stopIfTrue="1" operator="equal">
      <formula>"Towel"</formula>
    </cfRule>
  </conditionalFormatting>
  <conditionalFormatting sqref="C124:C125">
    <cfRule type="cellIs" dxfId="6181" priority="2038" stopIfTrue="1" operator="equal">
      <formula>"Napkin Hs"</formula>
    </cfRule>
  </conditionalFormatting>
  <conditionalFormatting sqref="C124:C125">
    <cfRule type="cellIs" dxfId="6180" priority="2037" stopIfTrue="1" operator="equal">
      <formula>"Towel"</formula>
    </cfRule>
  </conditionalFormatting>
  <conditionalFormatting sqref="C124:C125">
    <cfRule type="cellIs" dxfId="6179" priority="2035" stopIfTrue="1" operator="equal">
      <formula>"Towel"</formula>
    </cfRule>
    <cfRule type="cellIs" dxfId="6178" priority="2036" stopIfTrue="1" operator="equal">
      <formula>"Napkin Hs"</formula>
    </cfRule>
  </conditionalFormatting>
  <conditionalFormatting sqref="B124:C125 B126">
    <cfRule type="cellIs" dxfId="6177" priority="2033" stopIfTrue="1" operator="equal">
      <formula>"Towel"</formula>
    </cfRule>
    <cfRule type="cellIs" dxfId="6176" priority="2034" stopIfTrue="1" operator="equal">
      <formula>"Napkin Hs"</formula>
    </cfRule>
  </conditionalFormatting>
  <conditionalFormatting sqref="C124:C125">
    <cfRule type="cellIs" dxfId="6175" priority="2031" stopIfTrue="1" operator="equal">
      <formula>"Towel"</formula>
    </cfRule>
    <cfRule type="cellIs" dxfId="6174" priority="2032" stopIfTrue="1" operator="equal">
      <formula>"Napkin Hs"</formula>
    </cfRule>
  </conditionalFormatting>
  <conditionalFormatting sqref="C124:C125">
    <cfRule type="cellIs" dxfId="6173" priority="2029" stopIfTrue="1" operator="equal">
      <formula>"Towel"</formula>
    </cfRule>
    <cfRule type="cellIs" dxfId="6172" priority="2030" stopIfTrue="1" operator="equal">
      <formula>"Napkin Hs"</formula>
    </cfRule>
  </conditionalFormatting>
  <conditionalFormatting sqref="B124:C125 B126">
    <cfRule type="cellIs" dxfId="6171" priority="2027" stopIfTrue="1" operator="equal">
      <formula>"Towel"</formula>
    </cfRule>
    <cfRule type="cellIs" dxfId="6170" priority="2028" stopIfTrue="1" operator="equal">
      <formula>"Napkin Hs"</formula>
    </cfRule>
  </conditionalFormatting>
  <conditionalFormatting sqref="C124:C125">
    <cfRule type="cellIs" dxfId="6169" priority="2025" stopIfTrue="1" operator="equal">
      <formula>"Towel"</formula>
    </cfRule>
    <cfRule type="cellIs" dxfId="6168" priority="2026" stopIfTrue="1" operator="equal">
      <formula>"Napkin Hs"</formula>
    </cfRule>
  </conditionalFormatting>
  <conditionalFormatting sqref="C124:C125">
    <cfRule type="cellIs" dxfId="6167" priority="2023" stopIfTrue="1" operator="equal">
      <formula>"Towel"</formula>
    </cfRule>
    <cfRule type="cellIs" dxfId="6166" priority="2024" stopIfTrue="1" operator="equal">
      <formula>"Napkin Hs"</formula>
    </cfRule>
  </conditionalFormatting>
  <conditionalFormatting sqref="B124:C125 B126">
    <cfRule type="cellIs" dxfId="6165" priority="2021" stopIfTrue="1" operator="equal">
      <formula>"Towel"</formula>
    </cfRule>
    <cfRule type="cellIs" dxfId="6164" priority="2022" stopIfTrue="1" operator="equal">
      <formula>"Napkin Hs"</formula>
    </cfRule>
  </conditionalFormatting>
  <conditionalFormatting sqref="C124:C125">
    <cfRule type="cellIs" dxfId="6163" priority="2019" stopIfTrue="1" operator="equal">
      <formula>"Towel"</formula>
    </cfRule>
    <cfRule type="cellIs" dxfId="6162" priority="2020" stopIfTrue="1" operator="equal">
      <formula>"Napkin Hs"</formula>
    </cfRule>
  </conditionalFormatting>
  <conditionalFormatting sqref="C124:C125">
    <cfRule type="cellIs" dxfId="6161" priority="2017" stopIfTrue="1" operator="equal">
      <formula>"Towel"</formula>
    </cfRule>
    <cfRule type="cellIs" dxfId="6160" priority="2018" stopIfTrue="1" operator="equal">
      <formula>"Napkin Hs"</formula>
    </cfRule>
  </conditionalFormatting>
  <conditionalFormatting sqref="B124:C125 B126">
    <cfRule type="cellIs" dxfId="6159" priority="2015" stopIfTrue="1" operator="equal">
      <formula>"Towel"</formula>
    </cfRule>
    <cfRule type="cellIs" dxfId="6158" priority="2016" stopIfTrue="1" operator="equal">
      <formula>"Napkin Hs"</formula>
    </cfRule>
  </conditionalFormatting>
  <conditionalFormatting sqref="C124:C125">
    <cfRule type="cellIs" dxfId="6157" priority="2013" stopIfTrue="1" operator="equal">
      <formula>"Towel"</formula>
    </cfRule>
    <cfRule type="cellIs" dxfId="6156" priority="2014" stopIfTrue="1" operator="equal">
      <formula>"Napkin Hs"</formula>
    </cfRule>
  </conditionalFormatting>
  <conditionalFormatting sqref="C124:C125">
    <cfRule type="cellIs" dxfId="6155" priority="2011" stopIfTrue="1" operator="equal">
      <formula>"Towel"</formula>
    </cfRule>
    <cfRule type="cellIs" dxfId="6154" priority="2012" stopIfTrue="1" operator="equal">
      <formula>"Napkin Hs"</formula>
    </cfRule>
  </conditionalFormatting>
  <conditionalFormatting sqref="B124:C125 B126">
    <cfRule type="cellIs" dxfId="6153" priority="2009" stopIfTrue="1" operator="equal">
      <formula>"Towel"</formula>
    </cfRule>
    <cfRule type="cellIs" dxfId="6152" priority="2010" stopIfTrue="1" operator="equal">
      <formula>"Napkin Hs"</formula>
    </cfRule>
  </conditionalFormatting>
  <conditionalFormatting sqref="C124:C125">
    <cfRule type="cellIs" dxfId="6151" priority="2007" stopIfTrue="1" operator="equal">
      <formula>"Towel"</formula>
    </cfRule>
    <cfRule type="cellIs" dxfId="6150" priority="2008" stopIfTrue="1" operator="equal">
      <formula>"Napkin Hs"</formula>
    </cfRule>
  </conditionalFormatting>
  <conditionalFormatting sqref="C124:C125">
    <cfRule type="cellIs" dxfId="6149" priority="2005" stopIfTrue="1" operator="equal">
      <formula>"Towel"</formula>
    </cfRule>
    <cfRule type="cellIs" dxfId="6148" priority="2006" stopIfTrue="1" operator="equal">
      <formula>"Napkin Hs"</formula>
    </cfRule>
  </conditionalFormatting>
  <conditionalFormatting sqref="B124:C125 B126">
    <cfRule type="cellIs" dxfId="6147" priority="2004" stopIfTrue="1" operator="equal">
      <formula>"Napkin Hs"</formula>
    </cfRule>
  </conditionalFormatting>
  <conditionalFormatting sqref="B124:C125 B126">
    <cfRule type="cellIs" dxfId="6146" priority="2003" stopIfTrue="1" operator="equal">
      <formula>"Towel"</formula>
    </cfRule>
  </conditionalFormatting>
  <conditionalFormatting sqref="C124:C125">
    <cfRule type="cellIs" dxfId="6145" priority="2002" stopIfTrue="1" operator="equal">
      <formula>"Napkin Hs"</formula>
    </cfRule>
  </conditionalFormatting>
  <conditionalFormatting sqref="C124:C125">
    <cfRule type="cellIs" dxfId="6144" priority="1999" stopIfTrue="1" operator="equal">
      <formula>"Towel"</formula>
    </cfRule>
    <cfRule type="cellIs" dxfId="6143" priority="2000" stopIfTrue="1" operator="equal">
      <formula>"Napkin Hs"</formula>
    </cfRule>
  </conditionalFormatting>
  <conditionalFormatting sqref="C124:C125">
    <cfRule type="cellIs" dxfId="6142" priority="2001" stopIfTrue="1" operator="equal">
      <formula>"Towel"</formula>
    </cfRule>
  </conditionalFormatting>
  <conditionalFormatting sqref="B124:C125 B126">
    <cfRule type="cellIs" dxfId="6141" priority="1998" stopIfTrue="1" operator="equal">
      <formula>"Napkin Hs"</formula>
    </cfRule>
  </conditionalFormatting>
  <conditionalFormatting sqref="B124:C125 B126">
    <cfRule type="cellIs" dxfId="6140" priority="1997" stopIfTrue="1" operator="equal">
      <formula>"Towel"</formula>
    </cfRule>
  </conditionalFormatting>
  <conditionalFormatting sqref="C124:C125">
    <cfRule type="cellIs" dxfId="6139" priority="1996" stopIfTrue="1" operator="equal">
      <formula>"Napkin Hs"</formula>
    </cfRule>
  </conditionalFormatting>
  <conditionalFormatting sqref="C124:C125">
    <cfRule type="cellIs" dxfId="6138" priority="1995" stopIfTrue="1" operator="equal">
      <formula>"Towel"</formula>
    </cfRule>
  </conditionalFormatting>
  <conditionalFormatting sqref="C124:C125">
    <cfRule type="cellIs" dxfId="6137" priority="1993" stopIfTrue="1" operator="equal">
      <formula>"Towel"</formula>
    </cfRule>
    <cfRule type="cellIs" dxfId="6136" priority="1994" stopIfTrue="1" operator="equal">
      <formula>"Napkin Hs"</formula>
    </cfRule>
  </conditionalFormatting>
  <conditionalFormatting sqref="B124:C125 B126">
    <cfRule type="cellIs" dxfId="6135" priority="1991" stopIfTrue="1" operator="equal">
      <formula>"Towel"</formula>
    </cfRule>
    <cfRule type="cellIs" dxfId="6134" priority="1992" stopIfTrue="1" operator="equal">
      <formula>"Napkin Hs"</formula>
    </cfRule>
  </conditionalFormatting>
  <conditionalFormatting sqref="C124:C125">
    <cfRule type="cellIs" dxfId="6133" priority="1987" stopIfTrue="1" operator="equal">
      <formula>"Towel"</formula>
    </cfRule>
    <cfRule type="cellIs" dxfId="6132" priority="1988" stopIfTrue="1" operator="equal">
      <formula>"Napkin Hs"</formula>
    </cfRule>
  </conditionalFormatting>
  <conditionalFormatting sqref="C124:C125">
    <cfRule type="cellIs" dxfId="6131" priority="1989" stopIfTrue="1" operator="equal">
      <formula>"Towel"</formula>
    </cfRule>
    <cfRule type="cellIs" dxfId="6130" priority="1990" stopIfTrue="1" operator="equal">
      <formula>"Napkin Hs"</formula>
    </cfRule>
  </conditionalFormatting>
  <conditionalFormatting sqref="B124:C125 B126">
    <cfRule type="cellIs" dxfId="6129" priority="1986" stopIfTrue="1" operator="equal">
      <formula>"Napkin Hs"</formula>
    </cfRule>
  </conditionalFormatting>
  <conditionalFormatting sqref="B124:C125 B126">
    <cfRule type="cellIs" dxfId="6128" priority="1985" stopIfTrue="1" operator="equal">
      <formula>"Towel"</formula>
    </cfRule>
  </conditionalFormatting>
  <conditionalFormatting sqref="C124:C125">
    <cfRule type="cellIs" dxfId="6127" priority="1984" stopIfTrue="1" operator="equal">
      <formula>"Napkin Hs"</formula>
    </cfRule>
  </conditionalFormatting>
  <conditionalFormatting sqref="C124:C125">
    <cfRule type="cellIs" dxfId="6126" priority="1983" stopIfTrue="1" operator="equal">
      <formula>"Towel"</formula>
    </cfRule>
  </conditionalFormatting>
  <conditionalFormatting sqref="C124:C125">
    <cfRule type="cellIs" dxfId="6125" priority="1981" stopIfTrue="1" operator="equal">
      <formula>"Towel"</formula>
    </cfRule>
    <cfRule type="cellIs" dxfId="6124" priority="1982" stopIfTrue="1" operator="equal">
      <formula>"Napkin Hs"</formula>
    </cfRule>
  </conditionalFormatting>
  <conditionalFormatting sqref="B124:C125 B126">
    <cfRule type="cellIs" dxfId="6123" priority="1979" stopIfTrue="1" operator="equal">
      <formula>"Towel"</formula>
    </cfRule>
    <cfRule type="cellIs" dxfId="6122" priority="1980" stopIfTrue="1" operator="equal">
      <formula>"Napkin Hs"</formula>
    </cfRule>
  </conditionalFormatting>
  <conditionalFormatting sqref="C124:C125">
    <cfRule type="cellIs" dxfId="6121" priority="1977" stopIfTrue="1" operator="equal">
      <formula>"Towel"</formula>
    </cfRule>
    <cfRule type="cellIs" dxfId="6120" priority="1978" stopIfTrue="1" operator="equal">
      <formula>"Napkin Hs"</formula>
    </cfRule>
  </conditionalFormatting>
  <conditionalFormatting sqref="C124:C125">
    <cfRule type="cellIs" dxfId="6119" priority="1975" stopIfTrue="1" operator="equal">
      <formula>"Towel"</formula>
    </cfRule>
    <cfRule type="cellIs" dxfId="6118" priority="1976" stopIfTrue="1" operator="equal">
      <formula>"Napkin Hs"</formula>
    </cfRule>
  </conditionalFormatting>
  <conditionalFormatting sqref="B124:C125 B126">
    <cfRule type="cellIs" dxfId="6117" priority="1973" stopIfTrue="1" operator="equal">
      <formula>"Towel"</formula>
    </cfRule>
    <cfRule type="cellIs" dxfId="6116" priority="1974" stopIfTrue="1" operator="equal">
      <formula>"Napkin Hs"</formula>
    </cfRule>
  </conditionalFormatting>
  <conditionalFormatting sqref="C124:C125">
    <cfRule type="cellIs" dxfId="6115" priority="1971" stopIfTrue="1" operator="equal">
      <formula>"Towel"</formula>
    </cfRule>
    <cfRule type="cellIs" dxfId="6114" priority="1972" stopIfTrue="1" operator="equal">
      <formula>"Napkin Hs"</formula>
    </cfRule>
  </conditionalFormatting>
  <conditionalFormatting sqref="C124:C125">
    <cfRule type="cellIs" dxfId="6113" priority="1969" stopIfTrue="1" operator="equal">
      <formula>"Towel"</formula>
    </cfRule>
    <cfRule type="cellIs" dxfId="6112" priority="1970" stopIfTrue="1" operator="equal">
      <formula>"Napkin Hs"</formula>
    </cfRule>
  </conditionalFormatting>
  <conditionalFormatting sqref="B124:C125 B126">
    <cfRule type="cellIs" dxfId="6111" priority="1967" stopIfTrue="1" operator="equal">
      <formula>"Towel"</formula>
    </cfRule>
    <cfRule type="cellIs" dxfId="6110" priority="1968" stopIfTrue="1" operator="equal">
      <formula>"Napkin Hs"</formula>
    </cfRule>
  </conditionalFormatting>
  <conditionalFormatting sqref="C124:C125">
    <cfRule type="cellIs" dxfId="6109" priority="1965" stopIfTrue="1" operator="equal">
      <formula>"Towel"</formula>
    </cfRule>
    <cfRule type="cellIs" dxfId="6108" priority="1966" stopIfTrue="1" operator="equal">
      <formula>"Napkin Hs"</formula>
    </cfRule>
  </conditionalFormatting>
  <conditionalFormatting sqref="C124:C125">
    <cfRule type="cellIs" dxfId="6107" priority="1963" stopIfTrue="1" operator="equal">
      <formula>"Towel"</formula>
    </cfRule>
    <cfRule type="cellIs" dxfId="6106" priority="1964" stopIfTrue="1" operator="equal">
      <formula>"Napkin Hs"</formula>
    </cfRule>
  </conditionalFormatting>
  <conditionalFormatting sqref="B124:C125 B126">
    <cfRule type="cellIs" dxfId="6105" priority="1961" stopIfTrue="1" operator="equal">
      <formula>"Towel"</formula>
    </cfRule>
    <cfRule type="cellIs" dxfId="6104" priority="1962" stopIfTrue="1" operator="equal">
      <formula>"Napkin Hs"</formula>
    </cfRule>
  </conditionalFormatting>
  <conditionalFormatting sqref="C124:C125">
    <cfRule type="cellIs" dxfId="6103" priority="1959" stopIfTrue="1" operator="equal">
      <formula>"Towel"</formula>
    </cfRule>
    <cfRule type="cellIs" dxfId="6102" priority="1960" stopIfTrue="1" operator="equal">
      <formula>"Napkin Hs"</formula>
    </cfRule>
  </conditionalFormatting>
  <conditionalFormatting sqref="C124:C125">
    <cfRule type="cellIs" dxfId="6101" priority="1957" stopIfTrue="1" operator="equal">
      <formula>"Towel"</formula>
    </cfRule>
    <cfRule type="cellIs" dxfId="6100" priority="1958" stopIfTrue="1" operator="equal">
      <formula>"Napkin Hs"</formula>
    </cfRule>
  </conditionalFormatting>
  <conditionalFormatting sqref="B124:C125 B126">
    <cfRule type="cellIs" dxfId="6099" priority="1955" stopIfTrue="1" operator="equal">
      <formula>"Towel"</formula>
    </cfRule>
    <cfRule type="cellIs" dxfId="6098" priority="1956" stopIfTrue="1" operator="equal">
      <formula>"Napkin Hs"</formula>
    </cfRule>
  </conditionalFormatting>
  <conditionalFormatting sqref="C124:C125">
    <cfRule type="cellIs" dxfId="6097" priority="1953" stopIfTrue="1" operator="equal">
      <formula>"Towel"</formula>
    </cfRule>
    <cfRule type="cellIs" dxfId="6096" priority="1954" stopIfTrue="1" operator="equal">
      <formula>"Napkin Hs"</formula>
    </cfRule>
  </conditionalFormatting>
  <conditionalFormatting sqref="C124:C125">
    <cfRule type="cellIs" dxfId="6095" priority="1951" stopIfTrue="1" operator="equal">
      <formula>"Towel"</formula>
    </cfRule>
    <cfRule type="cellIs" dxfId="6094" priority="1952" stopIfTrue="1" operator="equal">
      <formula>"Napkin Hs"</formula>
    </cfRule>
  </conditionalFormatting>
  <conditionalFormatting sqref="B124:C125 B126">
    <cfRule type="cellIs" dxfId="6093" priority="1950" stopIfTrue="1" operator="equal">
      <formula>"Napkin Hs"</formula>
    </cfRule>
  </conditionalFormatting>
  <conditionalFormatting sqref="B124:C125 B126">
    <cfRule type="cellIs" dxfId="6092" priority="1949" stopIfTrue="1" operator="equal">
      <formula>"Towel"</formula>
    </cfRule>
  </conditionalFormatting>
  <conditionalFormatting sqref="C124:C125">
    <cfRule type="cellIs" dxfId="6091" priority="1948" stopIfTrue="1" operator="equal">
      <formula>"Napkin Hs"</formula>
    </cfRule>
  </conditionalFormatting>
  <conditionalFormatting sqref="C124:C125">
    <cfRule type="cellIs" dxfId="6090" priority="1945" stopIfTrue="1" operator="equal">
      <formula>"Towel"</formula>
    </cfRule>
    <cfRule type="cellIs" dxfId="6089" priority="1946" stopIfTrue="1" operator="equal">
      <formula>"Napkin Hs"</formula>
    </cfRule>
  </conditionalFormatting>
  <conditionalFormatting sqref="C124:C125">
    <cfRule type="cellIs" dxfId="6088" priority="1947" stopIfTrue="1" operator="equal">
      <formula>"Towel"</formula>
    </cfRule>
  </conditionalFormatting>
  <conditionalFormatting sqref="B124:C125 B126">
    <cfRule type="cellIs" dxfId="6087" priority="1944" stopIfTrue="1" operator="equal">
      <formula>"Napkin Hs"</formula>
    </cfRule>
  </conditionalFormatting>
  <conditionalFormatting sqref="B124:C125 B126">
    <cfRule type="cellIs" dxfId="6086" priority="1943" stopIfTrue="1" operator="equal">
      <formula>"Towel"</formula>
    </cfRule>
  </conditionalFormatting>
  <conditionalFormatting sqref="C124:C125">
    <cfRule type="cellIs" dxfId="6085" priority="1942" stopIfTrue="1" operator="equal">
      <formula>"Napkin Hs"</formula>
    </cfRule>
  </conditionalFormatting>
  <conditionalFormatting sqref="C124:C125">
    <cfRule type="cellIs" dxfId="6084" priority="1939" stopIfTrue="1" operator="equal">
      <formula>"Towel"</formula>
    </cfRule>
    <cfRule type="cellIs" dxfId="6083" priority="1940" stopIfTrue="1" operator="equal">
      <formula>"Napkin Hs"</formula>
    </cfRule>
  </conditionalFormatting>
  <conditionalFormatting sqref="C124:C125">
    <cfRule type="cellIs" dxfId="6082" priority="1941" stopIfTrue="1" operator="equal">
      <formula>"Towel"</formula>
    </cfRule>
  </conditionalFormatting>
  <conditionalFormatting sqref="B124:C125 B126">
    <cfRule type="cellIs" dxfId="6081" priority="1938" stopIfTrue="1" operator="equal">
      <formula>"Napkin Hs"</formula>
    </cfRule>
  </conditionalFormatting>
  <conditionalFormatting sqref="B124:C125 B126">
    <cfRule type="cellIs" dxfId="6080" priority="1937" stopIfTrue="1" operator="equal">
      <formula>"Towel"</formula>
    </cfRule>
  </conditionalFormatting>
  <conditionalFormatting sqref="C124:C125">
    <cfRule type="cellIs" dxfId="6079" priority="1936" stopIfTrue="1" operator="equal">
      <formula>"Napkin Hs"</formula>
    </cfRule>
  </conditionalFormatting>
  <conditionalFormatting sqref="C124:C125">
    <cfRule type="cellIs" dxfId="6078" priority="1933" stopIfTrue="1" operator="equal">
      <formula>"Towel"</formula>
    </cfRule>
    <cfRule type="cellIs" dxfId="6077" priority="1934" stopIfTrue="1" operator="equal">
      <formula>"Napkin Hs"</formula>
    </cfRule>
  </conditionalFormatting>
  <conditionalFormatting sqref="C124:C125">
    <cfRule type="cellIs" dxfId="6076" priority="1935" stopIfTrue="1" operator="equal">
      <formula>"Towel"</formula>
    </cfRule>
  </conditionalFormatting>
  <conditionalFormatting sqref="B131:C131">
    <cfRule type="cellIs" dxfId="6075" priority="1872" stopIfTrue="1" operator="equal">
      <formula>"Napkin Hs"</formula>
    </cfRule>
  </conditionalFormatting>
  <conditionalFormatting sqref="B131:C131">
    <cfRule type="cellIs" dxfId="6074" priority="1871" stopIfTrue="1" operator="equal">
      <formula>"Towel"</formula>
    </cfRule>
  </conditionalFormatting>
  <conditionalFormatting sqref="C131">
    <cfRule type="cellIs" dxfId="6073" priority="1870" stopIfTrue="1" operator="equal">
      <formula>"Napkin Hs"</formula>
    </cfRule>
  </conditionalFormatting>
  <conditionalFormatting sqref="C131">
    <cfRule type="cellIs" dxfId="6072" priority="1869" stopIfTrue="1" operator="equal">
      <formula>"Towel"</formula>
    </cfRule>
  </conditionalFormatting>
  <conditionalFormatting sqref="C131">
    <cfRule type="cellIs" dxfId="6071" priority="1867" stopIfTrue="1" operator="equal">
      <formula>"Towel"</formula>
    </cfRule>
    <cfRule type="cellIs" dxfId="6070" priority="1868" stopIfTrue="1" operator="equal">
      <formula>"Napkin Hs"</formula>
    </cfRule>
  </conditionalFormatting>
  <conditionalFormatting sqref="C130">
    <cfRule type="cellIs" dxfId="6069" priority="1866" stopIfTrue="1" operator="equal">
      <formula>"Napkin Hs"</formula>
    </cfRule>
  </conditionalFormatting>
  <conditionalFormatting sqref="C130">
    <cfRule type="cellIs" dxfId="6068" priority="1865" stopIfTrue="1" operator="equal">
      <formula>"Towel"</formula>
    </cfRule>
  </conditionalFormatting>
  <conditionalFormatting sqref="C130">
    <cfRule type="cellIs" dxfId="6067" priority="1864" stopIfTrue="1" operator="equal">
      <formula>"Napkin Hs"</formula>
    </cfRule>
  </conditionalFormatting>
  <conditionalFormatting sqref="C130">
    <cfRule type="cellIs" dxfId="6066" priority="1863" stopIfTrue="1" operator="equal">
      <formula>"Towel"</formula>
    </cfRule>
  </conditionalFormatting>
  <conditionalFormatting sqref="C130">
    <cfRule type="cellIs" dxfId="6065" priority="1861" stopIfTrue="1" operator="equal">
      <formula>"Towel"</formula>
    </cfRule>
    <cfRule type="cellIs" dxfId="6064" priority="1862" stopIfTrue="1" operator="equal">
      <formula>"Napkin Hs"</formula>
    </cfRule>
  </conditionalFormatting>
  <conditionalFormatting sqref="C130">
    <cfRule type="cellIs" dxfId="6063" priority="1860" stopIfTrue="1" operator="equal">
      <formula>"Napkin Hs"</formula>
    </cfRule>
  </conditionalFormatting>
  <conditionalFormatting sqref="C130">
    <cfRule type="cellIs" dxfId="6062" priority="1859" stopIfTrue="1" operator="equal">
      <formula>"Towel"</formula>
    </cfRule>
  </conditionalFormatting>
  <conditionalFormatting sqref="C130">
    <cfRule type="cellIs" dxfId="6061" priority="1858" stopIfTrue="1" operator="equal">
      <formula>"Napkin Hs"</formula>
    </cfRule>
  </conditionalFormatting>
  <conditionalFormatting sqref="C130">
    <cfRule type="cellIs" dxfId="6060" priority="1857" stopIfTrue="1" operator="equal">
      <formula>"Towel"</formula>
    </cfRule>
  </conditionalFormatting>
  <conditionalFormatting sqref="C130">
    <cfRule type="cellIs" dxfId="6059" priority="1855" stopIfTrue="1" operator="equal">
      <formula>"Towel"</formula>
    </cfRule>
    <cfRule type="cellIs" dxfId="6058" priority="1856" stopIfTrue="1" operator="equal">
      <formula>"Napkin Hs"</formula>
    </cfRule>
  </conditionalFormatting>
  <conditionalFormatting sqref="C130">
    <cfRule type="cellIs" dxfId="6057" priority="1853" stopIfTrue="1" operator="equal">
      <formula>"Towel"</formula>
    </cfRule>
    <cfRule type="cellIs" dxfId="6056" priority="1854" stopIfTrue="1" operator="equal">
      <formula>"Napkin Hs"</formula>
    </cfRule>
  </conditionalFormatting>
  <conditionalFormatting sqref="C130">
    <cfRule type="cellIs" dxfId="6055" priority="1849" stopIfTrue="1" operator="equal">
      <formula>"Towel"</formula>
    </cfRule>
    <cfRule type="cellIs" dxfId="6054" priority="1850" stopIfTrue="1" operator="equal">
      <formula>"Napkin Hs"</formula>
    </cfRule>
  </conditionalFormatting>
  <conditionalFormatting sqref="C130">
    <cfRule type="cellIs" dxfId="6053" priority="1851" stopIfTrue="1" operator="equal">
      <formula>"Towel"</formula>
    </cfRule>
    <cfRule type="cellIs" dxfId="6052" priority="1852" stopIfTrue="1" operator="equal">
      <formula>"Napkin Hs"</formula>
    </cfRule>
  </conditionalFormatting>
  <conditionalFormatting sqref="C130">
    <cfRule type="cellIs" dxfId="6051" priority="1848" stopIfTrue="1" operator="equal">
      <formula>"Napkin Hs"</formula>
    </cfRule>
  </conditionalFormatting>
  <conditionalFormatting sqref="C130">
    <cfRule type="cellIs" dxfId="6050" priority="1847" stopIfTrue="1" operator="equal">
      <formula>"Towel"</formula>
    </cfRule>
  </conditionalFormatting>
  <conditionalFormatting sqref="C130">
    <cfRule type="cellIs" dxfId="6049" priority="1846" stopIfTrue="1" operator="equal">
      <formula>"Napkin Hs"</formula>
    </cfRule>
  </conditionalFormatting>
  <conditionalFormatting sqref="C130">
    <cfRule type="cellIs" dxfId="6048" priority="1845" stopIfTrue="1" operator="equal">
      <formula>"Towel"</formula>
    </cfRule>
  </conditionalFormatting>
  <conditionalFormatting sqref="C130">
    <cfRule type="cellIs" dxfId="6047" priority="1843" stopIfTrue="1" operator="equal">
      <formula>"Towel"</formula>
    </cfRule>
    <cfRule type="cellIs" dxfId="6046" priority="1844" stopIfTrue="1" operator="equal">
      <formula>"Napkin Hs"</formula>
    </cfRule>
  </conditionalFormatting>
  <conditionalFormatting sqref="C130">
    <cfRule type="cellIs" dxfId="6045" priority="1841" stopIfTrue="1" operator="equal">
      <formula>"Towel"</formula>
    </cfRule>
    <cfRule type="cellIs" dxfId="6044" priority="1842" stopIfTrue="1" operator="equal">
      <formula>"Napkin Hs"</formula>
    </cfRule>
  </conditionalFormatting>
  <conditionalFormatting sqref="C130">
    <cfRule type="cellIs" dxfId="6043" priority="1839" stopIfTrue="1" operator="equal">
      <formula>"Towel"</formula>
    </cfRule>
    <cfRule type="cellIs" dxfId="6042" priority="1840" stopIfTrue="1" operator="equal">
      <formula>"Napkin Hs"</formula>
    </cfRule>
  </conditionalFormatting>
  <conditionalFormatting sqref="C130">
    <cfRule type="cellIs" dxfId="6041" priority="1837" stopIfTrue="1" operator="equal">
      <formula>"Towel"</formula>
    </cfRule>
    <cfRule type="cellIs" dxfId="6040" priority="1838" stopIfTrue="1" operator="equal">
      <formula>"Napkin Hs"</formula>
    </cfRule>
  </conditionalFormatting>
  <conditionalFormatting sqref="C130">
    <cfRule type="cellIs" dxfId="6039" priority="1835" stopIfTrue="1" operator="equal">
      <formula>"Towel"</formula>
    </cfRule>
    <cfRule type="cellIs" dxfId="6038" priority="1836" stopIfTrue="1" operator="equal">
      <formula>"Napkin Hs"</formula>
    </cfRule>
  </conditionalFormatting>
  <conditionalFormatting sqref="C130">
    <cfRule type="cellIs" dxfId="6037" priority="1833" stopIfTrue="1" operator="equal">
      <formula>"Towel"</formula>
    </cfRule>
    <cfRule type="cellIs" dxfId="6036" priority="1834" stopIfTrue="1" operator="equal">
      <formula>"Napkin Hs"</formula>
    </cfRule>
  </conditionalFormatting>
  <conditionalFormatting sqref="C130">
    <cfRule type="cellIs" dxfId="6035" priority="1831" stopIfTrue="1" operator="equal">
      <formula>"Towel"</formula>
    </cfRule>
    <cfRule type="cellIs" dxfId="6034" priority="1832" stopIfTrue="1" operator="equal">
      <formula>"Napkin Hs"</formula>
    </cfRule>
  </conditionalFormatting>
  <conditionalFormatting sqref="C130">
    <cfRule type="cellIs" dxfId="6033" priority="1829" stopIfTrue="1" operator="equal">
      <formula>"Towel"</formula>
    </cfRule>
    <cfRule type="cellIs" dxfId="6032" priority="1830" stopIfTrue="1" operator="equal">
      <formula>"Napkin Hs"</formula>
    </cfRule>
  </conditionalFormatting>
  <conditionalFormatting sqref="C130">
    <cfRule type="cellIs" dxfId="6031" priority="1827" stopIfTrue="1" operator="equal">
      <formula>"Towel"</formula>
    </cfRule>
    <cfRule type="cellIs" dxfId="6030" priority="1828" stopIfTrue="1" operator="equal">
      <formula>"Napkin Hs"</formula>
    </cfRule>
  </conditionalFormatting>
  <conditionalFormatting sqref="C130">
    <cfRule type="cellIs" dxfId="6029" priority="1825" stopIfTrue="1" operator="equal">
      <formula>"Towel"</formula>
    </cfRule>
    <cfRule type="cellIs" dxfId="6028" priority="1826" stopIfTrue="1" operator="equal">
      <formula>"Napkin Hs"</formula>
    </cfRule>
  </conditionalFormatting>
  <conditionalFormatting sqref="C130">
    <cfRule type="cellIs" dxfId="6027" priority="1823" stopIfTrue="1" operator="equal">
      <formula>"Towel"</formula>
    </cfRule>
    <cfRule type="cellIs" dxfId="6026" priority="1824" stopIfTrue="1" operator="equal">
      <formula>"Napkin Hs"</formula>
    </cfRule>
  </conditionalFormatting>
  <conditionalFormatting sqref="C130">
    <cfRule type="cellIs" dxfId="6025" priority="1821" stopIfTrue="1" operator="equal">
      <formula>"Towel"</formula>
    </cfRule>
    <cfRule type="cellIs" dxfId="6024" priority="1822" stopIfTrue="1" operator="equal">
      <formula>"Napkin Hs"</formula>
    </cfRule>
  </conditionalFormatting>
  <conditionalFormatting sqref="C130">
    <cfRule type="cellIs" dxfId="6023" priority="1819" stopIfTrue="1" operator="equal">
      <formula>"Towel"</formula>
    </cfRule>
    <cfRule type="cellIs" dxfId="6022" priority="1820" stopIfTrue="1" operator="equal">
      <formula>"Napkin Hs"</formula>
    </cfRule>
  </conditionalFormatting>
  <conditionalFormatting sqref="C130">
    <cfRule type="cellIs" dxfId="6021" priority="1817" stopIfTrue="1" operator="equal">
      <formula>"Towel"</formula>
    </cfRule>
    <cfRule type="cellIs" dxfId="6020" priority="1818" stopIfTrue="1" operator="equal">
      <formula>"Napkin Hs"</formula>
    </cfRule>
  </conditionalFormatting>
  <conditionalFormatting sqref="C130">
    <cfRule type="cellIs" dxfId="6019" priority="1815" stopIfTrue="1" operator="equal">
      <formula>"Towel"</formula>
    </cfRule>
    <cfRule type="cellIs" dxfId="6018" priority="1816" stopIfTrue="1" operator="equal">
      <formula>"Napkin Hs"</formula>
    </cfRule>
  </conditionalFormatting>
  <conditionalFormatting sqref="C130">
    <cfRule type="cellIs" dxfId="6017" priority="1813" stopIfTrue="1" operator="equal">
      <formula>"Towel"</formula>
    </cfRule>
    <cfRule type="cellIs" dxfId="6016" priority="1814" stopIfTrue="1" operator="equal">
      <formula>"Napkin Hs"</formula>
    </cfRule>
  </conditionalFormatting>
  <conditionalFormatting sqref="C130">
    <cfRule type="cellIs" dxfId="6015" priority="1812" stopIfTrue="1" operator="equal">
      <formula>"Napkin Hs"</formula>
    </cfRule>
  </conditionalFormatting>
  <conditionalFormatting sqref="C130">
    <cfRule type="cellIs" dxfId="6014" priority="1811" stopIfTrue="1" operator="equal">
      <formula>"Towel"</formula>
    </cfRule>
  </conditionalFormatting>
  <conditionalFormatting sqref="C130">
    <cfRule type="cellIs" dxfId="6013" priority="1810" stopIfTrue="1" operator="equal">
      <formula>"Napkin Hs"</formula>
    </cfRule>
  </conditionalFormatting>
  <conditionalFormatting sqref="C130">
    <cfRule type="cellIs" dxfId="6012" priority="1807" stopIfTrue="1" operator="equal">
      <formula>"Towel"</formula>
    </cfRule>
    <cfRule type="cellIs" dxfId="6011" priority="1808" stopIfTrue="1" operator="equal">
      <formula>"Napkin Hs"</formula>
    </cfRule>
  </conditionalFormatting>
  <conditionalFormatting sqref="C130">
    <cfRule type="cellIs" dxfId="6010" priority="1809" stopIfTrue="1" operator="equal">
      <formula>"Towel"</formula>
    </cfRule>
  </conditionalFormatting>
  <conditionalFormatting sqref="C130">
    <cfRule type="cellIs" dxfId="6009" priority="1806" stopIfTrue="1" operator="equal">
      <formula>"Napkin Hs"</formula>
    </cfRule>
  </conditionalFormatting>
  <conditionalFormatting sqref="C130">
    <cfRule type="cellIs" dxfId="6008" priority="1805" stopIfTrue="1" operator="equal">
      <formula>"Towel"</formula>
    </cfRule>
  </conditionalFormatting>
  <conditionalFormatting sqref="C130">
    <cfRule type="cellIs" dxfId="6007" priority="1804" stopIfTrue="1" operator="equal">
      <formula>"Napkin Hs"</formula>
    </cfRule>
  </conditionalFormatting>
  <conditionalFormatting sqref="C130">
    <cfRule type="cellIs" dxfId="6006" priority="1803" stopIfTrue="1" operator="equal">
      <formula>"Towel"</formula>
    </cfRule>
  </conditionalFormatting>
  <conditionalFormatting sqref="C130">
    <cfRule type="cellIs" dxfId="6005" priority="1801" stopIfTrue="1" operator="equal">
      <formula>"Towel"</formula>
    </cfRule>
    <cfRule type="cellIs" dxfId="6004" priority="1802" stopIfTrue="1" operator="equal">
      <formula>"Napkin Hs"</formula>
    </cfRule>
  </conditionalFormatting>
  <conditionalFormatting sqref="C130">
    <cfRule type="cellIs" dxfId="6003" priority="1799" stopIfTrue="1" operator="equal">
      <formula>"Towel"</formula>
    </cfRule>
    <cfRule type="cellIs" dxfId="6002" priority="1800" stopIfTrue="1" operator="equal">
      <formula>"Napkin Hs"</formula>
    </cfRule>
  </conditionalFormatting>
  <conditionalFormatting sqref="C130">
    <cfRule type="cellIs" dxfId="6001" priority="1795" stopIfTrue="1" operator="equal">
      <formula>"Towel"</formula>
    </cfRule>
    <cfRule type="cellIs" dxfId="6000" priority="1796" stopIfTrue="1" operator="equal">
      <formula>"Napkin Hs"</formula>
    </cfRule>
  </conditionalFormatting>
  <conditionalFormatting sqref="C130">
    <cfRule type="cellIs" dxfId="5999" priority="1797" stopIfTrue="1" operator="equal">
      <formula>"Towel"</formula>
    </cfRule>
    <cfRule type="cellIs" dxfId="5998" priority="1798" stopIfTrue="1" operator="equal">
      <formula>"Napkin Hs"</formula>
    </cfRule>
  </conditionalFormatting>
  <conditionalFormatting sqref="C130">
    <cfRule type="cellIs" dxfId="5997" priority="1794" stopIfTrue="1" operator="equal">
      <formula>"Napkin Hs"</formula>
    </cfRule>
  </conditionalFormatting>
  <conditionalFormatting sqref="C130">
    <cfRule type="cellIs" dxfId="5996" priority="1793" stopIfTrue="1" operator="equal">
      <formula>"Towel"</formula>
    </cfRule>
  </conditionalFormatting>
  <conditionalFormatting sqref="C130">
    <cfRule type="cellIs" dxfId="5995" priority="1792" stopIfTrue="1" operator="equal">
      <formula>"Napkin Hs"</formula>
    </cfRule>
  </conditionalFormatting>
  <conditionalFormatting sqref="C130">
    <cfRule type="cellIs" dxfId="5994" priority="1791" stopIfTrue="1" operator="equal">
      <formula>"Towel"</formula>
    </cfRule>
  </conditionalFormatting>
  <conditionalFormatting sqref="C130">
    <cfRule type="cellIs" dxfId="5993" priority="1789" stopIfTrue="1" operator="equal">
      <formula>"Towel"</formula>
    </cfRule>
    <cfRule type="cellIs" dxfId="5992" priority="1790" stopIfTrue="1" operator="equal">
      <formula>"Napkin Hs"</formula>
    </cfRule>
  </conditionalFormatting>
  <conditionalFormatting sqref="C130">
    <cfRule type="cellIs" dxfId="5991" priority="1787" stopIfTrue="1" operator="equal">
      <formula>"Towel"</formula>
    </cfRule>
    <cfRule type="cellIs" dxfId="5990" priority="1788" stopIfTrue="1" operator="equal">
      <formula>"Napkin Hs"</formula>
    </cfRule>
  </conditionalFormatting>
  <conditionalFormatting sqref="C130">
    <cfRule type="cellIs" dxfId="5989" priority="1785" stopIfTrue="1" operator="equal">
      <formula>"Towel"</formula>
    </cfRule>
    <cfRule type="cellIs" dxfId="5988" priority="1786" stopIfTrue="1" operator="equal">
      <formula>"Napkin Hs"</formula>
    </cfRule>
  </conditionalFormatting>
  <conditionalFormatting sqref="C130">
    <cfRule type="cellIs" dxfId="5987" priority="1783" stopIfTrue="1" operator="equal">
      <formula>"Towel"</formula>
    </cfRule>
    <cfRule type="cellIs" dxfId="5986" priority="1784" stopIfTrue="1" operator="equal">
      <formula>"Napkin Hs"</formula>
    </cfRule>
  </conditionalFormatting>
  <conditionalFormatting sqref="C130">
    <cfRule type="cellIs" dxfId="5985" priority="1781" stopIfTrue="1" operator="equal">
      <formula>"Towel"</formula>
    </cfRule>
    <cfRule type="cellIs" dxfId="5984" priority="1782" stopIfTrue="1" operator="equal">
      <formula>"Napkin Hs"</formula>
    </cfRule>
  </conditionalFormatting>
  <conditionalFormatting sqref="C130">
    <cfRule type="cellIs" dxfId="5983" priority="1779" stopIfTrue="1" operator="equal">
      <formula>"Towel"</formula>
    </cfRule>
    <cfRule type="cellIs" dxfId="5982" priority="1780" stopIfTrue="1" operator="equal">
      <formula>"Napkin Hs"</formula>
    </cfRule>
  </conditionalFormatting>
  <conditionalFormatting sqref="C130">
    <cfRule type="cellIs" dxfId="5981" priority="1777" stopIfTrue="1" operator="equal">
      <formula>"Towel"</formula>
    </cfRule>
    <cfRule type="cellIs" dxfId="5980" priority="1778" stopIfTrue="1" operator="equal">
      <formula>"Napkin Hs"</formula>
    </cfRule>
  </conditionalFormatting>
  <conditionalFormatting sqref="C130">
    <cfRule type="cellIs" dxfId="5979" priority="1775" stopIfTrue="1" operator="equal">
      <formula>"Towel"</formula>
    </cfRule>
    <cfRule type="cellIs" dxfId="5978" priority="1776" stopIfTrue="1" operator="equal">
      <formula>"Napkin Hs"</formula>
    </cfRule>
  </conditionalFormatting>
  <conditionalFormatting sqref="C130">
    <cfRule type="cellIs" dxfId="5977" priority="1773" stopIfTrue="1" operator="equal">
      <formula>"Towel"</formula>
    </cfRule>
    <cfRule type="cellIs" dxfId="5976" priority="1774" stopIfTrue="1" operator="equal">
      <formula>"Napkin Hs"</formula>
    </cfRule>
  </conditionalFormatting>
  <conditionalFormatting sqref="C130">
    <cfRule type="cellIs" dxfId="5975" priority="1771" stopIfTrue="1" operator="equal">
      <formula>"Towel"</formula>
    </cfRule>
    <cfRule type="cellIs" dxfId="5974" priority="1772" stopIfTrue="1" operator="equal">
      <formula>"Napkin Hs"</formula>
    </cfRule>
  </conditionalFormatting>
  <conditionalFormatting sqref="C130">
    <cfRule type="cellIs" dxfId="5973" priority="1769" stopIfTrue="1" operator="equal">
      <formula>"Towel"</formula>
    </cfRule>
    <cfRule type="cellIs" dxfId="5972" priority="1770" stopIfTrue="1" operator="equal">
      <formula>"Napkin Hs"</formula>
    </cfRule>
  </conditionalFormatting>
  <conditionalFormatting sqref="C130">
    <cfRule type="cellIs" dxfId="5971" priority="1767" stopIfTrue="1" operator="equal">
      <formula>"Towel"</formula>
    </cfRule>
    <cfRule type="cellIs" dxfId="5970" priority="1768" stopIfTrue="1" operator="equal">
      <formula>"Napkin Hs"</formula>
    </cfRule>
  </conditionalFormatting>
  <conditionalFormatting sqref="C130">
    <cfRule type="cellIs" dxfId="5969" priority="1765" stopIfTrue="1" operator="equal">
      <formula>"Towel"</formula>
    </cfRule>
    <cfRule type="cellIs" dxfId="5968" priority="1766" stopIfTrue="1" operator="equal">
      <formula>"Napkin Hs"</formula>
    </cfRule>
  </conditionalFormatting>
  <conditionalFormatting sqref="C130">
    <cfRule type="cellIs" dxfId="5967" priority="1763" stopIfTrue="1" operator="equal">
      <formula>"Towel"</formula>
    </cfRule>
    <cfRule type="cellIs" dxfId="5966" priority="1764" stopIfTrue="1" operator="equal">
      <formula>"Napkin Hs"</formula>
    </cfRule>
  </conditionalFormatting>
  <conditionalFormatting sqref="C130">
    <cfRule type="cellIs" dxfId="5965" priority="1761" stopIfTrue="1" operator="equal">
      <formula>"Towel"</formula>
    </cfRule>
    <cfRule type="cellIs" dxfId="5964" priority="1762" stopIfTrue="1" operator="equal">
      <formula>"Napkin Hs"</formula>
    </cfRule>
  </conditionalFormatting>
  <conditionalFormatting sqref="C130">
    <cfRule type="cellIs" dxfId="5963" priority="1759" stopIfTrue="1" operator="equal">
      <formula>"Towel"</formula>
    </cfRule>
    <cfRule type="cellIs" dxfId="5962" priority="1760" stopIfTrue="1" operator="equal">
      <formula>"Napkin Hs"</formula>
    </cfRule>
  </conditionalFormatting>
  <conditionalFormatting sqref="C130">
    <cfRule type="cellIs" dxfId="5961" priority="1758" stopIfTrue="1" operator="equal">
      <formula>"Napkin Hs"</formula>
    </cfRule>
  </conditionalFormatting>
  <conditionalFormatting sqref="C130">
    <cfRule type="cellIs" dxfId="5960" priority="1757" stopIfTrue="1" operator="equal">
      <formula>"Towel"</formula>
    </cfRule>
  </conditionalFormatting>
  <conditionalFormatting sqref="C130">
    <cfRule type="cellIs" dxfId="5959" priority="1756" stopIfTrue="1" operator="equal">
      <formula>"Napkin Hs"</formula>
    </cfRule>
  </conditionalFormatting>
  <conditionalFormatting sqref="C130">
    <cfRule type="cellIs" dxfId="5958" priority="1753" stopIfTrue="1" operator="equal">
      <formula>"Towel"</formula>
    </cfRule>
    <cfRule type="cellIs" dxfId="5957" priority="1754" stopIfTrue="1" operator="equal">
      <formula>"Napkin Hs"</formula>
    </cfRule>
  </conditionalFormatting>
  <conditionalFormatting sqref="C130">
    <cfRule type="cellIs" dxfId="5956" priority="1755" stopIfTrue="1" operator="equal">
      <formula>"Towel"</formula>
    </cfRule>
  </conditionalFormatting>
  <conditionalFormatting sqref="C130">
    <cfRule type="cellIs" dxfId="5955" priority="1752" stopIfTrue="1" operator="equal">
      <formula>"Napkin Hs"</formula>
    </cfRule>
  </conditionalFormatting>
  <conditionalFormatting sqref="C130">
    <cfRule type="cellIs" dxfId="5954" priority="1751" stopIfTrue="1" operator="equal">
      <formula>"Towel"</formula>
    </cfRule>
  </conditionalFormatting>
  <conditionalFormatting sqref="C130">
    <cfRule type="cellIs" dxfId="5953" priority="1750" stopIfTrue="1" operator="equal">
      <formula>"Napkin Hs"</formula>
    </cfRule>
  </conditionalFormatting>
  <conditionalFormatting sqref="C130">
    <cfRule type="cellIs" dxfId="5952" priority="1749" stopIfTrue="1" operator="equal">
      <formula>"Towel"</formula>
    </cfRule>
  </conditionalFormatting>
  <conditionalFormatting sqref="C130">
    <cfRule type="cellIs" dxfId="5951" priority="1747" stopIfTrue="1" operator="equal">
      <formula>"Towel"</formula>
    </cfRule>
    <cfRule type="cellIs" dxfId="5950" priority="1748" stopIfTrue="1" operator="equal">
      <formula>"Napkin Hs"</formula>
    </cfRule>
  </conditionalFormatting>
  <conditionalFormatting sqref="C130">
    <cfRule type="cellIs" dxfId="5949" priority="1745" stopIfTrue="1" operator="equal">
      <formula>"Towel"</formula>
    </cfRule>
    <cfRule type="cellIs" dxfId="5948" priority="1746" stopIfTrue="1" operator="equal">
      <formula>"Napkin Hs"</formula>
    </cfRule>
  </conditionalFormatting>
  <conditionalFormatting sqref="C130">
    <cfRule type="cellIs" dxfId="5947" priority="1741" stopIfTrue="1" operator="equal">
      <formula>"Towel"</formula>
    </cfRule>
    <cfRule type="cellIs" dxfId="5946" priority="1742" stopIfTrue="1" operator="equal">
      <formula>"Napkin Hs"</formula>
    </cfRule>
  </conditionalFormatting>
  <conditionalFormatting sqref="C130">
    <cfRule type="cellIs" dxfId="5945" priority="1743" stopIfTrue="1" operator="equal">
      <formula>"Towel"</formula>
    </cfRule>
    <cfRule type="cellIs" dxfId="5944" priority="1744" stopIfTrue="1" operator="equal">
      <formula>"Napkin Hs"</formula>
    </cfRule>
  </conditionalFormatting>
  <conditionalFormatting sqref="C130">
    <cfRule type="cellIs" dxfId="5943" priority="1740" stopIfTrue="1" operator="equal">
      <formula>"Napkin Hs"</formula>
    </cfRule>
  </conditionalFormatting>
  <conditionalFormatting sqref="C130">
    <cfRule type="cellIs" dxfId="5942" priority="1739" stopIfTrue="1" operator="equal">
      <formula>"Towel"</formula>
    </cfRule>
  </conditionalFormatting>
  <conditionalFormatting sqref="C130">
    <cfRule type="cellIs" dxfId="5941" priority="1738" stopIfTrue="1" operator="equal">
      <formula>"Napkin Hs"</formula>
    </cfRule>
  </conditionalFormatting>
  <conditionalFormatting sqref="C130">
    <cfRule type="cellIs" dxfId="5940" priority="1737" stopIfTrue="1" operator="equal">
      <formula>"Towel"</formula>
    </cfRule>
  </conditionalFormatting>
  <conditionalFormatting sqref="C130">
    <cfRule type="cellIs" dxfId="5939" priority="1735" stopIfTrue="1" operator="equal">
      <formula>"Towel"</formula>
    </cfRule>
    <cfRule type="cellIs" dxfId="5938" priority="1736" stopIfTrue="1" operator="equal">
      <formula>"Napkin Hs"</formula>
    </cfRule>
  </conditionalFormatting>
  <conditionalFormatting sqref="C130">
    <cfRule type="cellIs" dxfId="5937" priority="1733" stopIfTrue="1" operator="equal">
      <formula>"Towel"</formula>
    </cfRule>
    <cfRule type="cellIs" dxfId="5936" priority="1734" stopIfTrue="1" operator="equal">
      <formula>"Napkin Hs"</formula>
    </cfRule>
  </conditionalFormatting>
  <conditionalFormatting sqref="C130">
    <cfRule type="cellIs" dxfId="5935" priority="1731" stopIfTrue="1" operator="equal">
      <formula>"Towel"</formula>
    </cfRule>
    <cfRule type="cellIs" dxfId="5934" priority="1732" stopIfTrue="1" operator="equal">
      <formula>"Napkin Hs"</formula>
    </cfRule>
  </conditionalFormatting>
  <conditionalFormatting sqref="C130">
    <cfRule type="cellIs" dxfId="5933" priority="1729" stopIfTrue="1" operator="equal">
      <formula>"Towel"</formula>
    </cfRule>
    <cfRule type="cellIs" dxfId="5932" priority="1730" stopIfTrue="1" operator="equal">
      <formula>"Napkin Hs"</formula>
    </cfRule>
  </conditionalFormatting>
  <conditionalFormatting sqref="C130">
    <cfRule type="cellIs" dxfId="5931" priority="1727" stopIfTrue="1" operator="equal">
      <formula>"Towel"</formula>
    </cfRule>
    <cfRule type="cellIs" dxfId="5930" priority="1728" stopIfTrue="1" operator="equal">
      <formula>"Napkin Hs"</formula>
    </cfRule>
  </conditionalFormatting>
  <conditionalFormatting sqref="C130">
    <cfRule type="cellIs" dxfId="5929" priority="1725" stopIfTrue="1" operator="equal">
      <formula>"Towel"</formula>
    </cfRule>
    <cfRule type="cellIs" dxfId="5928" priority="1726" stopIfTrue="1" operator="equal">
      <formula>"Napkin Hs"</formula>
    </cfRule>
  </conditionalFormatting>
  <conditionalFormatting sqref="C130">
    <cfRule type="cellIs" dxfId="5927" priority="1723" stopIfTrue="1" operator="equal">
      <formula>"Towel"</formula>
    </cfRule>
    <cfRule type="cellIs" dxfId="5926" priority="1724" stopIfTrue="1" operator="equal">
      <formula>"Napkin Hs"</formula>
    </cfRule>
  </conditionalFormatting>
  <conditionalFormatting sqref="C130">
    <cfRule type="cellIs" dxfId="5925" priority="1721" stopIfTrue="1" operator="equal">
      <formula>"Towel"</formula>
    </cfRule>
    <cfRule type="cellIs" dxfId="5924" priority="1722" stopIfTrue="1" operator="equal">
      <formula>"Napkin Hs"</formula>
    </cfRule>
  </conditionalFormatting>
  <conditionalFormatting sqref="C130">
    <cfRule type="cellIs" dxfId="5923" priority="1719" stopIfTrue="1" operator="equal">
      <formula>"Towel"</formula>
    </cfRule>
    <cfRule type="cellIs" dxfId="5922" priority="1720" stopIfTrue="1" operator="equal">
      <formula>"Napkin Hs"</formula>
    </cfRule>
  </conditionalFormatting>
  <conditionalFormatting sqref="C130">
    <cfRule type="cellIs" dxfId="5921" priority="1717" stopIfTrue="1" operator="equal">
      <formula>"Towel"</formula>
    </cfRule>
    <cfRule type="cellIs" dxfId="5920" priority="1718" stopIfTrue="1" operator="equal">
      <formula>"Napkin Hs"</formula>
    </cfRule>
  </conditionalFormatting>
  <conditionalFormatting sqref="C130">
    <cfRule type="cellIs" dxfId="5919" priority="1715" stopIfTrue="1" operator="equal">
      <formula>"Towel"</formula>
    </cfRule>
    <cfRule type="cellIs" dxfId="5918" priority="1716" stopIfTrue="1" operator="equal">
      <formula>"Napkin Hs"</formula>
    </cfRule>
  </conditionalFormatting>
  <conditionalFormatting sqref="C130">
    <cfRule type="cellIs" dxfId="5917" priority="1713" stopIfTrue="1" operator="equal">
      <formula>"Towel"</formula>
    </cfRule>
    <cfRule type="cellIs" dxfId="5916" priority="1714" stopIfTrue="1" operator="equal">
      <formula>"Napkin Hs"</formula>
    </cfRule>
  </conditionalFormatting>
  <conditionalFormatting sqref="C130">
    <cfRule type="cellIs" dxfId="5915" priority="1711" stopIfTrue="1" operator="equal">
      <formula>"Towel"</formula>
    </cfRule>
    <cfRule type="cellIs" dxfId="5914" priority="1712" stopIfTrue="1" operator="equal">
      <formula>"Napkin Hs"</formula>
    </cfRule>
  </conditionalFormatting>
  <conditionalFormatting sqref="C130">
    <cfRule type="cellIs" dxfId="5913" priority="1709" stopIfTrue="1" operator="equal">
      <formula>"Towel"</formula>
    </cfRule>
    <cfRule type="cellIs" dxfId="5912" priority="1710" stopIfTrue="1" operator="equal">
      <formula>"Napkin Hs"</formula>
    </cfRule>
  </conditionalFormatting>
  <conditionalFormatting sqref="C130">
    <cfRule type="cellIs" dxfId="5911" priority="1707" stopIfTrue="1" operator="equal">
      <formula>"Towel"</formula>
    </cfRule>
    <cfRule type="cellIs" dxfId="5910" priority="1708" stopIfTrue="1" operator="equal">
      <formula>"Napkin Hs"</formula>
    </cfRule>
  </conditionalFormatting>
  <conditionalFormatting sqref="C130">
    <cfRule type="cellIs" dxfId="5909" priority="1705" stopIfTrue="1" operator="equal">
      <formula>"Towel"</formula>
    </cfRule>
    <cfRule type="cellIs" dxfId="5908" priority="1706" stopIfTrue="1" operator="equal">
      <formula>"Napkin Hs"</formula>
    </cfRule>
  </conditionalFormatting>
  <conditionalFormatting sqref="C130">
    <cfRule type="cellIs" dxfId="5907" priority="1704" stopIfTrue="1" operator="equal">
      <formula>"Napkin Hs"</formula>
    </cfRule>
  </conditionalFormatting>
  <conditionalFormatting sqref="C130">
    <cfRule type="cellIs" dxfId="5906" priority="1703" stopIfTrue="1" operator="equal">
      <formula>"Towel"</formula>
    </cfRule>
  </conditionalFormatting>
  <conditionalFormatting sqref="C130">
    <cfRule type="cellIs" dxfId="5905" priority="1702" stopIfTrue="1" operator="equal">
      <formula>"Napkin Hs"</formula>
    </cfRule>
  </conditionalFormatting>
  <conditionalFormatting sqref="C130">
    <cfRule type="cellIs" dxfId="5904" priority="1699" stopIfTrue="1" operator="equal">
      <formula>"Towel"</formula>
    </cfRule>
    <cfRule type="cellIs" dxfId="5903" priority="1700" stopIfTrue="1" operator="equal">
      <formula>"Napkin Hs"</formula>
    </cfRule>
  </conditionalFormatting>
  <conditionalFormatting sqref="C130">
    <cfRule type="cellIs" dxfId="5902" priority="1701" stopIfTrue="1" operator="equal">
      <formula>"Towel"</formula>
    </cfRule>
  </conditionalFormatting>
  <conditionalFormatting sqref="C130">
    <cfRule type="cellIs" dxfId="5901" priority="1698" stopIfTrue="1" operator="equal">
      <formula>"Napkin Hs"</formula>
    </cfRule>
  </conditionalFormatting>
  <conditionalFormatting sqref="C130">
    <cfRule type="cellIs" dxfId="5900" priority="1697" stopIfTrue="1" operator="equal">
      <formula>"Towel"</formula>
    </cfRule>
  </conditionalFormatting>
  <conditionalFormatting sqref="C130">
    <cfRule type="cellIs" dxfId="5899" priority="1696" stopIfTrue="1" operator="equal">
      <formula>"Napkin Hs"</formula>
    </cfRule>
  </conditionalFormatting>
  <conditionalFormatting sqref="C130">
    <cfRule type="cellIs" dxfId="5898" priority="1693" stopIfTrue="1" operator="equal">
      <formula>"Towel"</formula>
    </cfRule>
    <cfRule type="cellIs" dxfId="5897" priority="1694" stopIfTrue="1" operator="equal">
      <formula>"Napkin Hs"</formula>
    </cfRule>
  </conditionalFormatting>
  <conditionalFormatting sqref="C130">
    <cfRule type="cellIs" dxfId="5896" priority="1695" stopIfTrue="1" operator="equal">
      <formula>"Towel"</formula>
    </cfRule>
  </conditionalFormatting>
  <conditionalFormatting sqref="C130">
    <cfRule type="cellIs" dxfId="5895" priority="1692" stopIfTrue="1" operator="equal">
      <formula>"Napkin Hs"</formula>
    </cfRule>
  </conditionalFormatting>
  <conditionalFormatting sqref="C130">
    <cfRule type="cellIs" dxfId="5894" priority="1691" stopIfTrue="1" operator="equal">
      <formula>"Towel"</formula>
    </cfRule>
  </conditionalFormatting>
  <conditionalFormatting sqref="C130">
    <cfRule type="cellIs" dxfId="5893" priority="1690" stopIfTrue="1" operator="equal">
      <formula>"Napkin Hs"</formula>
    </cfRule>
  </conditionalFormatting>
  <conditionalFormatting sqref="C130">
    <cfRule type="cellIs" dxfId="5892" priority="1687" stopIfTrue="1" operator="equal">
      <formula>"Towel"</formula>
    </cfRule>
    <cfRule type="cellIs" dxfId="5891" priority="1688" stopIfTrue="1" operator="equal">
      <formula>"Napkin Hs"</formula>
    </cfRule>
  </conditionalFormatting>
  <conditionalFormatting sqref="C130">
    <cfRule type="cellIs" dxfId="5890" priority="1689" stopIfTrue="1" operator="equal">
      <formula>"Towel"</formula>
    </cfRule>
  </conditionalFormatting>
  <conditionalFormatting sqref="B129:C129 B130">
    <cfRule type="cellIs" dxfId="5889" priority="1685" stopIfTrue="1" operator="equal">
      <formula>"Towel"</formula>
    </cfRule>
    <cfRule type="cellIs" dxfId="5888" priority="1686" stopIfTrue="1" operator="equal">
      <formula>"Napkin Hs"</formula>
    </cfRule>
  </conditionalFormatting>
  <conditionalFormatting sqref="C129">
    <cfRule type="cellIs" dxfId="5887" priority="1683" stopIfTrue="1" operator="equal">
      <formula>"Towel"</formula>
    </cfRule>
    <cfRule type="cellIs" dxfId="5886" priority="1684" stopIfTrue="1" operator="equal">
      <formula>"Napkin Hs"</formula>
    </cfRule>
  </conditionalFormatting>
  <conditionalFormatting sqref="C129">
    <cfRule type="cellIs" dxfId="5885" priority="1681" stopIfTrue="1" operator="equal">
      <formula>"Towel"</formula>
    </cfRule>
    <cfRule type="cellIs" dxfId="5884" priority="1682" stopIfTrue="1" operator="equal">
      <formula>"Napkin Hs"</formula>
    </cfRule>
  </conditionalFormatting>
  <conditionalFormatting sqref="B129:C129 B130">
    <cfRule type="cellIs" dxfId="5883" priority="1680" stopIfTrue="1" operator="equal">
      <formula>"Napkin Hs"</formula>
    </cfRule>
  </conditionalFormatting>
  <conditionalFormatting sqref="B129:C129 B130">
    <cfRule type="cellIs" dxfId="5882" priority="1679" stopIfTrue="1" operator="equal">
      <formula>"Towel"</formula>
    </cfRule>
  </conditionalFormatting>
  <conditionalFormatting sqref="C129">
    <cfRule type="cellIs" dxfId="5881" priority="1678" stopIfTrue="1" operator="equal">
      <formula>"Napkin Hs"</formula>
    </cfRule>
  </conditionalFormatting>
  <conditionalFormatting sqref="C129">
    <cfRule type="cellIs" dxfId="5880" priority="1677" stopIfTrue="1" operator="equal">
      <formula>"Towel"</formula>
    </cfRule>
  </conditionalFormatting>
  <conditionalFormatting sqref="C129">
    <cfRule type="cellIs" dxfId="5879" priority="1675" stopIfTrue="1" operator="equal">
      <formula>"Towel"</formula>
    </cfRule>
    <cfRule type="cellIs" dxfId="5878" priority="1676" stopIfTrue="1" operator="equal">
      <formula>"Napkin Hs"</formula>
    </cfRule>
  </conditionalFormatting>
  <conditionalFormatting sqref="B129:C129 B130">
    <cfRule type="cellIs" dxfId="5877" priority="1673" stopIfTrue="1" operator="equal">
      <formula>"Towel"</formula>
    </cfRule>
    <cfRule type="cellIs" dxfId="5876" priority="1674" stopIfTrue="1" operator="equal">
      <formula>"Napkin Hs"</formula>
    </cfRule>
  </conditionalFormatting>
  <conditionalFormatting sqref="C129">
    <cfRule type="cellIs" dxfId="5875" priority="1669" stopIfTrue="1" operator="equal">
      <formula>"Towel"</formula>
    </cfRule>
    <cfRule type="cellIs" dxfId="5874" priority="1670" stopIfTrue="1" operator="equal">
      <formula>"Napkin Hs"</formula>
    </cfRule>
  </conditionalFormatting>
  <conditionalFormatting sqref="C129">
    <cfRule type="cellIs" dxfId="5873" priority="1671" stopIfTrue="1" operator="equal">
      <formula>"Towel"</formula>
    </cfRule>
    <cfRule type="cellIs" dxfId="5872" priority="1672" stopIfTrue="1" operator="equal">
      <formula>"Napkin Hs"</formula>
    </cfRule>
  </conditionalFormatting>
  <conditionalFormatting sqref="B129:C129 B130">
    <cfRule type="cellIs" dxfId="5871" priority="1668" stopIfTrue="1" operator="equal">
      <formula>"Napkin Hs"</formula>
    </cfRule>
  </conditionalFormatting>
  <conditionalFormatting sqref="B129:C129 B130">
    <cfRule type="cellIs" dxfId="5870" priority="1667" stopIfTrue="1" operator="equal">
      <formula>"Towel"</formula>
    </cfRule>
  </conditionalFormatting>
  <conditionalFormatting sqref="C129">
    <cfRule type="cellIs" dxfId="5869" priority="1666" stopIfTrue="1" operator="equal">
      <formula>"Napkin Hs"</formula>
    </cfRule>
  </conditionalFormatting>
  <conditionalFormatting sqref="C129">
    <cfRule type="cellIs" dxfId="5868" priority="1665" stopIfTrue="1" operator="equal">
      <formula>"Towel"</formula>
    </cfRule>
  </conditionalFormatting>
  <conditionalFormatting sqref="C129">
    <cfRule type="cellIs" dxfId="5867" priority="1663" stopIfTrue="1" operator="equal">
      <formula>"Towel"</formula>
    </cfRule>
    <cfRule type="cellIs" dxfId="5866" priority="1664" stopIfTrue="1" operator="equal">
      <formula>"Napkin Hs"</formula>
    </cfRule>
  </conditionalFormatting>
  <conditionalFormatting sqref="B129:C129 B130">
    <cfRule type="cellIs" dxfId="5865" priority="1661" stopIfTrue="1" operator="equal">
      <formula>"Towel"</formula>
    </cfRule>
    <cfRule type="cellIs" dxfId="5864" priority="1662" stopIfTrue="1" operator="equal">
      <formula>"Napkin Hs"</formula>
    </cfRule>
  </conditionalFormatting>
  <conditionalFormatting sqref="C129">
    <cfRule type="cellIs" dxfId="5863" priority="1659" stopIfTrue="1" operator="equal">
      <formula>"Towel"</formula>
    </cfRule>
    <cfRule type="cellIs" dxfId="5862" priority="1660" stopIfTrue="1" operator="equal">
      <formula>"Napkin Hs"</formula>
    </cfRule>
  </conditionalFormatting>
  <conditionalFormatting sqref="C129">
    <cfRule type="cellIs" dxfId="5861" priority="1657" stopIfTrue="1" operator="equal">
      <formula>"Towel"</formula>
    </cfRule>
    <cfRule type="cellIs" dxfId="5860" priority="1658" stopIfTrue="1" operator="equal">
      <formula>"Napkin Hs"</formula>
    </cfRule>
  </conditionalFormatting>
  <conditionalFormatting sqref="B129:C129 B130">
    <cfRule type="cellIs" dxfId="5859" priority="1655" stopIfTrue="1" operator="equal">
      <formula>"Towel"</formula>
    </cfRule>
    <cfRule type="cellIs" dxfId="5858" priority="1656" stopIfTrue="1" operator="equal">
      <formula>"Napkin Hs"</formula>
    </cfRule>
  </conditionalFormatting>
  <conditionalFormatting sqref="C129">
    <cfRule type="cellIs" dxfId="5857" priority="1653" stopIfTrue="1" operator="equal">
      <formula>"Towel"</formula>
    </cfRule>
    <cfRule type="cellIs" dxfId="5856" priority="1654" stopIfTrue="1" operator="equal">
      <formula>"Napkin Hs"</formula>
    </cfRule>
  </conditionalFormatting>
  <conditionalFormatting sqref="C129">
    <cfRule type="cellIs" dxfId="5855" priority="1651" stopIfTrue="1" operator="equal">
      <formula>"Towel"</formula>
    </cfRule>
    <cfRule type="cellIs" dxfId="5854" priority="1652" stopIfTrue="1" operator="equal">
      <formula>"Napkin Hs"</formula>
    </cfRule>
  </conditionalFormatting>
  <conditionalFormatting sqref="B129:C129 B130">
    <cfRule type="cellIs" dxfId="5853" priority="1649" stopIfTrue="1" operator="equal">
      <formula>"Towel"</formula>
    </cfRule>
    <cfRule type="cellIs" dxfId="5852" priority="1650" stopIfTrue="1" operator="equal">
      <formula>"Napkin Hs"</formula>
    </cfRule>
  </conditionalFormatting>
  <conditionalFormatting sqref="C129">
    <cfRule type="cellIs" dxfId="5851" priority="1647" stopIfTrue="1" operator="equal">
      <formula>"Towel"</formula>
    </cfRule>
    <cfRule type="cellIs" dxfId="5850" priority="1648" stopIfTrue="1" operator="equal">
      <formula>"Napkin Hs"</formula>
    </cfRule>
  </conditionalFormatting>
  <conditionalFormatting sqref="C129">
    <cfRule type="cellIs" dxfId="5849" priority="1645" stopIfTrue="1" operator="equal">
      <formula>"Towel"</formula>
    </cfRule>
    <cfRule type="cellIs" dxfId="5848" priority="1646" stopIfTrue="1" operator="equal">
      <formula>"Napkin Hs"</formula>
    </cfRule>
  </conditionalFormatting>
  <conditionalFormatting sqref="B129:C129 B130">
    <cfRule type="cellIs" dxfId="5847" priority="1643" stopIfTrue="1" operator="equal">
      <formula>"Towel"</formula>
    </cfRule>
    <cfRule type="cellIs" dxfId="5846" priority="1644" stopIfTrue="1" operator="equal">
      <formula>"Napkin Hs"</formula>
    </cfRule>
  </conditionalFormatting>
  <conditionalFormatting sqref="C129">
    <cfRule type="cellIs" dxfId="5845" priority="1641" stopIfTrue="1" operator="equal">
      <formula>"Towel"</formula>
    </cfRule>
    <cfRule type="cellIs" dxfId="5844" priority="1642" stopIfTrue="1" operator="equal">
      <formula>"Napkin Hs"</formula>
    </cfRule>
  </conditionalFormatting>
  <conditionalFormatting sqref="C129">
    <cfRule type="cellIs" dxfId="5843" priority="1639" stopIfTrue="1" operator="equal">
      <formula>"Towel"</formula>
    </cfRule>
    <cfRule type="cellIs" dxfId="5842" priority="1640" stopIfTrue="1" operator="equal">
      <formula>"Napkin Hs"</formula>
    </cfRule>
  </conditionalFormatting>
  <conditionalFormatting sqref="B129:C129 B130">
    <cfRule type="cellIs" dxfId="5841" priority="1637" stopIfTrue="1" operator="equal">
      <formula>"Towel"</formula>
    </cfRule>
    <cfRule type="cellIs" dxfId="5840" priority="1638" stopIfTrue="1" operator="equal">
      <formula>"Napkin Hs"</formula>
    </cfRule>
  </conditionalFormatting>
  <conditionalFormatting sqref="C129">
    <cfRule type="cellIs" dxfId="5839" priority="1635" stopIfTrue="1" operator="equal">
      <formula>"Towel"</formula>
    </cfRule>
    <cfRule type="cellIs" dxfId="5838" priority="1636" stopIfTrue="1" operator="equal">
      <formula>"Napkin Hs"</formula>
    </cfRule>
  </conditionalFormatting>
  <conditionalFormatting sqref="C129">
    <cfRule type="cellIs" dxfId="5837" priority="1633" stopIfTrue="1" operator="equal">
      <formula>"Towel"</formula>
    </cfRule>
    <cfRule type="cellIs" dxfId="5836" priority="1634" stopIfTrue="1" operator="equal">
      <formula>"Napkin Hs"</formula>
    </cfRule>
  </conditionalFormatting>
  <conditionalFormatting sqref="B129:C129 B130">
    <cfRule type="cellIs" dxfId="5835" priority="1632" stopIfTrue="1" operator="equal">
      <formula>"Napkin Hs"</formula>
    </cfRule>
  </conditionalFormatting>
  <conditionalFormatting sqref="B129:C129 B130">
    <cfRule type="cellIs" dxfId="5834" priority="1631" stopIfTrue="1" operator="equal">
      <formula>"Towel"</formula>
    </cfRule>
  </conditionalFormatting>
  <conditionalFormatting sqref="C129">
    <cfRule type="cellIs" dxfId="5833" priority="1630" stopIfTrue="1" operator="equal">
      <formula>"Napkin Hs"</formula>
    </cfRule>
  </conditionalFormatting>
  <conditionalFormatting sqref="C129">
    <cfRule type="cellIs" dxfId="5832" priority="1627" stopIfTrue="1" operator="equal">
      <formula>"Towel"</formula>
    </cfRule>
    <cfRule type="cellIs" dxfId="5831" priority="1628" stopIfTrue="1" operator="equal">
      <formula>"Napkin Hs"</formula>
    </cfRule>
  </conditionalFormatting>
  <conditionalFormatting sqref="C129">
    <cfRule type="cellIs" dxfId="5830" priority="1629" stopIfTrue="1" operator="equal">
      <formula>"Towel"</formula>
    </cfRule>
  </conditionalFormatting>
  <conditionalFormatting sqref="B129:C129 B130">
    <cfRule type="cellIs" dxfId="5829" priority="1626" stopIfTrue="1" operator="equal">
      <formula>"Napkin Hs"</formula>
    </cfRule>
  </conditionalFormatting>
  <conditionalFormatting sqref="B129:C129 B130">
    <cfRule type="cellIs" dxfId="5828" priority="1625" stopIfTrue="1" operator="equal">
      <formula>"Towel"</formula>
    </cfRule>
  </conditionalFormatting>
  <conditionalFormatting sqref="C129">
    <cfRule type="cellIs" dxfId="5827" priority="1624" stopIfTrue="1" operator="equal">
      <formula>"Napkin Hs"</formula>
    </cfRule>
  </conditionalFormatting>
  <conditionalFormatting sqref="C129">
    <cfRule type="cellIs" dxfId="5826" priority="1623" stopIfTrue="1" operator="equal">
      <formula>"Towel"</formula>
    </cfRule>
  </conditionalFormatting>
  <conditionalFormatting sqref="C129">
    <cfRule type="cellIs" dxfId="5825" priority="1621" stopIfTrue="1" operator="equal">
      <formula>"Towel"</formula>
    </cfRule>
    <cfRule type="cellIs" dxfId="5824" priority="1622" stopIfTrue="1" operator="equal">
      <formula>"Napkin Hs"</formula>
    </cfRule>
  </conditionalFormatting>
  <conditionalFormatting sqref="B129:C129 B130">
    <cfRule type="cellIs" dxfId="5823" priority="1619" stopIfTrue="1" operator="equal">
      <formula>"Towel"</formula>
    </cfRule>
    <cfRule type="cellIs" dxfId="5822" priority="1620" stopIfTrue="1" operator="equal">
      <formula>"Napkin Hs"</formula>
    </cfRule>
  </conditionalFormatting>
  <conditionalFormatting sqref="C129">
    <cfRule type="cellIs" dxfId="5821" priority="1615" stopIfTrue="1" operator="equal">
      <formula>"Towel"</formula>
    </cfRule>
    <cfRule type="cellIs" dxfId="5820" priority="1616" stopIfTrue="1" operator="equal">
      <formula>"Napkin Hs"</formula>
    </cfRule>
  </conditionalFormatting>
  <conditionalFormatting sqref="C129">
    <cfRule type="cellIs" dxfId="5819" priority="1617" stopIfTrue="1" operator="equal">
      <formula>"Towel"</formula>
    </cfRule>
    <cfRule type="cellIs" dxfId="5818" priority="1618" stopIfTrue="1" operator="equal">
      <formula>"Napkin Hs"</formula>
    </cfRule>
  </conditionalFormatting>
  <conditionalFormatting sqref="B129:C129 B130">
    <cfRule type="cellIs" dxfId="5817" priority="1614" stopIfTrue="1" operator="equal">
      <formula>"Napkin Hs"</formula>
    </cfRule>
  </conditionalFormatting>
  <conditionalFormatting sqref="B129:C129 B130">
    <cfRule type="cellIs" dxfId="5816" priority="1613" stopIfTrue="1" operator="equal">
      <formula>"Towel"</formula>
    </cfRule>
  </conditionalFormatting>
  <conditionalFormatting sqref="C129">
    <cfRule type="cellIs" dxfId="5815" priority="1612" stopIfTrue="1" operator="equal">
      <formula>"Napkin Hs"</formula>
    </cfRule>
  </conditionalFormatting>
  <conditionalFormatting sqref="C129">
    <cfRule type="cellIs" dxfId="5814" priority="1611" stopIfTrue="1" operator="equal">
      <formula>"Towel"</formula>
    </cfRule>
  </conditionalFormatting>
  <conditionalFormatting sqref="C129">
    <cfRule type="cellIs" dxfId="5813" priority="1609" stopIfTrue="1" operator="equal">
      <formula>"Towel"</formula>
    </cfRule>
    <cfRule type="cellIs" dxfId="5812" priority="1610" stopIfTrue="1" operator="equal">
      <formula>"Napkin Hs"</formula>
    </cfRule>
  </conditionalFormatting>
  <conditionalFormatting sqref="B129:C129 B130">
    <cfRule type="cellIs" dxfId="5811" priority="1607" stopIfTrue="1" operator="equal">
      <formula>"Towel"</formula>
    </cfRule>
    <cfRule type="cellIs" dxfId="5810" priority="1608" stopIfTrue="1" operator="equal">
      <formula>"Napkin Hs"</formula>
    </cfRule>
  </conditionalFormatting>
  <conditionalFormatting sqref="C129">
    <cfRule type="cellIs" dxfId="5809" priority="1605" stopIfTrue="1" operator="equal">
      <formula>"Towel"</formula>
    </cfRule>
    <cfRule type="cellIs" dxfId="5808" priority="1606" stopIfTrue="1" operator="equal">
      <formula>"Napkin Hs"</formula>
    </cfRule>
  </conditionalFormatting>
  <conditionalFormatting sqref="C129">
    <cfRule type="cellIs" dxfId="5807" priority="1603" stopIfTrue="1" operator="equal">
      <formula>"Towel"</formula>
    </cfRule>
    <cfRule type="cellIs" dxfId="5806" priority="1604" stopIfTrue="1" operator="equal">
      <formula>"Napkin Hs"</formula>
    </cfRule>
  </conditionalFormatting>
  <conditionalFormatting sqref="B129:C129 B130">
    <cfRule type="cellIs" dxfId="5805" priority="1601" stopIfTrue="1" operator="equal">
      <formula>"Towel"</formula>
    </cfRule>
    <cfRule type="cellIs" dxfId="5804" priority="1602" stopIfTrue="1" operator="equal">
      <formula>"Napkin Hs"</formula>
    </cfRule>
  </conditionalFormatting>
  <conditionalFormatting sqref="C129">
    <cfRule type="cellIs" dxfId="5803" priority="1599" stopIfTrue="1" operator="equal">
      <formula>"Towel"</formula>
    </cfRule>
    <cfRule type="cellIs" dxfId="5802" priority="1600" stopIfTrue="1" operator="equal">
      <formula>"Napkin Hs"</formula>
    </cfRule>
  </conditionalFormatting>
  <conditionalFormatting sqref="C129">
    <cfRule type="cellIs" dxfId="5801" priority="1597" stopIfTrue="1" operator="equal">
      <formula>"Towel"</formula>
    </cfRule>
    <cfRule type="cellIs" dxfId="5800" priority="1598" stopIfTrue="1" operator="equal">
      <formula>"Napkin Hs"</formula>
    </cfRule>
  </conditionalFormatting>
  <conditionalFormatting sqref="B129:C129 B130">
    <cfRule type="cellIs" dxfId="5799" priority="1595" stopIfTrue="1" operator="equal">
      <formula>"Towel"</formula>
    </cfRule>
    <cfRule type="cellIs" dxfId="5798" priority="1596" stopIfTrue="1" operator="equal">
      <formula>"Napkin Hs"</formula>
    </cfRule>
  </conditionalFormatting>
  <conditionalFormatting sqref="C129">
    <cfRule type="cellIs" dxfId="5797" priority="1593" stopIfTrue="1" operator="equal">
      <formula>"Towel"</formula>
    </cfRule>
    <cfRule type="cellIs" dxfId="5796" priority="1594" stopIfTrue="1" operator="equal">
      <formula>"Napkin Hs"</formula>
    </cfRule>
  </conditionalFormatting>
  <conditionalFormatting sqref="C129">
    <cfRule type="cellIs" dxfId="5795" priority="1591" stopIfTrue="1" operator="equal">
      <formula>"Towel"</formula>
    </cfRule>
    <cfRule type="cellIs" dxfId="5794" priority="1592" stopIfTrue="1" operator="equal">
      <formula>"Napkin Hs"</formula>
    </cfRule>
  </conditionalFormatting>
  <conditionalFormatting sqref="B129:C129 B130">
    <cfRule type="cellIs" dxfId="5793" priority="1589" stopIfTrue="1" operator="equal">
      <formula>"Towel"</formula>
    </cfRule>
    <cfRule type="cellIs" dxfId="5792" priority="1590" stopIfTrue="1" operator="equal">
      <formula>"Napkin Hs"</formula>
    </cfRule>
  </conditionalFormatting>
  <conditionalFormatting sqref="C129">
    <cfRule type="cellIs" dxfId="5791" priority="1587" stopIfTrue="1" operator="equal">
      <formula>"Towel"</formula>
    </cfRule>
    <cfRule type="cellIs" dxfId="5790" priority="1588" stopIfTrue="1" operator="equal">
      <formula>"Napkin Hs"</formula>
    </cfRule>
  </conditionalFormatting>
  <conditionalFormatting sqref="C129">
    <cfRule type="cellIs" dxfId="5789" priority="1585" stopIfTrue="1" operator="equal">
      <formula>"Towel"</formula>
    </cfRule>
    <cfRule type="cellIs" dxfId="5788" priority="1586" stopIfTrue="1" operator="equal">
      <formula>"Napkin Hs"</formula>
    </cfRule>
  </conditionalFormatting>
  <conditionalFormatting sqref="B129:C129 B130">
    <cfRule type="cellIs" dxfId="5787" priority="1583" stopIfTrue="1" operator="equal">
      <formula>"Towel"</formula>
    </cfRule>
    <cfRule type="cellIs" dxfId="5786" priority="1584" stopIfTrue="1" operator="equal">
      <formula>"Napkin Hs"</formula>
    </cfRule>
  </conditionalFormatting>
  <conditionalFormatting sqref="C129">
    <cfRule type="cellIs" dxfId="5785" priority="1581" stopIfTrue="1" operator="equal">
      <formula>"Towel"</formula>
    </cfRule>
    <cfRule type="cellIs" dxfId="5784" priority="1582" stopIfTrue="1" operator="equal">
      <formula>"Napkin Hs"</formula>
    </cfRule>
  </conditionalFormatting>
  <conditionalFormatting sqref="C129">
    <cfRule type="cellIs" dxfId="5783" priority="1579" stopIfTrue="1" operator="equal">
      <formula>"Towel"</formula>
    </cfRule>
    <cfRule type="cellIs" dxfId="5782" priority="1580" stopIfTrue="1" operator="equal">
      <formula>"Napkin Hs"</formula>
    </cfRule>
  </conditionalFormatting>
  <conditionalFormatting sqref="B129:C129 B130">
    <cfRule type="cellIs" dxfId="5781" priority="1578" stopIfTrue="1" operator="equal">
      <formula>"Napkin Hs"</formula>
    </cfRule>
  </conditionalFormatting>
  <conditionalFormatting sqref="B129:C129 B130">
    <cfRule type="cellIs" dxfId="5780" priority="1577" stopIfTrue="1" operator="equal">
      <formula>"Towel"</formula>
    </cfRule>
  </conditionalFormatting>
  <conditionalFormatting sqref="C129">
    <cfRule type="cellIs" dxfId="5779" priority="1576" stopIfTrue="1" operator="equal">
      <formula>"Napkin Hs"</formula>
    </cfRule>
  </conditionalFormatting>
  <conditionalFormatting sqref="C129">
    <cfRule type="cellIs" dxfId="5778" priority="1573" stopIfTrue="1" operator="equal">
      <formula>"Towel"</formula>
    </cfRule>
    <cfRule type="cellIs" dxfId="5777" priority="1574" stopIfTrue="1" operator="equal">
      <formula>"Napkin Hs"</formula>
    </cfRule>
  </conditionalFormatting>
  <conditionalFormatting sqref="C129">
    <cfRule type="cellIs" dxfId="5776" priority="1575" stopIfTrue="1" operator="equal">
      <formula>"Towel"</formula>
    </cfRule>
  </conditionalFormatting>
  <conditionalFormatting sqref="B129:C129 B130">
    <cfRule type="cellIs" dxfId="5775" priority="1572" stopIfTrue="1" operator="equal">
      <formula>"Napkin Hs"</formula>
    </cfRule>
  </conditionalFormatting>
  <conditionalFormatting sqref="B129:C129 B130">
    <cfRule type="cellIs" dxfId="5774" priority="1571" stopIfTrue="1" operator="equal">
      <formula>"Towel"</formula>
    </cfRule>
  </conditionalFormatting>
  <conditionalFormatting sqref="C129">
    <cfRule type="cellIs" dxfId="5773" priority="1570" stopIfTrue="1" operator="equal">
      <formula>"Napkin Hs"</formula>
    </cfRule>
  </conditionalFormatting>
  <conditionalFormatting sqref="C129">
    <cfRule type="cellIs" dxfId="5772" priority="1567" stopIfTrue="1" operator="equal">
      <formula>"Towel"</formula>
    </cfRule>
    <cfRule type="cellIs" dxfId="5771" priority="1568" stopIfTrue="1" operator="equal">
      <formula>"Napkin Hs"</formula>
    </cfRule>
  </conditionalFormatting>
  <conditionalFormatting sqref="C129">
    <cfRule type="cellIs" dxfId="5770" priority="1569" stopIfTrue="1" operator="equal">
      <formula>"Towel"</formula>
    </cfRule>
  </conditionalFormatting>
  <conditionalFormatting sqref="B129:C129 B130">
    <cfRule type="cellIs" dxfId="5769" priority="1566" stopIfTrue="1" operator="equal">
      <formula>"Napkin Hs"</formula>
    </cfRule>
  </conditionalFormatting>
  <conditionalFormatting sqref="B129:C129 B130">
    <cfRule type="cellIs" dxfId="5768" priority="1565" stopIfTrue="1" operator="equal">
      <formula>"Towel"</formula>
    </cfRule>
  </conditionalFormatting>
  <conditionalFormatting sqref="C129">
    <cfRule type="cellIs" dxfId="5767" priority="1564" stopIfTrue="1" operator="equal">
      <formula>"Napkin Hs"</formula>
    </cfRule>
  </conditionalFormatting>
  <conditionalFormatting sqref="C129">
    <cfRule type="cellIs" dxfId="5766" priority="1561" stopIfTrue="1" operator="equal">
      <formula>"Towel"</formula>
    </cfRule>
    <cfRule type="cellIs" dxfId="5765" priority="1562" stopIfTrue="1" operator="equal">
      <formula>"Napkin Hs"</formula>
    </cfRule>
  </conditionalFormatting>
  <conditionalFormatting sqref="C129">
    <cfRule type="cellIs" dxfId="5764" priority="1563" stopIfTrue="1" operator="equal">
      <formula>"Towel"</formula>
    </cfRule>
  </conditionalFormatting>
  <conditionalFormatting sqref="B128:C128">
    <cfRule type="cellIs" dxfId="5763" priority="1560" stopIfTrue="1" operator="equal">
      <formula>"Napkin Hs"</formula>
    </cfRule>
  </conditionalFormatting>
  <conditionalFormatting sqref="B128:C128">
    <cfRule type="cellIs" dxfId="5762" priority="1559" stopIfTrue="1" operator="equal">
      <formula>"Towel"</formula>
    </cfRule>
  </conditionalFormatting>
  <conditionalFormatting sqref="C128">
    <cfRule type="cellIs" dxfId="5761" priority="1558" stopIfTrue="1" operator="equal">
      <formula>"Napkin Hs"</formula>
    </cfRule>
  </conditionalFormatting>
  <conditionalFormatting sqref="C128">
    <cfRule type="cellIs" dxfId="5760" priority="1557" stopIfTrue="1" operator="equal">
      <formula>"Towel"</formula>
    </cfRule>
  </conditionalFormatting>
  <conditionalFormatting sqref="C128">
    <cfRule type="cellIs" dxfId="5759" priority="1555" stopIfTrue="1" operator="equal">
      <formula>"Towel"</formula>
    </cfRule>
    <cfRule type="cellIs" dxfId="5758" priority="1556" stopIfTrue="1" operator="equal">
      <formula>"Napkin Hs"</formula>
    </cfRule>
  </conditionalFormatting>
  <conditionalFormatting sqref="B128:C128">
    <cfRule type="cellIs" dxfId="5757" priority="1553" stopIfTrue="1" operator="equal">
      <formula>"Towel"</formula>
    </cfRule>
    <cfRule type="cellIs" dxfId="5756" priority="1554" stopIfTrue="1" operator="equal">
      <formula>"Napkin Hs"</formula>
    </cfRule>
  </conditionalFormatting>
  <conditionalFormatting sqref="C128">
    <cfRule type="cellIs" dxfId="5755" priority="1551" stopIfTrue="1" operator="equal">
      <formula>"Towel"</formula>
    </cfRule>
    <cfRule type="cellIs" dxfId="5754" priority="1552" stopIfTrue="1" operator="equal">
      <formula>"Napkin Hs"</formula>
    </cfRule>
  </conditionalFormatting>
  <conditionalFormatting sqref="C128">
    <cfRule type="cellIs" dxfId="5753" priority="1549" stopIfTrue="1" operator="equal">
      <formula>"Towel"</formula>
    </cfRule>
    <cfRule type="cellIs" dxfId="5752" priority="1550" stopIfTrue="1" operator="equal">
      <formula>"Napkin Hs"</formula>
    </cfRule>
  </conditionalFormatting>
  <conditionalFormatting sqref="B128:C128">
    <cfRule type="cellIs" dxfId="5751" priority="1548" stopIfTrue="1" operator="equal">
      <formula>"Napkin Hs"</formula>
    </cfRule>
  </conditionalFormatting>
  <conditionalFormatting sqref="B128:C128">
    <cfRule type="cellIs" dxfId="5750" priority="1547" stopIfTrue="1" operator="equal">
      <formula>"Towel"</formula>
    </cfRule>
  </conditionalFormatting>
  <conditionalFormatting sqref="C128">
    <cfRule type="cellIs" dxfId="5749" priority="1546" stopIfTrue="1" operator="equal">
      <formula>"Napkin Hs"</formula>
    </cfRule>
  </conditionalFormatting>
  <conditionalFormatting sqref="C128">
    <cfRule type="cellIs" dxfId="5748" priority="1545" stopIfTrue="1" operator="equal">
      <formula>"Towel"</formula>
    </cfRule>
  </conditionalFormatting>
  <conditionalFormatting sqref="C128">
    <cfRule type="cellIs" dxfId="5747" priority="1543" stopIfTrue="1" operator="equal">
      <formula>"Towel"</formula>
    </cfRule>
    <cfRule type="cellIs" dxfId="5746" priority="1544" stopIfTrue="1" operator="equal">
      <formula>"Napkin Hs"</formula>
    </cfRule>
  </conditionalFormatting>
  <conditionalFormatting sqref="B128:C128">
    <cfRule type="cellIs" dxfId="5745" priority="1541" stopIfTrue="1" operator="equal">
      <formula>"Towel"</formula>
    </cfRule>
    <cfRule type="cellIs" dxfId="5744" priority="1542" stopIfTrue="1" operator="equal">
      <formula>"Napkin Hs"</formula>
    </cfRule>
  </conditionalFormatting>
  <conditionalFormatting sqref="C128">
    <cfRule type="cellIs" dxfId="5743" priority="1537" stopIfTrue="1" operator="equal">
      <formula>"Towel"</formula>
    </cfRule>
    <cfRule type="cellIs" dxfId="5742" priority="1538" stopIfTrue="1" operator="equal">
      <formula>"Napkin Hs"</formula>
    </cfRule>
  </conditionalFormatting>
  <conditionalFormatting sqref="C128">
    <cfRule type="cellIs" dxfId="5741" priority="1539" stopIfTrue="1" operator="equal">
      <formula>"Towel"</formula>
    </cfRule>
    <cfRule type="cellIs" dxfId="5740" priority="1540" stopIfTrue="1" operator="equal">
      <formula>"Napkin Hs"</formula>
    </cfRule>
  </conditionalFormatting>
  <conditionalFormatting sqref="B128:C128">
    <cfRule type="cellIs" dxfId="5739" priority="1536" stopIfTrue="1" operator="equal">
      <formula>"Napkin Hs"</formula>
    </cfRule>
  </conditionalFormatting>
  <conditionalFormatting sqref="B128:C128">
    <cfRule type="cellIs" dxfId="5738" priority="1535" stopIfTrue="1" operator="equal">
      <formula>"Towel"</formula>
    </cfRule>
  </conditionalFormatting>
  <conditionalFormatting sqref="C128">
    <cfRule type="cellIs" dxfId="5737" priority="1534" stopIfTrue="1" operator="equal">
      <formula>"Napkin Hs"</formula>
    </cfRule>
  </conditionalFormatting>
  <conditionalFormatting sqref="C128">
    <cfRule type="cellIs" dxfId="5736" priority="1533" stopIfTrue="1" operator="equal">
      <formula>"Towel"</formula>
    </cfRule>
  </conditionalFormatting>
  <conditionalFormatting sqref="C128">
    <cfRule type="cellIs" dxfId="5735" priority="1531" stopIfTrue="1" operator="equal">
      <formula>"Towel"</formula>
    </cfRule>
    <cfRule type="cellIs" dxfId="5734" priority="1532" stopIfTrue="1" operator="equal">
      <formula>"Napkin Hs"</formula>
    </cfRule>
  </conditionalFormatting>
  <conditionalFormatting sqref="B128:C128">
    <cfRule type="cellIs" dxfId="5733" priority="1529" stopIfTrue="1" operator="equal">
      <formula>"Towel"</formula>
    </cfRule>
    <cfRule type="cellIs" dxfId="5732" priority="1530" stopIfTrue="1" operator="equal">
      <formula>"Napkin Hs"</formula>
    </cfRule>
  </conditionalFormatting>
  <conditionalFormatting sqref="C128">
    <cfRule type="cellIs" dxfId="5731" priority="1527" stopIfTrue="1" operator="equal">
      <formula>"Towel"</formula>
    </cfRule>
    <cfRule type="cellIs" dxfId="5730" priority="1528" stopIfTrue="1" operator="equal">
      <formula>"Napkin Hs"</formula>
    </cfRule>
  </conditionalFormatting>
  <conditionalFormatting sqref="C128">
    <cfRule type="cellIs" dxfId="5729" priority="1525" stopIfTrue="1" operator="equal">
      <formula>"Towel"</formula>
    </cfRule>
    <cfRule type="cellIs" dxfId="5728" priority="1526" stopIfTrue="1" operator="equal">
      <formula>"Napkin Hs"</formula>
    </cfRule>
  </conditionalFormatting>
  <conditionalFormatting sqref="B128:C128">
    <cfRule type="cellIs" dxfId="5727" priority="1523" stopIfTrue="1" operator="equal">
      <formula>"Towel"</formula>
    </cfRule>
    <cfRule type="cellIs" dxfId="5726" priority="1524" stopIfTrue="1" operator="equal">
      <formula>"Napkin Hs"</formula>
    </cfRule>
  </conditionalFormatting>
  <conditionalFormatting sqref="C128">
    <cfRule type="cellIs" dxfId="5725" priority="1521" stopIfTrue="1" operator="equal">
      <formula>"Towel"</formula>
    </cfRule>
    <cfRule type="cellIs" dxfId="5724" priority="1522" stopIfTrue="1" operator="equal">
      <formula>"Napkin Hs"</formula>
    </cfRule>
  </conditionalFormatting>
  <conditionalFormatting sqref="C128">
    <cfRule type="cellIs" dxfId="5723" priority="1519" stopIfTrue="1" operator="equal">
      <formula>"Towel"</formula>
    </cfRule>
    <cfRule type="cellIs" dxfId="5722" priority="1520" stopIfTrue="1" operator="equal">
      <formula>"Napkin Hs"</formula>
    </cfRule>
  </conditionalFormatting>
  <conditionalFormatting sqref="B128:C128">
    <cfRule type="cellIs" dxfId="5721" priority="1517" stopIfTrue="1" operator="equal">
      <formula>"Towel"</formula>
    </cfRule>
    <cfRule type="cellIs" dxfId="5720" priority="1518" stopIfTrue="1" operator="equal">
      <formula>"Napkin Hs"</formula>
    </cfRule>
  </conditionalFormatting>
  <conditionalFormatting sqref="C128">
    <cfRule type="cellIs" dxfId="5719" priority="1515" stopIfTrue="1" operator="equal">
      <formula>"Towel"</formula>
    </cfRule>
    <cfRule type="cellIs" dxfId="5718" priority="1516" stopIfTrue="1" operator="equal">
      <formula>"Napkin Hs"</formula>
    </cfRule>
  </conditionalFormatting>
  <conditionalFormatting sqref="C128">
    <cfRule type="cellIs" dxfId="5717" priority="1513" stopIfTrue="1" operator="equal">
      <formula>"Towel"</formula>
    </cfRule>
    <cfRule type="cellIs" dxfId="5716" priority="1514" stopIfTrue="1" operator="equal">
      <formula>"Napkin Hs"</formula>
    </cfRule>
  </conditionalFormatting>
  <conditionalFormatting sqref="B128:C128">
    <cfRule type="cellIs" dxfId="5715" priority="1511" stopIfTrue="1" operator="equal">
      <formula>"Towel"</formula>
    </cfRule>
    <cfRule type="cellIs" dxfId="5714" priority="1512" stopIfTrue="1" operator="equal">
      <formula>"Napkin Hs"</formula>
    </cfRule>
  </conditionalFormatting>
  <conditionalFormatting sqref="C128">
    <cfRule type="cellIs" dxfId="5713" priority="1509" stopIfTrue="1" operator="equal">
      <formula>"Towel"</formula>
    </cfRule>
    <cfRule type="cellIs" dxfId="5712" priority="1510" stopIfTrue="1" operator="equal">
      <formula>"Napkin Hs"</formula>
    </cfRule>
  </conditionalFormatting>
  <conditionalFormatting sqref="C128">
    <cfRule type="cellIs" dxfId="5711" priority="1507" stopIfTrue="1" operator="equal">
      <formula>"Towel"</formula>
    </cfRule>
    <cfRule type="cellIs" dxfId="5710" priority="1508" stopIfTrue="1" operator="equal">
      <formula>"Napkin Hs"</formula>
    </cfRule>
  </conditionalFormatting>
  <conditionalFormatting sqref="B128:C128">
    <cfRule type="cellIs" dxfId="5709" priority="1505" stopIfTrue="1" operator="equal">
      <formula>"Towel"</formula>
    </cfRule>
    <cfRule type="cellIs" dxfId="5708" priority="1506" stopIfTrue="1" operator="equal">
      <formula>"Napkin Hs"</formula>
    </cfRule>
  </conditionalFormatting>
  <conditionalFormatting sqref="C128">
    <cfRule type="cellIs" dxfId="5707" priority="1503" stopIfTrue="1" operator="equal">
      <formula>"Towel"</formula>
    </cfRule>
    <cfRule type="cellIs" dxfId="5706" priority="1504" stopIfTrue="1" operator="equal">
      <formula>"Napkin Hs"</formula>
    </cfRule>
  </conditionalFormatting>
  <conditionalFormatting sqref="C128">
    <cfRule type="cellIs" dxfId="5705" priority="1501" stopIfTrue="1" operator="equal">
      <formula>"Towel"</formula>
    </cfRule>
    <cfRule type="cellIs" dxfId="5704" priority="1502" stopIfTrue="1" operator="equal">
      <formula>"Napkin Hs"</formula>
    </cfRule>
  </conditionalFormatting>
  <conditionalFormatting sqref="B128:C128">
    <cfRule type="cellIs" dxfId="5703" priority="1500" stopIfTrue="1" operator="equal">
      <formula>"Napkin Hs"</formula>
    </cfRule>
  </conditionalFormatting>
  <conditionalFormatting sqref="B128:C128">
    <cfRule type="cellIs" dxfId="5702" priority="1499" stopIfTrue="1" operator="equal">
      <formula>"Towel"</formula>
    </cfRule>
  </conditionalFormatting>
  <conditionalFormatting sqref="C128">
    <cfRule type="cellIs" dxfId="5701" priority="1498" stopIfTrue="1" operator="equal">
      <formula>"Napkin Hs"</formula>
    </cfRule>
  </conditionalFormatting>
  <conditionalFormatting sqref="C128">
    <cfRule type="cellIs" dxfId="5700" priority="1495" stopIfTrue="1" operator="equal">
      <formula>"Towel"</formula>
    </cfRule>
    <cfRule type="cellIs" dxfId="5699" priority="1496" stopIfTrue="1" operator="equal">
      <formula>"Napkin Hs"</formula>
    </cfRule>
  </conditionalFormatting>
  <conditionalFormatting sqref="C128">
    <cfRule type="cellIs" dxfId="5698" priority="1497" stopIfTrue="1" operator="equal">
      <formula>"Towel"</formula>
    </cfRule>
  </conditionalFormatting>
  <conditionalFormatting sqref="B128:C128">
    <cfRule type="cellIs" dxfId="5697" priority="1494" stopIfTrue="1" operator="equal">
      <formula>"Napkin Hs"</formula>
    </cfRule>
  </conditionalFormatting>
  <conditionalFormatting sqref="B128:C128">
    <cfRule type="cellIs" dxfId="5696" priority="1493" stopIfTrue="1" operator="equal">
      <formula>"Towel"</formula>
    </cfRule>
  </conditionalFormatting>
  <conditionalFormatting sqref="C128">
    <cfRule type="cellIs" dxfId="5695" priority="1492" stopIfTrue="1" operator="equal">
      <formula>"Napkin Hs"</formula>
    </cfRule>
  </conditionalFormatting>
  <conditionalFormatting sqref="C128">
    <cfRule type="cellIs" dxfId="5694" priority="1491" stopIfTrue="1" operator="equal">
      <formula>"Towel"</formula>
    </cfRule>
  </conditionalFormatting>
  <conditionalFormatting sqref="C128">
    <cfRule type="cellIs" dxfId="5693" priority="1489" stopIfTrue="1" operator="equal">
      <formula>"Towel"</formula>
    </cfRule>
    <cfRule type="cellIs" dxfId="5692" priority="1490" stopIfTrue="1" operator="equal">
      <formula>"Napkin Hs"</formula>
    </cfRule>
  </conditionalFormatting>
  <conditionalFormatting sqref="B128:C128">
    <cfRule type="cellIs" dxfId="5691" priority="1487" stopIfTrue="1" operator="equal">
      <formula>"Towel"</formula>
    </cfRule>
    <cfRule type="cellIs" dxfId="5690" priority="1488" stopIfTrue="1" operator="equal">
      <formula>"Napkin Hs"</formula>
    </cfRule>
  </conditionalFormatting>
  <conditionalFormatting sqref="C128">
    <cfRule type="cellIs" dxfId="5689" priority="1483" stopIfTrue="1" operator="equal">
      <formula>"Towel"</formula>
    </cfRule>
    <cfRule type="cellIs" dxfId="5688" priority="1484" stopIfTrue="1" operator="equal">
      <formula>"Napkin Hs"</formula>
    </cfRule>
  </conditionalFormatting>
  <conditionalFormatting sqref="C128">
    <cfRule type="cellIs" dxfId="5687" priority="1485" stopIfTrue="1" operator="equal">
      <formula>"Towel"</formula>
    </cfRule>
    <cfRule type="cellIs" dxfId="5686" priority="1486" stopIfTrue="1" operator="equal">
      <formula>"Napkin Hs"</formula>
    </cfRule>
  </conditionalFormatting>
  <conditionalFormatting sqref="B128:C128">
    <cfRule type="cellIs" dxfId="5685" priority="1482" stopIfTrue="1" operator="equal">
      <formula>"Napkin Hs"</formula>
    </cfRule>
  </conditionalFormatting>
  <conditionalFormatting sqref="B128:C128">
    <cfRule type="cellIs" dxfId="5684" priority="1481" stopIfTrue="1" operator="equal">
      <formula>"Towel"</formula>
    </cfRule>
  </conditionalFormatting>
  <conditionalFormatting sqref="C128">
    <cfRule type="cellIs" dxfId="5683" priority="1480" stopIfTrue="1" operator="equal">
      <formula>"Napkin Hs"</formula>
    </cfRule>
  </conditionalFormatting>
  <conditionalFormatting sqref="C128">
    <cfRule type="cellIs" dxfId="5682" priority="1479" stopIfTrue="1" operator="equal">
      <formula>"Towel"</formula>
    </cfRule>
  </conditionalFormatting>
  <conditionalFormatting sqref="C128">
    <cfRule type="cellIs" dxfId="5681" priority="1477" stopIfTrue="1" operator="equal">
      <formula>"Towel"</formula>
    </cfRule>
    <cfRule type="cellIs" dxfId="5680" priority="1478" stopIfTrue="1" operator="equal">
      <formula>"Napkin Hs"</formula>
    </cfRule>
  </conditionalFormatting>
  <conditionalFormatting sqref="B128:C128">
    <cfRule type="cellIs" dxfId="5679" priority="1475" stopIfTrue="1" operator="equal">
      <formula>"Towel"</formula>
    </cfRule>
    <cfRule type="cellIs" dxfId="5678" priority="1476" stopIfTrue="1" operator="equal">
      <formula>"Napkin Hs"</formula>
    </cfRule>
  </conditionalFormatting>
  <conditionalFormatting sqref="C128">
    <cfRule type="cellIs" dxfId="5677" priority="1473" stopIfTrue="1" operator="equal">
      <formula>"Towel"</formula>
    </cfRule>
    <cfRule type="cellIs" dxfId="5676" priority="1474" stopIfTrue="1" operator="equal">
      <formula>"Napkin Hs"</formula>
    </cfRule>
  </conditionalFormatting>
  <conditionalFormatting sqref="C128">
    <cfRule type="cellIs" dxfId="5675" priority="1471" stopIfTrue="1" operator="equal">
      <formula>"Towel"</formula>
    </cfRule>
    <cfRule type="cellIs" dxfId="5674" priority="1472" stopIfTrue="1" operator="equal">
      <formula>"Napkin Hs"</formula>
    </cfRule>
  </conditionalFormatting>
  <conditionalFormatting sqref="B128:C128">
    <cfRule type="cellIs" dxfId="5673" priority="1469" stopIfTrue="1" operator="equal">
      <formula>"Towel"</formula>
    </cfRule>
    <cfRule type="cellIs" dxfId="5672" priority="1470" stopIfTrue="1" operator="equal">
      <formula>"Napkin Hs"</formula>
    </cfRule>
  </conditionalFormatting>
  <conditionalFormatting sqref="C128">
    <cfRule type="cellIs" dxfId="5671" priority="1467" stopIfTrue="1" operator="equal">
      <formula>"Towel"</formula>
    </cfRule>
    <cfRule type="cellIs" dxfId="5670" priority="1468" stopIfTrue="1" operator="equal">
      <formula>"Napkin Hs"</formula>
    </cfRule>
  </conditionalFormatting>
  <conditionalFormatting sqref="C128">
    <cfRule type="cellIs" dxfId="5669" priority="1465" stopIfTrue="1" operator="equal">
      <formula>"Towel"</formula>
    </cfRule>
    <cfRule type="cellIs" dxfId="5668" priority="1466" stopIfTrue="1" operator="equal">
      <formula>"Napkin Hs"</formula>
    </cfRule>
  </conditionalFormatting>
  <conditionalFormatting sqref="B128:C128">
    <cfRule type="cellIs" dxfId="5667" priority="1463" stopIfTrue="1" operator="equal">
      <formula>"Towel"</formula>
    </cfRule>
    <cfRule type="cellIs" dxfId="5666" priority="1464" stopIfTrue="1" operator="equal">
      <formula>"Napkin Hs"</formula>
    </cfRule>
  </conditionalFormatting>
  <conditionalFormatting sqref="C128">
    <cfRule type="cellIs" dxfId="5665" priority="1461" stopIfTrue="1" operator="equal">
      <formula>"Towel"</formula>
    </cfRule>
    <cfRule type="cellIs" dxfId="5664" priority="1462" stopIfTrue="1" operator="equal">
      <formula>"Napkin Hs"</formula>
    </cfRule>
  </conditionalFormatting>
  <conditionalFormatting sqref="C128">
    <cfRule type="cellIs" dxfId="5663" priority="1459" stopIfTrue="1" operator="equal">
      <formula>"Towel"</formula>
    </cfRule>
    <cfRule type="cellIs" dxfId="5662" priority="1460" stopIfTrue="1" operator="equal">
      <formula>"Napkin Hs"</formula>
    </cfRule>
  </conditionalFormatting>
  <conditionalFormatting sqref="B128:C128">
    <cfRule type="cellIs" dxfId="5661" priority="1457" stopIfTrue="1" operator="equal">
      <formula>"Towel"</formula>
    </cfRule>
    <cfRule type="cellIs" dxfId="5660" priority="1458" stopIfTrue="1" operator="equal">
      <formula>"Napkin Hs"</formula>
    </cfRule>
  </conditionalFormatting>
  <conditionalFormatting sqref="C128">
    <cfRule type="cellIs" dxfId="5659" priority="1455" stopIfTrue="1" operator="equal">
      <formula>"Towel"</formula>
    </cfRule>
    <cfRule type="cellIs" dxfId="5658" priority="1456" stopIfTrue="1" operator="equal">
      <formula>"Napkin Hs"</formula>
    </cfRule>
  </conditionalFormatting>
  <conditionalFormatting sqref="C128">
    <cfRule type="cellIs" dxfId="5657" priority="1453" stopIfTrue="1" operator="equal">
      <formula>"Towel"</formula>
    </cfRule>
    <cfRule type="cellIs" dxfId="5656" priority="1454" stopIfTrue="1" operator="equal">
      <formula>"Napkin Hs"</formula>
    </cfRule>
  </conditionalFormatting>
  <conditionalFormatting sqref="B128:C128">
    <cfRule type="cellIs" dxfId="5655" priority="1451" stopIfTrue="1" operator="equal">
      <formula>"Towel"</formula>
    </cfRule>
    <cfRule type="cellIs" dxfId="5654" priority="1452" stopIfTrue="1" operator="equal">
      <formula>"Napkin Hs"</formula>
    </cfRule>
  </conditionalFormatting>
  <conditionalFormatting sqref="C128">
    <cfRule type="cellIs" dxfId="5653" priority="1449" stopIfTrue="1" operator="equal">
      <formula>"Towel"</formula>
    </cfRule>
    <cfRule type="cellIs" dxfId="5652" priority="1450" stopIfTrue="1" operator="equal">
      <formula>"Napkin Hs"</formula>
    </cfRule>
  </conditionalFormatting>
  <conditionalFormatting sqref="C128">
    <cfRule type="cellIs" dxfId="5651" priority="1447" stopIfTrue="1" operator="equal">
      <formula>"Towel"</formula>
    </cfRule>
    <cfRule type="cellIs" dxfId="5650" priority="1448" stopIfTrue="1" operator="equal">
      <formula>"Napkin Hs"</formula>
    </cfRule>
  </conditionalFormatting>
  <conditionalFormatting sqref="B128:C128">
    <cfRule type="cellIs" dxfId="5649" priority="1446" stopIfTrue="1" operator="equal">
      <formula>"Napkin Hs"</formula>
    </cfRule>
  </conditionalFormatting>
  <conditionalFormatting sqref="B128:C128">
    <cfRule type="cellIs" dxfId="5648" priority="1445" stopIfTrue="1" operator="equal">
      <formula>"Towel"</formula>
    </cfRule>
  </conditionalFormatting>
  <conditionalFormatting sqref="C128">
    <cfRule type="cellIs" dxfId="5647" priority="1444" stopIfTrue="1" operator="equal">
      <formula>"Napkin Hs"</formula>
    </cfRule>
  </conditionalFormatting>
  <conditionalFormatting sqref="C128">
    <cfRule type="cellIs" dxfId="5646" priority="1441" stopIfTrue="1" operator="equal">
      <formula>"Towel"</formula>
    </cfRule>
    <cfRule type="cellIs" dxfId="5645" priority="1442" stopIfTrue="1" operator="equal">
      <formula>"Napkin Hs"</formula>
    </cfRule>
  </conditionalFormatting>
  <conditionalFormatting sqref="C128">
    <cfRule type="cellIs" dxfId="5644" priority="1443" stopIfTrue="1" operator="equal">
      <formula>"Towel"</formula>
    </cfRule>
  </conditionalFormatting>
  <conditionalFormatting sqref="B128:C128">
    <cfRule type="cellIs" dxfId="5643" priority="1440" stopIfTrue="1" operator="equal">
      <formula>"Napkin Hs"</formula>
    </cfRule>
  </conditionalFormatting>
  <conditionalFormatting sqref="B128:C128">
    <cfRule type="cellIs" dxfId="5642" priority="1439" stopIfTrue="1" operator="equal">
      <formula>"Towel"</formula>
    </cfRule>
  </conditionalFormatting>
  <conditionalFormatting sqref="C128">
    <cfRule type="cellIs" dxfId="5641" priority="1438" stopIfTrue="1" operator="equal">
      <formula>"Napkin Hs"</formula>
    </cfRule>
  </conditionalFormatting>
  <conditionalFormatting sqref="C128">
    <cfRule type="cellIs" dxfId="5640" priority="1435" stopIfTrue="1" operator="equal">
      <formula>"Towel"</formula>
    </cfRule>
    <cfRule type="cellIs" dxfId="5639" priority="1436" stopIfTrue="1" operator="equal">
      <formula>"Napkin Hs"</formula>
    </cfRule>
  </conditionalFormatting>
  <conditionalFormatting sqref="C128">
    <cfRule type="cellIs" dxfId="5638" priority="1437" stopIfTrue="1" operator="equal">
      <formula>"Towel"</formula>
    </cfRule>
  </conditionalFormatting>
  <conditionalFormatting sqref="B128:C128">
    <cfRule type="cellIs" dxfId="5637" priority="1434" stopIfTrue="1" operator="equal">
      <formula>"Napkin Hs"</formula>
    </cfRule>
  </conditionalFormatting>
  <conditionalFormatting sqref="B128:C128">
    <cfRule type="cellIs" dxfId="5636" priority="1433" stopIfTrue="1" operator="equal">
      <formula>"Towel"</formula>
    </cfRule>
  </conditionalFormatting>
  <conditionalFormatting sqref="C128">
    <cfRule type="cellIs" dxfId="5635" priority="1432" stopIfTrue="1" operator="equal">
      <formula>"Napkin Hs"</formula>
    </cfRule>
  </conditionalFormatting>
  <conditionalFormatting sqref="C128">
    <cfRule type="cellIs" dxfId="5634" priority="1429" stopIfTrue="1" operator="equal">
      <formula>"Towel"</formula>
    </cfRule>
    <cfRule type="cellIs" dxfId="5633" priority="1430" stopIfTrue="1" operator="equal">
      <formula>"Napkin Hs"</formula>
    </cfRule>
  </conditionalFormatting>
  <conditionalFormatting sqref="C128">
    <cfRule type="cellIs" dxfId="5632" priority="1431" stopIfTrue="1" operator="equal">
      <formula>"Towel"</formula>
    </cfRule>
  </conditionalFormatting>
  <conditionalFormatting sqref="B135:C135">
    <cfRule type="cellIs" dxfId="5631" priority="1428" stopIfTrue="1" operator="equal">
      <formula>"Napkin Hs"</formula>
    </cfRule>
  </conditionalFormatting>
  <conditionalFormatting sqref="B135:C135">
    <cfRule type="cellIs" dxfId="5630" priority="1427" stopIfTrue="1" operator="equal">
      <formula>"Towel"</formula>
    </cfRule>
  </conditionalFormatting>
  <conditionalFormatting sqref="C135">
    <cfRule type="cellIs" dxfId="5629" priority="1426" stopIfTrue="1" operator="equal">
      <formula>"Napkin Hs"</formula>
    </cfRule>
  </conditionalFormatting>
  <conditionalFormatting sqref="C135">
    <cfRule type="cellIs" dxfId="5628" priority="1425" stopIfTrue="1" operator="equal">
      <formula>"Towel"</formula>
    </cfRule>
  </conditionalFormatting>
  <conditionalFormatting sqref="C135">
    <cfRule type="cellIs" dxfId="5627" priority="1423" stopIfTrue="1" operator="equal">
      <formula>"Towel"</formula>
    </cfRule>
    <cfRule type="cellIs" dxfId="5626" priority="1424" stopIfTrue="1" operator="equal">
      <formula>"Napkin Hs"</formula>
    </cfRule>
  </conditionalFormatting>
  <conditionalFormatting sqref="B135:C135">
    <cfRule type="cellIs" dxfId="5625" priority="1422" stopIfTrue="1" operator="equal">
      <formula>"Napkin Hs"</formula>
    </cfRule>
  </conditionalFormatting>
  <conditionalFormatting sqref="B135:C135">
    <cfRule type="cellIs" dxfId="5624" priority="1421" stopIfTrue="1" operator="equal">
      <formula>"Towel"</formula>
    </cfRule>
  </conditionalFormatting>
  <conditionalFormatting sqref="C135">
    <cfRule type="cellIs" dxfId="5623" priority="1420" stopIfTrue="1" operator="equal">
      <formula>"Napkin Hs"</formula>
    </cfRule>
  </conditionalFormatting>
  <conditionalFormatting sqref="C135">
    <cfRule type="cellIs" dxfId="5622" priority="1419" stopIfTrue="1" operator="equal">
      <formula>"Towel"</formula>
    </cfRule>
  </conditionalFormatting>
  <conditionalFormatting sqref="C135">
    <cfRule type="cellIs" dxfId="5621" priority="1417" stopIfTrue="1" operator="equal">
      <formula>"Towel"</formula>
    </cfRule>
    <cfRule type="cellIs" dxfId="5620" priority="1418" stopIfTrue="1" operator="equal">
      <formula>"Napkin Hs"</formula>
    </cfRule>
  </conditionalFormatting>
  <conditionalFormatting sqref="B132:C132">
    <cfRule type="cellIs" dxfId="5619" priority="1110" stopIfTrue="1" operator="equal">
      <formula>"Napkin Hs"</formula>
    </cfRule>
  </conditionalFormatting>
  <conditionalFormatting sqref="B132:C132">
    <cfRule type="cellIs" dxfId="5618" priority="1109" stopIfTrue="1" operator="equal">
      <formula>"Towel"</formula>
    </cfRule>
  </conditionalFormatting>
  <conditionalFormatting sqref="C132">
    <cfRule type="cellIs" dxfId="5617" priority="1108" stopIfTrue="1" operator="equal">
      <formula>"Napkin Hs"</formula>
    </cfRule>
  </conditionalFormatting>
  <conditionalFormatting sqref="C132">
    <cfRule type="cellIs" dxfId="5616" priority="1107" stopIfTrue="1" operator="equal">
      <formula>"Towel"</formula>
    </cfRule>
  </conditionalFormatting>
  <conditionalFormatting sqref="C132">
    <cfRule type="cellIs" dxfId="5615" priority="1105" stopIfTrue="1" operator="equal">
      <formula>"Towel"</formula>
    </cfRule>
    <cfRule type="cellIs" dxfId="5614" priority="1106" stopIfTrue="1" operator="equal">
      <formula>"Napkin Hs"</formula>
    </cfRule>
  </conditionalFormatting>
  <conditionalFormatting sqref="B132:C132">
    <cfRule type="cellIs" dxfId="5613" priority="1103" stopIfTrue="1" operator="equal">
      <formula>"Towel"</formula>
    </cfRule>
    <cfRule type="cellIs" dxfId="5612" priority="1104" stopIfTrue="1" operator="equal">
      <formula>"Napkin Hs"</formula>
    </cfRule>
  </conditionalFormatting>
  <conditionalFormatting sqref="C132">
    <cfRule type="cellIs" dxfId="5611" priority="1101" stopIfTrue="1" operator="equal">
      <formula>"Towel"</formula>
    </cfRule>
    <cfRule type="cellIs" dxfId="5610" priority="1102" stopIfTrue="1" operator="equal">
      <formula>"Napkin Hs"</formula>
    </cfRule>
  </conditionalFormatting>
  <conditionalFormatting sqref="C132">
    <cfRule type="cellIs" dxfId="5609" priority="1099" stopIfTrue="1" operator="equal">
      <formula>"Towel"</formula>
    </cfRule>
    <cfRule type="cellIs" dxfId="5608" priority="1100" stopIfTrue="1" operator="equal">
      <formula>"Napkin Hs"</formula>
    </cfRule>
  </conditionalFormatting>
  <conditionalFormatting sqref="B132:C132">
    <cfRule type="cellIs" dxfId="5607" priority="1098" stopIfTrue="1" operator="equal">
      <formula>"Napkin Hs"</formula>
    </cfRule>
  </conditionalFormatting>
  <conditionalFormatting sqref="B132:C132">
    <cfRule type="cellIs" dxfId="5606" priority="1097" stopIfTrue="1" operator="equal">
      <formula>"Towel"</formula>
    </cfRule>
  </conditionalFormatting>
  <conditionalFormatting sqref="C132">
    <cfRule type="cellIs" dxfId="5605" priority="1096" stopIfTrue="1" operator="equal">
      <formula>"Napkin Hs"</formula>
    </cfRule>
  </conditionalFormatting>
  <conditionalFormatting sqref="C132">
    <cfRule type="cellIs" dxfId="5604" priority="1095" stopIfTrue="1" operator="equal">
      <formula>"Towel"</formula>
    </cfRule>
  </conditionalFormatting>
  <conditionalFormatting sqref="C132">
    <cfRule type="cellIs" dxfId="5603" priority="1093" stopIfTrue="1" operator="equal">
      <formula>"Towel"</formula>
    </cfRule>
    <cfRule type="cellIs" dxfId="5602" priority="1094" stopIfTrue="1" operator="equal">
      <formula>"Napkin Hs"</formula>
    </cfRule>
  </conditionalFormatting>
  <conditionalFormatting sqref="B132:C132">
    <cfRule type="cellIs" dxfId="5601" priority="1091" stopIfTrue="1" operator="equal">
      <formula>"Towel"</formula>
    </cfRule>
    <cfRule type="cellIs" dxfId="5600" priority="1092" stopIfTrue="1" operator="equal">
      <formula>"Napkin Hs"</formula>
    </cfRule>
  </conditionalFormatting>
  <conditionalFormatting sqref="C132">
    <cfRule type="cellIs" dxfId="5599" priority="1087" stopIfTrue="1" operator="equal">
      <formula>"Towel"</formula>
    </cfRule>
    <cfRule type="cellIs" dxfId="5598" priority="1088" stopIfTrue="1" operator="equal">
      <formula>"Napkin Hs"</formula>
    </cfRule>
  </conditionalFormatting>
  <conditionalFormatting sqref="C132">
    <cfRule type="cellIs" dxfId="5597" priority="1089" stopIfTrue="1" operator="equal">
      <formula>"Towel"</formula>
    </cfRule>
    <cfRule type="cellIs" dxfId="5596" priority="1090" stopIfTrue="1" operator="equal">
      <formula>"Napkin Hs"</formula>
    </cfRule>
  </conditionalFormatting>
  <conditionalFormatting sqref="B132:C132">
    <cfRule type="cellIs" dxfId="5595" priority="1086" stopIfTrue="1" operator="equal">
      <formula>"Napkin Hs"</formula>
    </cfRule>
  </conditionalFormatting>
  <conditionalFormatting sqref="B132:C132">
    <cfRule type="cellIs" dxfId="5594" priority="1085" stopIfTrue="1" operator="equal">
      <formula>"Towel"</formula>
    </cfRule>
  </conditionalFormatting>
  <conditionalFormatting sqref="C132">
    <cfRule type="cellIs" dxfId="5593" priority="1084" stopIfTrue="1" operator="equal">
      <formula>"Napkin Hs"</formula>
    </cfRule>
  </conditionalFormatting>
  <conditionalFormatting sqref="C132">
    <cfRule type="cellIs" dxfId="5592" priority="1083" stopIfTrue="1" operator="equal">
      <formula>"Towel"</formula>
    </cfRule>
  </conditionalFormatting>
  <conditionalFormatting sqref="C132">
    <cfRule type="cellIs" dxfId="5591" priority="1081" stopIfTrue="1" operator="equal">
      <formula>"Towel"</formula>
    </cfRule>
    <cfRule type="cellIs" dxfId="5590" priority="1082" stopIfTrue="1" operator="equal">
      <formula>"Napkin Hs"</formula>
    </cfRule>
  </conditionalFormatting>
  <conditionalFormatting sqref="B132:C132">
    <cfRule type="cellIs" dxfId="5589" priority="1079" stopIfTrue="1" operator="equal">
      <formula>"Towel"</formula>
    </cfRule>
    <cfRule type="cellIs" dxfId="5588" priority="1080" stopIfTrue="1" operator="equal">
      <formula>"Napkin Hs"</formula>
    </cfRule>
  </conditionalFormatting>
  <conditionalFormatting sqref="C132">
    <cfRule type="cellIs" dxfId="5587" priority="1077" stopIfTrue="1" operator="equal">
      <formula>"Towel"</formula>
    </cfRule>
    <cfRule type="cellIs" dxfId="5586" priority="1078" stopIfTrue="1" operator="equal">
      <formula>"Napkin Hs"</formula>
    </cfRule>
  </conditionalFormatting>
  <conditionalFormatting sqref="C132">
    <cfRule type="cellIs" dxfId="5585" priority="1075" stopIfTrue="1" operator="equal">
      <formula>"Towel"</formula>
    </cfRule>
    <cfRule type="cellIs" dxfId="5584" priority="1076" stopIfTrue="1" operator="equal">
      <formula>"Napkin Hs"</formula>
    </cfRule>
  </conditionalFormatting>
  <conditionalFormatting sqref="B132:C132">
    <cfRule type="cellIs" dxfId="5583" priority="1073" stopIfTrue="1" operator="equal">
      <formula>"Towel"</formula>
    </cfRule>
    <cfRule type="cellIs" dxfId="5582" priority="1074" stopIfTrue="1" operator="equal">
      <formula>"Napkin Hs"</formula>
    </cfRule>
  </conditionalFormatting>
  <conditionalFormatting sqref="C132">
    <cfRule type="cellIs" dxfId="5581" priority="1071" stopIfTrue="1" operator="equal">
      <formula>"Towel"</formula>
    </cfRule>
    <cfRule type="cellIs" dxfId="5580" priority="1072" stopIfTrue="1" operator="equal">
      <formula>"Napkin Hs"</formula>
    </cfRule>
  </conditionalFormatting>
  <conditionalFormatting sqref="C132">
    <cfRule type="cellIs" dxfId="5579" priority="1069" stopIfTrue="1" operator="equal">
      <formula>"Towel"</formula>
    </cfRule>
    <cfRule type="cellIs" dxfId="5578" priority="1070" stopIfTrue="1" operator="equal">
      <formula>"Napkin Hs"</formula>
    </cfRule>
  </conditionalFormatting>
  <conditionalFormatting sqref="B132:C132">
    <cfRule type="cellIs" dxfId="5577" priority="1067" stopIfTrue="1" operator="equal">
      <formula>"Towel"</formula>
    </cfRule>
    <cfRule type="cellIs" dxfId="5576" priority="1068" stopIfTrue="1" operator="equal">
      <formula>"Napkin Hs"</formula>
    </cfRule>
  </conditionalFormatting>
  <conditionalFormatting sqref="C132">
    <cfRule type="cellIs" dxfId="5575" priority="1065" stopIfTrue="1" operator="equal">
      <formula>"Towel"</formula>
    </cfRule>
    <cfRule type="cellIs" dxfId="5574" priority="1066" stopIfTrue="1" operator="equal">
      <formula>"Napkin Hs"</formula>
    </cfRule>
  </conditionalFormatting>
  <conditionalFormatting sqref="C132">
    <cfRule type="cellIs" dxfId="5573" priority="1063" stopIfTrue="1" operator="equal">
      <formula>"Towel"</formula>
    </cfRule>
    <cfRule type="cellIs" dxfId="5572" priority="1064" stopIfTrue="1" operator="equal">
      <formula>"Napkin Hs"</formula>
    </cfRule>
  </conditionalFormatting>
  <conditionalFormatting sqref="B132:C132">
    <cfRule type="cellIs" dxfId="5571" priority="1061" stopIfTrue="1" operator="equal">
      <formula>"Towel"</formula>
    </cfRule>
    <cfRule type="cellIs" dxfId="5570" priority="1062" stopIfTrue="1" operator="equal">
      <formula>"Napkin Hs"</formula>
    </cfRule>
  </conditionalFormatting>
  <conditionalFormatting sqref="C132">
    <cfRule type="cellIs" dxfId="5569" priority="1059" stopIfTrue="1" operator="equal">
      <formula>"Towel"</formula>
    </cfRule>
    <cfRule type="cellIs" dxfId="5568" priority="1060" stopIfTrue="1" operator="equal">
      <formula>"Napkin Hs"</formula>
    </cfRule>
  </conditionalFormatting>
  <conditionalFormatting sqref="C132">
    <cfRule type="cellIs" dxfId="5567" priority="1057" stopIfTrue="1" operator="equal">
      <formula>"Towel"</formula>
    </cfRule>
    <cfRule type="cellIs" dxfId="5566" priority="1058" stopIfTrue="1" operator="equal">
      <formula>"Napkin Hs"</formula>
    </cfRule>
  </conditionalFormatting>
  <conditionalFormatting sqref="B132:C132">
    <cfRule type="cellIs" dxfId="5565" priority="1055" stopIfTrue="1" operator="equal">
      <formula>"Towel"</formula>
    </cfRule>
    <cfRule type="cellIs" dxfId="5564" priority="1056" stopIfTrue="1" operator="equal">
      <formula>"Napkin Hs"</formula>
    </cfRule>
  </conditionalFormatting>
  <conditionalFormatting sqref="C132">
    <cfRule type="cellIs" dxfId="5563" priority="1053" stopIfTrue="1" operator="equal">
      <formula>"Towel"</formula>
    </cfRule>
    <cfRule type="cellIs" dxfId="5562" priority="1054" stopIfTrue="1" operator="equal">
      <formula>"Napkin Hs"</formula>
    </cfRule>
  </conditionalFormatting>
  <conditionalFormatting sqref="C132">
    <cfRule type="cellIs" dxfId="5561" priority="1051" stopIfTrue="1" operator="equal">
      <formula>"Towel"</formula>
    </cfRule>
    <cfRule type="cellIs" dxfId="5560" priority="1052" stopIfTrue="1" operator="equal">
      <formula>"Napkin Hs"</formula>
    </cfRule>
  </conditionalFormatting>
  <conditionalFormatting sqref="B132:C132">
    <cfRule type="cellIs" dxfId="5559" priority="1050" stopIfTrue="1" operator="equal">
      <formula>"Napkin Hs"</formula>
    </cfRule>
  </conditionalFormatting>
  <conditionalFormatting sqref="B132:C132">
    <cfRule type="cellIs" dxfId="5558" priority="1049" stopIfTrue="1" operator="equal">
      <formula>"Towel"</formula>
    </cfRule>
  </conditionalFormatting>
  <conditionalFormatting sqref="C132">
    <cfRule type="cellIs" dxfId="5557" priority="1048" stopIfTrue="1" operator="equal">
      <formula>"Napkin Hs"</formula>
    </cfRule>
  </conditionalFormatting>
  <conditionalFormatting sqref="C132">
    <cfRule type="cellIs" dxfId="5556" priority="1045" stopIfTrue="1" operator="equal">
      <formula>"Towel"</formula>
    </cfRule>
    <cfRule type="cellIs" dxfId="5555" priority="1046" stopIfTrue="1" operator="equal">
      <formula>"Napkin Hs"</formula>
    </cfRule>
  </conditionalFormatting>
  <conditionalFormatting sqref="C132">
    <cfRule type="cellIs" dxfId="5554" priority="1047" stopIfTrue="1" operator="equal">
      <formula>"Towel"</formula>
    </cfRule>
  </conditionalFormatting>
  <conditionalFormatting sqref="B132:C132">
    <cfRule type="cellIs" dxfId="5553" priority="1044" stopIfTrue="1" operator="equal">
      <formula>"Napkin Hs"</formula>
    </cfRule>
  </conditionalFormatting>
  <conditionalFormatting sqref="B132:C132">
    <cfRule type="cellIs" dxfId="5552" priority="1043" stopIfTrue="1" operator="equal">
      <formula>"Towel"</formula>
    </cfRule>
  </conditionalFormatting>
  <conditionalFormatting sqref="C132">
    <cfRule type="cellIs" dxfId="5551" priority="1042" stopIfTrue="1" operator="equal">
      <formula>"Napkin Hs"</formula>
    </cfRule>
  </conditionalFormatting>
  <conditionalFormatting sqref="C132">
    <cfRule type="cellIs" dxfId="5550" priority="1041" stopIfTrue="1" operator="equal">
      <formula>"Towel"</formula>
    </cfRule>
  </conditionalFormatting>
  <conditionalFormatting sqref="C132">
    <cfRule type="cellIs" dxfId="5549" priority="1039" stopIfTrue="1" operator="equal">
      <formula>"Towel"</formula>
    </cfRule>
    <cfRule type="cellIs" dxfId="5548" priority="1040" stopIfTrue="1" operator="equal">
      <formula>"Napkin Hs"</formula>
    </cfRule>
  </conditionalFormatting>
  <conditionalFormatting sqref="B132:C132">
    <cfRule type="cellIs" dxfId="5547" priority="1037" stopIfTrue="1" operator="equal">
      <formula>"Towel"</formula>
    </cfRule>
    <cfRule type="cellIs" dxfId="5546" priority="1038" stopIfTrue="1" operator="equal">
      <formula>"Napkin Hs"</formula>
    </cfRule>
  </conditionalFormatting>
  <conditionalFormatting sqref="C132">
    <cfRule type="cellIs" dxfId="5545" priority="1033" stopIfTrue="1" operator="equal">
      <formula>"Towel"</formula>
    </cfRule>
    <cfRule type="cellIs" dxfId="5544" priority="1034" stopIfTrue="1" operator="equal">
      <formula>"Napkin Hs"</formula>
    </cfRule>
  </conditionalFormatting>
  <conditionalFormatting sqref="C132">
    <cfRule type="cellIs" dxfId="5543" priority="1035" stopIfTrue="1" operator="equal">
      <formula>"Towel"</formula>
    </cfRule>
    <cfRule type="cellIs" dxfId="5542" priority="1036" stopIfTrue="1" operator="equal">
      <formula>"Napkin Hs"</formula>
    </cfRule>
  </conditionalFormatting>
  <conditionalFormatting sqref="B132:C132">
    <cfRule type="cellIs" dxfId="5541" priority="1032" stopIfTrue="1" operator="equal">
      <formula>"Napkin Hs"</formula>
    </cfRule>
  </conditionalFormatting>
  <conditionalFormatting sqref="B132:C132">
    <cfRule type="cellIs" dxfId="5540" priority="1031" stopIfTrue="1" operator="equal">
      <formula>"Towel"</formula>
    </cfRule>
  </conditionalFormatting>
  <conditionalFormatting sqref="C132">
    <cfRule type="cellIs" dxfId="5539" priority="1030" stopIfTrue="1" operator="equal">
      <formula>"Napkin Hs"</formula>
    </cfRule>
  </conditionalFormatting>
  <conditionalFormatting sqref="C132">
    <cfRule type="cellIs" dxfId="5538" priority="1029" stopIfTrue="1" operator="equal">
      <formula>"Towel"</formula>
    </cfRule>
  </conditionalFormatting>
  <conditionalFormatting sqref="C132">
    <cfRule type="cellIs" dxfId="5537" priority="1027" stopIfTrue="1" operator="equal">
      <formula>"Towel"</formula>
    </cfRule>
    <cfRule type="cellIs" dxfId="5536" priority="1028" stopIfTrue="1" operator="equal">
      <formula>"Napkin Hs"</formula>
    </cfRule>
  </conditionalFormatting>
  <conditionalFormatting sqref="B132:C132">
    <cfRule type="cellIs" dxfId="5535" priority="1025" stopIfTrue="1" operator="equal">
      <formula>"Towel"</formula>
    </cfRule>
    <cfRule type="cellIs" dxfId="5534" priority="1026" stopIfTrue="1" operator="equal">
      <formula>"Napkin Hs"</formula>
    </cfRule>
  </conditionalFormatting>
  <conditionalFormatting sqref="C132">
    <cfRule type="cellIs" dxfId="5533" priority="1023" stopIfTrue="1" operator="equal">
      <formula>"Towel"</formula>
    </cfRule>
    <cfRule type="cellIs" dxfId="5532" priority="1024" stopIfTrue="1" operator="equal">
      <formula>"Napkin Hs"</formula>
    </cfRule>
  </conditionalFormatting>
  <conditionalFormatting sqref="C132">
    <cfRule type="cellIs" dxfId="5531" priority="1021" stopIfTrue="1" operator="equal">
      <formula>"Towel"</formula>
    </cfRule>
    <cfRule type="cellIs" dxfId="5530" priority="1022" stopIfTrue="1" operator="equal">
      <formula>"Napkin Hs"</formula>
    </cfRule>
  </conditionalFormatting>
  <conditionalFormatting sqref="B132:C132">
    <cfRule type="cellIs" dxfId="5529" priority="1019" stopIfTrue="1" operator="equal">
      <formula>"Towel"</formula>
    </cfRule>
    <cfRule type="cellIs" dxfId="5528" priority="1020" stopIfTrue="1" operator="equal">
      <formula>"Napkin Hs"</formula>
    </cfRule>
  </conditionalFormatting>
  <conditionalFormatting sqref="C132">
    <cfRule type="cellIs" dxfId="5527" priority="1017" stopIfTrue="1" operator="equal">
      <formula>"Towel"</formula>
    </cfRule>
    <cfRule type="cellIs" dxfId="5526" priority="1018" stopIfTrue="1" operator="equal">
      <formula>"Napkin Hs"</formula>
    </cfRule>
  </conditionalFormatting>
  <conditionalFormatting sqref="C132">
    <cfRule type="cellIs" dxfId="5525" priority="1015" stopIfTrue="1" operator="equal">
      <formula>"Towel"</formula>
    </cfRule>
    <cfRule type="cellIs" dxfId="5524" priority="1016" stopIfTrue="1" operator="equal">
      <formula>"Napkin Hs"</formula>
    </cfRule>
  </conditionalFormatting>
  <conditionalFormatting sqref="B132:C132">
    <cfRule type="cellIs" dxfId="5523" priority="1013" stopIfTrue="1" operator="equal">
      <formula>"Towel"</formula>
    </cfRule>
    <cfRule type="cellIs" dxfId="5522" priority="1014" stopIfTrue="1" operator="equal">
      <formula>"Napkin Hs"</formula>
    </cfRule>
  </conditionalFormatting>
  <conditionalFormatting sqref="C132">
    <cfRule type="cellIs" dxfId="5521" priority="1011" stopIfTrue="1" operator="equal">
      <formula>"Towel"</formula>
    </cfRule>
    <cfRule type="cellIs" dxfId="5520" priority="1012" stopIfTrue="1" operator="equal">
      <formula>"Napkin Hs"</formula>
    </cfRule>
  </conditionalFormatting>
  <conditionalFormatting sqref="C132">
    <cfRule type="cellIs" dxfId="5519" priority="1009" stopIfTrue="1" operator="equal">
      <formula>"Towel"</formula>
    </cfRule>
    <cfRule type="cellIs" dxfId="5518" priority="1010" stopIfTrue="1" operator="equal">
      <formula>"Napkin Hs"</formula>
    </cfRule>
  </conditionalFormatting>
  <conditionalFormatting sqref="B132:C132">
    <cfRule type="cellIs" dxfId="5517" priority="1007" stopIfTrue="1" operator="equal">
      <formula>"Towel"</formula>
    </cfRule>
    <cfRule type="cellIs" dxfId="5516" priority="1008" stopIfTrue="1" operator="equal">
      <formula>"Napkin Hs"</formula>
    </cfRule>
  </conditionalFormatting>
  <conditionalFormatting sqref="C132">
    <cfRule type="cellIs" dxfId="5515" priority="1005" stopIfTrue="1" operator="equal">
      <formula>"Towel"</formula>
    </cfRule>
    <cfRule type="cellIs" dxfId="5514" priority="1006" stopIfTrue="1" operator="equal">
      <formula>"Napkin Hs"</formula>
    </cfRule>
  </conditionalFormatting>
  <conditionalFormatting sqref="C132">
    <cfRule type="cellIs" dxfId="5513" priority="1003" stopIfTrue="1" operator="equal">
      <formula>"Towel"</formula>
    </cfRule>
    <cfRule type="cellIs" dxfId="5512" priority="1004" stopIfTrue="1" operator="equal">
      <formula>"Napkin Hs"</formula>
    </cfRule>
  </conditionalFormatting>
  <conditionalFormatting sqref="B132:C132">
    <cfRule type="cellIs" dxfId="5511" priority="1001" stopIfTrue="1" operator="equal">
      <formula>"Towel"</formula>
    </cfRule>
    <cfRule type="cellIs" dxfId="5510" priority="1002" stopIfTrue="1" operator="equal">
      <formula>"Napkin Hs"</formula>
    </cfRule>
  </conditionalFormatting>
  <conditionalFormatting sqref="C132">
    <cfRule type="cellIs" dxfId="5509" priority="999" stopIfTrue="1" operator="equal">
      <formula>"Towel"</formula>
    </cfRule>
    <cfRule type="cellIs" dxfId="5508" priority="1000" stopIfTrue="1" operator="equal">
      <formula>"Napkin Hs"</formula>
    </cfRule>
  </conditionalFormatting>
  <conditionalFormatting sqref="C132">
    <cfRule type="cellIs" dxfId="5507" priority="997" stopIfTrue="1" operator="equal">
      <formula>"Towel"</formula>
    </cfRule>
    <cfRule type="cellIs" dxfId="5506" priority="998" stopIfTrue="1" operator="equal">
      <formula>"Napkin Hs"</formula>
    </cfRule>
  </conditionalFormatting>
  <conditionalFormatting sqref="B132:C132">
    <cfRule type="cellIs" dxfId="5505" priority="996" stopIfTrue="1" operator="equal">
      <formula>"Napkin Hs"</formula>
    </cfRule>
  </conditionalFormatting>
  <conditionalFormatting sqref="B132:C132">
    <cfRule type="cellIs" dxfId="5504" priority="995" stopIfTrue="1" operator="equal">
      <formula>"Towel"</formula>
    </cfRule>
  </conditionalFormatting>
  <conditionalFormatting sqref="C132">
    <cfRule type="cellIs" dxfId="5503" priority="994" stopIfTrue="1" operator="equal">
      <formula>"Napkin Hs"</formula>
    </cfRule>
  </conditionalFormatting>
  <conditionalFormatting sqref="C132">
    <cfRule type="cellIs" dxfId="5502" priority="991" stopIfTrue="1" operator="equal">
      <formula>"Towel"</formula>
    </cfRule>
    <cfRule type="cellIs" dxfId="5501" priority="992" stopIfTrue="1" operator="equal">
      <formula>"Napkin Hs"</formula>
    </cfRule>
  </conditionalFormatting>
  <conditionalFormatting sqref="C132">
    <cfRule type="cellIs" dxfId="5500" priority="993" stopIfTrue="1" operator="equal">
      <formula>"Towel"</formula>
    </cfRule>
  </conditionalFormatting>
  <conditionalFormatting sqref="B132:C132">
    <cfRule type="cellIs" dxfId="5499" priority="990" stopIfTrue="1" operator="equal">
      <formula>"Napkin Hs"</formula>
    </cfRule>
  </conditionalFormatting>
  <conditionalFormatting sqref="B132:C132">
    <cfRule type="cellIs" dxfId="5498" priority="989" stopIfTrue="1" operator="equal">
      <formula>"Towel"</formula>
    </cfRule>
  </conditionalFormatting>
  <conditionalFormatting sqref="C132">
    <cfRule type="cellIs" dxfId="5497" priority="988" stopIfTrue="1" operator="equal">
      <formula>"Napkin Hs"</formula>
    </cfRule>
  </conditionalFormatting>
  <conditionalFormatting sqref="C132">
    <cfRule type="cellIs" dxfId="5496" priority="985" stopIfTrue="1" operator="equal">
      <formula>"Towel"</formula>
    </cfRule>
    <cfRule type="cellIs" dxfId="5495" priority="986" stopIfTrue="1" operator="equal">
      <formula>"Napkin Hs"</formula>
    </cfRule>
  </conditionalFormatting>
  <conditionalFormatting sqref="C132">
    <cfRule type="cellIs" dxfId="5494" priority="987" stopIfTrue="1" operator="equal">
      <formula>"Towel"</formula>
    </cfRule>
  </conditionalFormatting>
  <conditionalFormatting sqref="B132:C132">
    <cfRule type="cellIs" dxfId="5493" priority="984" stopIfTrue="1" operator="equal">
      <formula>"Napkin Hs"</formula>
    </cfRule>
  </conditionalFormatting>
  <conditionalFormatting sqref="B132:C132">
    <cfRule type="cellIs" dxfId="5492" priority="983" stopIfTrue="1" operator="equal">
      <formula>"Towel"</formula>
    </cfRule>
  </conditionalFormatting>
  <conditionalFormatting sqref="C132">
    <cfRule type="cellIs" dxfId="5491" priority="982" stopIfTrue="1" operator="equal">
      <formula>"Napkin Hs"</formula>
    </cfRule>
  </conditionalFormatting>
  <conditionalFormatting sqref="C132">
    <cfRule type="cellIs" dxfId="5490" priority="979" stopIfTrue="1" operator="equal">
      <formula>"Towel"</formula>
    </cfRule>
    <cfRule type="cellIs" dxfId="5489" priority="980" stopIfTrue="1" operator="equal">
      <formula>"Napkin Hs"</formula>
    </cfRule>
  </conditionalFormatting>
  <conditionalFormatting sqref="C132">
    <cfRule type="cellIs" dxfId="5488" priority="981" stopIfTrue="1" operator="equal">
      <formula>"Towel"</formula>
    </cfRule>
  </conditionalFormatting>
  <conditionalFormatting sqref="B133:C133">
    <cfRule type="cellIs" dxfId="5487" priority="978" stopIfTrue="1" operator="equal">
      <formula>"Napkin Hs"</formula>
    </cfRule>
  </conditionalFormatting>
  <conditionalFormatting sqref="B133:C133">
    <cfRule type="cellIs" dxfId="5486" priority="977" stopIfTrue="1" operator="equal">
      <formula>"Towel"</formula>
    </cfRule>
  </conditionalFormatting>
  <conditionalFormatting sqref="C133">
    <cfRule type="cellIs" dxfId="5485" priority="976" stopIfTrue="1" operator="equal">
      <formula>"Napkin Hs"</formula>
    </cfRule>
  </conditionalFormatting>
  <conditionalFormatting sqref="C133">
    <cfRule type="cellIs" dxfId="5484" priority="975" stopIfTrue="1" operator="equal">
      <formula>"Towel"</formula>
    </cfRule>
  </conditionalFormatting>
  <conditionalFormatting sqref="C133">
    <cfRule type="cellIs" dxfId="5483" priority="973" stopIfTrue="1" operator="equal">
      <formula>"Towel"</formula>
    </cfRule>
    <cfRule type="cellIs" dxfId="5482" priority="974" stopIfTrue="1" operator="equal">
      <formula>"Napkin Hs"</formula>
    </cfRule>
  </conditionalFormatting>
  <conditionalFormatting sqref="B133:C133">
    <cfRule type="cellIs" dxfId="5481" priority="971" stopIfTrue="1" operator="equal">
      <formula>"Towel"</formula>
    </cfRule>
    <cfRule type="cellIs" dxfId="5480" priority="972" stopIfTrue="1" operator="equal">
      <formula>"Napkin Hs"</formula>
    </cfRule>
  </conditionalFormatting>
  <conditionalFormatting sqref="C133">
    <cfRule type="cellIs" dxfId="5479" priority="969" stopIfTrue="1" operator="equal">
      <formula>"Towel"</formula>
    </cfRule>
    <cfRule type="cellIs" dxfId="5478" priority="970" stopIfTrue="1" operator="equal">
      <formula>"Napkin Hs"</formula>
    </cfRule>
  </conditionalFormatting>
  <conditionalFormatting sqref="C133">
    <cfRule type="cellIs" dxfId="5477" priority="967" stopIfTrue="1" operator="equal">
      <formula>"Towel"</formula>
    </cfRule>
    <cfRule type="cellIs" dxfId="5476" priority="968" stopIfTrue="1" operator="equal">
      <formula>"Napkin Hs"</formula>
    </cfRule>
  </conditionalFormatting>
  <conditionalFormatting sqref="B133:C133">
    <cfRule type="cellIs" dxfId="5475" priority="966" stopIfTrue="1" operator="equal">
      <formula>"Napkin Hs"</formula>
    </cfRule>
  </conditionalFormatting>
  <conditionalFormatting sqref="B133:C133">
    <cfRule type="cellIs" dxfId="5474" priority="965" stopIfTrue="1" operator="equal">
      <formula>"Towel"</formula>
    </cfRule>
  </conditionalFormatting>
  <conditionalFormatting sqref="C133">
    <cfRule type="cellIs" dxfId="5473" priority="964" stopIfTrue="1" operator="equal">
      <formula>"Napkin Hs"</formula>
    </cfRule>
  </conditionalFormatting>
  <conditionalFormatting sqref="C133">
    <cfRule type="cellIs" dxfId="5472" priority="963" stopIfTrue="1" operator="equal">
      <formula>"Towel"</formula>
    </cfRule>
  </conditionalFormatting>
  <conditionalFormatting sqref="C133">
    <cfRule type="cellIs" dxfId="5471" priority="961" stopIfTrue="1" operator="equal">
      <formula>"Towel"</formula>
    </cfRule>
    <cfRule type="cellIs" dxfId="5470" priority="962" stopIfTrue="1" operator="equal">
      <formula>"Napkin Hs"</formula>
    </cfRule>
  </conditionalFormatting>
  <conditionalFormatting sqref="B133:C133">
    <cfRule type="cellIs" dxfId="5469" priority="959" stopIfTrue="1" operator="equal">
      <formula>"Towel"</formula>
    </cfRule>
    <cfRule type="cellIs" dxfId="5468" priority="960" stopIfTrue="1" operator="equal">
      <formula>"Napkin Hs"</formula>
    </cfRule>
  </conditionalFormatting>
  <conditionalFormatting sqref="C133">
    <cfRule type="cellIs" dxfId="5467" priority="955" stopIfTrue="1" operator="equal">
      <formula>"Towel"</formula>
    </cfRule>
    <cfRule type="cellIs" dxfId="5466" priority="956" stopIfTrue="1" operator="equal">
      <formula>"Napkin Hs"</formula>
    </cfRule>
  </conditionalFormatting>
  <conditionalFormatting sqref="C133">
    <cfRule type="cellIs" dxfId="5465" priority="957" stopIfTrue="1" operator="equal">
      <formula>"Towel"</formula>
    </cfRule>
    <cfRule type="cellIs" dxfId="5464" priority="958" stopIfTrue="1" operator="equal">
      <formula>"Napkin Hs"</formula>
    </cfRule>
  </conditionalFormatting>
  <conditionalFormatting sqref="B133:C133">
    <cfRule type="cellIs" dxfId="5463" priority="954" stopIfTrue="1" operator="equal">
      <formula>"Napkin Hs"</formula>
    </cfRule>
  </conditionalFormatting>
  <conditionalFormatting sqref="B133:C133">
    <cfRule type="cellIs" dxfId="5462" priority="953" stopIfTrue="1" operator="equal">
      <formula>"Towel"</formula>
    </cfRule>
  </conditionalFormatting>
  <conditionalFormatting sqref="C133">
    <cfRule type="cellIs" dxfId="5461" priority="952" stopIfTrue="1" operator="equal">
      <formula>"Napkin Hs"</formula>
    </cfRule>
  </conditionalFormatting>
  <conditionalFormatting sqref="C133">
    <cfRule type="cellIs" dxfId="5460" priority="951" stopIfTrue="1" operator="equal">
      <formula>"Towel"</formula>
    </cfRule>
  </conditionalFormatting>
  <conditionalFormatting sqref="C133">
    <cfRule type="cellIs" dxfId="5459" priority="949" stopIfTrue="1" operator="equal">
      <formula>"Towel"</formula>
    </cfRule>
    <cfRule type="cellIs" dxfId="5458" priority="950" stopIfTrue="1" operator="equal">
      <formula>"Napkin Hs"</formula>
    </cfRule>
  </conditionalFormatting>
  <conditionalFormatting sqref="B133:C133">
    <cfRule type="cellIs" dxfId="5457" priority="947" stopIfTrue="1" operator="equal">
      <formula>"Towel"</formula>
    </cfRule>
    <cfRule type="cellIs" dxfId="5456" priority="948" stopIfTrue="1" operator="equal">
      <formula>"Napkin Hs"</formula>
    </cfRule>
  </conditionalFormatting>
  <conditionalFormatting sqref="C133">
    <cfRule type="cellIs" dxfId="5455" priority="945" stopIfTrue="1" operator="equal">
      <formula>"Towel"</formula>
    </cfRule>
    <cfRule type="cellIs" dxfId="5454" priority="946" stopIfTrue="1" operator="equal">
      <formula>"Napkin Hs"</formula>
    </cfRule>
  </conditionalFormatting>
  <conditionalFormatting sqref="C133">
    <cfRule type="cellIs" dxfId="5453" priority="943" stopIfTrue="1" operator="equal">
      <formula>"Towel"</formula>
    </cfRule>
    <cfRule type="cellIs" dxfId="5452" priority="944" stopIfTrue="1" operator="equal">
      <formula>"Napkin Hs"</formula>
    </cfRule>
  </conditionalFormatting>
  <conditionalFormatting sqref="B133:C133">
    <cfRule type="cellIs" dxfId="5451" priority="941" stopIfTrue="1" operator="equal">
      <formula>"Towel"</formula>
    </cfRule>
    <cfRule type="cellIs" dxfId="5450" priority="942" stopIfTrue="1" operator="equal">
      <formula>"Napkin Hs"</formula>
    </cfRule>
  </conditionalFormatting>
  <conditionalFormatting sqref="C133">
    <cfRule type="cellIs" dxfId="5449" priority="939" stopIfTrue="1" operator="equal">
      <formula>"Towel"</formula>
    </cfRule>
    <cfRule type="cellIs" dxfId="5448" priority="940" stopIfTrue="1" operator="equal">
      <formula>"Napkin Hs"</formula>
    </cfRule>
  </conditionalFormatting>
  <conditionalFormatting sqref="C133">
    <cfRule type="cellIs" dxfId="5447" priority="937" stopIfTrue="1" operator="equal">
      <formula>"Towel"</formula>
    </cfRule>
    <cfRule type="cellIs" dxfId="5446" priority="938" stopIfTrue="1" operator="equal">
      <formula>"Napkin Hs"</formula>
    </cfRule>
  </conditionalFormatting>
  <conditionalFormatting sqref="B133:C133">
    <cfRule type="cellIs" dxfId="5445" priority="935" stopIfTrue="1" operator="equal">
      <formula>"Towel"</formula>
    </cfRule>
    <cfRule type="cellIs" dxfId="5444" priority="936" stopIfTrue="1" operator="equal">
      <formula>"Napkin Hs"</formula>
    </cfRule>
  </conditionalFormatting>
  <conditionalFormatting sqref="C133">
    <cfRule type="cellIs" dxfId="5443" priority="933" stopIfTrue="1" operator="equal">
      <formula>"Towel"</formula>
    </cfRule>
    <cfRule type="cellIs" dxfId="5442" priority="934" stopIfTrue="1" operator="equal">
      <formula>"Napkin Hs"</formula>
    </cfRule>
  </conditionalFormatting>
  <conditionalFormatting sqref="C133">
    <cfRule type="cellIs" dxfId="5441" priority="931" stopIfTrue="1" operator="equal">
      <formula>"Towel"</formula>
    </cfRule>
    <cfRule type="cellIs" dxfId="5440" priority="932" stopIfTrue="1" operator="equal">
      <formula>"Napkin Hs"</formula>
    </cfRule>
  </conditionalFormatting>
  <conditionalFormatting sqref="B133:C133">
    <cfRule type="cellIs" dxfId="5439" priority="929" stopIfTrue="1" operator="equal">
      <formula>"Towel"</formula>
    </cfRule>
    <cfRule type="cellIs" dxfId="5438" priority="930" stopIfTrue="1" operator="equal">
      <formula>"Napkin Hs"</formula>
    </cfRule>
  </conditionalFormatting>
  <conditionalFormatting sqref="C133">
    <cfRule type="cellIs" dxfId="5437" priority="927" stopIfTrue="1" operator="equal">
      <formula>"Towel"</formula>
    </cfRule>
    <cfRule type="cellIs" dxfId="5436" priority="928" stopIfTrue="1" operator="equal">
      <formula>"Napkin Hs"</formula>
    </cfRule>
  </conditionalFormatting>
  <conditionalFormatting sqref="C133">
    <cfRule type="cellIs" dxfId="5435" priority="925" stopIfTrue="1" operator="equal">
      <formula>"Towel"</formula>
    </cfRule>
    <cfRule type="cellIs" dxfId="5434" priority="926" stopIfTrue="1" operator="equal">
      <formula>"Napkin Hs"</formula>
    </cfRule>
  </conditionalFormatting>
  <conditionalFormatting sqref="B133:C133">
    <cfRule type="cellIs" dxfId="5433" priority="923" stopIfTrue="1" operator="equal">
      <formula>"Towel"</formula>
    </cfRule>
    <cfRule type="cellIs" dxfId="5432" priority="924" stopIfTrue="1" operator="equal">
      <formula>"Napkin Hs"</formula>
    </cfRule>
  </conditionalFormatting>
  <conditionalFormatting sqref="C133">
    <cfRule type="cellIs" dxfId="5431" priority="921" stopIfTrue="1" operator="equal">
      <formula>"Towel"</formula>
    </cfRule>
    <cfRule type="cellIs" dxfId="5430" priority="922" stopIfTrue="1" operator="equal">
      <formula>"Napkin Hs"</formula>
    </cfRule>
  </conditionalFormatting>
  <conditionalFormatting sqref="C133">
    <cfRule type="cellIs" dxfId="5429" priority="919" stopIfTrue="1" operator="equal">
      <formula>"Towel"</formula>
    </cfRule>
    <cfRule type="cellIs" dxfId="5428" priority="920" stopIfTrue="1" operator="equal">
      <formula>"Napkin Hs"</formula>
    </cfRule>
  </conditionalFormatting>
  <conditionalFormatting sqref="B133:C133">
    <cfRule type="cellIs" dxfId="5427" priority="918" stopIfTrue="1" operator="equal">
      <formula>"Napkin Hs"</formula>
    </cfRule>
  </conditionalFormatting>
  <conditionalFormatting sqref="B133:C133">
    <cfRule type="cellIs" dxfId="5426" priority="917" stopIfTrue="1" operator="equal">
      <formula>"Towel"</formula>
    </cfRule>
  </conditionalFormatting>
  <conditionalFormatting sqref="C133">
    <cfRule type="cellIs" dxfId="5425" priority="916" stopIfTrue="1" operator="equal">
      <formula>"Napkin Hs"</formula>
    </cfRule>
  </conditionalFormatting>
  <conditionalFormatting sqref="C133">
    <cfRule type="cellIs" dxfId="5424" priority="913" stopIfTrue="1" operator="equal">
      <formula>"Towel"</formula>
    </cfRule>
    <cfRule type="cellIs" dxfId="5423" priority="914" stopIfTrue="1" operator="equal">
      <formula>"Napkin Hs"</formula>
    </cfRule>
  </conditionalFormatting>
  <conditionalFormatting sqref="C133">
    <cfRule type="cellIs" dxfId="5422" priority="915" stopIfTrue="1" operator="equal">
      <formula>"Towel"</formula>
    </cfRule>
  </conditionalFormatting>
  <conditionalFormatting sqref="B133:C133">
    <cfRule type="cellIs" dxfId="5421" priority="912" stopIfTrue="1" operator="equal">
      <formula>"Napkin Hs"</formula>
    </cfRule>
  </conditionalFormatting>
  <conditionalFormatting sqref="B133:C133">
    <cfRule type="cellIs" dxfId="5420" priority="911" stopIfTrue="1" operator="equal">
      <formula>"Towel"</formula>
    </cfRule>
  </conditionalFormatting>
  <conditionalFormatting sqref="C133">
    <cfRule type="cellIs" dxfId="5419" priority="910" stopIfTrue="1" operator="equal">
      <formula>"Napkin Hs"</formula>
    </cfRule>
  </conditionalFormatting>
  <conditionalFormatting sqref="C133">
    <cfRule type="cellIs" dxfId="5418" priority="909" stopIfTrue="1" operator="equal">
      <formula>"Towel"</formula>
    </cfRule>
  </conditionalFormatting>
  <conditionalFormatting sqref="C133">
    <cfRule type="cellIs" dxfId="5417" priority="907" stopIfTrue="1" operator="equal">
      <formula>"Towel"</formula>
    </cfRule>
    <cfRule type="cellIs" dxfId="5416" priority="908" stopIfTrue="1" operator="equal">
      <formula>"Napkin Hs"</formula>
    </cfRule>
  </conditionalFormatting>
  <conditionalFormatting sqref="B133:C133">
    <cfRule type="cellIs" dxfId="5415" priority="905" stopIfTrue="1" operator="equal">
      <formula>"Towel"</formula>
    </cfRule>
    <cfRule type="cellIs" dxfId="5414" priority="906" stopIfTrue="1" operator="equal">
      <formula>"Napkin Hs"</formula>
    </cfRule>
  </conditionalFormatting>
  <conditionalFormatting sqref="C133">
    <cfRule type="cellIs" dxfId="5413" priority="901" stopIfTrue="1" operator="equal">
      <formula>"Towel"</formula>
    </cfRule>
    <cfRule type="cellIs" dxfId="5412" priority="902" stopIfTrue="1" operator="equal">
      <formula>"Napkin Hs"</formula>
    </cfRule>
  </conditionalFormatting>
  <conditionalFormatting sqref="C133">
    <cfRule type="cellIs" dxfId="5411" priority="903" stopIfTrue="1" operator="equal">
      <formula>"Towel"</formula>
    </cfRule>
    <cfRule type="cellIs" dxfId="5410" priority="904" stopIfTrue="1" operator="equal">
      <formula>"Napkin Hs"</formula>
    </cfRule>
  </conditionalFormatting>
  <conditionalFormatting sqref="B133:C133">
    <cfRule type="cellIs" dxfId="5409" priority="900" stopIfTrue="1" operator="equal">
      <formula>"Napkin Hs"</formula>
    </cfRule>
  </conditionalFormatting>
  <conditionalFormatting sqref="B133:C133">
    <cfRule type="cellIs" dxfId="5408" priority="899" stopIfTrue="1" operator="equal">
      <formula>"Towel"</formula>
    </cfRule>
  </conditionalFormatting>
  <conditionalFormatting sqref="C133">
    <cfRule type="cellIs" dxfId="5407" priority="898" stopIfTrue="1" operator="equal">
      <formula>"Napkin Hs"</formula>
    </cfRule>
  </conditionalFormatting>
  <conditionalFormatting sqref="C133">
    <cfRule type="cellIs" dxfId="5406" priority="897" stopIfTrue="1" operator="equal">
      <formula>"Towel"</formula>
    </cfRule>
  </conditionalFormatting>
  <conditionalFormatting sqref="C133">
    <cfRule type="cellIs" dxfId="5405" priority="895" stopIfTrue="1" operator="equal">
      <formula>"Towel"</formula>
    </cfRule>
    <cfRule type="cellIs" dxfId="5404" priority="896" stopIfTrue="1" operator="equal">
      <formula>"Napkin Hs"</formula>
    </cfRule>
  </conditionalFormatting>
  <conditionalFormatting sqref="B133:C133">
    <cfRule type="cellIs" dxfId="5403" priority="893" stopIfTrue="1" operator="equal">
      <formula>"Towel"</formula>
    </cfRule>
    <cfRule type="cellIs" dxfId="5402" priority="894" stopIfTrue="1" operator="equal">
      <formula>"Napkin Hs"</formula>
    </cfRule>
  </conditionalFormatting>
  <conditionalFormatting sqref="C133">
    <cfRule type="cellIs" dxfId="5401" priority="891" stopIfTrue="1" operator="equal">
      <formula>"Towel"</formula>
    </cfRule>
    <cfRule type="cellIs" dxfId="5400" priority="892" stopIfTrue="1" operator="equal">
      <formula>"Napkin Hs"</formula>
    </cfRule>
  </conditionalFormatting>
  <conditionalFormatting sqref="C133">
    <cfRule type="cellIs" dxfId="5399" priority="889" stopIfTrue="1" operator="equal">
      <formula>"Towel"</formula>
    </cfRule>
    <cfRule type="cellIs" dxfId="5398" priority="890" stopIfTrue="1" operator="equal">
      <formula>"Napkin Hs"</formula>
    </cfRule>
  </conditionalFormatting>
  <conditionalFormatting sqref="B133:C133">
    <cfRule type="cellIs" dxfId="5397" priority="887" stopIfTrue="1" operator="equal">
      <formula>"Towel"</formula>
    </cfRule>
    <cfRule type="cellIs" dxfId="5396" priority="888" stopIfTrue="1" operator="equal">
      <formula>"Napkin Hs"</formula>
    </cfRule>
  </conditionalFormatting>
  <conditionalFormatting sqref="C133">
    <cfRule type="cellIs" dxfId="5395" priority="885" stopIfTrue="1" operator="equal">
      <formula>"Towel"</formula>
    </cfRule>
    <cfRule type="cellIs" dxfId="5394" priority="886" stopIfTrue="1" operator="equal">
      <formula>"Napkin Hs"</formula>
    </cfRule>
  </conditionalFormatting>
  <conditionalFormatting sqref="C133">
    <cfRule type="cellIs" dxfId="5393" priority="883" stopIfTrue="1" operator="equal">
      <formula>"Towel"</formula>
    </cfRule>
    <cfRule type="cellIs" dxfId="5392" priority="884" stopIfTrue="1" operator="equal">
      <formula>"Napkin Hs"</formula>
    </cfRule>
  </conditionalFormatting>
  <conditionalFormatting sqref="B133:C133">
    <cfRule type="cellIs" dxfId="5391" priority="881" stopIfTrue="1" operator="equal">
      <formula>"Towel"</formula>
    </cfRule>
    <cfRule type="cellIs" dxfId="5390" priority="882" stopIfTrue="1" operator="equal">
      <formula>"Napkin Hs"</formula>
    </cfRule>
  </conditionalFormatting>
  <conditionalFormatting sqref="C133">
    <cfRule type="cellIs" dxfId="5389" priority="879" stopIfTrue="1" operator="equal">
      <formula>"Towel"</formula>
    </cfRule>
    <cfRule type="cellIs" dxfId="5388" priority="880" stopIfTrue="1" operator="equal">
      <formula>"Napkin Hs"</formula>
    </cfRule>
  </conditionalFormatting>
  <conditionalFormatting sqref="C133">
    <cfRule type="cellIs" dxfId="5387" priority="877" stopIfTrue="1" operator="equal">
      <formula>"Towel"</formula>
    </cfRule>
    <cfRule type="cellIs" dxfId="5386" priority="878" stopIfTrue="1" operator="equal">
      <formula>"Napkin Hs"</formula>
    </cfRule>
  </conditionalFormatting>
  <conditionalFormatting sqref="B133:C133">
    <cfRule type="cellIs" dxfId="5385" priority="875" stopIfTrue="1" operator="equal">
      <formula>"Towel"</formula>
    </cfRule>
    <cfRule type="cellIs" dxfId="5384" priority="876" stopIfTrue="1" operator="equal">
      <formula>"Napkin Hs"</formula>
    </cfRule>
  </conditionalFormatting>
  <conditionalFormatting sqref="C133">
    <cfRule type="cellIs" dxfId="5383" priority="873" stopIfTrue="1" operator="equal">
      <formula>"Towel"</formula>
    </cfRule>
    <cfRule type="cellIs" dxfId="5382" priority="874" stopIfTrue="1" operator="equal">
      <formula>"Napkin Hs"</formula>
    </cfRule>
  </conditionalFormatting>
  <conditionalFormatting sqref="C133">
    <cfRule type="cellIs" dxfId="5381" priority="871" stopIfTrue="1" operator="equal">
      <formula>"Towel"</formula>
    </cfRule>
    <cfRule type="cellIs" dxfId="5380" priority="872" stopIfTrue="1" operator="equal">
      <formula>"Napkin Hs"</formula>
    </cfRule>
  </conditionalFormatting>
  <conditionalFormatting sqref="B133:C133">
    <cfRule type="cellIs" dxfId="5379" priority="869" stopIfTrue="1" operator="equal">
      <formula>"Towel"</formula>
    </cfRule>
    <cfRule type="cellIs" dxfId="5378" priority="870" stopIfTrue="1" operator="equal">
      <formula>"Napkin Hs"</formula>
    </cfRule>
  </conditionalFormatting>
  <conditionalFormatting sqref="C133">
    <cfRule type="cellIs" dxfId="5377" priority="867" stopIfTrue="1" operator="equal">
      <formula>"Towel"</formula>
    </cfRule>
    <cfRule type="cellIs" dxfId="5376" priority="868" stopIfTrue="1" operator="equal">
      <formula>"Napkin Hs"</formula>
    </cfRule>
  </conditionalFormatting>
  <conditionalFormatting sqref="C133">
    <cfRule type="cellIs" dxfId="5375" priority="865" stopIfTrue="1" operator="equal">
      <formula>"Towel"</formula>
    </cfRule>
    <cfRule type="cellIs" dxfId="5374" priority="866" stopIfTrue="1" operator="equal">
      <formula>"Napkin Hs"</formula>
    </cfRule>
  </conditionalFormatting>
  <conditionalFormatting sqref="B133:C133">
    <cfRule type="cellIs" dxfId="5373" priority="864" stopIfTrue="1" operator="equal">
      <formula>"Napkin Hs"</formula>
    </cfRule>
  </conditionalFormatting>
  <conditionalFormatting sqref="B133:C133">
    <cfRule type="cellIs" dxfId="5372" priority="863" stopIfTrue="1" operator="equal">
      <formula>"Towel"</formula>
    </cfRule>
  </conditionalFormatting>
  <conditionalFormatting sqref="C133">
    <cfRule type="cellIs" dxfId="5371" priority="862" stopIfTrue="1" operator="equal">
      <formula>"Napkin Hs"</formula>
    </cfRule>
  </conditionalFormatting>
  <conditionalFormatting sqref="C133">
    <cfRule type="cellIs" dxfId="5370" priority="859" stopIfTrue="1" operator="equal">
      <formula>"Towel"</formula>
    </cfRule>
    <cfRule type="cellIs" dxfId="5369" priority="860" stopIfTrue="1" operator="equal">
      <formula>"Napkin Hs"</formula>
    </cfRule>
  </conditionalFormatting>
  <conditionalFormatting sqref="C133">
    <cfRule type="cellIs" dxfId="5368" priority="861" stopIfTrue="1" operator="equal">
      <formula>"Towel"</formula>
    </cfRule>
  </conditionalFormatting>
  <conditionalFormatting sqref="B133:C133">
    <cfRule type="cellIs" dxfId="5367" priority="858" stopIfTrue="1" operator="equal">
      <formula>"Napkin Hs"</formula>
    </cfRule>
  </conditionalFormatting>
  <conditionalFormatting sqref="B133:C133">
    <cfRule type="cellIs" dxfId="5366" priority="857" stopIfTrue="1" operator="equal">
      <formula>"Towel"</formula>
    </cfRule>
  </conditionalFormatting>
  <conditionalFormatting sqref="C133">
    <cfRule type="cellIs" dxfId="5365" priority="856" stopIfTrue="1" operator="equal">
      <formula>"Napkin Hs"</formula>
    </cfRule>
  </conditionalFormatting>
  <conditionalFormatting sqref="C133">
    <cfRule type="cellIs" dxfId="5364" priority="853" stopIfTrue="1" operator="equal">
      <formula>"Towel"</formula>
    </cfRule>
    <cfRule type="cellIs" dxfId="5363" priority="854" stopIfTrue="1" operator="equal">
      <formula>"Napkin Hs"</formula>
    </cfRule>
  </conditionalFormatting>
  <conditionalFormatting sqref="C133">
    <cfRule type="cellIs" dxfId="5362" priority="855" stopIfTrue="1" operator="equal">
      <formula>"Towel"</formula>
    </cfRule>
  </conditionalFormatting>
  <conditionalFormatting sqref="B133:C133">
    <cfRule type="cellIs" dxfId="5361" priority="852" stopIfTrue="1" operator="equal">
      <formula>"Napkin Hs"</formula>
    </cfRule>
  </conditionalFormatting>
  <conditionalFormatting sqref="B133:C133">
    <cfRule type="cellIs" dxfId="5360" priority="851" stopIfTrue="1" operator="equal">
      <formula>"Towel"</formula>
    </cfRule>
  </conditionalFormatting>
  <conditionalFormatting sqref="C133">
    <cfRule type="cellIs" dxfId="5359" priority="850" stopIfTrue="1" operator="equal">
      <formula>"Napkin Hs"</formula>
    </cfRule>
  </conditionalFormatting>
  <conditionalFormatting sqref="C133">
    <cfRule type="cellIs" dxfId="5358" priority="847" stopIfTrue="1" operator="equal">
      <formula>"Towel"</formula>
    </cfRule>
    <cfRule type="cellIs" dxfId="5357" priority="848" stopIfTrue="1" operator="equal">
      <formula>"Napkin Hs"</formula>
    </cfRule>
  </conditionalFormatting>
  <conditionalFormatting sqref="C133">
    <cfRule type="cellIs" dxfId="5356" priority="849" stopIfTrue="1" operator="equal">
      <formula>"Towel"</formula>
    </cfRule>
  </conditionalFormatting>
  <conditionalFormatting sqref="B134:C134">
    <cfRule type="cellIs" dxfId="5355" priority="846" stopIfTrue="1" operator="equal">
      <formula>"Napkin Hs"</formula>
    </cfRule>
  </conditionalFormatting>
  <conditionalFormatting sqref="B134:C134">
    <cfRule type="cellIs" dxfId="5354" priority="845" stopIfTrue="1" operator="equal">
      <formula>"Towel"</formula>
    </cfRule>
  </conditionalFormatting>
  <conditionalFormatting sqref="C134">
    <cfRule type="cellIs" dxfId="5353" priority="844" stopIfTrue="1" operator="equal">
      <formula>"Napkin Hs"</formula>
    </cfRule>
  </conditionalFormatting>
  <conditionalFormatting sqref="C134">
    <cfRule type="cellIs" dxfId="5352" priority="841" stopIfTrue="1" operator="equal">
      <formula>"Towel"</formula>
    </cfRule>
    <cfRule type="cellIs" dxfId="5351" priority="842" stopIfTrue="1" operator="equal">
      <formula>"Napkin Hs"</formula>
    </cfRule>
  </conditionalFormatting>
  <conditionalFormatting sqref="C134">
    <cfRule type="cellIs" dxfId="5350" priority="843" stopIfTrue="1" operator="equal">
      <formula>"Towel"</formula>
    </cfRule>
  </conditionalFormatting>
  <conditionalFormatting sqref="B136:C137">
    <cfRule type="cellIs" dxfId="5349" priority="558" stopIfTrue="1" operator="equal">
      <formula>"Napkin Hs"</formula>
    </cfRule>
  </conditionalFormatting>
  <conditionalFormatting sqref="B136:C137">
    <cfRule type="cellIs" dxfId="5348" priority="557" stopIfTrue="1" operator="equal">
      <formula>"Towel"</formula>
    </cfRule>
  </conditionalFormatting>
  <conditionalFormatting sqref="C136:C137">
    <cfRule type="cellIs" dxfId="5347" priority="556" stopIfTrue="1" operator="equal">
      <formula>"Napkin Hs"</formula>
    </cfRule>
  </conditionalFormatting>
  <conditionalFormatting sqref="C136:C137">
    <cfRule type="cellIs" dxfId="5346" priority="553" stopIfTrue="1" operator="equal">
      <formula>"Towel"</formula>
    </cfRule>
    <cfRule type="cellIs" dxfId="5345" priority="554" stopIfTrue="1" operator="equal">
      <formula>"Napkin Hs"</formula>
    </cfRule>
  </conditionalFormatting>
  <conditionalFormatting sqref="C136:C137">
    <cfRule type="cellIs" dxfId="5344" priority="555" stopIfTrue="1" operator="equal">
      <formula>"Towel"</formula>
    </cfRule>
  </conditionalFormatting>
  <conditionalFormatting sqref="B138:C138">
    <cfRule type="cellIs" dxfId="5343" priority="552" stopIfTrue="1" operator="equal">
      <formula>"Napkin Hs"</formula>
    </cfRule>
  </conditionalFormatting>
  <conditionalFormatting sqref="B138:C138">
    <cfRule type="cellIs" dxfId="5342" priority="551" stopIfTrue="1" operator="equal">
      <formula>"Towel"</formula>
    </cfRule>
  </conditionalFormatting>
  <conditionalFormatting sqref="C138">
    <cfRule type="cellIs" dxfId="5341" priority="550" stopIfTrue="1" operator="equal">
      <formula>"Napkin Hs"</formula>
    </cfRule>
  </conditionalFormatting>
  <conditionalFormatting sqref="C138">
    <cfRule type="cellIs" dxfId="5340" priority="549" stopIfTrue="1" operator="equal">
      <formula>"Towel"</formula>
    </cfRule>
  </conditionalFormatting>
  <conditionalFormatting sqref="C138">
    <cfRule type="cellIs" dxfId="5339" priority="547" stopIfTrue="1" operator="equal">
      <formula>"Towel"</formula>
    </cfRule>
    <cfRule type="cellIs" dxfId="5338" priority="548" stopIfTrue="1" operator="equal">
      <formula>"Napkin Hs"</formula>
    </cfRule>
  </conditionalFormatting>
  <conditionalFormatting sqref="B138:C138">
    <cfRule type="cellIs" dxfId="5337" priority="545" stopIfTrue="1" operator="equal">
      <formula>"Towel"</formula>
    </cfRule>
    <cfRule type="cellIs" dxfId="5336" priority="546" stopIfTrue="1" operator="equal">
      <formula>"Napkin Hs"</formula>
    </cfRule>
  </conditionalFormatting>
  <conditionalFormatting sqref="C138">
    <cfRule type="cellIs" dxfId="5335" priority="543" stopIfTrue="1" operator="equal">
      <formula>"Towel"</formula>
    </cfRule>
    <cfRule type="cellIs" dxfId="5334" priority="544" stopIfTrue="1" operator="equal">
      <formula>"Napkin Hs"</formula>
    </cfRule>
  </conditionalFormatting>
  <conditionalFormatting sqref="C138">
    <cfRule type="cellIs" dxfId="5333" priority="541" stopIfTrue="1" operator="equal">
      <formula>"Towel"</formula>
    </cfRule>
    <cfRule type="cellIs" dxfId="5332" priority="542" stopIfTrue="1" operator="equal">
      <formula>"Napkin Hs"</formula>
    </cfRule>
  </conditionalFormatting>
  <conditionalFormatting sqref="B138:C138">
    <cfRule type="cellIs" dxfId="5331" priority="540" stopIfTrue="1" operator="equal">
      <formula>"Napkin Hs"</formula>
    </cfRule>
  </conditionalFormatting>
  <conditionalFormatting sqref="B138:C138">
    <cfRule type="cellIs" dxfId="5330" priority="539" stopIfTrue="1" operator="equal">
      <formula>"Towel"</formula>
    </cfRule>
  </conditionalFormatting>
  <conditionalFormatting sqref="C138">
    <cfRule type="cellIs" dxfId="5329" priority="538" stopIfTrue="1" operator="equal">
      <formula>"Napkin Hs"</formula>
    </cfRule>
  </conditionalFormatting>
  <conditionalFormatting sqref="C138">
    <cfRule type="cellIs" dxfId="5328" priority="537" stopIfTrue="1" operator="equal">
      <formula>"Towel"</formula>
    </cfRule>
  </conditionalFormatting>
  <conditionalFormatting sqref="C138">
    <cfRule type="cellIs" dxfId="5327" priority="535" stopIfTrue="1" operator="equal">
      <formula>"Towel"</formula>
    </cfRule>
    <cfRule type="cellIs" dxfId="5326" priority="536" stopIfTrue="1" operator="equal">
      <formula>"Napkin Hs"</formula>
    </cfRule>
  </conditionalFormatting>
  <conditionalFormatting sqref="B138:C138">
    <cfRule type="cellIs" dxfId="5325" priority="533" stopIfTrue="1" operator="equal">
      <formula>"Towel"</formula>
    </cfRule>
    <cfRule type="cellIs" dxfId="5324" priority="534" stopIfTrue="1" operator="equal">
      <formula>"Napkin Hs"</formula>
    </cfRule>
  </conditionalFormatting>
  <conditionalFormatting sqref="C138">
    <cfRule type="cellIs" dxfId="5323" priority="529" stopIfTrue="1" operator="equal">
      <formula>"Towel"</formula>
    </cfRule>
    <cfRule type="cellIs" dxfId="5322" priority="530" stopIfTrue="1" operator="equal">
      <formula>"Napkin Hs"</formula>
    </cfRule>
  </conditionalFormatting>
  <conditionalFormatting sqref="C138">
    <cfRule type="cellIs" dxfId="5321" priority="531" stopIfTrue="1" operator="equal">
      <formula>"Towel"</formula>
    </cfRule>
    <cfRule type="cellIs" dxfId="5320" priority="532" stopIfTrue="1" operator="equal">
      <formula>"Napkin Hs"</formula>
    </cfRule>
  </conditionalFormatting>
  <conditionalFormatting sqref="B138:C138">
    <cfRule type="cellIs" dxfId="5319" priority="528" stopIfTrue="1" operator="equal">
      <formula>"Napkin Hs"</formula>
    </cfRule>
  </conditionalFormatting>
  <conditionalFormatting sqref="B138:C138">
    <cfRule type="cellIs" dxfId="5318" priority="527" stopIfTrue="1" operator="equal">
      <formula>"Towel"</formula>
    </cfRule>
  </conditionalFormatting>
  <conditionalFormatting sqref="C138">
    <cfRule type="cellIs" dxfId="5317" priority="526" stopIfTrue="1" operator="equal">
      <formula>"Napkin Hs"</formula>
    </cfRule>
  </conditionalFormatting>
  <conditionalFormatting sqref="C138">
    <cfRule type="cellIs" dxfId="5316" priority="525" stopIfTrue="1" operator="equal">
      <formula>"Towel"</formula>
    </cfRule>
  </conditionalFormatting>
  <conditionalFormatting sqref="C138">
    <cfRule type="cellIs" dxfId="5315" priority="523" stopIfTrue="1" operator="equal">
      <formula>"Towel"</formula>
    </cfRule>
    <cfRule type="cellIs" dxfId="5314" priority="524" stopIfTrue="1" operator="equal">
      <formula>"Napkin Hs"</formula>
    </cfRule>
  </conditionalFormatting>
  <conditionalFormatting sqref="B138:C138">
    <cfRule type="cellIs" dxfId="5313" priority="521" stopIfTrue="1" operator="equal">
      <formula>"Towel"</formula>
    </cfRule>
    <cfRule type="cellIs" dxfId="5312" priority="522" stopIfTrue="1" operator="equal">
      <formula>"Napkin Hs"</formula>
    </cfRule>
  </conditionalFormatting>
  <conditionalFormatting sqref="C138">
    <cfRule type="cellIs" dxfId="5311" priority="519" stopIfTrue="1" operator="equal">
      <formula>"Towel"</formula>
    </cfRule>
    <cfRule type="cellIs" dxfId="5310" priority="520" stopIfTrue="1" operator="equal">
      <formula>"Napkin Hs"</formula>
    </cfRule>
  </conditionalFormatting>
  <conditionalFormatting sqref="C138">
    <cfRule type="cellIs" dxfId="5309" priority="517" stopIfTrue="1" operator="equal">
      <formula>"Towel"</formula>
    </cfRule>
    <cfRule type="cellIs" dxfId="5308" priority="518" stopIfTrue="1" operator="equal">
      <formula>"Napkin Hs"</formula>
    </cfRule>
  </conditionalFormatting>
  <conditionalFormatting sqref="B138:C138">
    <cfRule type="cellIs" dxfId="5307" priority="515" stopIfTrue="1" operator="equal">
      <formula>"Towel"</formula>
    </cfRule>
    <cfRule type="cellIs" dxfId="5306" priority="516" stopIfTrue="1" operator="equal">
      <formula>"Napkin Hs"</formula>
    </cfRule>
  </conditionalFormatting>
  <conditionalFormatting sqref="C138">
    <cfRule type="cellIs" dxfId="5305" priority="513" stopIfTrue="1" operator="equal">
      <formula>"Towel"</formula>
    </cfRule>
    <cfRule type="cellIs" dxfId="5304" priority="514" stopIfTrue="1" operator="equal">
      <formula>"Napkin Hs"</formula>
    </cfRule>
  </conditionalFormatting>
  <conditionalFormatting sqref="C138">
    <cfRule type="cellIs" dxfId="5303" priority="511" stopIfTrue="1" operator="equal">
      <formula>"Towel"</formula>
    </cfRule>
    <cfRule type="cellIs" dxfId="5302" priority="512" stopIfTrue="1" operator="equal">
      <formula>"Napkin Hs"</formula>
    </cfRule>
  </conditionalFormatting>
  <conditionalFormatting sqref="B138:C138">
    <cfRule type="cellIs" dxfId="5301" priority="509" stopIfTrue="1" operator="equal">
      <formula>"Towel"</formula>
    </cfRule>
    <cfRule type="cellIs" dxfId="5300" priority="510" stopIfTrue="1" operator="equal">
      <formula>"Napkin Hs"</formula>
    </cfRule>
  </conditionalFormatting>
  <conditionalFormatting sqref="C138">
    <cfRule type="cellIs" dxfId="5299" priority="507" stopIfTrue="1" operator="equal">
      <formula>"Towel"</formula>
    </cfRule>
    <cfRule type="cellIs" dxfId="5298" priority="508" stopIfTrue="1" operator="equal">
      <formula>"Napkin Hs"</formula>
    </cfRule>
  </conditionalFormatting>
  <conditionalFormatting sqref="C138">
    <cfRule type="cellIs" dxfId="5297" priority="505" stopIfTrue="1" operator="equal">
      <formula>"Towel"</formula>
    </cfRule>
    <cfRule type="cellIs" dxfId="5296" priority="506" stopIfTrue="1" operator="equal">
      <formula>"Napkin Hs"</formula>
    </cfRule>
  </conditionalFormatting>
  <conditionalFormatting sqref="B138:C138">
    <cfRule type="cellIs" dxfId="5295" priority="503" stopIfTrue="1" operator="equal">
      <formula>"Towel"</formula>
    </cfRule>
    <cfRule type="cellIs" dxfId="5294" priority="504" stopIfTrue="1" operator="equal">
      <formula>"Napkin Hs"</formula>
    </cfRule>
  </conditionalFormatting>
  <conditionalFormatting sqref="C138">
    <cfRule type="cellIs" dxfId="5293" priority="501" stopIfTrue="1" operator="equal">
      <formula>"Towel"</formula>
    </cfRule>
    <cfRule type="cellIs" dxfId="5292" priority="502" stopIfTrue="1" operator="equal">
      <formula>"Napkin Hs"</formula>
    </cfRule>
  </conditionalFormatting>
  <conditionalFormatting sqref="C138">
    <cfRule type="cellIs" dxfId="5291" priority="499" stopIfTrue="1" operator="equal">
      <formula>"Towel"</formula>
    </cfRule>
    <cfRule type="cellIs" dxfId="5290" priority="500" stopIfTrue="1" operator="equal">
      <formula>"Napkin Hs"</formula>
    </cfRule>
  </conditionalFormatting>
  <conditionalFormatting sqref="B138:C138">
    <cfRule type="cellIs" dxfId="5289" priority="497" stopIfTrue="1" operator="equal">
      <formula>"Towel"</formula>
    </cfRule>
    <cfRule type="cellIs" dxfId="5288" priority="498" stopIfTrue="1" operator="equal">
      <formula>"Napkin Hs"</formula>
    </cfRule>
  </conditionalFormatting>
  <conditionalFormatting sqref="C138">
    <cfRule type="cellIs" dxfId="5287" priority="495" stopIfTrue="1" operator="equal">
      <formula>"Towel"</formula>
    </cfRule>
    <cfRule type="cellIs" dxfId="5286" priority="496" stopIfTrue="1" operator="equal">
      <formula>"Napkin Hs"</formula>
    </cfRule>
  </conditionalFormatting>
  <conditionalFormatting sqref="C138">
    <cfRule type="cellIs" dxfId="5285" priority="493" stopIfTrue="1" operator="equal">
      <formula>"Towel"</formula>
    </cfRule>
    <cfRule type="cellIs" dxfId="5284" priority="494" stopIfTrue="1" operator="equal">
      <formula>"Napkin Hs"</formula>
    </cfRule>
  </conditionalFormatting>
  <conditionalFormatting sqref="B138:C138">
    <cfRule type="cellIs" dxfId="5283" priority="492" stopIfTrue="1" operator="equal">
      <formula>"Napkin Hs"</formula>
    </cfRule>
  </conditionalFormatting>
  <conditionalFormatting sqref="B138:C138">
    <cfRule type="cellIs" dxfId="5282" priority="491" stopIfTrue="1" operator="equal">
      <formula>"Towel"</formula>
    </cfRule>
  </conditionalFormatting>
  <conditionalFormatting sqref="C138">
    <cfRule type="cellIs" dxfId="5281" priority="490" stopIfTrue="1" operator="equal">
      <formula>"Napkin Hs"</formula>
    </cfRule>
  </conditionalFormatting>
  <conditionalFormatting sqref="C138">
    <cfRule type="cellIs" dxfId="5280" priority="487" stopIfTrue="1" operator="equal">
      <formula>"Towel"</formula>
    </cfRule>
    <cfRule type="cellIs" dxfId="5279" priority="488" stopIfTrue="1" operator="equal">
      <formula>"Napkin Hs"</formula>
    </cfRule>
  </conditionalFormatting>
  <conditionalFormatting sqref="C138">
    <cfRule type="cellIs" dxfId="5278" priority="489" stopIfTrue="1" operator="equal">
      <formula>"Towel"</formula>
    </cfRule>
  </conditionalFormatting>
  <conditionalFormatting sqref="B138:C138">
    <cfRule type="cellIs" dxfId="5277" priority="486" stopIfTrue="1" operator="equal">
      <formula>"Napkin Hs"</formula>
    </cfRule>
  </conditionalFormatting>
  <conditionalFormatting sqref="B138:C138">
    <cfRule type="cellIs" dxfId="5276" priority="485" stopIfTrue="1" operator="equal">
      <formula>"Towel"</formula>
    </cfRule>
  </conditionalFormatting>
  <conditionalFormatting sqref="C138">
    <cfRule type="cellIs" dxfId="5275" priority="484" stopIfTrue="1" operator="equal">
      <formula>"Napkin Hs"</formula>
    </cfRule>
  </conditionalFormatting>
  <conditionalFormatting sqref="C138">
    <cfRule type="cellIs" dxfId="5274" priority="483" stopIfTrue="1" operator="equal">
      <formula>"Towel"</formula>
    </cfRule>
  </conditionalFormatting>
  <conditionalFormatting sqref="C138">
    <cfRule type="cellIs" dxfId="5273" priority="481" stopIfTrue="1" operator="equal">
      <formula>"Towel"</formula>
    </cfRule>
    <cfRule type="cellIs" dxfId="5272" priority="482" stopIfTrue="1" operator="equal">
      <formula>"Napkin Hs"</formula>
    </cfRule>
  </conditionalFormatting>
  <conditionalFormatting sqref="B138:C138">
    <cfRule type="cellIs" dxfId="5271" priority="479" stopIfTrue="1" operator="equal">
      <formula>"Towel"</formula>
    </cfRule>
    <cfRule type="cellIs" dxfId="5270" priority="480" stopIfTrue="1" operator="equal">
      <formula>"Napkin Hs"</formula>
    </cfRule>
  </conditionalFormatting>
  <conditionalFormatting sqref="C138">
    <cfRule type="cellIs" dxfId="5269" priority="475" stopIfTrue="1" operator="equal">
      <formula>"Towel"</formula>
    </cfRule>
    <cfRule type="cellIs" dxfId="5268" priority="476" stopIfTrue="1" operator="equal">
      <formula>"Napkin Hs"</formula>
    </cfRule>
  </conditionalFormatting>
  <conditionalFormatting sqref="C138">
    <cfRule type="cellIs" dxfId="5267" priority="477" stopIfTrue="1" operator="equal">
      <formula>"Towel"</formula>
    </cfRule>
    <cfRule type="cellIs" dxfId="5266" priority="478" stopIfTrue="1" operator="equal">
      <formula>"Napkin Hs"</formula>
    </cfRule>
  </conditionalFormatting>
  <conditionalFormatting sqref="B138:C138">
    <cfRule type="cellIs" dxfId="5265" priority="474" stopIfTrue="1" operator="equal">
      <formula>"Napkin Hs"</formula>
    </cfRule>
  </conditionalFormatting>
  <conditionalFormatting sqref="B138:C138">
    <cfRule type="cellIs" dxfId="5264" priority="473" stopIfTrue="1" operator="equal">
      <formula>"Towel"</formula>
    </cfRule>
  </conditionalFormatting>
  <conditionalFormatting sqref="C138">
    <cfRule type="cellIs" dxfId="5263" priority="472" stopIfTrue="1" operator="equal">
      <formula>"Napkin Hs"</formula>
    </cfRule>
  </conditionalFormatting>
  <conditionalFormatting sqref="C138">
    <cfRule type="cellIs" dxfId="5262" priority="471" stopIfTrue="1" operator="equal">
      <formula>"Towel"</formula>
    </cfRule>
  </conditionalFormatting>
  <conditionalFormatting sqref="C138">
    <cfRule type="cellIs" dxfId="5261" priority="469" stopIfTrue="1" operator="equal">
      <formula>"Towel"</formula>
    </cfRule>
    <cfRule type="cellIs" dxfId="5260" priority="470" stopIfTrue="1" operator="equal">
      <formula>"Napkin Hs"</formula>
    </cfRule>
  </conditionalFormatting>
  <conditionalFormatting sqref="B138:C138">
    <cfRule type="cellIs" dxfId="5259" priority="467" stopIfTrue="1" operator="equal">
      <formula>"Towel"</formula>
    </cfRule>
    <cfRule type="cellIs" dxfId="5258" priority="468" stopIfTrue="1" operator="equal">
      <formula>"Napkin Hs"</formula>
    </cfRule>
  </conditionalFormatting>
  <conditionalFormatting sqref="C138">
    <cfRule type="cellIs" dxfId="5257" priority="465" stopIfTrue="1" operator="equal">
      <formula>"Towel"</formula>
    </cfRule>
    <cfRule type="cellIs" dxfId="5256" priority="466" stopIfTrue="1" operator="equal">
      <formula>"Napkin Hs"</formula>
    </cfRule>
  </conditionalFormatting>
  <conditionalFormatting sqref="C138">
    <cfRule type="cellIs" dxfId="5255" priority="463" stopIfTrue="1" operator="equal">
      <formula>"Towel"</formula>
    </cfRule>
    <cfRule type="cellIs" dxfId="5254" priority="464" stopIfTrue="1" operator="equal">
      <formula>"Napkin Hs"</formula>
    </cfRule>
  </conditionalFormatting>
  <conditionalFormatting sqref="B138:C138">
    <cfRule type="cellIs" dxfId="5253" priority="461" stopIfTrue="1" operator="equal">
      <formula>"Towel"</formula>
    </cfRule>
    <cfRule type="cellIs" dxfId="5252" priority="462" stopIfTrue="1" operator="equal">
      <formula>"Napkin Hs"</formula>
    </cfRule>
  </conditionalFormatting>
  <conditionalFormatting sqref="C138">
    <cfRule type="cellIs" dxfId="5251" priority="459" stopIfTrue="1" operator="equal">
      <formula>"Towel"</formula>
    </cfRule>
    <cfRule type="cellIs" dxfId="5250" priority="460" stopIfTrue="1" operator="equal">
      <formula>"Napkin Hs"</formula>
    </cfRule>
  </conditionalFormatting>
  <conditionalFormatting sqref="C138">
    <cfRule type="cellIs" dxfId="5249" priority="457" stopIfTrue="1" operator="equal">
      <formula>"Towel"</formula>
    </cfRule>
    <cfRule type="cellIs" dxfId="5248" priority="458" stopIfTrue="1" operator="equal">
      <formula>"Napkin Hs"</formula>
    </cfRule>
  </conditionalFormatting>
  <conditionalFormatting sqref="B138:C138">
    <cfRule type="cellIs" dxfId="5247" priority="455" stopIfTrue="1" operator="equal">
      <formula>"Towel"</formula>
    </cfRule>
    <cfRule type="cellIs" dxfId="5246" priority="456" stopIfTrue="1" operator="equal">
      <formula>"Napkin Hs"</formula>
    </cfRule>
  </conditionalFormatting>
  <conditionalFormatting sqref="C138">
    <cfRule type="cellIs" dxfId="5245" priority="453" stopIfTrue="1" operator="equal">
      <formula>"Towel"</formula>
    </cfRule>
    <cfRule type="cellIs" dxfId="5244" priority="454" stopIfTrue="1" operator="equal">
      <formula>"Napkin Hs"</formula>
    </cfRule>
  </conditionalFormatting>
  <conditionalFormatting sqref="C138">
    <cfRule type="cellIs" dxfId="5243" priority="451" stopIfTrue="1" operator="equal">
      <formula>"Towel"</formula>
    </cfRule>
    <cfRule type="cellIs" dxfId="5242" priority="452" stopIfTrue="1" operator="equal">
      <formula>"Napkin Hs"</formula>
    </cfRule>
  </conditionalFormatting>
  <conditionalFormatting sqref="B138:C138">
    <cfRule type="cellIs" dxfId="5241" priority="449" stopIfTrue="1" operator="equal">
      <formula>"Towel"</formula>
    </cfRule>
    <cfRule type="cellIs" dxfId="5240" priority="450" stopIfTrue="1" operator="equal">
      <formula>"Napkin Hs"</formula>
    </cfRule>
  </conditionalFormatting>
  <conditionalFormatting sqref="C138">
    <cfRule type="cellIs" dxfId="5239" priority="447" stopIfTrue="1" operator="equal">
      <formula>"Towel"</formula>
    </cfRule>
    <cfRule type="cellIs" dxfId="5238" priority="448" stopIfTrue="1" operator="equal">
      <formula>"Napkin Hs"</formula>
    </cfRule>
  </conditionalFormatting>
  <conditionalFormatting sqref="C138">
    <cfRule type="cellIs" dxfId="5237" priority="445" stopIfTrue="1" operator="equal">
      <formula>"Towel"</formula>
    </cfRule>
    <cfRule type="cellIs" dxfId="5236" priority="446" stopIfTrue="1" operator="equal">
      <formula>"Napkin Hs"</formula>
    </cfRule>
  </conditionalFormatting>
  <conditionalFormatting sqref="B138:C138">
    <cfRule type="cellIs" dxfId="5235" priority="443" stopIfTrue="1" operator="equal">
      <formula>"Towel"</formula>
    </cfRule>
    <cfRule type="cellIs" dxfId="5234" priority="444" stopIfTrue="1" operator="equal">
      <formula>"Napkin Hs"</formula>
    </cfRule>
  </conditionalFormatting>
  <conditionalFormatting sqref="C138">
    <cfRule type="cellIs" dxfId="5233" priority="441" stopIfTrue="1" operator="equal">
      <formula>"Towel"</formula>
    </cfRule>
    <cfRule type="cellIs" dxfId="5232" priority="442" stopIfTrue="1" operator="equal">
      <formula>"Napkin Hs"</formula>
    </cfRule>
  </conditionalFormatting>
  <conditionalFormatting sqref="C138">
    <cfRule type="cellIs" dxfId="5231" priority="439" stopIfTrue="1" operator="equal">
      <formula>"Towel"</formula>
    </cfRule>
    <cfRule type="cellIs" dxfId="5230" priority="440" stopIfTrue="1" operator="equal">
      <formula>"Napkin Hs"</formula>
    </cfRule>
  </conditionalFormatting>
  <conditionalFormatting sqref="B138:C138">
    <cfRule type="cellIs" dxfId="5229" priority="438" stopIfTrue="1" operator="equal">
      <formula>"Napkin Hs"</formula>
    </cfRule>
  </conditionalFormatting>
  <conditionalFormatting sqref="B138:C138">
    <cfRule type="cellIs" dxfId="5228" priority="437" stopIfTrue="1" operator="equal">
      <formula>"Towel"</formula>
    </cfRule>
  </conditionalFormatting>
  <conditionalFormatting sqref="C138">
    <cfRule type="cellIs" dxfId="5227" priority="436" stopIfTrue="1" operator="equal">
      <formula>"Napkin Hs"</formula>
    </cfRule>
  </conditionalFormatting>
  <conditionalFormatting sqref="C138">
    <cfRule type="cellIs" dxfId="5226" priority="433" stopIfTrue="1" operator="equal">
      <formula>"Towel"</formula>
    </cfRule>
    <cfRule type="cellIs" dxfId="5225" priority="434" stopIfTrue="1" operator="equal">
      <formula>"Napkin Hs"</formula>
    </cfRule>
  </conditionalFormatting>
  <conditionalFormatting sqref="C138">
    <cfRule type="cellIs" dxfId="5224" priority="435" stopIfTrue="1" operator="equal">
      <formula>"Towel"</formula>
    </cfRule>
  </conditionalFormatting>
  <conditionalFormatting sqref="B138:C138">
    <cfRule type="cellIs" dxfId="5223" priority="432" stopIfTrue="1" operator="equal">
      <formula>"Napkin Hs"</formula>
    </cfRule>
  </conditionalFormatting>
  <conditionalFormatting sqref="B138:C138">
    <cfRule type="cellIs" dxfId="5222" priority="431" stopIfTrue="1" operator="equal">
      <formula>"Towel"</formula>
    </cfRule>
  </conditionalFormatting>
  <conditionalFormatting sqref="C138">
    <cfRule type="cellIs" dxfId="5221" priority="430" stopIfTrue="1" operator="equal">
      <formula>"Napkin Hs"</formula>
    </cfRule>
  </conditionalFormatting>
  <conditionalFormatting sqref="C138">
    <cfRule type="cellIs" dxfId="5220" priority="427" stopIfTrue="1" operator="equal">
      <formula>"Towel"</formula>
    </cfRule>
    <cfRule type="cellIs" dxfId="5219" priority="428" stopIfTrue="1" operator="equal">
      <formula>"Napkin Hs"</formula>
    </cfRule>
  </conditionalFormatting>
  <conditionalFormatting sqref="C138">
    <cfRule type="cellIs" dxfId="5218" priority="429" stopIfTrue="1" operator="equal">
      <formula>"Towel"</formula>
    </cfRule>
  </conditionalFormatting>
  <conditionalFormatting sqref="B138:C138">
    <cfRule type="cellIs" dxfId="5217" priority="426" stopIfTrue="1" operator="equal">
      <formula>"Napkin Hs"</formula>
    </cfRule>
  </conditionalFormatting>
  <conditionalFormatting sqref="B138:C138">
    <cfRule type="cellIs" dxfId="5216" priority="425" stopIfTrue="1" operator="equal">
      <formula>"Towel"</formula>
    </cfRule>
  </conditionalFormatting>
  <conditionalFormatting sqref="C138">
    <cfRule type="cellIs" dxfId="5215" priority="424" stopIfTrue="1" operator="equal">
      <formula>"Napkin Hs"</formula>
    </cfRule>
  </conditionalFormatting>
  <conditionalFormatting sqref="C138">
    <cfRule type="cellIs" dxfId="5214" priority="421" stopIfTrue="1" operator="equal">
      <formula>"Towel"</formula>
    </cfRule>
    <cfRule type="cellIs" dxfId="5213" priority="422" stopIfTrue="1" operator="equal">
      <formula>"Napkin Hs"</formula>
    </cfRule>
  </conditionalFormatting>
  <conditionalFormatting sqref="C138">
    <cfRule type="cellIs" dxfId="5212" priority="423" stopIfTrue="1" operator="equal">
      <formula>"Towel"</formula>
    </cfRule>
  </conditionalFormatting>
  <conditionalFormatting sqref="B139:C139">
    <cfRule type="cellIs" dxfId="5211" priority="420" stopIfTrue="1" operator="equal">
      <formula>"Napkin Hs"</formula>
    </cfRule>
  </conditionalFormatting>
  <conditionalFormatting sqref="B139:C139">
    <cfRule type="cellIs" dxfId="5210" priority="419" stopIfTrue="1" operator="equal">
      <formula>"Towel"</formula>
    </cfRule>
  </conditionalFormatting>
  <conditionalFormatting sqref="C139">
    <cfRule type="cellIs" dxfId="5209" priority="418" stopIfTrue="1" operator="equal">
      <formula>"Napkin Hs"</formula>
    </cfRule>
  </conditionalFormatting>
  <conditionalFormatting sqref="C139">
    <cfRule type="cellIs" dxfId="5208" priority="417" stopIfTrue="1" operator="equal">
      <formula>"Towel"</formula>
    </cfRule>
  </conditionalFormatting>
  <conditionalFormatting sqref="C139">
    <cfRule type="cellIs" dxfId="5207" priority="415" stopIfTrue="1" operator="equal">
      <formula>"Towel"</formula>
    </cfRule>
    <cfRule type="cellIs" dxfId="5206" priority="416" stopIfTrue="1" operator="equal">
      <formula>"Napkin Hs"</formula>
    </cfRule>
  </conditionalFormatting>
  <conditionalFormatting sqref="B139:C139">
    <cfRule type="cellIs" dxfId="5205" priority="413" stopIfTrue="1" operator="equal">
      <formula>"Towel"</formula>
    </cfRule>
    <cfRule type="cellIs" dxfId="5204" priority="414" stopIfTrue="1" operator="equal">
      <formula>"Napkin Hs"</formula>
    </cfRule>
  </conditionalFormatting>
  <conditionalFormatting sqref="C139">
    <cfRule type="cellIs" dxfId="5203" priority="411" stopIfTrue="1" operator="equal">
      <formula>"Towel"</formula>
    </cfRule>
    <cfRule type="cellIs" dxfId="5202" priority="412" stopIfTrue="1" operator="equal">
      <formula>"Napkin Hs"</formula>
    </cfRule>
  </conditionalFormatting>
  <conditionalFormatting sqref="C139">
    <cfRule type="cellIs" dxfId="5201" priority="409" stopIfTrue="1" operator="equal">
      <formula>"Towel"</formula>
    </cfRule>
    <cfRule type="cellIs" dxfId="5200" priority="410" stopIfTrue="1" operator="equal">
      <formula>"Napkin Hs"</formula>
    </cfRule>
  </conditionalFormatting>
  <conditionalFormatting sqref="B139:C139">
    <cfRule type="cellIs" dxfId="5199" priority="408" stopIfTrue="1" operator="equal">
      <formula>"Napkin Hs"</formula>
    </cfRule>
  </conditionalFormatting>
  <conditionalFormatting sqref="B139:C139">
    <cfRule type="cellIs" dxfId="5198" priority="407" stopIfTrue="1" operator="equal">
      <formula>"Towel"</formula>
    </cfRule>
  </conditionalFormatting>
  <conditionalFormatting sqref="C139">
    <cfRule type="cellIs" dxfId="5197" priority="406" stopIfTrue="1" operator="equal">
      <formula>"Napkin Hs"</formula>
    </cfRule>
  </conditionalFormatting>
  <conditionalFormatting sqref="C139">
    <cfRule type="cellIs" dxfId="5196" priority="405" stopIfTrue="1" operator="equal">
      <formula>"Towel"</formula>
    </cfRule>
  </conditionalFormatting>
  <conditionalFormatting sqref="C139">
    <cfRule type="cellIs" dxfId="5195" priority="403" stopIfTrue="1" operator="equal">
      <formula>"Towel"</formula>
    </cfRule>
    <cfRule type="cellIs" dxfId="5194" priority="404" stopIfTrue="1" operator="equal">
      <formula>"Napkin Hs"</formula>
    </cfRule>
  </conditionalFormatting>
  <conditionalFormatting sqref="B139:C139">
    <cfRule type="cellIs" dxfId="5193" priority="401" stopIfTrue="1" operator="equal">
      <formula>"Towel"</formula>
    </cfRule>
    <cfRule type="cellIs" dxfId="5192" priority="402" stopIfTrue="1" operator="equal">
      <formula>"Napkin Hs"</formula>
    </cfRule>
  </conditionalFormatting>
  <conditionalFormatting sqref="C139">
    <cfRule type="cellIs" dxfId="5191" priority="397" stopIfTrue="1" operator="equal">
      <formula>"Towel"</formula>
    </cfRule>
    <cfRule type="cellIs" dxfId="5190" priority="398" stopIfTrue="1" operator="equal">
      <formula>"Napkin Hs"</formula>
    </cfRule>
  </conditionalFormatting>
  <conditionalFormatting sqref="C139">
    <cfRule type="cellIs" dxfId="5189" priority="399" stopIfTrue="1" operator="equal">
      <formula>"Towel"</formula>
    </cfRule>
    <cfRule type="cellIs" dxfId="5188" priority="400" stopIfTrue="1" operator="equal">
      <formula>"Napkin Hs"</formula>
    </cfRule>
  </conditionalFormatting>
  <conditionalFormatting sqref="B139:C139">
    <cfRule type="cellIs" dxfId="5187" priority="396" stopIfTrue="1" operator="equal">
      <formula>"Napkin Hs"</formula>
    </cfRule>
  </conditionalFormatting>
  <conditionalFormatting sqref="B139:C139">
    <cfRule type="cellIs" dxfId="5186" priority="395" stopIfTrue="1" operator="equal">
      <formula>"Towel"</formula>
    </cfRule>
  </conditionalFormatting>
  <conditionalFormatting sqref="C139">
    <cfRule type="cellIs" dxfId="5185" priority="394" stopIfTrue="1" operator="equal">
      <formula>"Napkin Hs"</formula>
    </cfRule>
  </conditionalFormatting>
  <conditionalFormatting sqref="C139">
    <cfRule type="cellIs" dxfId="5184" priority="393" stopIfTrue="1" operator="equal">
      <formula>"Towel"</formula>
    </cfRule>
  </conditionalFormatting>
  <conditionalFormatting sqref="C139">
    <cfRule type="cellIs" dxfId="5183" priority="391" stopIfTrue="1" operator="equal">
      <formula>"Towel"</formula>
    </cfRule>
    <cfRule type="cellIs" dxfId="5182" priority="392" stopIfTrue="1" operator="equal">
      <formula>"Napkin Hs"</formula>
    </cfRule>
  </conditionalFormatting>
  <conditionalFormatting sqref="B139:C139">
    <cfRule type="cellIs" dxfId="5181" priority="389" stopIfTrue="1" operator="equal">
      <formula>"Towel"</formula>
    </cfRule>
    <cfRule type="cellIs" dxfId="5180" priority="390" stopIfTrue="1" operator="equal">
      <formula>"Napkin Hs"</formula>
    </cfRule>
  </conditionalFormatting>
  <conditionalFormatting sqref="C139">
    <cfRule type="cellIs" dxfId="5179" priority="387" stopIfTrue="1" operator="equal">
      <formula>"Towel"</formula>
    </cfRule>
    <cfRule type="cellIs" dxfId="5178" priority="388" stopIfTrue="1" operator="equal">
      <formula>"Napkin Hs"</formula>
    </cfRule>
  </conditionalFormatting>
  <conditionalFormatting sqref="C139">
    <cfRule type="cellIs" dxfId="5177" priority="385" stopIfTrue="1" operator="equal">
      <formula>"Towel"</formula>
    </cfRule>
    <cfRule type="cellIs" dxfId="5176" priority="386" stopIfTrue="1" operator="equal">
      <formula>"Napkin Hs"</formula>
    </cfRule>
  </conditionalFormatting>
  <conditionalFormatting sqref="B139:C139">
    <cfRule type="cellIs" dxfId="5175" priority="383" stopIfTrue="1" operator="equal">
      <formula>"Towel"</formula>
    </cfRule>
    <cfRule type="cellIs" dxfId="5174" priority="384" stopIfTrue="1" operator="equal">
      <formula>"Napkin Hs"</formula>
    </cfRule>
  </conditionalFormatting>
  <conditionalFormatting sqref="C139">
    <cfRule type="cellIs" dxfId="5173" priority="381" stopIfTrue="1" operator="equal">
      <formula>"Towel"</formula>
    </cfRule>
    <cfRule type="cellIs" dxfId="5172" priority="382" stopIfTrue="1" operator="equal">
      <formula>"Napkin Hs"</formula>
    </cfRule>
  </conditionalFormatting>
  <conditionalFormatting sqref="C139">
    <cfRule type="cellIs" dxfId="5171" priority="379" stopIfTrue="1" operator="equal">
      <formula>"Towel"</formula>
    </cfRule>
    <cfRule type="cellIs" dxfId="5170" priority="380" stopIfTrue="1" operator="equal">
      <formula>"Napkin Hs"</formula>
    </cfRule>
  </conditionalFormatting>
  <conditionalFormatting sqref="B139:C139">
    <cfRule type="cellIs" dxfId="5169" priority="377" stopIfTrue="1" operator="equal">
      <formula>"Towel"</formula>
    </cfRule>
    <cfRule type="cellIs" dxfId="5168" priority="378" stopIfTrue="1" operator="equal">
      <formula>"Napkin Hs"</formula>
    </cfRule>
  </conditionalFormatting>
  <conditionalFormatting sqref="C139">
    <cfRule type="cellIs" dxfId="5167" priority="375" stopIfTrue="1" operator="equal">
      <formula>"Towel"</formula>
    </cfRule>
    <cfRule type="cellIs" dxfId="5166" priority="376" stopIfTrue="1" operator="equal">
      <formula>"Napkin Hs"</formula>
    </cfRule>
  </conditionalFormatting>
  <conditionalFormatting sqref="C139">
    <cfRule type="cellIs" dxfId="5165" priority="373" stopIfTrue="1" operator="equal">
      <formula>"Towel"</formula>
    </cfRule>
    <cfRule type="cellIs" dxfId="5164" priority="374" stopIfTrue="1" operator="equal">
      <formula>"Napkin Hs"</formula>
    </cfRule>
  </conditionalFormatting>
  <conditionalFormatting sqref="B139:C139">
    <cfRule type="cellIs" dxfId="5163" priority="371" stopIfTrue="1" operator="equal">
      <formula>"Towel"</formula>
    </cfRule>
    <cfRule type="cellIs" dxfId="5162" priority="372" stopIfTrue="1" operator="equal">
      <formula>"Napkin Hs"</formula>
    </cfRule>
  </conditionalFormatting>
  <conditionalFormatting sqref="C139">
    <cfRule type="cellIs" dxfId="5161" priority="369" stopIfTrue="1" operator="equal">
      <formula>"Towel"</formula>
    </cfRule>
    <cfRule type="cellIs" dxfId="5160" priority="370" stopIfTrue="1" operator="equal">
      <formula>"Napkin Hs"</formula>
    </cfRule>
  </conditionalFormatting>
  <conditionalFormatting sqref="C139">
    <cfRule type="cellIs" dxfId="5159" priority="367" stopIfTrue="1" operator="equal">
      <formula>"Towel"</formula>
    </cfRule>
    <cfRule type="cellIs" dxfId="5158" priority="368" stopIfTrue="1" operator="equal">
      <formula>"Napkin Hs"</formula>
    </cfRule>
  </conditionalFormatting>
  <conditionalFormatting sqref="B139:C139">
    <cfRule type="cellIs" dxfId="5157" priority="365" stopIfTrue="1" operator="equal">
      <formula>"Towel"</formula>
    </cfRule>
    <cfRule type="cellIs" dxfId="5156" priority="366" stopIfTrue="1" operator="equal">
      <formula>"Napkin Hs"</formula>
    </cfRule>
  </conditionalFormatting>
  <conditionalFormatting sqref="C139">
    <cfRule type="cellIs" dxfId="5155" priority="363" stopIfTrue="1" operator="equal">
      <formula>"Towel"</formula>
    </cfRule>
    <cfRule type="cellIs" dxfId="5154" priority="364" stopIfTrue="1" operator="equal">
      <formula>"Napkin Hs"</formula>
    </cfRule>
  </conditionalFormatting>
  <conditionalFormatting sqref="C139">
    <cfRule type="cellIs" dxfId="5153" priority="361" stopIfTrue="1" operator="equal">
      <formula>"Towel"</formula>
    </cfRule>
    <cfRule type="cellIs" dxfId="5152" priority="362" stopIfTrue="1" operator="equal">
      <formula>"Napkin Hs"</formula>
    </cfRule>
  </conditionalFormatting>
  <conditionalFormatting sqref="B139:C139">
    <cfRule type="cellIs" dxfId="5151" priority="360" stopIfTrue="1" operator="equal">
      <formula>"Napkin Hs"</formula>
    </cfRule>
  </conditionalFormatting>
  <conditionalFormatting sqref="B139:C139">
    <cfRule type="cellIs" dxfId="5150" priority="359" stopIfTrue="1" operator="equal">
      <formula>"Towel"</formula>
    </cfRule>
  </conditionalFormatting>
  <conditionalFormatting sqref="C139">
    <cfRule type="cellIs" dxfId="5149" priority="358" stopIfTrue="1" operator="equal">
      <formula>"Napkin Hs"</formula>
    </cfRule>
  </conditionalFormatting>
  <conditionalFormatting sqref="C139">
    <cfRule type="cellIs" dxfId="5148" priority="355" stopIfTrue="1" operator="equal">
      <formula>"Towel"</formula>
    </cfRule>
    <cfRule type="cellIs" dxfId="5147" priority="356" stopIfTrue="1" operator="equal">
      <formula>"Napkin Hs"</formula>
    </cfRule>
  </conditionalFormatting>
  <conditionalFormatting sqref="C139">
    <cfRule type="cellIs" dxfId="5146" priority="357" stopIfTrue="1" operator="equal">
      <formula>"Towel"</formula>
    </cfRule>
  </conditionalFormatting>
  <conditionalFormatting sqref="B139:C139">
    <cfRule type="cellIs" dxfId="5145" priority="354" stopIfTrue="1" operator="equal">
      <formula>"Napkin Hs"</formula>
    </cfRule>
  </conditionalFormatting>
  <conditionalFormatting sqref="B139:C139">
    <cfRule type="cellIs" dxfId="5144" priority="353" stopIfTrue="1" operator="equal">
      <formula>"Towel"</formula>
    </cfRule>
  </conditionalFormatting>
  <conditionalFormatting sqref="C139">
    <cfRule type="cellIs" dxfId="5143" priority="352" stopIfTrue="1" operator="equal">
      <formula>"Napkin Hs"</formula>
    </cfRule>
  </conditionalFormatting>
  <conditionalFormatting sqref="C139">
    <cfRule type="cellIs" dxfId="5142" priority="351" stopIfTrue="1" operator="equal">
      <formula>"Towel"</formula>
    </cfRule>
  </conditionalFormatting>
  <conditionalFormatting sqref="C139">
    <cfRule type="cellIs" dxfId="5141" priority="349" stopIfTrue="1" operator="equal">
      <formula>"Towel"</formula>
    </cfRule>
    <cfRule type="cellIs" dxfId="5140" priority="350" stopIfTrue="1" operator="equal">
      <formula>"Napkin Hs"</formula>
    </cfRule>
  </conditionalFormatting>
  <conditionalFormatting sqref="B139:C139">
    <cfRule type="cellIs" dxfId="5139" priority="347" stopIfTrue="1" operator="equal">
      <formula>"Towel"</formula>
    </cfRule>
    <cfRule type="cellIs" dxfId="5138" priority="348" stopIfTrue="1" operator="equal">
      <formula>"Napkin Hs"</formula>
    </cfRule>
  </conditionalFormatting>
  <conditionalFormatting sqref="C139">
    <cfRule type="cellIs" dxfId="5137" priority="343" stopIfTrue="1" operator="equal">
      <formula>"Towel"</formula>
    </cfRule>
    <cfRule type="cellIs" dxfId="5136" priority="344" stopIfTrue="1" operator="equal">
      <formula>"Napkin Hs"</formula>
    </cfRule>
  </conditionalFormatting>
  <conditionalFormatting sqref="C139">
    <cfRule type="cellIs" dxfId="5135" priority="345" stopIfTrue="1" operator="equal">
      <formula>"Towel"</formula>
    </cfRule>
    <cfRule type="cellIs" dxfId="5134" priority="346" stopIfTrue="1" operator="equal">
      <formula>"Napkin Hs"</formula>
    </cfRule>
  </conditionalFormatting>
  <conditionalFormatting sqref="B139:C139">
    <cfRule type="cellIs" dxfId="5133" priority="342" stopIfTrue="1" operator="equal">
      <formula>"Napkin Hs"</formula>
    </cfRule>
  </conditionalFormatting>
  <conditionalFormatting sqref="B139:C139">
    <cfRule type="cellIs" dxfId="5132" priority="341" stopIfTrue="1" operator="equal">
      <formula>"Towel"</formula>
    </cfRule>
  </conditionalFormatting>
  <conditionalFormatting sqref="C139">
    <cfRule type="cellIs" dxfId="5131" priority="340" stopIfTrue="1" operator="equal">
      <formula>"Napkin Hs"</formula>
    </cfRule>
  </conditionalFormatting>
  <conditionalFormatting sqref="C139">
    <cfRule type="cellIs" dxfId="5130" priority="339" stopIfTrue="1" operator="equal">
      <formula>"Towel"</formula>
    </cfRule>
  </conditionalFormatting>
  <conditionalFormatting sqref="C139">
    <cfRule type="cellIs" dxfId="5129" priority="337" stopIfTrue="1" operator="equal">
      <formula>"Towel"</formula>
    </cfRule>
    <cfRule type="cellIs" dxfId="5128" priority="338" stopIfTrue="1" operator="equal">
      <formula>"Napkin Hs"</formula>
    </cfRule>
  </conditionalFormatting>
  <conditionalFormatting sqref="B139:C139">
    <cfRule type="cellIs" dxfId="5127" priority="335" stopIfTrue="1" operator="equal">
      <formula>"Towel"</formula>
    </cfRule>
    <cfRule type="cellIs" dxfId="5126" priority="336" stopIfTrue="1" operator="equal">
      <formula>"Napkin Hs"</formula>
    </cfRule>
  </conditionalFormatting>
  <conditionalFormatting sqref="C139">
    <cfRule type="cellIs" dxfId="5125" priority="333" stopIfTrue="1" operator="equal">
      <formula>"Towel"</formula>
    </cfRule>
    <cfRule type="cellIs" dxfId="5124" priority="334" stopIfTrue="1" operator="equal">
      <formula>"Napkin Hs"</formula>
    </cfRule>
  </conditionalFormatting>
  <conditionalFormatting sqref="C139">
    <cfRule type="cellIs" dxfId="5123" priority="331" stopIfTrue="1" operator="equal">
      <formula>"Towel"</formula>
    </cfRule>
    <cfRule type="cellIs" dxfId="5122" priority="332" stopIfTrue="1" operator="equal">
      <formula>"Napkin Hs"</formula>
    </cfRule>
  </conditionalFormatting>
  <conditionalFormatting sqref="B139:C139">
    <cfRule type="cellIs" dxfId="5121" priority="329" stopIfTrue="1" operator="equal">
      <formula>"Towel"</formula>
    </cfRule>
    <cfRule type="cellIs" dxfId="5120" priority="330" stopIfTrue="1" operator="equal">
      <formula>"Napkin Hs"</formula>
    </cfRule>
  </conditionalFormatting>
  <conditionalFormatting sqref="C139">
    <cfRule type="cellIs" dxfId="5119" priority="327" stopIfTrue="1" operator="equal">
      <formula>"Towel"</formula>
    </cfRule>
    <cfRule type="cellIs" dxfId="5118" priority="328" stopIfTrue="1" operator="equal">
      <formula>"Napkin Hs"</formula>
    </cfRule>
  </conditionalFormatting>
  <conditionalFormatting sqref="C139">
    <cfRule type="cellIs" dxfId="5117" priority="325" stopIfTrue="1" operator="equal">
      <formula>"Towel"</formula>
    </cfRule>
    <cfRule type="cellIs" dxfId="5116" priority="326" stopIfTrue="1" operator="equal">
      <formula>"Napkin Hs"</formula>
    </cfRule>
  </conditionalFormatting>
  <conditionalFormatting sqref="B139:C139">
    <cfRule type="cellIs" dxfId="5115" priority="323" stopIfTrue="1" operator="equal">
      <formula>"Towel"</formula>
    </cfRule>
    <cfRule type="cellIs" dxfId="5114" priority="324" stopIfTrue="1" operator="equal">
      <formula>"Napkin Hs"</formula>
    </cfRule>
  </conditionalFormatting>
  <conditionalFormatting sqref="C139">
    <cfRule type="cellIs" dxfId="5113" priority="321" stopIfTrue="1" operator="equal">
      <formula>"Towel"</formula>
    </cfRule>
    <cfRule type="cellIs" dxfId="5112" priority="322" stopIfTrue="1" operator="equal">
      <formula>"Napkin Hs"</formula>
    </cfRule>
  </conditionalFormatting>
  <conditionalFormatting sqref="C139">
    <cfRule type="cellIs" dxfId="5111" priority="319" stopIfTrue="1" operator="equal">
      <formula>"Towel"</formula>
    </cfRule>
    <cfRule type="cellIs" dxfId="5110" priority="320" stopIfTrue="1" operator="equal">
      <formula>"Napkin Hs"</formula>
    </cfRule>
  </conditionalFormatting>
  <conditionalFormatting sqref="B139:C139">
    <cfRule type="cellIs" dxfId="5109" priority="317" stopIfTrue="1" operator="equal">
      <formula>"Towel"</formula>
    </cfRule>
    <cfRule type="cellIs" dxfId="5108" priority="318" stopIfTrue="1" operator="equal">
      <formula>"Napkin Hs"</formula>
    </cfRule>
  </conditionalFormatting>
  <conditionalFormatting sqref="C139">
    <cfRule type="cellIs" dxfId="5107" priority="315" stopIfTrue="1" operator="equal">
      <formula>"Towel"</formula>
    </cfRule>
    <cfRule type="cellIs" dxfId="5106" priority="316" stopIfTrue="1" operator="equal">
      <formula>"Napkin Hs"</formula>
    </cfRule>
  </conditionalFormatting>
  <conditionalFormatting sqref="C139">
    <cfRule type="cellIs" dxfId="5105" priority="313" stopIfTrue="1" operator="equal">
      <formula>"Towel"</formula>
    </cfRule>
    <cfRule type="cellIs" dxfId="5104" priority="314" stopIfTrue="1" operator="equal">
      <formula>"Napkin Hs"</formula>
    </cfRule>
  </conditionalFormatting>
  <conditionalFormatting sqref="B139:C139">
    <cfRule type="cellIs" dxfId="5103" priority="311" stopIfTrue="1" operator="equal">
      <formula>"Towel"</formula>
    </cfRule>
    <cfRule type="cellIs" dxfId="5102" priority="312" stopIfTrue="1" operator="equal">
      <formula>"Napkin Hs"</formula>
    </cfRule>
  </conditionalFormatting>
  <conditionalFormatting sqref="C139">
    <cfRule type="cellIs" dxfId="5101" priority="309" stopIfTrue="1" operator="equal">
      <formula>"Towel"</formula>
    </cfRule>
    <cfRule type="cellIs" dxfId="5100" priority="310" stopIfTrue="1" operator="equal">
      <formula>"Napkin Hs"</formula>
    </cfRule>
  </conditionalFormatting>
  <conditionalFormatting sqref="C139">
    <cfRule type="cellIs" dxfId="5099" priority="307" stopIfTrue="1" operator="equal">
      <formula>"Towel"</formula>
    </cfRule>
    <cfRule type="cellIs" dxfId="5098" priority="308" stopIfTrue="1" operator="equal">
      <formula>"Napkin Hs"</formula>
    </cfRule>
  </conditionalFormatting>
  <conditionalFormatting sqref="B139:C139">
    <cfRule type="cellIs" dxfId="5097" priority="306" stopIfTrue="1" operator="equal">
      <formula>"Napkin Hs"</formula>
    </cfRule>
  </conditionalFormatting>
  <conditionalFormatting sqref="B139:C139">
    <cfRule type="cellIs" dxfId="5096" priority="305" stopIfTrue="1" operator="equal">
      <formula>"Towel"</formula>
    </cfRule>
  </conditionalFormatting>
  <conditionalFormatting sqref="C139">
    <cfRule type="cellIs" dxfId="5095" priority="304" stopIfTrue="1" operator="equal">
      <formula>"Napkin Hs"</formula>
    </cfRule>
  </conditionalFormatting>
  <conditionalFormatting sqref="C139">
    <cfRule type="cellIs" dxfId="5094" priority="301" stopIfTrue="1" operator="equal">
      <formula>"Towel"</formula>
    </cfRule>
    <cfRule type="cellIs" dxfId="5093" priority="302" stopIfTrue="1" operator="equal">
      <formula>"Napkin Hs"</formula>
    </cfRule>
  </conditionalFormatting>
  <conditionalFormatting sqref="C139">
    <cfRule type="cellIs" dxfId="5092" priority="303" stopIfTrue="1" operator="equal">
      <formula>"Towel"</formula>
    </cfRule>
  </conditionalFormatting>
  <conditionalFormatting sqref="B139:C139">
    <cfRule type="cellIs" dxfId="5091" priority="300" stopIfTrue="1" operator="equal">
      <formula>"Napkin Hs"</formula>
    </cfRule>
  </conditionalFormatting>
  <conditionalFormatting sqref="B139:C139">
    <cfRule type="cellIs" dxfId="5090" priority="299" stopIfTrue="1" operator="equal">
      <formula>"Towel"</formula>
    </cfRule>
  </conditionalFormatting>
  <conditionalFormatting sqref="C139">
    <cfRule type="cellIs" dxfId="5089" priority="298" stopIfTrue="1" operator="equal">
      <formula>"Napkin Hs"</formula>
    </cfRule>
  </conditionalFormatting>
  <conditionalFormatting sqref="C139">
    <cfRule type="cellIs" dxfId="5088" priority="295" stopIfTrue="1" operator="equal">
      <formula>"Towel"</formula>
    </cfRule>
    <cfRule type="cellIs" dxfId="5087" priority="296" stopIfTrue="1" operator="equal">
      <formula>"Napkin Hs"</formula>
    </cfRule>
  </conditionalFormatting>
  <conditionalFormatting sqref="C139">
    <cfRule type="cellIs" dxfId="5086" priority="297" stopIfTrue="1" operator="equal">
      <formula>"Towel"</formula>
    </cfRule>
  </conditionalFormatting>
  <conditionalFormatting sqref="B139:C139">
    <cfRule type="cellIs" dxfId="5085" priority="294" stopIfTrue="1" operator="equal">
      <formula>"Napkin Hs"</formula>
    </cfRule>
  </conditionalFormatting>
  <conditionalFormatting sqref="B139:C139">
    <cfRule type="cellIs" dxfId="5084" priority="293" stopIfTrue="1" operator="equal">
      <formula>"Towel"</formula>
    </cfRule>
  </conditionalFormatting>
  <conditionalFormatting sqref="C139">
    <cfRule type="cellIs" dxfId="5083" priority="292" stopIfTrue="1" operator="equal">
      <formula>"Napkin Hs"</formula>
    </cfRule>
  </conditionalFormatting>
  <conditionalFormatting sqref="C139">
    <cfRule type="cellIs" dxfId="5082" priority="289" stopIfTrue="1" operator="equal">
      <formula>"Towel"</formula>
    </cfRule>
    <cfRule type="cellIs" dxfId="5081" priority="290" stopIfTrue="1" operator="equal">
      <formula>"Napkin Hs"</formula>
    </cfRule>
  </conditionalFormatting>
  <conditionalFormatting sqref="C139">
    <cfRule type="cellIs" dxfId="5080" priority="291" stopIfTrue="1" operator="equal">
      <formula>"Towel"</formula>
    </cfRule>
  </conditionalFormatting>
  <conditionalFormatting sqref="B142:C142">
    <cfRule type="cellIs" dxfId="5079" priority="288" stopIfTrue="1" operator="equal">
      <formula>"Napkin Hs"</formula>
    </cfRule>
  </conditionalFormatting>
  <conditionalFormatting sqref="B142:C142">
    <cfRule type="cellIs" dxfId="5078" priority="287" stopIfTrue="1" operator="equal">
      <formula>"Towel"</formula>
    </cfRule>
  </conditionalFormatting>
  <conditionalFormatting sqref="C142">
    <cfRule type="cellIs" dxfId="5077" priority="286" stopIfTrue="1" operator="equal">
      <formula>"Napkin Hs"</formula>
    </cfRule>
  </conditionalFormatting>
  <conditionalFormatting sqref="C142">
    <cfRule type="cellIs" dxfId="5076" priority="283" stopIfTrue="1" operator="equal">
      <formula>"Towel"</formula>
    </cfRule>
    <cfRule type="cellIs" dxfId="5075" priority="284" stopIfTrue="1" operator="equal">
      <formula>"Napkin Hs"</formula>
    </cfRule>
  </conditionalFormatting>
  <conditionalFormatting sqref="C142">
    <cfRule type="cellIs" dxfId="5074" priority="285" stopIfTrue="1" operator="equal">
      <formula>"Towel"</formula>
    </cfRule>
  </conditionalFormatting>
  <conditionalFormatting sqref="B143:C143">
    <cfRule type="cellIs" dxfId="5073" priority="282" stopIfTrue="1" operator="equal">
      <formula>"Napkin Hs"</formula>
    </cfRule>
  </conditionalFormatting>
  <conditionalFormatting sqref="B143:C143">
    <cfRule type="cellIs" dxfId="5072" priority="281" stopIfTrue="1" operator="equal">
      <formula>"Towel"</formula>
    </cfRule>
  </conditionalFormatting>
  <conditionalFormatting sqref="C143">
    <cfRule type="cellIs" dxfId="5071" priority="280" stopIfTrue="1" operator="equal">
      <formula>"Napkin Hs"</formula>
    </cfRule>
  </conditionalFormatting>
  <conditionalFormatting sqref="C143">
    <cfRule type="cellIs" dxfId="5070" priority="279" stopIfTrue="1" operator="equal">
      <formula>"Towel"</formula>
    </cfRule>
  </conditionalFormatting>
  <conditionalFormatting sqref="C143">
    <cfRule type="cellIs" dxfId="5069" priority="277" stopIfTrue="1" operator="equal">
      <formula>"Towel"</formula>
    </cfRule>
    <cfRule type="cellIs" dxfId="5068" priority="278" stopIfTrue="1" operator="equal">
      <formula>"Napkin Hs"</formula>
    </cfRule>
  </conditionalFormatting>
  <conditionalFormatting sqref="B143:C143">
    <cfRule type="cellIs" dxfId="5067" priority="275" stopIfTrue="1" operator="equal">
      <formula>"Towel"</formula>
    </cfRule>
    <cfRule type="cellIs" dxfId="5066" priority="276" stopIfTrue="1" operator="equal">
      <formula>"Napkin Hs"</formula>
    </cfRule>
  </conditionalFormatting>
  <conditionalFormatting sqref="C143">
    <cfRule type="cellIs" dxfId="5065" priority="273" stopIfTrue="1" operator="equal">
      <formula>"Towel"</formula>
    </cfRule>
    <cfRule type="cellIs" dxfId="5064" priority="274" stopIfTrue="1" operator="equal">
      <formula>"Napkin Hs"</formula>
    </cfRule>
  </conditionalFormatting>
  <conditionalFormatting sqref="C143">
    <cfRule type="cellIs" dxfId="5063" priority="271" stopIfTrue="1" operator="equal">
      <formula>"Towel"</formula>
    </cfRule>
    <cfRule type="cellIs" dxfId="5062" priority="272" stopIfTrue="1" operator="equal">
      <formula>"Napkin Hs"</formula>
    </cfRule>
  </conditionalFormatting>
  <conditionalFormatting sqref="B143:C143">
    <cfRule type="cellIs" dxfId="5061" priority="270" stopIfTrue="1" operator="equal">
      <formula>"Napkin Hs"</formula>
    </cfRule>
  </conditionalFormatting>
  <conditionalFormatting sqref="B143:C143">
    <cfRule type="cellIs" dxfId="5060" priority="269" stopIfTrue="1" operator="equal">
      <formula>"Towel"</formula>
    </cfRule>
  </conditionalFormatting>
  <conditionalFormatting sqref="C143">
    <cfRule type="cellIs" dxfId="5059" priority="268" stopIfTrue="1" operator="equal">
      <formula>"Napkin Hs"</formula>
    </cfRule>
  </conditionalFormatting>
  <conditionalFormatting sqref="C143">
    <cfRule type="cellIs" dxfId="5058" priority="267" stopIfTrue="1" operator="equal">
      <formula>"Towel"</formula>
    </cfRule>
  </conditionalFormatting>
  <conditionalFormatting sqref="C143">
    <cfRule type="cellIs" dxfId="5057" priority="265" stopIfTrue="1" operator="equal">
      <formula>"Towel"</formula>
    </cfRule>
    <cfRule type="cellIs" dxfId="5056" priority="266" stopIfTrue="1" operator="equal">
      <formula>"Napkin Hs"</formula>
    </cfRule>
  </conditionalFormatting>
  <conditionalFormatting sqref="B143:C143">
    <cfRule type="cellIs" dxfId="5055" priority="263" stopIfTrue="1" operator="equal">
      <formula>"Towel"</formula>
    </cfRule>
    <cfRule type="cellIs" dxfId="5054" priority="264" stopIfTrue="1" operator="equal">
      <formula>"Napkin Hs"</formula>
    </cfRule>
  </conditionalFormatting>
  <conditionalFormatting sqref="C143">
    <cfRule type="cellIs" dxfId="5053" priority="259" stopIfTrue="1" operator="equal">
      <formula>"Towel"</formula>
    </cfRule>
    <cfRule type="cellIs" dxfId="5052" priority="260" stopIfTrue="1" operator="equal">
      <formula>"Napkin Hs"</formula>
    </cfRule>
  </conditionalFormatting>
  <conditionalFormatting sqref="C143">
    <cfRule type="cellIs" dxfId="5051" priority="261" stopIfTrue="1" operator="equal">
      <formula>"Towel"</formula>
    </cfRule>
    <cfRule type="cellIs" dxfId="5050" priority="262" stopIfTrue="1" operator="equal">
      <formula>"Napkin Hs"</formula>
    </cfRule>
  </conditionalFormatting>
  <conditionalFormatting sqref="B143:C143">
    <cfRule type="cellIs" dxfId="5049" priority="258" stopIfTrue="1" operator="equal">
      <formula>"Napkin Hs"</formula>
    </cfRule>
  </conditionalFormatting>
  <conditionalFormatting sqref="B143:C143">
    <cfRule type="cellIs" dxfId="5048" priority="257" stopIfTrue="1" operator="equal">
      <formula>"Towel"</formula>
    </cfRule>
  </conditionalFormatting>
  <conditionalFormatting sqref="C143">
    <cfRule type="cellIs" dxfId="5047" priority="256" stopIfTrue="1" operator="equal">
      <formula>"Napkin Hs"</formula>
    </cfRule>
  </conditionalFormatting>
  <conditionalFormatting sqref="C143">
    <cfRule type="cellIs" dxfId="5046" priority="255" stopIfTrue="1" operator="equal">
      <formula>"Towel"</formula>
    </cfRule>
  </conditionalFormatting>
  <conditionalFormatting sqref="C143">
    <cfRule type="cellIs" dxfId="5045" priority="253" stopIfTrue="1" operator="equal">
      <formula>"Towel"</formula>
    </cfRule>
    <cfRule type="cellIs" dxfId="5044" priority="254" stopIfTrue="1" operator="equal">
      <formula>"Napkin Hs"</formula>
    </cfRule>
  </conditionalFormatting>
  <conditionalFormatting sqref="B143:C143">
    <cfRule type="cellIs" dxfId="5043" priority="251" stopIfTrue="1" operator="equal">
      <formula>"Towel"</formula>
    </cfRule>
    <cfRule type="cellIs" dxfId="5042" priority="252" stopIfTrue="1" operator="equal">
      <formula>"Napkin Hs"</formula>
    </cfRule>
  </conditionalFormatting>
  <conditionalFormatting sqref="C143">
    <cfRule type="cellIs" dxfId="5041" priority="249" stopIfTrue="1" operator="equal">
      <formula>"Towel"</formula>
    </cfRule>
    <cfRule type="cellIs" dxfId="5040" priority="250" stopIfTrue="1" operator="equal">
      <formula>"Napkin Hs"</formula>
    </cfRule>
  </conditionalFormatting>
  <conditionalFormatting sqref="C143">
    <cfRule type="cellIs" dxfId="5039" priority="247" stopIfTrue="1" operator="equal">
      <formula>"Towel"</formula>
    </cfRule>
    <cfRule type="cellIs" dxfId="5038" priority="248" stopIfTrue="1" operator="equal">
      <formula>"Napkin Hs"</formula>
    </cfRule>
  </conditionalFormatting>
  <conditionalFormatting sqref="B143:C143">
    <cfRule type="cellIs" dxfId="5037" priority="245" stopIfTrue="1" operator="equal">
      <formula>"Towel"</formula>
    </cfRule>
    <cfRule type="cellIs" dxfId="5036" priority="246" stopIfTrue="1" operator="equal">
      <formula>"Napkin Hs"</formula>
    </cfRule>
  </conditionalFormatting>
  <conditionalFormatting sqref="C143">
    <cfRule type="cellIs" dxfId="5035" priority="243" stopIfTrue="1" operator="equal">
      <formula>"Towel"</formula>
    </cfRule>
    <cfRule type="cellIs" dxfId="5034" priority="244" stopIfTrue="1" operator="equal">
      <formula>"Napkin Hs"</formula>
    </cfRule>
  </conditionalFormatting>
  <conditionalFormatting sqref="C143">
    <cfRule type="cellIs" dxfId="5033" priority="241" stopIfTrue="1" operator="equal">
      <formula>"Towel"</formula>
    </cfRule>
    <cfRule type="cellIs" dxfId="5032" priority="242" stopIfTrue="1" operator="equal">
      <formula>"Napkin Hs"</formula>
    </cfRule>
  </conditionalFormatting>
  <conditionalFormatting sqref="B143:C143">
    <cfRule type="cellIs" dxfId="5031" priority="239" stopIfTrue="1" operator="equal">
      <formula>"Towel"</formula>
    </cfRule>
    <cfRule type="cellIs" dxfId="5030" priority="240" stopIfTrue="1" operator="equal">
      <formula>"Napkin Hs"</formula>
    </cfRule>
  </conditionalFormatting>
  <conditionalFormatting sqref="C143">
    <cfRule type="cellIs" dxfId="5029" priority="237" stopIfTrue="1" operator="equal">
      <formula>"Towel"</formula>
    </cfRule>
    <cfRule type="cellIs" dxfId="5028" priority="238" stopIfTrue="1" operator="equal">
      <formula>"Napkin Hs"</formula>
    </cfRule>
  </conditionalFormatting>
  <conditionalFormatting sqref="C143">
    <cfRule type="cellIs" dxfId="5027" priority="235" stopIfTrue="1" operator="equal">
      <formula>"Towel"</formula>
    </cfRule>
    <cfRule type="cellIs" dxfId="5026" priority="236" stopIfTrue="1" operator="equal">
      <formula>"Napkin Hs"</formula>
    </cfRule>
  </conditionalFormatting>
  <conditionalFormatting sqref="B143:C143">
    <cfRule type="cellIs" dxfId="5025" priority="233" stopIfTrue="1" operator="equal">
      <formula>"Towel"</formula>
    </cfRule>
    <cfRule type="cellIs" dxfId="5024" priority="234" stopIfTrue="1" operator="equal">
      <formula>"Napkin Hs"</formula>
    </cfRule>
  </conditionalFormatting>
  <conditionalFormatting sqref="C143">
    <cfRule type="cellIs" dxfId="5023" priority="231" stopIfTrue="1" operator="equal">
      <formula>"Towel"</formula>
    </cfRule>
    <cfRule type="cellIs" dxfId="5022" priority="232" stopIfTrue="1" operator="equal">
      <formula>"Napkin Hs"</formula>
    </cfRule>
  </conditionalFormatting>
  <conditionalFormatting sqref="C143">
    <cfRule type="cellIs" dxfId="5021" priority="229" stopIfTrue="1" operator="equal">
      <formula>"Towel"</formula>
    </cfRule>
    <cfRule type="cellIs" dxfId="5020" priority="230" stopIfTrue="1" operator="equal">
      <formula>"Napkin Hs"</formula>
    </cfRule>
  </conditionalFormatting>
  <conditionalFormatting sqref="B143:C143">
    <cfRule type="cellIs" dxfId="5019" priority="227" stopIfTrue="1" operator="equal">
      <formula>"Towel"</formula>
    </cfRule>
    <cfRule type="cellIs" dxfId="5018" priority="228" stopIfTrue="1" operator="equal">
      <formula>"Napkin Hs"</formula>
    </cfRule>
  </conditionalFormatting>
  <conditionalFormatting sqref="C143">
    <cfRule type="cellIs" dxfId="5017" priority="225" stopIfTrue="1" operator="equal">
      <formula>"Towel"</formula>
    </cfRule>
    <cfRule type="cellIs" dxfId="5016" priority="226" stopIfTrue="1" operator="equal">
      <formula>"Napkin Hs"</formula>
    </cfRule>
  </conditionalFormatting>
  <conditionalFormatting sqref="C143">
    <cfRule type="cellIs" dxfId="5015" priority="223" stopIfTrue="1" operator="equal">
      <formula>"Towel"</formula>
    </cfRule>
    <cfRule type="cellIs" dxfId="5014" priority="224" stopIfTrue="1" operator="equal">
      <formula>"Napkin Hs"</formula>
    </cfRule>
  </conditionalFormatting>
  <conditionalFormatting sqref="B143:C143">
    <cfRule type="cellIs" dxfId="5013" priority="222" stopIfTrue="1" operator="equal">
      <formula>"Napkin Hs"</formula>
    </cfRule>
  </conditionalFormatting>
  <conditionalFormatting sqref="B143:C143">
    <cfRule type="cellIs" dxfId="5012" priority="221" stopIfTrue="1" operator="equal">
      <formula>"Towel"</formula>
    </cfRule>
  </conditionalFormatting>
  <conditionalFormatting sqref="C143">
    <cfRule type="cellIs" dxfId="5011" priority="220" stopIfTrue="1" operator="equal">
      <formula>"Napkin Hs"</formula>
    </cfRule>
  </conditionalFormatting>
  <conditionalFormatting sqref="C143">
    <cfRule type="cellIs" dxfId="5010" priority="217" stopIfTrue="1" operator="equal">
      <formula>"Towel"</formula>
    </cfRule>
    <cfRule type="cellIs" dxfId="5009" priority="218" stopIfTrue="1" operator="equal">
      <formula>"Napkin Hs"</formula>
    </cfRule>
  </conditionalFormatting>
  <conditionalFormatting sqref="C143">
    <cfRule type="cellIs" dxfId="5008" priority="219" stopIfTrue="1" operator="equal">
      <formula>"Towel"</formula>
    </cfRule>
  </conditionalFormatting>
  <conditionalFormatting sqref="B143:C143">
    <cfRule type="cellIs" dxfId="5007" priority="216" stopIfTrue="1" operator="equal">
      <formula>"Napkin Hs"</formula>
    </cfRule>
  </conditionalFormatting>
  <conditionalFormatting sqref="B143:C143">
    <cfRule type="cellIs" dxfId="5006" priority="215" stopIfTrue="1" operator="equal">
      <formula>"Towel"</formula>
    </cfRule>
  </conditionalFormatting>
  <conditionalFormatting sqref="C143">
    <cfRule type="cellIs" dxfId="5005" priority="214" stopIfTrue="1" operator="equal">
      <formula>"Napkin Hs"</formula>
    </cfRule>
  </conditionalFormatting>
  <conditionalFormatting sqref="C143">
    <cfRule type="cellIs" dxfId="5004" priority="213" stopIfTrue="1" operator="equal">
      <formula>"Towel"</formula>
    </cfRule>
  </conditionalFormatting>
  <conditionalFormatting sqref="C143">
    <cfRule type="cellIs" dxfId="5003" priority="211" stopIfTrue="1" operator="equal">
      <formula>"Towel"</formula>
    </cfRule>
    <cfRule type="cellIs" dxfId="5002" priority="212" stopIfTrue="1" operator="equal">
      <formula>"Napkin Hs"</formula>
    </cfRule>
  </conditionalFormatting>
  <conditionalFormatting sqref="B143:C143">
    <cfRule type="cellIs" dxfId="5001" priority="209" stopIfTrue="1" operator="equal">
      <formula>"Towel"</formula>
    </cfRule>
    <cfRule type="cellIs" dxfId="5000" priority="210" stopIfTrue="1" operator="equal">
      <formula>"Napkin Hs"</formula>
    </cfRule>
  </conditionalFormatting>
  <conditionalFormatting sqref="C143">
    <cfRule type="cellIs" dxfId="4999" priority="205" stopIfTrue="1" operator="equal">
      <formula>"Towel"</formula>
    </cfRule>
    <cfRule type="cellIs" dxfId="4998" priority="206" stopIfTrue="1" operator="equal">
      <formula>"Napkin Hs"</formula>
    </cfRule>
  </conditionalFormatting>
  <conditionalFormatting sqref="C143">
    <cfRule type="cellIs" dxfId="4997" priority="207" stopIfTrue="1" operator="equal">
      <formula>"Towel"</formula>
    </cfRule>
    <cfRule type="cellIs" dxfId="4996" priority="208" stopIfTrue="1" operator="equal">
      <formula>"Napkin Hs"</formula>
    </cfRule>
  </conditionalFormatting>
  <conditionalFormatting sqref="B143:C143">
    <cfRule type="cellIs" dxfId="4995" priority="204" stopIfTrue="1" operator="equal">
      <formula>"Napkin Hs"</formula>
    </cfRule>
  </conditionalFormatting>
  <conditionalFormatting sqref="B143:C143">
    <cfRule type="cellIs" dxfId="4994" priority="203" stopIfTrue="1" operator="equal">
      <formula>"Towel"</formula>
    </cfRule>
  </conditionalFormatting>
  <conditionalFormatting sqref="C143">
    <cfRule type="cellIs" dxfId="4993" priority="202" stopIfTrue="1" operator="equal">
      <formula>"Napkin Hs"</formula>
    </cfRule>
  </conditionalFormatting>
  <conditionalFormatting sqref="C143">
    <cfRule type="cellIs" dxfId="4992" priority="201" stopIfTrue="1" operator="equal">
      <formula>"Towel"</formula>
    </cfRule>
  </conditionalFormatting>
  <conditionalFormatting sqref="C143">
    <cfRule type="cellIs" dxfId="4991" priority="199" stopIfTrue="1" operator="equal">
      <formula>"Towel"</formula>
    </cfRule>
    <cfRule type="cellIs" dxfId="4990" priority="200" stopIfTrue="1" operator="equal">
      <formula>"Napkin Hs"</formula>
    </cfRule>
  </conditionalFormatting>
  <conditionalFormatting sqref="B143:C143">
    <cfRule type="cellIs" dxfId="4989" priority="197" stopIfTrue="1" operator="equal">
      <formula>"Towel"</formula>
    </cfRule>
    <cfRule type="cellIs" dxfId="4988" priority="198" stopIfTrue="1" operator="equal">
      <formula>"Napkin Hs"</formula>
    </cfRule>
  </conditionalFormatting>
  <conditionalFormatting sqref="C143">
    <cfRule type="cellIs" dxfId="4987" priority="195" stopIfTrue="1" operator="equal">
      <formula>"Towel"</formula>
    </cfRule>
    <cfRule type="cellIs" dxfId="4986" priority="196" stopIfTrue="1" operator="equal">
      <formula>"Napkin Hs"</formula>
    </cfRule>
  </conditionalFormatting>
  <conditionalFormatting sqref="C143">
    <cfRule type="cellIs" dxfId="4985" priority="193" stopIfTrue="1" operator="equal">
      <formula>"Towel"</formula>
    </cfRule>
    <cfRule type="cellIs" dxfId="4984" priority="194" stopIfTrue="1" operator="equal">
      <formula>"Napkin Hs"</formula>
    </cfRule>
  </conditionalFormatting>
  <conditionalFormatting sqref="B143:C143">
    <cfRule type="cellIs" dxfId="4983" priority="191" stopIfTrue="1" operator="equal">
      <formula>"Towel"</formula>
    </cfRule>
    <cfRule type="cellIs" dxfId="4982" priority="192" stopIfTrue="1" operator="equal">
      <formula>"Napkin Hs"</formula>
    </cfRule>
  </conditionalFormatting>
  <conditionalFormatting sqref="C143">
    <cfRule type="cellIs" dxfId="4981" priority="189" stopIfTrue="1" operator="equal">
      <formula>"Towel"</formula>
    </cfRule>
    <cfRule type="cellIs" dxfId="4980" priority="190" stopIfTrue="1" operator="equal">
      <formula>"Napkin Hs"</formula>
    </cfRule>
  </conditionalFormatting>
  <conditionalFormatting sqref="C143">
    <cfRule type="cellIs" dxfId="4979" priority="187" stopIfTrue="1" operator="equal">
      <formula>"Towel"</formula>
    </cfRule>
    <cfRule type="cellIs" dxfId="4978" priority="188" stopIfTrue="1" operator="equal">
      <formula>"Napkin Hs"</formula>
    </cfRule>
  </conditionalFormatting>
  <conditionalFormatting sqref="B143:C143">
    <cfRule type="cellIs" dxfId="4977" priority="185" stopIfTrue="1" operator="equal">
      <formula>"Towel"</formula>
    </cfRule>
    <cfRule type="cellIs" dxfId="4976" priority="186" stopIfTrue="1" operator="equal">
      <formula>"Napkin Hs"</formula>
    </cfRule>
  </conditionalFormatting>
  <conditionalFormatting sqref="C143">
    <cfRule type="cellIs" dxfId="4975" priority="183" stopIfTrue="1" operator="equal">
      <formula>"Towel"</formula>
    </cfRule>
    <cfRule type="cellIs" dxfId="4974" priority="184" stopIfTrue="1" operator="equal">
      <formula>"Napkin Hs"</formula>
    </cfRule>
  </conditionalFormatting>
  <conditionalFormatting sqref="C143">
    <cfRule type="cellIs" dxfId="4973" priority="181" stopIfTrue="1" operator="equal">
      <formula>"Towel"</formula>
    </cfRule>
    <cfRule type="cellIs" dxfId="4972" priority="182" stopIfTrue="1" operator="equal">
      <formula>"Napkin Hs"</formula>
    </cfRule>
  </conditionalFormatting>
  <conditionalFormatting sqref="B143:C143">
    <cfRule type="cellIs" dxfId="4971" priority="179" stopIfTrue="1" operator="equal">
      <formula>"Towel"</formula>
    </cfRule>
    <cfRule type="cellIs" dxfId="4970" priority="180" stopIfTrue="1" operator="equal">
      <formula>"Napkin Hs"</formula>
    </cfRule>
  </conditionalFormatting>
  <conditionalFormatting sqref="C143">
    <cfRule type="cellIs" dxfId="4969" priority="177" stopIfTrue="1" operator="equal">
      <formula>"Towel"</formula>
    </cfRule>
    <cfRule type="cellIs" dxfId="4968" priority="178" stopIfTrue="1" operator="equal">
      <formula>"Napkin Hs"</formula>
    </cfRule>
  </conditionalFormatting>
  <conditionalFormatting sqref="C143">
    <cfRule type="cellIs" dxfId="4967" priority="175" stopIfTrue="1" operator="equal">
      <formula>"Towel"</formula>
    </cfRule>
    <cfRule type="cellIs" dxfId="4966" priority="176" stopIfTrue="1" operator="equal">
      <formula>"Napkin Hs"</formula>
    </cfRule>
  </conditionalFormatting>
  <conditionalFormatting sqref="B143:C143">
    <cfRule type="cellIs" dxfId="4965" priority="173" stopIfTrue="1" operator="equal">
      <formula>"Towel"</formula>
    </cfRule>
    <cfRule type="cellIs" dxfId="4964" priority="174" stopIfTrue="1" operator="equal">
      <formula>"Napkin Hs"</formula>
    </cfRule>
  </conditionalFormatting>
  <conditionalFormatting sqref="C143">
    <cfRule type="cellIs" dxfId="4963" priority="171" stopIfTrue="1" operator="equal">
      <formula>"Towel"</formula>
    </cfRule>
    <cfRule type="cellIs" dxfId="4962" priority="172" stopIfTrue="1" operator="equal">
      <formula>"Napkin Hs"</formula>
    </cfRule>
  </conditionalFormatting>
  <conditionalFormatting sqref="C143">
    <cfRule type="cellIs" dxfId="4961" priority="169" stopIfTrue="1" operator="equal">
      <formula>"Towel"</formula>
    </cfRule>
    <cfRule type="cellIs" dxfId="4960" priority="170" stopIfTrue="1" operator="equal">
      <formula>"Napkin Hs"</formula>
    </cfRule>
  </conditionalFormatting>
  <conditionalFormatting sqref="B143:C143">
    <cfRule type="cellIs" dxfId="4959" priority="168" stopIfTrue="1" operator="equal">
      <formula>"Napkin Hs"</formula>
    </cfRule>
  </conditionalFormatting>
  <conditionalFormatting sqref="B143:C143">
    <cfRule type="cellIs" dxfId="4958" priority="167" stopIfTrue="1" operator="equal">
      <formula>"Towel"</formula>
    </cfRule>
  </conditionalFormatting>
  <conditionalFormatting sqref="C143">
    <cfRule type="cellIs" dxfId="4957" priority="166" stopIfTrue="1" operator="equal">
      <formula>"Napkin Hs"</formula>
    </cfRule>
  </conditionalFormatting>
  <conditionalFormatting sqref="C143">
    <cfRule type="cellIs" dxfId="4956" priority="163" stopIfTrue="1" operator="equal">
      <formula>"Towel"</formula>
    </cfRule>
    <cfRule type="cellIs" dxfId="4955" priority="164" stopIfTrue="1" operator="equal">
      <formula>"Napkin Hs"</formula>
    </cfRule>
  </conditionalFormatting>
  <conditionalFormatting sqref="C143">
    <cfRule type="cellIs" dxfId="4954" priority="165" stopIfTrue="1" operator="equal">
      <formula>"Towel"</formula>
    </cfRule>
  </conditionalFormatting>
  <conditionalFormatting sqref="B143:C143">
    <cfRule type="cellIs" dxfId="4953" priority="162" stopIfTrue="1" operator="equal">
      <formula>"Napkin Hs"</formula>
    </cfRule>
  </conditionalFormatting>
  <conditionalFormatting sqref="B143:C143">
    <cfRule type="cellIs" dxfId="4952" priority="161" stopIfTrue="1" operator="equal">
      <formula>"Towel"</formula>
    </cfRule>
  </conditionalFormatting>
  <conditionalFormatting sqref="C143">
    <cfRule type="cellIs" dxfId="4951" priority="160" stopIfTrue="1" operator="equal">
      <formula>"Napkin Hs"</formula>
    </cfRule>
  </conditionalFormatting>
  <conditionalFormatting sqref="C143">
    <cfRule type="cellIs" dxfId="4950" priority="157" stopIfTrue="1" operator="equal">
      <formula>"Towel"</formula>
    </cfRule>
    <cfRule type="cellIs" dxfId="4949" priority="158" stopIfTrue="1" operator="equal">
      <formula>"Napkin Hs"</formula>
    </cfRule>
  </conditionalFormatting>
  <conditionalFormatting sqref="C143">
    <cfRule type="cellIs" dxfId="4948" priority="159" stopIfTrue="1" operator="equal">
      <formula>"Towel"</formula>
    </cfRule>
  </conditionalFormatting>
  <conditionalFormatting sqref="B143:C143">
    <cfRule type="cellIs" dxfId="4947" priority="156" stopIfTrue="1" operator="equal">
      <formula>"Napkin Hs"</formula>
    </cfRule>
  </conditionalFormatting>
  <conditionalFormatting sqref="B143:C143">
    <cfRule type="cellIs" dxfId="4946" priority="155" stopIfTrue="1" operator="equal">
      <formula>"Towel"</formula>
    </cfRule>
  </conditionalFormatting>
  <conditionalFormatting sqref="C143">
    <cfRule type="cellIs" dxfId="4945" priority="154" stopIfTrue="1" operator="equal">
      <formula>"Napkin Hs"</formula>
    </cfRule>
  </conditionalFormatting>
  <conditionalFormatting sqref="C143">
    <cfRule type="cellIs" dxfId="4944" priority="151" stopIfTrue="1" operator="equal">
      <formula>"Towel"</formula>
    </cfRule>
    <cfRule type="cellIs" dxfId="4943" priority="152" stopIfTrue="1" operator="equal">
      <formula>"Napkin Hs"</formula>
    </cfRule>
  </conditionalFormatting>
  <conditionalFormatting sqref="C143">
    <cfRule type="cellIs" dxfId="4942" priority="153" stopIfTrue="1" operator="equal">
      <formula>"Towel"</formula>
    </cfRule>
  </conditionalFormatting>
  <conditionalFormatting sqref="B146:C146">
    <cfRule type="cellIs" dxfId="4941" priority="150" stopIfTrue="1" operator="equal">
      <formula>"Napkin Hs"</formula>
    </cfRule>
  </conditionalFormatting>
  <conditionalFormatting sqref="B146:C146">
    <cfRule type="cellIs" dxfId="4940" priority="149" stopIfTrue="1" operator="equal">
      <formula>"Towel"</formula>
    </cfRule>
  </conditionalFormatting>
  <conditionalFormatting sqref="C146">
    <cfRule type="cellIs" dxfId="4939" priority="148" stopIfTrue="1" operator="equal">
      <formula>"Napkin Hs"</formula>
    </cfRule>
  </conditionalFormatting>
  <conditionalFormatting sqref="C146">
    <cfRule type="cellIs" dxfId="4938" priority="145" stopIfTrue="1" operator="equal">
      <formula>"Towel"</formula>
    </cfRule>
    <cfRule type="cellIs" dxfId="4937" priority="146" stopIfTrue="1" operator="equal">
      <formula>"Napkin Hs"</formula>
    </cfRule>
  </conditionalFormatting>
  <conditionalFormatting sqref="C146">
    <cfRule type="cellIs" dxfId="4936" priority="147" stopIfTrue="1" operator="equal">
      <formula>"Towel"</formula>
    </cfRule>
  </conditionalFormatting>
  <conditionalFormatting sqref="B147:C147">
    <cfRule type="cellIs" dxfId="4935" priority="144" stopIfTrue="1" operator="equal">
      <formula>"Napkin Hs"</formula>
    </cfRule>
  </conditionalFormatting>
  <conditionalFormatting sqref="B147:C147">
    <cfRule type="cellIs" dxfId="4934" priority="143" stopIfTrue="1" operator="equal">
      <formula>"Towel"</formula>
    </cfRule>
  </conditionalFormatting>
  <conditionalFormatting sqref="C147">
    <cfRule type="cellIs" dxfId="4933" priority="142" stopIfTrue="1" operator="equal">
      <formula>"Napkin Hs"</formula>
    </cfRule>
  </conditionalFormatting>
  <conditionalFormatting sqref="C147">
    <cfRule type="cellIs" dxfId="4932" priority="141" stopIfTrue="1" operator="equal">
      <formula>"Towel"</formula>
    </cfRule>
  </conditionalFormatting>
  <conditionalFormatting sqref="C147">
    <cfRule type="cellIs" dxfId="4931" priority="139" stopIfTrue="1" operator="equal">
      <formula>"Towel"</formula>
    </cfRule>
    <cfRule type="cellIs" dxfId="4930" priority="140" stopIfTrue="1" operator="equal">
      <formula>"Napkin Hs"</formula>
    </cfRule>
  </conditionalFormatting>
  <conditionalFormatting sqref="B147:C147">
    <cfRule type="cellIs" dxfId="4929" priority="137" stopIfTrue="1" operator="equal">
      <formula>"Towel"</formula>
    </cfRule>
    <cfRule type="cellIs" dxfId="4928" priority="138" stopIfTrue="1" operator="equal">
      <formula>"Napkin Hs"</formula>
    </cfRule>
  </conditionalFormatting>
  <conditionalFormatting sqref="C147">
    <cfRule type="cellIs" dxfId="4927" priority="135" stopIfTrue="1" operator="equal">
      <formula>"Towel"</formula>
    </cfRule>
    <cfRule type="cellIs" dxfId="4926" priority="136" stopIfTrue="1" operator="equal">
      <formula>"Napkin Hs"</formula>
    </cfRule>
  </conditionalFormatting>
  <conditionalFormatting sqref="C147">
    <cfRule type="cellIs" dxfId="4925" priority="133" stopIfTrue="1" operator="equal">
      <formula>"Towel"</formula>
    </cfRule>
    <cfRule type="cellIs" dxfId="4924" priority="134" stopIfTrue="1" operator="equal">
      <formula>"Napkin Hs"</formula>
    </cfRule>
  </conditionalFormatting>
  <conditionalFormatting sqref="B147:C147">
    <cfRule type="cellIs" dxfId="4923" priority="132" stopIfTrue="1" operator="equal">
      <formula>"Napkin Hs"</formula>
    </cfRule>
  </conditionalFormatting>
  <conditionalFormatting sqref="B147:C147">
    <cfRule type="cellIs" dxfId="4922" priority="131" stopIfTrue="1" operator="equal">
      <formula>"Towel"</formula>
    </cfRule>
  </conditionalFormatting>
  <conditionalFormatting sqref="C147">
    <cfRule type="cellIs" dxfId="4921" priority="130" stopIfTrue="1" operator="equal">
      <formula>"Napkin Hs"</formula>
    </cfRule>
  </conditionalFormatting>
  <conditionalFormatting sqref="C147">
    <cfRule type="cellIs" dxfId="4920" priority="129" stopIfTrue="1" operator="equal">
      <formula>"Towel"</formula>
    </cfRule>
  </conditionalFormatting>
  <conditionalFormatting sqref="C147">
    <cfRule type="cellIs" dxfId="4919" priority="127" stopIfTrue="1" operator="equal">
      <formula>"Towel"</formula>
    </cfRule>
    <cfRule type="cellIs" dxfId="4918" priority="128" stopIfTrue="1" operator="equal">
      <formula>"Napkin Hs"</formula>
    </cfRule>
  </conditionalFormatting>
  <conditionalFormatting sqref="B147:C147">
    <cfRule type="cellIs" dxfId="4917" priority="125" stopIfTrue="1" operator="equal">
      <formula>"Towel"</formula>
    </cfRule>
    <cfRule type="cellIs" dxfId="4916" priority="126" stopIfTrue="1" operator="equal">
      <formula>"Napkin Hs"</formula>
    </cfRule>
  </conditionalFormatting>
  <conditionalFormatting sqref="C147">
    <cfRule type="cellIs" dxfId="4915" priority="121" stopIfTrue="1" operator="equal">
      <formula>"Towel"</formula>
    </cfRule>
    <cfRule type="cellIs" dxfId="4914" priority="122" stopIfTrue="1" operator="equal">
      <formula>"Napkin Hs"</formula>
    </cfRule>
  </conditionalFormatting>
  <conditionalFormatting sqref="C147">
    <cfRule type="cellIs" dxfId="4913" priority="123" stopIfTrue="1" operator="equal">
      <formula>"Towel"</formula>
    </cfRule>
    <cfRule type="cellIs" dxfId="4912" priority="124" stopIfTrue="1" operator="equal">
      <formula>"Napkin Hs"</formula>
    </cfRule>
  </conditionalFormatting>
  <conditionalFormatting sqref="B147:C147">
    <cfRule type="cellIs" dxfId="4911" priority="120" stopIfTrue="1" operator="equal">
      <formula>"Napkin Hs"</formula>
    </cfRule>
  </conditionalFormatting>
  <conditionalFormatting sqref="B147:C147">
    <cfRule type="cellIs" dxfId="4910" priority="119" stopIfTrue="1" operator="equal">
      <formula>"Towel"</formula>
    </cfRule>
  </conditionalFormatting>
  <conditionalFormatting sqref="C147">
    <cfRule type="cellIs" dxfId="4909" priority="118" stopIfTrue="1" operator="equal">
      <formula>"Napkin Hs"</formula>
    </cfRule>
  </conditionalFormatting>
  <conditionalFormatting sqref="C147">
    <cfRule type="cellIs" dxfId="4908" priority="117" stopIfTrue="1" operator="equal">
      <formula>"Towel"</formula>
    </cfRule>
  </conditionalFormatting>
  <conditionalFormatting sqref="C147">
    <cfRule type="cellIs" dxfId="4907" priority="115" stopIfTrue="1" operator="equal">
      <formula>"Towel"</formula>
    </cfRule>
    <cfRule type="cellIs" dxfId="4906" priority="116" stopIfTrue="1" operator="equal">
      <formula>"Napkin Hs"</formula>
    </cfRule>
  </conditionalFormatting>
  <conditionalFormatting sqref="B147:C147">
    <cfRule type="cellIs" dxfId="4905" priority="113" stopIfTrue="1" operator="equal">
      <formula>"Towel"</formula>
    </cfRule>
    <cfRule type="cellIs" dxfId="4904" priority="114" stopIfTrue="1" operator="equal">
      <formula>"Napkin Hs"</formula>
    </cfRule>
  </conditionalFormatting>
  <conditionalFormatting sqref="C147">
    <cfRule type="cellIs" dxfId="4903" priority="111" stopIfTrue="1" operator="equal">
      <formula>"Towel"</formula>
    </cfRule>
    <cfRule type="cellIs" dxfId="4902" priority="112" stopIfTrue="1" operator="equal">
      <formula>"Napkin Hs"</formula>
    </cfRule>
  </conditionalFormatting>
  <conditionalFormatting sqref="C147">
    <cfRule type="cellIs" dxfId="4901" priority="109" stopIfTrue="1" operator="equal">
      <formula>"Towel"</formula>
    </cfRule>
    <cfRule type="cellIs" dxfId="4900" priority="110" stopIfTrue="1" operator="equal">
      <formula>"Napkin Hs"</formula>
    </cfRule>
  </conditionalFormatting>
  <conditionalFormatting sqref="B147:C147">
    <cfRule type="cellIs" dxfId="4899" priority="107" stopIfTrue="1" operator="equal">
      <formula>"Towel"</formula>
    </cfRule>
    <cfRule type="cellIs" dxfId="4898" priority="108" stopIfTrue="1" operator="equal">
      <formula>"Napkin Hs"</formula>
    </cfRule>
  </conditionalFormatting>
  <conditionalFormatting sqref="C147">
    <cfRule type="cellIs" dxfId="4897" priority="105" stopIfTrue="1" operator="equal">
      <formula>"Towel"</formula>
    </cfRule>
    <cfRule type="cellIs" dxfId="4896" priority="106" stopIfTrue="1" operator="equal">
      <formula>"Napkin Hs"</formula>
    </cfRule>
  </conditionalFormatting>
  <conditionalFormatting sqref="C147">
    <cfRule type="cellIs" dxfId="4895" priority="103" stopIfTrue="1" operator="equal">
      <formula>"Towel"</formula>
    </cfRule>
    <cfRule type="cellIs" dxfId="4894" priority="104" stopIfTrue="1" operator="equal">
      <formula>"Napkin Hs"</formula>
    </cfRule>
  </conditionalFormatting>
  <conditionalFormatting sqref="B147:C147">
    <cfRule type="cellIs" dxfId="4893" priority="101" stopIfTrue="1" operator="equal">
      <formula>"Towel"</formula>
    </cfRule>
    <cfRule type="cellIs" dxfId="4892" priority="102" stopIfTrue="1" operator="equal">
      <formula>"Napkin Hs"</formula>
    </cfRule>
  </conditionalFormatting>
  <conditionalFormatting sqref="C147">
    <cfRule type="cellIs" dxfId="4891" priority="99" stopIfTrue="1" operator="equal">
      <formula>"Towel"</formula>
    </cfRule>
    <cfRule type="cellIs" dxfId="4890" priority="100" stopIfTrue="1" operator="equal">
      <formula>"Napkin Hs"</formula>
    </cfRule>
  </conditionalFormatting>
  <conditionalFormatting sqref="C147">
    <cfRule type="cellIs" dxfId="4889" priority="97" stopIfTrue="1" operator="equal">
      <formula>"Towel"</formula>
    </cfRule>
    <cfRule type="cellIs" dxfId="4888" priority="98" stopIfTrue="1" operator="equal">
      <formula>"Napkin Hs"</formula>
    </cfRule>
  </conditionalFormatting>
  <conditionalFormatting sqref="B147:C147">
    <cfRule type="cellIs" dxfId="4887" priority="95" stopIfTrue="1" operator="equal">
      <formula>"Towel"</formula>
    </cfRule>
    <cfRule type="cellIs" dxfId="4886" priority="96" stopIfTrue="1" operator="equal">
      <formula>"Napkin Hs"</formula>
    </cfRule>
  </conditionalFormatting>
  <conditionalFormatting sqref="C147">
    <cfRule type="cellIs" dxfId="4885" priority="93" stopIfTrue="1" operator="equal">
      <formula>"Towel"</formula>
    </cfRule>
    <cfRule type="cellIs" dxfId="4884" priority="94" stopIfTrue="1" operator="equal">
      <formula>"Napkin Hs"</formula>
    </cfRule>
  </conditionalFormatting>
  <conditionalFormatting sqref="C147">
    <cfRule type="cellIs" dxfId="4883" priority="91" stopIfTrue="1" operator="equal">
      <formula>"Towel"</formula>
    </cfRule>
    <cfRule type="cellIs" dxfId="4882" priority="92" stopIfTrue="1" operator="equal">
      <formula>"Napkin Hs"</formula>
    </cfRule>
  </conditionalFormatting>
  <conditionalFormatting sqref="B147:C147">
    <cfRule type="cellIs" dxfId="4881" priority="89" stopIfTrue="1" operator="equal">
      <formula>"Towel"</formula>
    </cfRule>
    <cfRule type="cellIs" dxfId="4880" priority="90" stopIfTrue="1" operator="equal">
      <formula>"Napkin Hs"</formula>
    </cfRule>
  </conditionalFormatting>
  <conditionalFormatting sqref="C147">
    <cfRule type="cellIs" dxfId="4879" priority="87" stopIfTrue="1" operator="equal">
      <formula>"Towel"</formula>
    </cfRule>
    <cfRule type="cellIs" dxfId="4878" priority="88" stopIfTrue="1" operator="equal">
      <formula>"Napkin Hs"</formula>
    </cfRule>
  </conditionalFormatting>
  <conditionalFormatting sqref="C147">
    <cfRule type="cellIs" dxfId="4877" priority="85" stopIfTrue="1" operator="equal">
      <formula>"Towel"</formula>
    </cfRule>
    <cfRule type="cellIs" dxfId="4876" priority="86" stopIfTrue="1" operator="equal">
      <formula>"Napkin Hs"</formula>
    </cfRule>
  </conditionalFormatting>
  <conditionalFormatting sqref="B147:C147">
    <cfRule type="cellIs" dxfId="4875" priority="84" stopIfTrue="1" operator="equal">
      <formula>"Napkin Hs"</formula>
    </cfRule>
  </conditionalFormatting>
  <conditionalFormatting sqref="B147:C147">
    <cfRule type="cellIs" dxfId="4874" priority="83" stopIfTrue="1" operator="equal">
      <formula>"Towel"</formula>
    </cfRule>
  </conditionalFormatting>
  <conditionalFormatting sqref="C147">
    <cfRule type="cellIs" dxfId="4873" priority="82" stopIfTrue="1" operator="equal">
      <formula>"Napkin Hs"</formula>
    </cfRule>
  </conditionalFormatting>
  <conditionalFormatting sqref="C147">
    <cfRule type="cellIs" dxfId="4872" priority="79" stopIfTrue="1" operator="equal">
      <formula>"Towel"</formula>
    </cfRule>
    <cfRule type="cellIs" dxfId="4871" priority="80" stopIfTrue="1" operator="equal">
      <formula>"Napkin Hs"</formula>
    </cfRule>
  </conditionalFormatting>
  <conditionalFormatting sqref="C147">
    <cfRule type="cellIs" dxfId="4870" priority="81" stopIfTrue="1" operator="equal">
      <formula>"Towel"</formula>
    </cfRule>
  </conditionalFormatting>
  <conditionalFormatting sqref="B147:C147">
    <cfRule type="cellIs" dxfId="4869" priority="78" stopIfTrue="1" operator="equal">
      <formula>"Napkin Hs"</formula>
    </cfRule>
  </conditionalFormatting>
  <conditionalFormatting sqref="B147:C147">
    <cfRule type="cellIs" dxfId="4868" priority="77" stopIfTrue="1" operator="equal">
      <formula>"Towel"</formula>
    </cfRule>
  </conditionalFormatting>
  <conditionalFormatting sqref="C147">
    <cfRule type="cellIs" dxfId="4867" priority="76" stopIfTrue="1" operator="equal">
      <formula>"Napkin Hs"</formula>
    </cfRule>
  </conditionalFormatting>
  <conditionalFormatting sqref="C147">
    <cfRule type="cellIs" dxfId="4866" priority="75" stopIfTrue="1" operator="equal">
      <formula>"Towel"</formula>
    </cfRule>
  </conditionalFormatting>
  <conditionalFormatting sqref="C147">
    <cfRule type="cellIs" dxfId="4865" priority="73" stopIfTrue="1" operator="equal">
      <formula>"Towel"</formula>
    </cfRule>
    <cfRule type="cellIs" dxfId="4864" priority="74" stopIfTrue="1" operator="equal">
      <formula>"Napkin Hs"</formula>
    </cfRule>
  </conditionalFormatting>
  <conditionalFormatting sqref="B147:C147">
    <cfRule type="cellIs" dxfId="4863" priority="71" stopIfTrue="1" operator="equal">
      <formula>"Towel"</formula>
    </cfRule>
    <cfRule type="cellIs" dxfId="4862" priority="72" stopIfTrue="1" operator="equal">
      <formula>"Napkin Hs"</formula>
    </cfRule>
  </conditionalFormatting>
  <conditionalFormatting sqref="C147">
    <cfRule type="cellIs" dxfId="4861" priority="67" stopIfTrue="1" operator="equal">
      <formula>"Towel"</formula>
    </cfRule>
    <cfRule type="cellIs" dxfId="4860" priority="68" stopIfTrue="1" operator="equal">
      <formula>"Napkin Hs"</formula>
    </cfRule>
  </conditionalFormatting>
  <conditionalFormatting sqref="C147">
    <cfRule type="cellIs" dxfId="4859" priority="69" stopIfTrue="1" operator="equal">
      <formula>"Towel"</formula>
    </cfRule>
    <cfRule type="cellIs" dxfId="4858" priority="70" stopIfTrue="1" operator="equal">
      <formula>"Napkin Hs"</formula>
    </cfRule>
  </conditionalFormatting>
  <conditionalFormatting sqref="B147:C147">
    <cfRule type="cellIs" dxfId="4857" priority="66" stopIfTrue="1" operator="equal">
      <formula>"Napkin Hs"</formula>
    </cfRule>
  </conditionalFormatting>
  <conditionalFormatting sqref="B147:C147">
    <cfRule type="cellIs" dxfId="4856" priority="65" stopIfTrue="1" operator="equal">
      <formula>"Towel"</formula>
    </cfRule>
  </conditionalFormatting>
  <conditionalFormatting sqref="C147">
    <cfRule type="cellIs" dxfId="4855" priority="64" stopIfTrue="1" operator="equal">
      <formula>"Napkin Hs"</formula>
    </cfRule>
  </conditionalFormatting>
  <conditionalFormatting sqref="C147">
    <cfRule type="cellIs" dxfId="4854" priority="63" stopIfTrue="1" operator="equal">
      <formula>"Towel"</formula>
    </cfRule>
  </conditionalFormatting>
  <conditionalFormatting sqref="C147">
    <cfRule type="cellIs" dxfId="4853" priority="61" stopIfTrue="1" operator="equal">
      <formula>"Towel"</formula>
    </cfRule>
    <cfRule type="cellIs" dxfId="4852" priority="62" stopIfTrue="1" operator="equal">
      <formula>"Napkin Hs"</formula>
    </cfRule>
  </conditionalFormatting>
  <conditionalFormatting sqref="B147:C147">
    <cfRule type="cellIs" dxfId="4851" priority="59" stopIfTrue="1" operator="equal">
      <formula>"Towel"</formula>
    </cfRule>
    <cfRule type="cellIs" dxfId="4850" priority="60" stopIfTrue="1" operator="equal">
      <formula>"Napkin Hs"</formula>
    </cfRule>
  </conditionalFormatting>
  <conditionalFormatting sqref="C147">
    <cfRule type="cellIs" dxfId="4849" priority="57" stopIfTrue="1" operator="equal">
      <formula>"Towel"</formula>
    </cfRule>
    <cfRule type="cellIs" dxfId="4848" priority="58" stopIfTrue="1" operator="equal">
      <formula>"Napkin Hs"</formula>
    </cfRule>
  </conditionalFormatting>
  <conditionalFormatting sqref="C147">
    <cfRule type="cellIs" dxfId="4847" priority="55" stopIfTrue="1" operator="equal">
      <formula>"Towel"</formula>
    </cfRule>
    <cfRule type="cellIs" dxfId="4846" priority="56" stopIfTrue="1" operator="equal">
      <formula>"Napkin Hs"</formula>
    </cfRule>
  </conditionalFormatting>
  <conditionalFormatting sqref="B147:C147">
    <cfRule type="cellIs" dxfId="4845" priority="53" stopIfTrue="1" operator="equal">
      <formula>"Towel"</formula>
    </cfRule>
    <cfRule type="cellIs" dxfId="4844" priority="54" stopIfTrue="1" operator="equal">
      <formula>"Napkin Hs"</formula>
    </cfRule>
  </conditionalFormatting>
  <conditionalFormatting sqref="C147">
    <cfRule type="cellIs" dxfId="4843" priority="51" stopIfTrue="1" operator="equal">
      <formula>"Towel"</formula>
    </cfRule>
    <cfRule type="cellIs" dxfId="4842" priority="52" stopIfTrue="1" operator="equal">
      <formula>"Napkin Hs"</formula>
    </cfRule>
  </conditionalFormatting>
  <conditionalFormatting sqref="C147">
    <cfRule type="cellIs" dxfId="4841" priority="49" stopIfTrue="1" operator="equal">
      <formula>"Towel"</formula>
    </cfRule>
    <cfRule type="cellIs" dxfId="4840" priority="50" stopIfTrue="1" operator="equal">
      <formula>"Napkin Hs"</formula>
    </cfRule>
  </conditionalFormatting>
  <conditionalFormatting sqref="B147:C147">
    <cfRule type="cellIs" dxfId="4839" priority="47" stopIfTrue="1" operator="equal">
      <formula>"Towel"</formula>
    </cfRule>
    <cfRule type="cellIs" dxfId="4838" priority="48" stopIfTrue="1" operator="equal">
      <formula>"Napkin Hs"</formula>
    </cfRule>
  </conditionalFormatting>
  <conditionalFormatting sqref="C147">
    <cfRule type="cellIs" dxfId="4837" priority="45" stopIfTrue="1" operator="equal">
      <formula>"Towel"</formula>
    </cfRule>
    <cfRule type="cellIs" dxfId="4836" priority="46" stopIfTrue="1" operator="equal">
      <formula>"Napkin Hs"</formula>
    </cfRule>
  </conditionalFormatting>
  <conditionalFormatting sqref="C147">
    <cfRule type="cellIs" dxfId="4835" priority="43" stopIfTrue="1" operator="equal">
      <formula>"Towel"</formula>
    </cfRule>
    <cfRule type="cellIs" dxfId="4834" priority="44" stopIfTrue="1" operator="equal">
      <formula>"Napkin Hs"</formula>
    </cfRule>
  </conditionalFormatting>
  <conditionalFormatting sqref="B147:C147">
    <cfRule type="cellIs" dxfId="4833" priority="41" stopIfTrue="1" operator="equal">
      <formula>"Towel"</formula>
    </cfRule>
    <cfRule type="cellIs" dxfId="4832" priority="42" stopIfTrue="1" operator="equal">
      <formula>"Napkin Hs"</formula>
    </cfRule>
  </conditionalFormatting>
  <conditionalFormatting sqref="C147">
    <cfRule type="cellIs" dxfId="4831" priority="39" stopIfTrue="1" operator="equal">
      <formula>"Towel"</formula>
    </cfRule>
    <cfRule type="cellIs" dxfId="4830" priority="40" stopIfTrue="1" operator="equal">
      <formula>"Napkin Hs"</formula>
    </cfRule>
  </conditionalFormatting>
  <conditionalFormatting sqref="C147">
    <cfRule type="cellIs" dxfId="4829" priority="37" stopIfTrue="1" operator="equal">
      <formula>"Towel"</formula>
    </cfRule>
    <cfRule type="cellIs" dxfId="4828" priority="38" stopIfTrue="1" operator="equal">
      <formula>"Napkin Hs"</formula>
    </cfRule>
  </conditionalFormatting>
  <conditionalFormatting sqref="B147:C147">
    <cfRule type="cellIs" dxfId="4827" priority="35" stopIfTrue="1" operator="equal">
      <formula>"Towel"</formula>
    </cfRule>
    <cfRule type="cellIs" dxfId="4826" priority="36" stopIfTrue="1" operator="equal">
      <formula>"Napkin Hs"</formula>
    </cfRule>
  </conditionalFormatting>
  <conditionalFormatting sqref="C147">
    <cfRule type="cellIs" dxfId="4825" priority="33" stopIfTrue="1" operator="equal">
      <formula>"Towel"</formula>
    </cfRule>
    <cfRule type="cellIs" dxfId="4824" priority="34" stopIfTrue="1" operator="equal">
      <formula>"Napkin Hs"</formula>
    </cfRule>
  </conditionalFormatting>
  <conditionalFormatting sqref="C147">
    <cfRule type="cellIs" dxfId="4823" priority="31" stopIfTrue="1" operator="equal">
      <formula>"Towel"</formula>
    </cfRule>
    <cfRule type="cellIs" dxfId="4822" priority="32" stopIfTrue="1" operator="equal">
      <formula>"Napkin Hs"</formula>
    </cfRule>
  </conditionalFormatting>
  <conditionalFormatting sqref="B147:C147">
    <cfRule type="cellIs" dxfId="4821" priority="30" stopIfTrue="1" operator="equal">
      <formula>"Napkin Hs"</formula>
    </cfRule>
  </conditionalFormatting>
  <conditionalFormatting sqref="B147:C147">
    <cfRule type="cellIs" dxfId="4820" priority="29" stopIfTrue="1" operator="equal">
      <formula>"Towel"</formula>
    </cfRule>
  </conditionalFormatting>
  <conditionalFormatting sqref="C147">
    <cfRule type="cellIs" dxfId="4819" priority="28" stopIfTrue="1" operator="equal">
      <formula>"Napkin Hs"</formula>
    </cfRule>
  </conditionalFormatting>
  <conditionalFormatting sqref="C147">
    <cfRule type="cellIs" dxfId="4818" priority="25" stopIfTrue="1" operator="equal">
      <formula>"Towel"</formula>
    </cfRule>
    <cfRule type="cellIs" dxfId="4817" priority="26" stopIfTrue="1" operator="equal">
      <formula>"Napkin Hs"</formula>
    </cfRule>
  </conditionalFormatting>
  <conditionalFormatting sqref="C147">
    <cfRule type="cellIs" dxfId="4816" priority="27" stopIfTrue="1" operator="equal">
      <formula>"Towel"</formula>
    </cfRule>
  </conditionalFormatting>
  <conditionalFormatting sqref="B147:C147">
    <cfRule type="cellIs" dxfId="4815" priority="24" stopIfTrue="1" operator="equal">
      <formula>"Napkin Hs"</formula>
    </cfRule>
  </conditionalFormatting>
  <conditionalFormatting sqref="B147:C147">
    <cfRule type="cellIs" dxfId="4814" priority="23" stopIfTrue="1" operator="equal">
      <formula>"Towel"</formula>
    </cfRule>
  </conditionalFormatting>
  <conditionalFormatting sqref="C147">
    <cfRule type="cellIs" dxfId="4813" priority="22" stopIfTrue="1" operator="equal">
      <formula>"Napkin Hs"</formula>
    </cfRule>
  </conditionalFormatting>
  <conditionalFormatting sqref="C147">
    <cfRule type="cellIs" dxfId="4812" priority="19" stopIfTrue="1" operator="equal">
      <formula>"Towel"</formula>
    </cfRule>
    <cfRule type="cellIs" dxfId="4811" priority="20" stopIfTrue="1" operator="equal">
      <formula>"Napkin Hs"</formula>
    </cfRule>
  </conditionalFormatting>
  <conditionalFormatting sqref="C147">
    <cfRule type="cellIs" dxfId="4810" priority="21" stopIfTrue="1" operator="equal">
      <formula>"Towel"</formula>
    </cfRule>
  </conditionalFormatting>
  <conditionalFormatting sqref="B147:C147">
    <cfRule type="cellIs" dxfId="4809" priority="18" stopIfTrue="1" operator="equal">
      <formula>"Napkin Hs"</formula>
    </cfRule>
  </conditionalFormatting>
  <conditionalFormatting sqref="B147:C147">
    <cfRule type="cellIs" dxfId="4808" priority="17" stopIfTrue="1" operator="equal">
      <formula>"Towel"</formula>
    </cfRule>
  </conditionalFormatting>
  <conditionalFormatting sqref="C147">
    <cfRule type="cellIs" dxfId="4807" priority="16" stopIfTrue="1" operator="equal">
      <formula>"Napkin Hs"</formula>
    </cfRule>
  </conditionalFormatting>
  <conditionalFormatting sqref="C147">
    <cfRule type="cellIs" dxfId="4806" priority="13" stopIfTrue="1" operator="equal">
      <formula>"Towel"</formula>
    </cfRule>
    <cfRule type="cellIs" dxfId="4805" priority="14" stopIfTrue="1" operator="equal">
      <formula>"Napkin Hs"</formula>
    </cfRule>
  </conditionalFormatting>
  <conditionalFormatting sqref="C147">
    <cfRule type="cellIs" dxfId="4804" priority="15" stopIfTrue="1" operator="equal">
      <formula>"Towel"</formula>
    </cfRule>
  </conditionalFormatting>
  <conditionalFormatting sqref="B141:C141">
    <cfRule type="cellIs" dxfId="4803" priority="12" stopIfTrue="1" operator="equal">
      <formula>"Napkin Hs"</formula>
    </cfRule>
  </conditionalFormatting>
  <conditionalFormatting sqref="B141:C141">
    <cfRule type="cellIs" dxfId="4802" priority="11" stopIfTrue="1" operator="equal">
      <formula>"Towel"</formula>
    </cfRule>
  </conditionalFormatting>
  <conditionalFormatting sqref="C141">
    <cfRule type="cellIs" dxfId="4801" priority="10" stopIfTrue="1" operator="equal">
      <formula>"Napkin Hs"</formula>
    </cfRule>
  </conditionalFormatting>
  <conditionalFormatting sqref="C141">
    <cfRule type="cellIs" dxfId="4800" priority="7" stopIfTrue="1" operator="equal">
      <formula>"Towel"</formula>
    </cfRule>
    <cfRule type="cellIs" dxfId="4799" priority="8" stopIfTrue="1" operator="equal">
      <formula>"Napkin Hs"</formula>
    </cfRule>
  </conditionalFormatting>
  <conditionalFormatting sqref="C141">
    <cfRule type="cellIs" dxfId="4798" priority="9" stopIfTrue="1" operator="equal">
      <formula>"Towel"</formula>
    </cfRule>
  </conditionalFormatting>
  <conditionalFormatting sqref="B145:C145">
    <cfRule type="cellIs" dxfId="4797" priority="6" stopIfTrue="1" operator="equal">
      <formula>"Napkin Hs"</formula>
    </cfRule>
  </conditionalFormatting>
  <conditionalFormatting sqref="B145:C145">
    <cfRule type="cellIs" dxfId="4796" priority="5" stopIfTrue="1" operator="equal">
      <formula>"Towel"</formula>
    </cfRule>
  </conditionalFormatting>
  <conditionalFormatting sqref="C145">
    <cfRule type="cellIs" dxfId="4795" priority="4" stopIfTrue="1" operator="equal">
      <formula>"Napkin Hs"</formula>
    </cfRule>
  </conditionalFormatting>
  <conditionalFormatting sqref="C145">
    <cfRule type="cellIs" dxfId="4794" priority="1" stopIfTrue="1" operator="equal">
      <formula>"Towel"</formula>
    </cfRule>
    <cfRule type="cellIs" dxfId="4793" priority="2" stopIfTrue="1" operator="equal">
      <formula>"Napkin Hs"</formula>
    </cfRule>
  </conditionalFormatting>
  <conditionalFormatting sqref="C145">
    <cfRule type="cellIs" dxfId="4792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83"/>
  <sheetViews>
    <sheetView zoomScale="90" zoomScaleNormal="90" workbookViewId="0">
      <pane xSplit="6" ySplit="6" topLeftCell="T141" activePane="bottomRight" state="frozen"/>
      <selection pane="topRight" activeCell="F1" sqref="F1"/>
      <selection pane="bottomLeft" activeCell="A7" sqref="A7"/>
      <selection pane="bottomRight" activeCell="T158" sqref="T158"/>
    </sheetView>
  </sheetViews>
  <sheetFormatPr defaultColWidth="10.28515625" defaultRowHeight="12"/>
  <cols>
    <col min="1" max="1" width="12.28515625" style="33" customWidth="1"/>
    <col min="2" max="3" width="14.140625" style="33" customWidth="1"/>
    <col min="4" max="4" width="10.28515625" style="33" customWidth="1"/>
    <col min="5" max="5" width="7.5703125" style="33" bestFit="1" customWidth="1"/>
    <col min="6" max="6" width="7" style="60" customWidth="1"/>
    <col min="7" max="9" width="10.28515625" style="33" customWidth="1"/>
    <col min="10" max="11" width="10.28515625" style="89" customWidth="1"/>
    <col min="12" max="13" width="12.7109375" style="61" customWidth="1"/>
    <col min="14" max="15" width="10.28515625" style="33" customWidth="1"/>
    <col min="16" max="16" width="16.85546875" style="33" bestFit="1" customWidth="1"/>
    <col min="17" max="17" width="12.7109375" style="350" customWidth="1"/>
    <col min="18" max="19" width="10.28515625" style="33" customWidth="1"/>
    <col min="20" max="20" width="10.7109375" style="33" customWidth="1"/>
    <col min="21" max="21" width="10.28515625" style="33" customWidth="1"/>
    <col min="22" max="22" width="12.28515625" style="33" customWidth="1"/>
    <col min="23" max="23" width="13" style="33" customWidth="1"/>
    <col min="24" max="24" width="10.28515625" style="33" customWidth="1"/>
    <col min="25" max="25" width="10.140625" style="33" customWidth="1"/>
    <col min="26" max="28" width="10.28515625" style="33" customWidth="1"/>
    <col min="29" max="29" width="12" style="33" customWidth="1"/>
    <col min="30" max="30" width="11.42578125" style="33" bestFit="1" customWidth="1"/>
    <col min="31" max="31" width="41.42578125" style="33" customWidth="1"/>
    <col min="32" max="38" width="10.28515625" style="33" customWidth="1"/>
    <col min="39" max="39" width="11.7109375" style="33" customWidth="1"/>
    <col min="40" max="41" width="10.28515625" style="33" customWidth="1"/>
    <col min="42" max="43" width="12.42578125" style="33" customWidth="1"/>
    <col min="44" max="44" width="29.7109375" style="33" bestFit="1" customWidth="1"/>
    <col min="45" max="16384" width="10.28515625" style="33"/>
  </cols>
  <sheetData>
    <row r="1" spans="1:58" s="24" customFormat="1" ht="15.75">
      <c r="A1" s="23" t="s">
        <v>427</v>
      </c>
      <c r="G1" s="25"/>
      <c r="H1" s="25"/>
      <c r="I1" s="25"/>
      <c r="J1" s="86"/>
      <c r="K1" s="86"/>
      <c r="L1" s="26"/>
      <c r="M1" s="26"/>
      <c r="O1" s="25"/>
      <c r="P1" s="27"/>
      <c r="Q1" s="25"/>
      <c r="R1" s="27"/>
      <c r="S1" s="27"/>
      <c r="W1" s="27"/>
      <c r="X1" s="28"/>
      <c r="Y1" s="28"/>
      <c r="Z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</row>
    <row r="2" spans="1:58" s="24" customFormat="1">
      <c r="A2" s="100"/>
      <c r="G2" s="25"/>
      <c r="H2" s="25"/>
      <c r="I2" s="25"/>
      <c r="J2" s="86"/>
      <c r="K2" s="86"/>
      <c r="L2" s="26"/>
      <c r="M2" s="26"/>
      <c r="O2" s="25"/>
      <c r="P2" s="27"/>
      <c r="Q2" s="25"/>
      <c r="R2" s="27"/>
      <c r="S2" s="27"/>
      <c r="W2" s="27"/>
      <c r="X2" s="28"/>
      <c r="Y2" s="28"/>
      <c r="Z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8" ht="24" customHeight="1">
      <c r="A3" s="885" t="s">
        <v>8</v>
      </c>
      <c r="B3" s="885" t="s">
        <v>9</v>
      </c>
      <c r="C3" s="885" t="s">
        <v>201</v>
      </c>
      <c r="D3" s="885" t="s">
        <v>92</v>
      </c>
      <c r="E3" s="885" t="s">
        <v>93</v>
      </c>
      <c r="F3" s="885" t="s">
        <v>94</v>
      </c>
      <c r="G3" s="938" t="s">
        <v>95</v>
      </c>
      <c r="H3" s="939"/>
      <c r="I3" s="939"/>
      <c r="J3" s="939"/>
      <c r="K3" s="940"/>
      <c r="L3" s="924" t="s">
        <v>96</v>
      </c>
      <c r="M3" s="925"/>
      <c r="N3" s="926"/>
      <c r="O3" s="930" t="s">
        <v>97</v>
      </c>
      <c r="P3" s="887" t="s">
        <v>109</v>
      </c>
      <c r="Q3" s="930" t="s">
        <v>98</v>
      </c>
      <c r="R3" s="889" t="s">
        <v>99</v>
      </c>
      <c r="S3" s="889" t="s">
        <v>100</v>
      </c>
      <c r="T3" s="885" t="s">
        <v>158</v>
      </c>
      <c r="U3" s="885" t="s">
        <v>157</v>
      </c>
      <c r="V3" s="885" t="s">
        <v>159</v>
      </c>
      <c r="W3" s="889" t="s">
        <v>144</v>
      </c>
      <c r="X3" s="914" t="s">
        <v>102</v>
      </c>
      <c r="Y3" s="914" t="s">
        <v>329</v>
      </c>
      <c r="Z3" s="889" t="s">
        <v>103</v>
      </c>
      <c r="AA3" s="885" t="s">
        <v>160</v>
      </c>
      <c r="AB3" s="885" t="s">
        <v>171</v>
      </c>
      <c r="AC3" s="885" t="s">
        <v>169</v>
      </c>
      <c r="AD3" s="885" t="s">
        <v>127</v>
      </c>
      <c r="AE3" s="907" t="s">
        <v>128</v>
      </c>
      <c r="AF3" s="910" t="s">
        <v>129</v>
      </c>
      <c r="AG3" s="910"/>
      <c r="AH3" s="910"/>
      <c r="AI3" s="910"/>
      <c r="AJ3" s="910"/>
      <c r="AK3" s="910"/>
      <c r="AL3" s="910"/>
      <c r="AM3" s="932" t="s">
        <v>130</v>
      </c>
      <c r="AN3" s="890" t="s">
        <v>104</v>
      </c>
      <c r="AO3" s="890"/>
      <c r="AP3" s="890"/>
      <c r="AQ3" s="890"/>
      <c r="AR3" s="890"/>
      <c r="AS3" s="891" t="s">
        <v>105</v>
      </c>
      <c r="AT3" s="893" t="s">
        <v>248</v>
      </c>
      <c r="AU3" s="894"/>
      <c r="AV3" s="897" t="s">
        <v>131</v>
      </c>
      <c r="AW3" s="898"/>
      <c r="AX3" s="899" t="s">
        <v>131</v>
      </c>
      <c r="AY3" s="900"/>
      <c r="AZ3" s="901" t="s">
        <v>334</v>
      </c>
      <c r="BA3" s="888" t="s">
        <v>106</v>
      </c>
      <c r="BB3" s="922" t="s">
        <v>107</v>
      </c>
      <c r="BC3" s="922" t="s">
        <v>108</v>
      </c>
      <c r="BD3" s="916" t="s">
        <v>412</v>
      </c>
      <c r="BE3" s="919" t="s">
        <v>413</v>
      </c>
      <c r="BF3" s="885" t="s">
        <v>414</v>
      </c>
    </row>
    <row r="4" spans="1:58" ht="12" customHeight="1">
      <c r="A4" s="906"/>
      <c r="B4" s="906"/>
      <c r="C4" s="906"/>
      <c r="D4" s="906"/>
      <c r="E4" s="906"/>
      <c r="F4" s="906"/>
      <c r="G4" s="941"/>
      <c r="H4" s="942"/>
      <c r="I4" s="942"/>
      <c r="J4" s="942"/>
      <c r="K4" s="943"/>
      <c r="L4" s="927"/>
      <c r="M4" s="928"/>
      <c r="N4" s="929"/>
      <c r="O4" s="931"/>
      <c r="P4" s="911"/>
      <c r="Q4" s="931"/>
      <c r="R4" s="913"/>
      <c r="S4" s="913"/>
      <c r="T4" s="906"/>
      <c r="U4" s="906"/>
      <c r="V4" s="906"/>
      <c r="W4" s="913"/>
      <c r="X4" s="915"/>
      <c r="Y4" s="915"/>
      <c r="Z4" s="913"/>
      <c r="AA4" s="906"/>
      <c r="AB4" s="906"/>
      <c r="AC4" s="906"/>
      <c r="AD4" s="906"/>
      <c r="AE4" s="908"/>
      <c r="AF4" s="935" t="s">
        <v>132</v>
      </c>
      <c r="AG4" s="936"/>
      <c r="AH4" s="937"/>
      <c r="AI4" s="911" t="s">
        <v>202</v>
      </c>
      <c r="AJ4" s="911" t="s">
        <v>15</v>
      </c>
      <c r="AK4" s="911" t="s">
        <v>133</v>
      </c>
      <c r="AL4" s="911" t="s">
        <v>18</v>
      </c>
      <c r="AM4" s="933"/>
      <c r="AN4" s="886" t="s">
        <v>110</v>
      </c>
      <c r="AO4" s="886" t="s">
        <v>15</v>
      </c>
      <c r="AP4" s="886" t="s">
        <v>111</v>
      </c>
      <c r="AQ4" s="886" t="s">
        <v>18</v>
      </c>
      <c r="AR4" s="888" t="s">
        <v>112</v>
      </c>
      <c r="AS4" s="891"/>
      <c r="AT4" s="895"/>
      <c r="AU4" s="896"/>
      <c r="AV4" s="526" t="s">
        <v>6</v>
      </c>
      <c r="AW4" s="526" t="s">
        <v>134</v>
      </c>
      <c r="AX4" s="527" t="s">
        <v>6</v>
      </c>
      <c r="AY4" s="528" t="s">
        <v>134</v>
      </c>
      <c r="AZ4" s="902"/>
      <c r="BA4" s="888"/>
      <c r="BB4" s="906"/>
      <c r="BC4" s="906"/>
      <c r="BD4" s="917"/>
      <c r="BE4" s="920"/>
      <c r="BF4" s="906"/>
    </row>
    <row r="5" spans="1:58" s="36" customFormat="1" ht="48">
      <c r="A5" s="906"/>
      <c r="B5" s="906"/>
      <c r="C5" s="909"/>
      <c r="D5" s="906"/>
      <c r="E5" s="906"/>
      <c r="F5" s="906"/>
      <c r="G5" s="544" t="s">
        <v>113</v>
      </c>
      <c r="H5" s="541" t="s">
        <v>114</v>
      </c>
      <c r="I5" s="34" t="s">
        <v>115</v>
      </c>
      <c r="J5" s="87" t="s">
        <v>116</v>
      </c>
      <c r="K5" s="87" t="s">
        <v>101</v>
      </c>
      <c r="L5" s="35" t="s">
        <v>117</v>
      </c>
      <c r="M5" s="35" t="s">
        <v>118</v>
      </c>
      <c r="N5" s="541" t="s">
        <v>119</v>
      </c>
      <c r="O5" s="931"/>
      <c r="P5" s="912"/>
      <c r="Q5" s="931"/>
      <c r="R5" s="913"/>
      <c r="S5" s="913"/>
      <c r="T5" s="906"/>
      <c r="U5" s="906"/>
      <c r="V5" s="906"/>
      <c r="W5" s="913"/>
      <c r="X5" s="915"/>
      <c r="Y5" s="923"/>
      <c r="Z5" s="913"/>
      <c r="AA5" s="906"/>
      <c r="AB5" s="909"/>
      <c r="AC5" s="906"/>
      <c r="AD5" s="909"/>
      <c r="AE5" s="908"/>
      <c r="AF5" s="457" t="s">
        <v>203</v>
      </c>
      <c r="AG5" s="543" t="s">
        <v>204</v>
      </c>
      <c r="AH5" s="543" t="s">
        <v>205</v>
      </c>
      <c r="AI5" s="912"/>
      <c r="AJ5" s="912"/>
      <c r="AK5" s="912"/>
      <c r="AL5" s="912"/>
      <c r="AM5" s="934"/>
      <c r="AN5" s="887"/>
      <c r="AO5" s="887"/>
      <c r="AP5" s="887"/>
      <c r="AQ5" s="887"/>
      <c r="AR5" s="889"/>
      <c r="AS5" s="892"/>
      <c r="AT5" s="542" t="s">
        <v>327</v>
      </c>
      <c r="AU5" s="542" t="s">
        <v>328</v>
      </c>
      <c r="AV5" s="529" t="s">
        <v>326</v>
      </c>
      <c r="AW5" s="529" t="s">
        <v>326</v>
      </c>
      <c r="AX5" s="527" t="s">
        <v>17</v>
      </c>
      <c r="AY5" s="527" t="s">
        <v>17</v>
      </c>
      <c r="AZ5" s="903"/>
      <c r="BA5" s="889"/>
      <c r="BB5" s="909"/>
      <c r="BC5" s="909"/>
      <c r="BD5" s="918"/>
      <c r="BE5" s="921"/>
      <c r="BF5" s="909"/>
    </row>
    <row r="6" spans="1:58" ht="12.95" customHeight="1">
      <c r="A6" s="344">
        <f>+Report1!A9</f>
        <v>45870</v>
      </c>
      <c r="B6" s="45" t="s">
        <v>7</v>
      </c>
      <c r="C6" s="449">
        <f>(M6*E6*O6*Q6)/100000000</f>
        <v>45.608572799999997</v>
      </c>
      <c r="D6" s="45" t="s">
        <v>407</v>
      </c>
      <c r="E6" s="46">
        <v>13.5</v>
      </c>
      <c r="F6" s="46">
        <v>1</v>
      </c>
      <c r="G6" s="462">
        <v>1700</v>
      </c>
      <c r="H6" s="604">
        <f>+N6</f>
        <v>0.24031007751937983</v>
      </c>
      <c r="I6" s="49">
        <v>0.88</v>
      </c>
      <c r="J6" s="88">
        <f>E6*G6*(1-H6)*1440/1000000*2.77</f>
        <v>69.544264186046519</v>
      </c>
      <c r="K6" s="88">
        <f>(IF(G6&lt;L6,L6,G6)*(1-IF(H6&lt;N6,H6,N6))*E6*O6*Q6)/100000000</f>
        <v>66.78257860465115</v>
      </c>
      <c r="L6" s="39">
        <v>1161</v>
      </c>
      <c r="M6" s="39">
        <v>882</v>
      </c>
      <c r="N6" s="50">
        <f>1-(M6/L6)</f>
        <v>0.24031007751937983</v>
      </c>
      <c r="O6" s="51">
        <f>+'Trim Rwd'!H4</f>
        <v>266</v>
      </c>
      <c r="P6" s="52">
        <f>O6*(Q6-R6-S6)</f>
        <v>85918</v>
      </c>
      <c r="Q6" s="51">
        <v>1440</v>
      </c>
      <c r="R6" s="419">
        <v>1090</v>
      </c>
      <c r="S6" s="419">
        <v>27</v>
      </c>
      <c r="T6" s="41">
        <f>E6*M6*O6*Q6/100000000</f>
        <v>45.608572799999997</v>
      </c>
      <c r="U6" s="41">
        <f>E6*M6*O6*(Q6-R6-S6)/100000000</f>
        <v>10.230256260000001</v>
      </c>
      <c r="V6" s="41">
        <f>E6*G6*(1-N6)*O6/100*(R6+S6)/1000000</f>
        <v>51.802875209302321</v>
      </c>
      <c r="W6" s="41">
        <f>+'1'!K34/1000</f>
        <v>7.7140000000000004</v>
      </c>
      <c r="X6" s="416">
        <f>SUM(W6:W9)/SUM(K6:K9)</f>
        <v>0.11550916662961484</v>
      </c>
      <c r="Y6" s="221">
        <v>0</v>
      </c>
      <c r="Z6" s="41">
        <f>+'1'!D34/1000</f>
        <v>0.248</v>
      </c>
      <c r="AA6" s="53">
        <f>SUM(U6:U9)-SUM(W6:W9)-SUM(Z6:Z9)-SUM(Y6:Y9)</f>
        <v>2.2682562600000002</v>
      </c>
      <c r="AB6" s="53">
        <f>(SUM(K6:K9)-SUM(W6:W9)-SUM(Y6:Y9)-SUM(Z6:Z9)-SUM(AC6:AC9)-SUM(V6:V9))-AA6</f>
        <v>-16.424558669302321</v>
      </c>
      <c r="AC6" s="41">
        <f>K6-T6</f>
        <v>21.174005804651152</v>
      </c>
      <c r="AD6" s="41">
        <f>+AM6+BA6</f>
        <v>20</v>
      </c>
      <c r="AE6" s="240" t="s">
        <v>447</v>
      </c>
      <c r="AF6" s="41">
        <v>20</v>
      </c>
      <c r="AG6" s="41"/>
      <c r="AH6" s="41"/>
      <c r="AI6" s="458"/>
      <c r="AJ6" s="41"/>
      <c r="AK6" s="41"/>
      <c r="AL6" s="41"/>
      <c r="AM6" s="41">
        <f>SUM(AF6:AL6)+AT6+AV6+AX6</f>
        <v>20</v>
      </c>
      <c r="AN6" s="41"/>
      <c r="AO6" s="41"/>
      <c r="AP6" s="41"/>
      <c r="AQ6" s="41"/>
      <c r="AR6" s="41">
        <f>SUM(AN6:AQ6)</f>
        <v>0</v>
      </c>
      <c r="AS6" s="41"/>
      <c r="AT6" s="41"/>
      <c r="AU6" s="41"/>
      <c r="AV6" s="41"/>
      <c r="AW6" s="41"/>
      <c r="AX6" s="41"/>
      <c r="AY6" s="41"/>
      <c r="AZ6" s="41"/>
      <c r="BA6" s="41">
        <f>+AR6+AS6+AU6+AW6+AY6+AZ6</f>
        <v>0</v>
      </c>
      <c r="BB6" s="37">
        <v>4</v>
      </c>
      <c r="BC6" s="55"/>
      <c r="BD6" s="55"/>
      <c r="BE6" s="37"/>
      <c r="BF6" s="55"/>
    </row>
    <row r="7" spans="1:58" ht="12.95" customHeight="1">
      <c r="A7" s="344"/>
      <c r="B7" s="45"/>
      <c r="C7" s="449"/>
      <c r="D7" s="45"/>
      <c r="E7" s="46"/>
      <c r="F7" s="46"/>
      <c r="G7" s="462"/>
      <c r="H7" s="48"/>
      <c r="I7" s="49"/>
      <c r="J7" s="88"/>
      <c r="K7" s="88"/>
      <c r="L7" s="39"/>
      <c r="M7" s="39"/>
      <c r="N7" s="50"/>
      <c r="O7" s="51"/>
      <c r="P7" s="52"/>
      <c r="Q7" s="51"/>
      <c r="R7" s="419"/>
      <c r="S7" s="419"/>
      <c r="T7" s="41"/>
      <c r="U7" s="41"/>
      <c r="V7" s="41"/>
      <c r="W7" s="41"/>
      <c r="X7" s="42"/>
      <c r="Y7" s="221"/>
      <c r="Z7" s="41"/>
      <c r="AA7" s="41"/>
      <c r="AB7" s="41"/>
      <c r="AC7" s="41"/>
      <c r="AD7" s="41">
        <f>+AM7+BA7</f>
        <v>0</v>
      </c>
      <c r="AE7" s="240" t="s">
        <v>446</v>
      </c>
      <c r="AF7" s="41"/>
      <c r="AG7" s="41">
        <v>0</v>
      </c>
      <c r="AH7" s="41"/>
      <c r="AI7" s="458"/>
      <c r="AJ7" s="41"/>
      <c r="AK7" s="41"/>
      <c r="AL7" s="41"/>
      <c r="AM7" s="41">
        <f>SUM(AF7:AL7)+AT7+AV7+AX7</f>
        <v>0</v>
      </c>
      <c r="AN7" s="89"/>
      <c r="AO7" s="41"/>
      <c r="AP7" s="41"/>
      <c r="AQ7" s="41"/>
      <c r="AR7" s="41">
        <f>SUM(AN7:AQ7)</f>
        <v>0</v>
      </c>
      <c r="AS7" s="41"/>
      <c r="AT7" s="41"/>
      <c r="AU7" s="41"/>
      <c r="AV7" s="41"/>
      <c r="AW7" s="41"/>
      <c r="AX7" s="41"/>
      <c r="AY7" s="41"/>
      <c r="AZ7" s="41"/>
      <c r="BA7" s="41">
        <f>+AR7+AS7+AU7+AW7+AY7+AZ7</f>
        <v>0</v>
      </c>
      <c r="BB7" s="54"/>
      <c r="BC7" s="55">
        <v>0</v>
      </c>
      <c r="BD7" s="55"/>
      <c r="BE7" s="54"/>
      <c r="BF7" s="55"/>
    </row>
    <row r="8" spans="1:58" ht="12.95" customHeight="1">
      <c r="A8" s="44"/>
      <c r="B8" s="45"/>
      <c r="C8" s="449"/>
      <c r="D8" s="45"/>
      <c r="E8" s="46"/>
      <c r="F8" s="46"/>
      <c r="G8" s="47"/>
      <c r="H8" s="48"/>
      <c r="I8" s="49"/>
      <c r="J8" s="88"/>
      <c r="K8" s="88"/>
      <c r="L8" s="39"/>
      <c r="M8" s="39"/>
      <c r="N8" s="50"/>
      <c r="O8" s="51"/>
      <c r="P8" s="52"/>
      <c r="Q8" s="51"/>
      <c r="R8" s="419"/>
      <c r="S8" s="419"/>
      <c r="T8" s="41"/>
      <c r="U8" s="41"/>
      <c r="V8" s="41"/>
      <c r="W8" s="41"/>
      <c r="X8" s="42"/>
      <c r="Y8" s="221"/>
      <c r="Z8" s="41"/>
      <c r="AA8" s="41"/>
      <c r="AB8" s="41"/>
      <c r="AC8" s="41"/>
      <c r="AD8" s="41">
        <f>+AM8+BA8</f>
        <v>7</v>
      </c>
      <c r="AE8" s="240" t="s">
        <v>445</v>
      </c>
      <c r="AF8" s="37"/>
      <c r="AG8" s="37"/>
      <c r="AH8" s="37">
        <v>7</v>
      </c>
      <c r="AJ8" s="41"/>
      <c r="AK8" s="41"/>
      <c r="AL8" s="41"/>
      <c r="AM8" s="41">
        <f>SUM(AF8:AL8)+AT8+AV8+AX8</f>
        <v>7</v>
      </c>
      <c r="AN8" s="41"/>
      <c r="AO8" s="41"/>
      <c r="AP8" s="41"/>
      <c r="AQ8" s="41"/>
      <c r="AR8" s="41">
        <f>SUM(AN8:AQ8)</f>
        <v>0</v>
      </c>
      <c r="AS8" s="41"/>
      <c r="AT8" s="41"/>
      <c r="AU8" s="41"/>
      <c r="AV8" s="41"/>
      <c r="AW8" s="41"/>
      <c r="AX8" s="41"/>
      <c r="AY8" s="41"/>
      <c r="AZ8" s="41"/>
      <c r="BA8" s="41">
        <f>+AR8+AS8+AU8+AW8+AY8+AZ8</f>
        <v>0</v>
      </c>
      <c r="BB8" s="37"/>
      <c r="BC8" s="57"/>
      <c r="BD8" s="57"/>
      <c r="BE8" s="37"/>
      <c r="BF8" s="57"/>
    </row>
    <row r="9" spans="1:58" ht="12.95" customHeight="1">
      <c r="A9" s="44"/>
      <c r="B9" s="45"/>
      <c r="C9" s="449"/>
      <c r="D9" s="45"/>
      <c r="E9" s="46"/>
      <c r="F9" s="46"/>
      <c r="G9" s="47"/>
      <c r="H9" s="48"/>
      <c r="I9" s="49"/>
      <c r="J9" s="88"/>
      <c r="K9" s="88"/>
      <c r="L9" s="39"/>
      <c r="M9" s="39"/>
      <c r="N9" s="50"/>
      <c r="O9" s="51"/>
      <c r="P9" s="52"/>
      <c r="Q9" s="38"/>
      <c r="R9" s="419"/>
      <c r="S9" s="419"/>
      <c r="T9" s="41"/>
      <c r="U9" s="41"/>
      <c r="V9" s="41"/>
      <c r="W9" s="41"/>
      <c r="X9" s="42"/>
      <c r="Y9" s="221"/>
      <c r="Z9" s="41"/>
      <c r="AA9" s="41"/>
      <c r="AB9" s="41"/>
      <c r="AC9" s="41"/>
      <c r="AD9" s="41">
        <f>+AM9+BA9</f>
        <v>1090</v>
      </c>
      <c r="AE9" s="596" t="s">
        <v>439</v>
      </c>
      <c r="AF9" s="41"/>
      <c r="AG9" s="41"/>
      <c r="AH9" s="41"/>
      <c r="AI9" s="458"/>
      <c r="AJ9" s="41"/>
      <c r="AK9" s="41"/>
      <c r="AL9" s="41"/>
      <c r="AM9" s="41">
        <f>SUM(AF9:AL9)+AT9+AV9+AX9</f>
        <v>0</v>
      </c>
      <c r="AN9" s="41"/>
      <c r="AO9" s="41"/>
      <c r="AP9" s="41"/>
      <c r="AQ9" s="41"/>
      <c r="AR9" s="41">
        <f>SUM(AN9:AQ9)</f>
        <v>0</v>
      </c>
      <c r="AS9" s="41">
        <v>1090</v>
      </c>
      <c r="AT9" s="41"/>
      <c r="AU9" s="41"/>
      <c r="AV9" s="41"/>
      <c r="AW9" s="41"/>
      <c r="AX9" s="41"/>
      <c r="AY9" s="41"/>
      <c r="AZ9" s="41"/>
      <c r="BA9" s="41">
        <f>+AR9+AS9+AU9+AW9+AY9+AZ9</f>
        <v>1090</v>
      </c>
      <c r="BB9" s="37"/>
      <c r="BC9" s="57"/>
      <c r="BD9" s="57"/>
      <c r="BE9" s="37"/>
      <c r="BF9" s="57"/>
    </row>
    <row r="10" spans="1:58" ht="12.95" customHeight="1">
      <c r="A10" s="344"/>
      <c r="B10" s="45"/>
      <c r="C10" s="449"/>
      <c r="D10" s="45"/>
      <c r="E10" s="46"/>
      <c r="F10" s="46"/>
      <c r="G10" s="462"/>
      <c r="H10" s="48"/>
      <c r="I10" s="49"/>
      <c r="J10" s="88"/>
      <c r="K10" s="88"/>
      <c r="L10" s="39"/>
      <c r="M10" s="39"/>
      <c r="N10" s="50"/>
      <c r="O10" s="51"/>
      <c r="P10" s="52"/>
      <c r="Q10" s="51"/>
      <c r="R10" s="419"/>
      <c r="S10" s="419"/>
      <c r="T10" s="41"/>
      <c r="U10" s="41"/>
      <c r="V10" s="41"/>
      <c r="W10" s="41"/>
      <c r="X10" s="416"/>
      <c r="Y10" s="221"/>
      <c r="Z10" s="41"/>
      <c r="AA10" s="53"/>
      <c r="AB10" s="53"/>
      <c r="AC10" s="41"/>
      <c r="AD10" s="41"/>
      <c r="AE10" s="240"/>
      <c r="AF10" s="41"/>
      <c r="AG10" s="41"/>
      <c r="AH10" s="41"/>
      <c r="AI10" s="458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37"/>
      <c r="BC10" s="55"/>
      <c r="BD10" s="55"/>
      <c r="BE10" s="55"/>
      <c r="BF10" s="55"/>
    </row>
    <row r="11" spans="1:58" ht="12.95" customHeight="1">
      <c r="A11" s="344">
        <v>45871</v>
      </c>
      <c r="B11" s="45" t="s">
        <v>7</v>
      </c>
      <c r="C11" s="449">
        <f>(M11*E11*O11*Q11)/100000000</f>
        <v>49.641984000000001</v>
      </c>
      <c r="D11" s="45" t="s">
        <v>407</v>
      </c>
      <c r="E11" s="46">
        <v>13.5</v>
      </c>
      <c r="F11" s="46">
        <v>1</v>
      </c>
      <c r="G11" s="462">
        <v>1700</v>
      </c>
      <c r="H11" s="604">
        <f>+N11</f>
        <v>0.23990498812351546</v>
      </c>
      <c r="I11" s="49">
        <v>0.88</v>
      </c>
      <c r="J11" s="88">
        <f>E11*G11*(1-H11)*1440/1000000*2.77</f>
        <v>69.58134726840855</v>
      </c>
      <c r="K11" s="88">
        <f>(IF(G11&lt;L11,L11,G11)*(1-IF(H11&lt;N11,H11,N11))*E11*O11*Q11)/100000000</f>
        <v>66.818189073634215</v>
      </c>
      <c r="L11" s="39">
        <v>1263</v>
      </c>
      <c r="M11" s="39">
        <v>960</v>
      </c>
      <c r="N11" s="50">
        <f>1-(M11/L11)</f>
        <v>0.23990498812351546</v>
      </c>
      <c r="O11" s="51">
        <f>+'Trim Rwd'!H6</f>
        <v>266</v>
      </c>
      <c r="P11" s="52">
        <f>O11*(Q11-R11-S11)</f>
        <v>349524</v>
      </c>
      <c r="Q11" s="51">
        <v>1440</v>
      </c>
      <c r="R11" s="419">
        <v>0</v>
      </c>
      <c r="S11" s="419">
        <v>126</v>
      </c>
      <c r="T11" s="41">
        <f>E11*M11*O11*Q11/100000000</f>
        <v>49.641984000000001</v>
      </c>
      <c r="U11" s="41">
        <f>E11*M11*O11*(Q11-R11-S11)/100000000</f>
        <v>45.298310399999998</v>
      </c>
      <c r="V11" s="41">
        <f>E11*G11*(1-N11)*O11/100*(R11+S11)/1000000</f>
        <v>5.846591543942993</v>
      </c>
      <c r="W11" s="41">
        <f>+'2'!K34/1000</f>
        <v>44.24</v>
      </c>
      <c r="X11" s="416">
        <f>SUM(W11:W14)/SUM(K11:K14)</f>
        <v>0.66209516620163322</v>
      </c>
      <c r="Y11" s="221">
        <v>0</v>
      </c>
      <c r="Z11" s="41">
        <f>+'2'!D34/1000</f>
        <v>0.28999999999999998</v>
      </c>
      <c r="AA11" s="53">
        <f>SUM(U11:U14)-SUM(W11:W14)-SUM(Z11:Z14)-SUM(Y11:Y14)</f>
        <v>0.76831039999999629</v>
      </c>
      <c r="AB11" s="53">
        <f>(SUM(K11:K14)-SUM(W11:W14)-SUM(Y11:Y14)-SUM(Z11:Z14)-SUM(AC11:AC14)-SUM(V11:V14))-AA11</f>
        <v>-1.5029179439429896</v>
      </c>
      <c r="AC11" s="41">
        <f>K11-T11</f>
        <v>17.176205073634215</v>
      </c>
      <c r="AD11" s="41">
        <f>+AM11+BA11</f>
        <v>25</v>
      </c>
      <c r="AE11" s="240" t="s">
        <v>484</v>
      </c>
      <c r="AF11" s="41">
        <v>25</v>
      </c>
      <c r="AG11" s="41"/>
      <c r="AH11" s="41"/>
      <c r="AI11" s="458"/>
      <c r="AJ11" s="41"/>
      <c r="AK11" s="41"/>
      <c r="AL11" s="41"/>
      <c r="AM11" s="41">
        <f>SUM(AF11:AL11)+AT11+AV11+AX11</f>
        <v>25</v>
      </c>
      <c r="AN11" s="41"/>
      <c r="AO11" s="41"/>
      <c r="AP11" s="41"/>
      <c r="AQ11" s="41"/>
      <c r="AR11" s="41">
        <f>SUM(AN11:AQ11)</f>
        <v>0</v>
      </c>
      <c r="AS11" s="41"/>
      <c r="AT11" s="41"/>
      <c r="AU11" s="41"/>
      <c r="AV11" s="41"/>
      <c r="AW11" s="41"/>
      <c r="AX11" s="41"/>
      <c r="AY11" s="41"/>
      <c r="AZ11" s="41"/>
      <c r="BA11" s="41">
        <f>+AR11+AS11+AU11+AW11+AY11+AZ11</f>
        <v>0</v>
      </c>
      <c r="BB11" s="37">
        <v>5</v>
      </c>
      <c r="BC11" s="55"/>
      <c r="BD11" s="55"/>
      <c r="BE11" s="37"/>
      <c r="BF11" s="55"/>
    </row>
    <row r="12" spans="1:58" ht="12.95" customHeight="1">
      <c r="A12" s="344"/>
      <c r="B12" s="45"/>
      <c r="C12" s="449"/>
      <c r="D12" s="45"/>
      <c r="E12" s="46"/>
      <c r="F12" s="46"/>
      <c r="G12" s="462"/>
      <c r="H12" s="48"/>
      <c r="I12" s="49"/>
      <c r="J12" s="88"/>
      <c r="K12" s="88"/>
      <c r="L12" s="39"/>
      <c r="M12" s="39"/>
      <c r="N12" s="50"/>
      <c r="O12" s="51"/>
      <c r="P12" s="52"/>
      <c r="Q12" s="51"/>
      <c r="R12" s="419"/>
      <c r="S12" s="419"/>
      <c r="T12" s="41"/>
      <c r="U12" s="41"/>
      <c r="V12" s="41"/>
      <c r="W12" s="41"/>
      <c r="X12" s="42"/>
      <c r="Y12" s="221"/>
      <c r="Z12" s="41"/>
      <c r="AA12" s="41"/>
      <c r="AB12" s="41"/>
      <c r="AC12" s="41"/>
      <c r="AD12" s="41">
        <f>+AM12+BA12</f>
        <v>17</v>
      </c>
      <c r="AE12" s="240" t="s">
        <v>499</v>
      </c>
      <c r="AF12" s="41"/>
      <c r="AG12" s="41">
        <v>17</v>
      </c>
      <c r="AH12" s="41"/>
      <c r="AI12" s="458"/>
      <c r="AJ12" s="41"/>
      <c r="AK12" s="41"/>
      <c r="AL12" s="41"/>
      <c r="AM12" s="41">
        <f>SUM(AF12:AL12)+AT12+AV12+AX12</f>
        <v>17</v>
      </c>
      <c r="AN12" s="89"/>
      <c r="AO12" s="41"/>
      <c r="AP12" s="41"/>
      <c r="AQ12" s="41"/>
      <c r="AR12" s="41">
        <f>SUM(AN12:AQ12)</f>
        <v>0</v>
      </c>
      <c r="AS12" s="41"/>
      <c r="AT12" s="41"/>
      <c r="AU12" s="41"/>
      <c r="AV12" s="41"/>
      <c r="AW12" s="41"/>
      <c r="AX12" s="41"/>
      <c r="AY12" s="41"/>
      <c r="AZ12" s="41"/>
      <c r="BA12" s="41">
        <f>+AR12+AS12+AU12+AW12+AY12+AZ12</f>
        <v>0</v>
      </c>
      <c r="BB12" s="54"/>
      <c r="BC12" s="55">
        <v>14</v>
      </c>
      <c r="BD12" s="55"/>
      <c r="BE12" s="54"/>
      <c r="BF12" s="55"/>
    </row>
    <row r="13" spans="1:58" ht="12.95" customHeight="1">
      <c r="A13" s="44"/>
      <c r="B13" s="45"/>
      <c r="C13" s="449"/>
      <c r="D13" s="45"/>
      <c r="E13" s="46"/>
      <c r="F13" s="46"/>
      <c r="G13" s="47"/>
      <c r="H13" s="48"/>
      <c r="I13" s="49"/>
      <c r="J13" s="88"/>
      <c r="K13" s="88"/>
      <c r="L13" s="39"/>
      <c r="M13" s="39"/>
      <c r="N13" s="50"/>
      <c r="O13" s="51"/>
      <c r="P13" s="52"/>
      <c r="Q13" s="51"/>
      <c r="R13" s="419"/>
      <c r="S13" s="419"/>
      <c r="T13" s="41"/>
      <c r="U13" s="41"/>
      <c r="V13" s="41"/>
      <c r="W13" s="41"/>
      <c r="X13" s="42"/>
      <c r="Y13" s="221"/>
      <c r="Z13" s="41"/>
      <c r="AA13" s="41"/>
      <c r="AB13" s="41"/>
      <c r="AC13" s="41"/>
      <c r="AD13" s="41">
        <f>+AM13+BA13</f>
        <v>30</v>
      </c>
      <c r="AE13" s="240" t="s">
        <v>500</v>
      </c>
      <c r="AF13" s="37"/>
      <c r="AG13" s="37"/>
      <c r="AH13" s="37">
        <v>30</v>
      </c>
      <c r="AJ13" s="41"/>
      <c r="AK13" s="41"/>
      <c r="AL13" s="41"/>
      <c r="AM13" s="41">
        <f>SUM(AF13:AL13)+AT13+AV13+AX13</f>
        <v>30</v>
      </c>
      <c r="AN13" s="41"/>
      <c r="AO13" s="41"/>
      <c r="AP13" s="41"/>
      <c r="AQ13" s="41"/>
      <c r="AR13" s="41">
        <f>SUM(AN13:AQ13)</f>
        <v>0</v>
      </c>
      <c r="AS13" s="41"/>
      <c r="AT13" s="41"/>
      <c r="AU13" s="41"/>
      <c r="AV13" s="41"/>
      <c r="AW13" s="41"/>
      <c r="AX13" s="41"/>
      <c r="AY13" s="41"/>
      <c r="AZ13" s="41"/>
      <c r="BA13" s="41">
        <f>+AR13+AS13+AU13+AW13+AY13+AZ13</f>
        <v>0</v>
      </c>
      <c r="BB13" s="37"/>
      <c r="BC13" s="57"/>
      <c r="BD13" s="57"/>
      <c r="BE13" s="37"/>
      <c r="BF13" s="57"/>
    </row>
    <row r="14" spans="1:58" ht="12.95" customHeight="1">
      <c r="A14" s="44"/>
      <c r="B14" s="45"/>
      <c r="C14" s="449"/>
      <c r="D14" s="45"/>
      <c r="E14" s="46"/>
      <c r="F14" s="46"/>
      <c r="G14" s="47"/>
      <c r="H14" s="48"/>
      <c r="I14" s="49"/>
      <c r="J14" s="88"/>
      <c r="K14" s="88"/>
      <c r="L14" s="39"/>
      <c r="M14" s="39"/>
      <c r="N14" s="50"/>
      <c r="O14" s="51"/>
      <c r="P14" s="52"/>
      <c r="Q14" s="38"/>
      <c r="R14" s="419"/>
      <c r="S14" s="419"/>
      <c r="T14" s="41"/>
      <c r="U14" s="41"/>
      <c r="V14" s="41"/>
      <c r="W14" s="41"/>
      <c r="X14" s="42"/>
      <c r="Y14" s="221"/>
      <c r="Z14" s="41"/>
      <c r="AA14" s="41"/>
      <c r="AB14" s="41"/>
      <c r="AC14" s="41"/>
      <c r="AD14" s="41">
        <f>+AM14+BA14</f>
        <v>15</v>
      </c>
      <c r="AE14" s="596" t="s">
        <v>462</v>
      </c>
      <c r="AF14" s="41"/>
      <c r="AG14" s="41"/>
      <c r="AH14" s="41"/>
      <c r="AI14" s="458"/>
      <c r="AJ14" s="41"/>
      <c r="AK14" s="41">
        <v>15</v>
      </c>
      <c r="AL14" s="41"/>
      <c r="AM14" s="41">
        <f>SUM(AF14:AL14)+AT14+AV14+AX14</f>
        <v>15</v>
      </c>
      <c r="AN14" s="41"/>
      <c r="AO14" s="41"/>
      <c r="AP14" s="41"/>
      <c r="AQ14" s="41"/>
      <c r="AR14" s="41">
        <f>SUM(AN14:AQ14)</f>
        <v>0</v>
      </c>
      <c r="AS14" s="41"/>
      <c r="AT14" s="41"/>
      <c r="AU14" s="41"/>
      <c r="AV14" s="41"/>
      <c r="AW14" s="41"/>
      <c r="AX14" s="41"/>
      <c r="AY14" s="41"/>
      <c r="AZ14" s="41"/>
      <c r="BA14" s="41">
        <f>+AR14+AS14+AU14+AW14+AY14+AZ14</f>
        <v>0</v>
      </c>
      <c r="BB14" s="37"/>
      <c r="BC14" s="57"/>
      <c r="BD14" s="57"/>
      <c r="BE14" s="37"/>
      <c r="BF14" s="57"/>
    </row>
    <row r="15" spans="1:58" ht="12.95" customHeight="1">
      <c r="A15" s="344"/>
      <c r="B15" s="45"/>
      <c r="C15" s="449"/>
      <c r="D15" s="45"/>
      <c r="E15" s="46"/>
      <c r="F15" s="46"/>
      <c r="G15" s="462"/>
      <c r="H15" s="48"/>
      <c r="I15" s="49"/>
      <c r="J15" s="88"/>
      <c r="K15" s="88"/>
      <c r="L15" s="39"/>
      <c r="M15" s="39"/>
      <c r="N15" s="50"/>
      <c r="O15" s="51"/>
      <c r="P15" s="52"/>
      <c r="Q15" s="51"/>
      <c r="R15" s="419"/>
      <c r="S15" s="419"/>
      <c r="T15" s="41"/>
      <c r="U15" s="41"/>
      <c r="V15" s="41"/>
      <c r="W15" s="41"/>
      <c r="X15" s="42"/>
      <c r="Y15" s="221"/>
      <c r="Z15" s="41"/>
      <c r="AA15" s="41"/>
      <c r="AB15" s="41"/>
      <c r="AC15" s="41"/>
      <c r="AD15" s="41">
        <f>+AM15+BA15</f>
        <v>39</v>
      </c>
      <c r="AE15" s="596" t="s">
        <v>466</v>
      </c>
      <c r="AF15" s="41"/>
      <c r="AG15" s="41"/>
      <c r="AH15" s="41"/>
      <c r="AI15" s="458"/>
      <c r="AJ15" s="41">
        <v>39</v>
      </c>
      <c r="AK15" s="41"/>
      <c r="AL15" s="41"/>
      <c r="AM15" s="41">
        <f>SUM(AF15:AL15)+AT15+AV15+AX15</f>
        <v>39</v>
      </c>
      <c r="AN15" s="41"/>
      <c r="AO15" s="41"/>
      <c r="AP15" s="41"/>
      <c r="AQ15" s="41"/>
      <c r="AR15" s="41">
        <f>SUM(AN15:AQ15)</f>
        <v>0</v>
      </c>
      <c r="AS15" s="41"/>
      <c r="AT15" s="41"/>
      <c r="AU15" s="41"/>
      <c r="AV15" s="41"/>
      <c r="AW15" s="41"/>
      <c r="AX15" s="41"/>
      <c r="AY15" s="41"/>
      <c r="AZ15" s="41"/>
      <c r="BA15" s="41">
        <f>+AR15+AS15+AU15+AW15+AY15+AZ15</f>
        <v>0</v>
      </c>
      <c r="BB15" s="37"/>
      <c r="BC15" s="57"/>
      <c r="BD15" s="57"/>
      <c r="BE15" s="37"/>
      <c r="BF15" s="57"/>
    </row>
    <row r="16" spans="1:58" ht="12.95" customHeight="1">
      <c r="A16" s="344"/>
      <c r="B16" s="45"/>
      <c r="C16" s="449"/>
      <c r="D16" s="45"/>
      <c r="E16" s="46"/>
      <c r="F16" s="46"/>
      <c r="G16" s="462"/>
      <c r="H16" s="48"/>
      <c r="I16" s="49"/>
      <c r="J16" s="88"/>
      <c r="K16" s="88"/>
      <c r="L16" s="39"/>
      <c r="M16" s="39"/>
      <c r="N16" s="50"/>
      <c r="O16" s="51"/>
      <c r="P16" s="52"/>
      <c r="Q16" s="51"/>
      <c r="R16" s="419"/>
      <c r="S16" s="419"/>
      <c r="T16" s="41"/>
      <c r="U16" s="41"/>
      <c r="V16" s="41"/>
      <c r="W16" s="41"/>
      <c r="X16" s="416"/>
      <c r="Y16" s="221"/>
      <c r="Z16" s="41"/>
      <c r="AA16" s="53"/>
      <c r="AB16" s="53"/>
      <c r="AC16" s="41"/>
      <c r="AD16" s="41"/>
      <c r="AE16" s="240"/>
      <c r="AF16" s="41"/>
      <c r="AG16" s="41"/>
      <c r="AH16" s="41"/>
      <c r="AI16" s="458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37"/>
      <c r="BC16" s="55"/>
      <c r="BD16" s="55"/>
      <c r="BE16" s="55"/>
      <c r="BF16" s="55"/>
    </row>
    <row r="17" spans="1:58" ht="12.95" customHeight="1">
      <c r="A17" s="344">
        <v>45872</v>
      </c>
      <c r="B17" s="45" t="s">
        <v>7</v>
      </c>
      <c r="C17" s="449">
        <f>(M17*E17*O17*Q17)/100000000</f>
        <v>46.884096</v>
      </c>
      <c r="D17" s="45" t="s">
        <v>407</v>
      </c>
      <c r="E17" s="46">
        <v>13.5</v>
      </c>
      <c r="F17" s="46">
        <v>1</v>
      </c>
      <c r="G17" s="462">
        <v>1700</v>
      </c>
      <c r="H17" s="604">
        <f>+N17</f>
        <v>0.24022346368715086</v>
      </c>
      <c r="I17" s="49">
        <v>0.88</v>
      </c>
      <c r="J17" s="88">
        <f>E17*G17*(1-H17)*1440/1000000*2.77</f>
        <v>69.552193072625698</v>
      </c>
      <c r="K17" s="88">
        <f>(IF(G17&lt;L17,L17,G17)*(1-IF(H17&lt;N17,H17,N17))*E17*O17*Q17)/100000000</f>
        <v>55.658493854748613</v>
      </c>
      <c r="L17" s="39">
        <v>1432</v>
      </c>
      <c r="M17" s="39">
        <v>1088</v>
      </c>
      <c r="N17" s="50">
        <f>1-(M17/L17)</f>
        <v>0.24022346368715086</v>
      </c>
      <c r="O17" s="51">
        <f>+'Trim Rwd'!H8</f>
        <v>266</v>
      </c>
      <c r="P17" s="52">
        <f>O17*(Q17-R17-S17)</f>
        <v>300580</v>
      </c>
      <c r="Q17" s="51">
        <v>1200</v>
      </c>
      <c r="R17" s="419">
        <v>0</v>
      </c>
      <c r="S17" s="419">
        <f>44+26</f>
        <v>70</v>
      </c>
      <c r="T17" s="41">
        <f>E17*M17*O17*Q17/100000000</f>
        <v>46.884096</v>
      </c>
      <c r="U17" s="41">
        <f>E17*M17*O17*(Q17-R17-S17)/100000000</f>
        <v>44.149190400000002</v>
      </c>
      <c r="V17" s="41">
        <f>E17*G17*(1-N17)*O17/100*(R17+S17)/1000000</f>
        <v>3.2467454748603357</v>
      </c>
      <c r="W17" s="41">
        <f>+'3'!K7/1000</f>
        <v>45.866999999999997</v>
      </c>
      <c r="X17" s="416">
        <f>SUM(W17:W20)/SUM(K17:K20)</f>
        <v>0.78055074259255575</v>
      </c>
      <c r="Y17" s="221">
        <v>0</v>
      </c>
      <c r="Z17" s="41">
        <v>0</v>
      </c>
      <c r="AA17" s="53">
        <f>SUM(U17:U20)-SUM(W17:W20)-SUM(Z17:Z20)-SUM(Y17:Y20)</f>
        <v>1.1553584000000043</v>
      </c>
      <c r="AB17" s="53">
        <f>(SUM(K17:K20)-SUM(W17:W20)-SUM(Y17:Y20)-SUM(Z17:Z20)-SUM(AC17:AC20)-SUM(V17:V20))-AA17</f>
        <v>-0.58890387486033724</v>
      </c>
      <c r="AC17" s="41">
        <f>K17-T17</f>
        <v>8.7743978547486137</v>
      </c>
      <c r="AD17" s="41">
        <f>+AM17+BA17</f>
        <v>44</v>
      </c>
      <c r="AE17" s="240" t="s">
        <v>496</v>
      </c>
      <c r="AF17" s="41">
        <v>44</v>
      </c>
      <c r="AG17" s="41"/>
      <c r="AH17" s="41"/>
      <c r="AI17" s="458"/>
      <c r="AJ17" s="41"/>
      <c r="AK17" s="41"/>
      <c r="AL17" s="41"/>
      <c r="AM17" s="41">
        <f>SUM(AF17:AL17)+AT17+AV17+AX17</f>
        <v>44</v>
      </c>
      <c r="AN17" s="41"/>
      <c r="AO17" s="41"/>
      <c r="AP17" s="41"/>
      <c r="AQ17" s="41"/>
      <c r="AR17" s="41">
        <f>SUM(AN17:AQ17)</f>
        <v>0</v>
      </c>
      <c r="AS17" s="41"/>
      <c r="AT17" s="41"/>
      <c r="AU17" s="41"/>
      <c r="AV17" s="41"/>
      <c r="AW17" s="41"/>
      <c r="AX17" s="41"/>
      <c r="AY17" s="41"/>
      <c r="AZ17" s="41"/>
      <c r="BA17" s="41">
        <f>+AR17+AS17+AU17+AW17+AY17+AZ17</f>
        <v>0</v>
      </c>
      <c r="BB17" s="37">
        <v>9</v>
      </c>
      <c r="BC17" s="55"/>
      <c r="BD17" s="55"/>
      <c r="BE17" s="37"/>
      <c r="BF17" s="55"/>
    </row>
    <row r="18" spans="1:58" ht="12.95" customHeight="1">
      <c r="A18" s="344"/>
      <c r="B18" s="45" t="s">
        <v>7</v>
      </c>
      <c r="C18" s="449">
        <f>(M18*E18*O18*Q18)/100000000</f>
        <v>9.8641919999999992</v>
      </c>
      <c r="D18" s="45" t="s">
        <v>407</v>
      </c>
      <c r="E18" s="46">
        <v>13</v>
      </c>
      <c r="F18" s="46">
        <v>1</v>
      </c>
      <c r="G18" s="462">
        <v>1700</v>
      </c>
      <c r="H18" s="604">
        <f>+N18</f>
        <v>0.24</v>
      </c>
      <c r="I18" s="49">
        <v>0.88</v>
      </c>
      <c r="J18" s="88">
        <f>E18*G18*(1-H18)*1440/1000000*2.77</f>
        <v>66.995884799999999</v>
      </c>
      <c r="K18" s="88">
        <f>(IF(G18&lt;L18,L18,G18)*(1-IF(H18&lt;N18,H18,N18))*E18*O18*Q18)/100000000</f>
        <v>10.480703999999999</v>
      </c>
      <c r="L18" s="39">
        <v>1600</v>
      </c>
      <c r="M18" s="39">
        <v>1216</v>
      </c>
      <c r="N18" s="50">
        <f>1-(M18/L18)</f>
        <v>0.24</v>
      </c>
      <c r="O18" s="51">
        <f>+'Trim Rwd'!H9</f>
        <v>260</v>
      </c>
      <c r="P18" s="52">
        <f>O18*(Q18-R18-S18)</f>
        <v>54600</v>
      </c>
      <c r="Q18" s="51">
        <v>240</v>
      </c>
      <c r="R18" s="419">
        <v>0</v>
      </c>
      <c r="S18" s="419">
        <v>30</v>
      </c>
      <c r="T18" s="41">
        <f>E18*M18*O18*Q18/100000000</f>
        <v>9.8641919999999992</v>
      </c>
      <c r="U18" s="41">
        <f>E18*M18*O18*(Q18-R18-S18)/100000000</f>
        <v>8.6311680000000006</v>
      </c>
      <c r="V18" s="41">
        <f>E18*G18*(1-N18)*O18/100*(R18+S18)/1000000</f>
        <v>1.3100879999999999</v>
      </c>
      <c r="W18" s="41">
        <f>+'3'!K8/1000</f>
        <v>5.758</v>
      </c>
      <c r="X18" s="42"/>
      <c r="Y18" s="221"/>
      <c r="Z18" s="41"/>
      <c r="AA18" s="41"/>
      <c r="AB18" s="41"/>
      <c r="AC18" s="41">
        <f>K18-T18</f>
        <v>0.61651200000000017</v>
      </c>
      <c r="AD18" s="41">
        <f>+AM18+BA18</f>
        <v>26</v>
      </c>
      <c r="AE18" s="240" t="s">
        <v>497</v>
      </c>
      <c r="AF18" s="41"/>
      <c r="AG18" s="41">
        <v>26</v>
      </c>
      <c r="AH18" s="41"/>
      <c r="AI18" s="458"/>
      <c r="AJ18" s="41"/>
      <c r="AK18" s="41"/>
      <c r="AL18" s="41"/>
      <c r="AM18" s="41">
        <f>SUM(AF18:AL18)+AT18+AV18+AX18</f>
        <v>26</v>
      </c>
      <c r="AN18" s="89"/>
      <c r="AO18" s="41"/>
      <c r="AP18" s="41"/>
      <c r="AQ18" s="41"/>
      <c r="AR18" s="41">
        <f>SUM(AN18:AQ18)</f>
        <v>0</v>
      </c>
      <c r="AS18" s="41"/>
      <c r="AT18" s="41"/>
      <c r="AU18" s="41"/>
      <c r="AV18" s="41"/>
      <c r="AW18" s="41"/>
      <c r="AX18" s="41"/>
      <c r="AY18" s="41"/>
      <c r="AZ18" s="41"/>
      <c r="BA18" s="41">
        <f>+AR18+AS18+AU18+AW18+AY18+AZ18</f>
        <v>0</v>
      </c>
      <c r="BB18" s="54"/>
      <c r="BC18" s="55">
        <v>21</v>
      </c>
      <c r="BD18" s="55"/>
      <c r="BE18" s="54"/>
      <c r="BF18" s="55"/>
    </row>
    <row r="19" spans="1:58" ht="12.95" customHeight="1">
      <c r="A19" s="44"/>
      <c r="B19" s="45"/>
      <c r="C19" s="449"/>
      <c r="D19" s="45"/>
      <c r="E19" s="46"/>
      <c r="F19" s="46"/>
      <c r="G19" s="47"/>
      <c r="H19" s="48"/>
      <c r="I19" s="49"/>
      <c r="J19" s="88"/>
      <c r="K19" s="88"/>
      <c r="L19" s="39"/>
      <c r="M19" s="39"/>
      <c r="N19" s="50"/>
      <c r="O19" s="51"/>
      <c r="P19" s="52"/>
      <c r="Q19" s="51"/>
      <c r="R19" s="419"/>
      <c r="S19" s="419"/>
      <c r="T19" s="41"/>
      <c r="U19" s="41"/>
      <c r="V19" s="41"/>
      <c r="W19" s="41"/>
      <c r="X19" s="42"/>
      <c r="Y19" s="221"/>
      <c r="Z19" s="41"/>
      <c r="AA19" s="41"/>
      <c r="AB19" s="41"/>
      <c r="AC19" s="41"/>
      <c r="AD19" s="41">
        <f>+AM19+BA19</f>
        <v>30</v>
      </c>
      <c r="AE19" s="240" t="s">
        <v>498</v>
      </c>
      <c r="AF19" s="37"/>
      <c r="AG19" s="37"/>
      <c r="AH19" s="37">
        <v>30</v>
      </c>
      <c r="AJ19" s="41"/>
      <c r="AK19" s="41"/>
      <c r="AL19" s="41"/>
      <c r="AM19" s="41">
        <f>SUM(AF19:AL19)+AT19+AV19+AX19</f>
        <v>30</v>
      </c>
      <c r="AN19" s="41"/>
      <c r="AO19" s="41"/>
      <c r="AP19" s="41"/>
      <c r="AQ19" s="41"/>
      <c r="AR19" s="41">
        <f>SUM(AN19:AQ19)</f>
        <v>0</v>
      </c>
      <c r="AS19" s="41"/>
      <c r="AT19" s="41"/>
      <c r="AU19" s="41"/>
      <c r="AV19" s="41"/>
      <c r="AW19" s="41"/>
      <c r="AX19" s="41"/>
      <c r="AY19" s="41"/>
      <c r="AZ19" s="41"/>
      <c r="BA19" s="41">
        <f>+AR19+AS19+AU19+AW19+AY19+AZ19</f>
        <v>0</v>
      </c>
      <c r="BB19" s="37"/>
      <c r="BC19" s="57"/>
      <c r="BD19" s="57"/>
      <c r="BE19" s="37"/>
      <c r="BF19" s="57"/>
    </row>
    <row r="20" spans="1:58" ht="12.95" customHeight="1">
      <c r="A20" s="44"/>
      <c r="B20" s="45"/>
      <c r="C20" s="449"/>
      <c r="D20" s="45"/>
      <c r="E20" s="46"/>
      <c r="F20" s="46"/>
      <c r="G20" s="47"/>
      <c r="H20" s="48"/>
      <c r="I20" s="49"/>
      <c r="J20" s="88"/>
      <c r="K20" s="88"/>
      <c r="L20" s="39"/>
      <c r="M20" s="39"/>
      <c r="N20" s="50"/>
      <c r="O20" s="51"/>
      <c r="P20" s="52"/>
      <c r="Q20" s="38"/>
      <c r="R20" s="419"/>
      <c r="S20" s="419"/>
      <c r="T20" s="41"/>
      <c r="U20" s="41"/>
      <c r="V20" s="41"/>
      <c r="W20" s="41"/>
      <c r="X20" s="42"/>
      <c r="Y20" s="221"/>
      <c r="Z20" s="41"/>
      <c r="AA20" s="41"/>
      <c r="AB20" s="41"/>
      <c r="AC20" s="41"/>
      <c r="AD20" s="41"/>
      <c r="AE20" s="243"/>
      <c r="AF20" s="41"/>
      <c r="AG20" s="41"/>
      <c r="AH20" s="41"/>
      <c r="AI20" s="458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37"/>
      <c r="BC20" s="57"/>
      <c r="BD20" s="57"/>
      <c r="BE20" s="37"/>
      <c r="BF20" s="57"/>
    </row>
    <row r="21" spans="1:58" ht="12.95" customHeight="1">
      <c r="A21" s="344">
        <v>45873</v>
      </c>
      <c r="B21" s="45" t="s">
        <v>7</v>
      </c>
      <c r="C21" s="449">
        <f>(M21*E21*O21*Q21)/100000000</f>
        <v>58.955926651685402</v>
      </c>
      <c r="D21" s="45" t="s">
        <v>407</v>
      </c>
      <c r="E21" s="46">
        <v>13</v>
      </c>
      <c r="F21" s="46">
        <v>1</v>
      </c>
      <c r="G21" s="462">
        <v>1700</v>
      </c>
      <c r="H21" s="604">
        <f>+N21</f>
        <v>0.24010217113665389</v>
      </c>
      <c r="I21" s="49">
        <v>0.88</v>
      </c>
      <c r="J21" s="88">
        <f>E21*G21*(1-H21)*1440/1000000*2.77</f>
        <v>66.986878160919545</v>
      </c>
      <c r="K21" s="88">
        <f>(IF(G21&lt;L21,L21,G21)*(1-IF(H21&lt;N21,H21,N21))*E21*O21*Q21)/100000000</f>
        <v>64.000686658917758</v>
      </c>
      <c r="L21" s="39">
        <v>1566</v>
      </c>
      <c r="M21" s="39">
        <v>1190</v>
      </c>
      <c r="N21" s="50">
        <f>1-(M21/L21)</f>
        <v>0.24010217113665389</v>
      </c>
      <c r="O21" s="51">
        <f>+'Trim Rwd'!H11</f>
        <v>264.65168539325845</v>
      </c>
      <c r="P21" s="52">
        <f>O21*(Q21-R21-S21)</f>
        <v>349604.8764044944</v>
      </c>
      <c r="Q21" s="51">
        <v>1440</v>
      </c>
      <c r="R21" s="419">
        <v>0</v>
      </c>
      <c r="S21" s="419">
        <v>119</v>
      </c>
      <c r="T21" s="41">
        <f>E21*M21*O21*Q21/100000000</f>
        <v>58.955926651685402</v>
      </c>
      <c r="U21" s="41">
        <f>E21*M21*O21*(Q21-R21-S21)/100000000</f>
        <v>54.083874379775288</v>
      </c>
      <c r="V21" s="41">
        <f>E21*G21*(1-N21)*O21/100*(R21+S21)/1000000</f>
        <v>5.288945633618896</v>
      </c>
      <c r="W21" s="41">
        <f>+'4'!K34/1000</f>
        <v>43.804000000000002</v>
      </c>
      <c r="X21" s="416">
        <f>SUM(W21:W24)/SUM(K21:K24)</f>
        <v>0.68443015671764551</v>
      </c>
      <c r="Y21" s="221">
        <v>0</v>
      </c>
      <c r="Z21" s="41">
        <f>+'4'!D34/1000</f>
        <v>3.8</v>
      </c>
      <c r="AA21" s="53">
        <f>SUM(U21:U24)-SUM(W21:W24)-SUM(Z21:Z24)-SUM(Y21:Y24)</f>
        <v>6.4798743797752865</v>
      </c>
      <c r="AB21" s="53">
        <f>(SUM(K21:K24)-SUM(W21:W24)-SUM(Y21:Y24)-SUM(Z21:Z24)-SUM(AC21:AC24)-SUM(V21:V24))-AA21</f>
        <v>-0.41689336170878288</v>
      </c>
      <c r="AC21" s="41">
        <f>K21-T21</f>
        <v>5.0447600072323553</v>
      </c>
      <c r="AD21" s="41">
        <f>+AM21+BA21</f>
        <v>65</v>
      </c>
      <c r="AE21" s="240" t="s">
        <v>523</v>
      </c>
      <c r="AF21" s="41">
        <v>65</v>
      </c>
      <c r="AG21" s="41"/>
      <c r="AH21" s="41"/>
      <c r="AI21" s="458"/>
      <c r="AJ21" s="41"/>
      <c r="AK21" s="41"/>
      <c r="AL21" s="41"/>
      <c r="AM21" s="41">
        <f>SUM(AF21:AL21)+AT21+AV21+AX21</f>
        <v>65</v>
      </c>
      <c r="AN21" s="41"/>
      <c r="AO21" s="41"/>
      <c r="AP21" s="41"/>
      <c r="AQ21" s="41"/>
      <c r="AR21" s="41">
        <f>SUM(AN21:AQ21)</f>
        <v>0</v>
      </c>
      <c r="AS21" s="41"/>
      <c r="AT21" s="41"/>
      <c r="AU21" s="41"/>
      <c r="AV21" s="41"/>
      <c r="AW21" s="41"/>
      <c r="AX21" s="41"/>
      <c r="AY21" s="41"/>
      <c r="AZ21" s="41"/>
      <c r="BA21" s="41">
        <f>+AR21+AS21+AU21+AW21+AY21+AZ21</f>
        <v>0</v>
      </c>
      <c r="BB21" s="37">
        <v>13</v>
      </c>
      <c r="BC21" s="55"/>
      <c r="BD21" s="55"/>
      <c r="BE21" s="37"/>
      <c r="BF21" s="55"/>
    </row>
    <row r="22" spans="1:58" ht="12.95" customHeight="1">
      <c r="A22" s="344"/>
      <c r="B22" s="45"/>
      <c r="C22" s="449"/>
      <c r="D22" s="45"/>
      <c r="E22" s="46"/>
      <c r="F22" s="46"/>
      <c r="G22" s="462"/>
      <c r="H22" s="48"/>
      <c r="I22" s="49"/>
      <c r="J22" s="88"/>
      <c r="K22" s="88"/>
      <c r="L22" s="39"/>
      <c r="M22" s="39"/>
      <c r="N22" s="50"/>
      <c r="O22" s="51"/>
      <c r="P22" s="52"/>
      <c r="Q22" s="51"/>
      <c r="R22" s="419"/>
      <c r="S22" s="419"/>
      <c r="T22" s="41"/>
      <c r="U22" s="41"/>
      <c r="V22" s="41"/>
      <c r="W22" s="41"/>
      <c r="X22" s="42"/>
      <c r="Y22" s="221"/>
      <c r="Z22" s="41"/>
      <c r="AA22" s="41"/>
      <c r="AB22" s="41"/>
      <c r="AC22" s="41">
        <f>K22-T22</f>
        <v>0</v>
      </c>
      <c r="AD22" s="41">
        <f>+AM22+BA22</f>
        <v>19</v>
      </c>
      <c r="AE22" s="240" t="s">
        <v>499</v>
      </c>
      <c r="AF22" s="41"/>
      <c r="AG22" s="41">
        <v>19</v>
      </c>
      <c r="AH22" s="41"/>
      <c r="AI22" s="458"/>
      <c r="AJ22" s="41"/>
      <c r="AK22" s="41"/>
      <c r="AL22" s="41"/>
      <c r="AM22" s="41">
        <f>SUM(AF22:AL22)+AT22+AV22+AX22</f>
        <v>19</v>
      </c>
      <c r="AN22" s="89"/>
      <c r="AO22" s="41"/>
      <c r="AP22" s="41"/>
      <c r="AQ22" s="41"/>
      <c r="AR22" s="41">
        <f>SUM(AN22:AQ22)</f>
        <v>0</v>
      </c>
      <c r="AS22" s="41"/>
      <c r="AT22" s="41"/>
      <c r="AU22" s="41"/>
      <c r="AV22" s="41"/>
      <c r="AW22" s="41"/>
      <c r="AX22" s="41"/>
      <c r="AY22" s="41"/>
      <c r="AZ22" s="41"/>
      <c r="BA22" s="41">
        <f>+AR22+AS22+AU22+AW22+AY22+AZ22</f>
        <v>0</v>
      </c>
      <c r="BB22" s="54"/>
      <c r="BC22" s="55">
        <v>14</v>
      </c>
      <c r="BD22" s="55"/>
      <c r="BE22" s="54"/>
      <c r="BF22" s="55"/>
    </row>
    <row r="23" spans="1:58" ht="12.95" customHeight="1">
      <c r="A23" s="44"/>
      <c r="B23" s="45"/>
      <c r="C23" s="449"/>
      <c r="D23" s="45"/>
      <c r="E23" s="46"/>
      <c r="F23" s="46"/>
      <c r="G23" s="47"/>
      <c r="H23" s="48"/>
      <c r="I23" s="49"/>
      <c r="J23" s="88"/>
      <c r="K23" s="88"/>
      <c r="L23" s="39"/>
      <c r="M23" s="39"/>
      <c r="N23" s="50"/>
      <c r="O23" s="51"/>
      <c r="P23" s="52"/>
      <c r="Q23" s="51"/>
      <c r="R23" s="419"/>
      <c r="S23" s="419"/>
      <c r="T23" s="41"/>
      <c r="U23" s="41"/>
      <c r="V23" s="41"/>
      <c r="W23" s="41"/>
      <c r="X23" s="42"/>
      <c r="Y23" s="221"/>
      <c r="Z23" s="41"/>
      <c r="AA23" s="41"/>
      <c r="AB23" s="41"/>
      <c r="AC23" s="41"/>
      <c r="AD23" s="41">
        <f>+AM23+BA23</f>
        <v>35</v>
      </c>
      <c r="AE23" s="240" t="s">
        <v>524</v>
      </c>
      <c r="AF23" s="37"/>
      <c r="AG23" s="37"/>
      <c r="AH23" s="37">
        <v>35</v>
      </c>
      <c r="AJ23" s="41"/>
      <c r="AK23" s="41"/>
      <c r="AL23" s="41"/>
      <c r="AM23" s="41">
        <f>SUM(AF23:AL23)+AT23+AV23+AX23</f>
        <v>35</v>
      </c>
      <c r="AN23" s="41"/>
      <c r="AO23" s="41"/>
      <c r="AP23" s="41"/>
      <c r="AQ23" s="41"/>
      <c r="AR23" s="41">
        <f>SUM(AN23:AQ23)</f>
        <v>0</v>
      </c>
      <c r="AS23" s="41"/>
      <c r="AT23" s="41"/>
      <c r="AU23" s="41"/>
      <c r="AV23" s="41"/>
      <c r="AW23" s="41"/>
      <c r="AX23" s="41"/>
      <c r="AY23" s="41"/>
      <c r="AZ23" s="41"/>
      <c r="BA23" s="41">
        <f>+AR23+AS23+AU23+AW23+AY23+AZ23</f>
        <v>0</v>
      </c>
      <c r="BB23" s="37"/>
      <c r="BC23" s="57"/>
      <c r="BD23" s="57"/>
      <c r="BE23" s="37"/>
      <c r="BF23" s="57"/>
    </row>
    <row r="24" spans="1:58" ht="12.95" customHeight="1">
      <c r="A24" s="44"/>
      <c r="B24" s="45"/>
      <c r="C24" s="449"/>
      <c r="D24" s="45"/>
      <c r="E24" s="46"/>
      <c r="F24" s="46"/>
      <c r="G24" s="47"/>
      <c r="H24" s="48"/>
      <c r="I24" s="49"/>
      <c r="J24" s="88"/>
      <c r="K24" s="88"/>
      <c r="L24" s="39"/>
      <c r="M24" s="39"/>
      <c r="N24" s="50"/>
      <c r="O24" s="51"/>
      <c r="P24" s="52"/>
      <c r="Q24" s="38"/>
      <c r="R24" s="419"/>
      <c r="S24" s="419"/>
      <c r="T24" s="41"/>
      <c r="U24" s="41"/>
      <c r="V24" s="41"/>
      <c r="W24" s="41"/>
      <c r="X24" s="42"/>
      <c r="Y24" s="221"/>
      <c r="Z24" s="41"/>
      <c r="AA24" s="41"/>
      <c r="AB24" s="41"/>
      <c r="AC24" s="41"/>
      <c r="AD24" s="41"/>
      <c r="AE24" s="243"/>
      <c r="AF24" s="41"/>
      <c r="AG24" s="41"/>
      <c r="AH24" s="41"/>
      <c r="AI24" s="458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37"/>
      <c r="BC24" s="57"/>
      <c r="BD24" s="57"/>
      <c r="BE24" s="37"/>
      <c r="BF24" s="57"/>
    </row>
    <row r="25" spans="1:58" ht="12.95" customHeight="1">
      <c r="A25" s="344">
        <v>45874</v>
      </c>
      <c r="B25" s="45" t="s">
        <v>7</v>
      </c>
      <c r="C25" s="449">
        <f>(M25*E25*O25*Q25)/100000000</f>
        <v>22.061427569999999</v>
      </c>
      <c r="D25" s="45" t="s">
        <v>407</v>
      </c>
      <c r="E25" s="46">
        <v>13</v>
      </c>
      <c r="F25" s="46">
        <v>1</v>
      </c>
      <c r="G25" s="462">
        <v>1700</v>
      </c>
      <c r="H25" s="604">
        <f>+N25</f>
        <v>0.23984771573604058</v>
      </c>
      <c r="I25" s="49">
        <v>0.88</v>
      </c>
      <c r="J25" s="88">
        <f>E25*G25*(1-H25)*1440/1000000*2.77</f>
        <v>67.009309035532993</v>
      </c>
      <c r="K25" s="88">
        <f>(IF(G25&lt;L25,L25,G25)*(1-IF(H25&lt;N25,H25,N25))*E25*O25*Q25)/100000000</f>
        <v>23.79722517068528</v>
      </c>
      <c r="L25" s="39">
        <v>1576</v>
      </c>
      <c r="M25" s="39">
        <v>1198</v>
      </c>
      <c r="N25" s="50">
        <f>1-(M25/L25)</f>
        <v>0.23984771573604058</v>
      </c>
      <c r="O25" s="51">
        <f>+'Trim Rwd'!H14</f>
        <v>262.32499999999999</v>
      </c>
      <c r="P25" s="52">
        <f>O25*(Q25-R25-S25)</f>
        <v>139032.25</v>
      </c>
      <c r="Q25" s="51">
        <v>540</v>
      </c>
      <c r="R25" s="419">
        <v>0</v>
      </c>
      <c r="S25" s="419">
        <v>10</v>
      </c>
      <c r="T25" s="41">
        <f>E25*M25*O25*Q25/100000000</f>
        <v>22.061427569999999</v>
      </c>
      <c r="U25" s="41">
        <f>E25*M25*O25*(Q25-R25-S25)/100000000</f>
        <v>21.652882614999999</v>
      </c>
      <c r="V25" s="41">
        <f>E25*G25*(1-N25)*O25/100*(R25+S25)/1000000</f>
        <v>0.44068935501269035</v>
      </c>
      <c r="W25" s="41">
        <f>+'5'!K8/1000</f>
        <v>21.835999999999999</v>
      </c>
      <c r="X25" s="416">
        <f>SUM(W25:W28)/SUM(K25:K28)</f>
        <v>0.76602828634014475</v>
      </c>
      <c r="Y25" s="221">
        <v>0</v>
      </c>
      <c r="Z25" s="41">
        <f>+'5'!D7/1000</f>
        <v>1.0609999999999999</v>
      </c>
      <c r="AA25" s="53">
        <f>SUM(U25:U28)-SUM(W25:W28)-SUM(Z25:Z28)-SUM(Y25:Y28)</f>
        <v>11.060016824646759</v>
      </c>
      <c r="AB25" s="53">
        <f>(SUM(K25:K28)-SUM(W25:W28)-SUM(Y25:Y28)-SUM(Z25:Z28)-SUM(AC25:AC28)-SUM(V25:V28))-AA25</f>
        <v>1.7735849413394789E-2</v>
      </c>
      <c r="AC25" s="41">
        <f>K25-T25</f>
        <v>1.7357976006852809</v>
      </c>
      <c r="AD25" s="41">
        <f>+AM25+BA25</f>
        <v>10</v>
      </c>
      <c r="AE25" s="240" t="s">
        <v>522</v>
      </c>
      <c r="AF25" s="41">
        <v>10</v>
      </c>
      <c r="AG25" s="41"/>
      <c r="AH25" s="41"/>
      <c r="AI25" s="458"/>
      <c r="AJ25" s="41"/>
      <c r="AK25" s="41"/>
      <c r="AL25" s="41"/>
      <c r="AM25" s="41">
        <f>SUM(AF25:AL25)+AT25+AV25+AX25</f>
        <v>10</v>
      </c>
      <c r="AN25" s="41"/>
      <c r="AO25" s="41"/>
      <c r="AP25" s="41"/>
      <c r="AQ25" s="41"/>
      <c r="AR25" s="41">
        <f>SUM(AN25:AQ25)</f>
        <v>0</v>
      </c>
      <c r="AS25" s="41"/>
      <c r="AT25" s="41"/>
      <c r="AU25" s="41"/>
      <c r="AV25" s="41"/>
      <c r="AW25" s="41"/>
      <c r="AX25" s="41"/>
      <c r="AY25" s="41"/>
      <c r="AZ25" s="41"/>
      <c r="BA25" s="41">
        <f>+AR25+AS25+AU25+AW25+AY25+AZ25</f>
        <v>0</v>
      </c>
      <c r="BB25" s="37">
        <v>2</v>
      </c>
      <c r="BC25" s="55"/>
      <c r="BD25" s="55"/>
      <c r="BE25" s="37"/>
      <c r="BF25" s="55"/>
    </row>
    <row r="26" spans="1:58" ht="12.95" customHeight="1">
      <c r="A26" s="344"/>
      <c r="B26" s="45" t="s">
        <v>231</v>
      </c>
      <c r="C26" s="449">
        <f>(M26*E26*O26*Q26)/100000000</f>
        <v>41.984194294152182</v>
      </c>
      <c r="D26" s="45" t="s">
        <v>407</v>
      </c>
      <c r="E26" s="46">
        <v>17</v>
      </c>
      <c r="F26" s="46">
        <v>1</v>
      </c>
      <c r="G26" s="462">
        <v>1210</v>
      </c>
      <c r="H26" s="48">
        <v>0</v>
      </c>
      <c r="I26" s="49">
        <v>0.88</v>
      </c>
      <c r="J26" s="88">
        <f>E26*G26*(1-H26)*1440/1000000*2.77</f>
        <v>82.049616</v>
      </c>
      <c r="K26" s="88">
        <f>(IF(G26&lt;L26,L26,G26)*(1-IF(H26&lt;N26,H26,N26))*E26*O26*Q26)/100000000</f>
        <v>42.131655086956513</v>
      </c>
      <c r="L26" s="39">
        <v>1225</v>
      </c>
      <c r="M26" s="39">
        <f>+L26-L26*0.0035</f>
        <v>1220.7125000000001</v>
      </c>
      <c r="N26" s="50">
        <f>1-(M26/L26)</f>
        <v>3.4999999999999476E-3</v>
      </c>
      <c r="O26" s="51">
        <f>+'Trim Rwd'!H16</f>
        <v>269.39130434782606</v>
      </c>
      <c r="P26" s="52">
        <f>O26*(Q26-R26-S26)</f>
        <v>195308.69565217389</v>
      </c>
      <c r="Q26" s="51">
        <v>751</v>
      </c>
      <c r="R26" s="419">
        <v>0</v>
      </c>
      <c r="S26" s="419">
        <f>11+15</f>
        <v>26</v>
      </c>
      <c r="T26" s="41">
        <f>E26*M26*O26*Q26/100000000</f>
        <v>41.984194294152182</v>
      </c>
      <c r="U26" s="41">
        <f>E26*M26*O26*(Q26-R26-S26)/100000000</f>
        <v>40.530680244021745</v>
      </c>
      <c r="V26" s="41">
        <f>E26*G26*(1-N26)*O26/100*(R26+S26)/1000000</f>
        <v>1.4357159189043478</v>
      </c>
      <c r="W26" s="41">
        <f>+'5'!K9/1000</f>
        <v>35.046999999999997</v>
      </c>
      <c r="X26" s="42"/>
      <c r="Y26" s="221"/>
      <c r="Z26" s="41">
        <f>+('5'!D17+'5'!D25)/1000</f>
        <v>0.47599999999999998</v>
      </c>
      <c r="AA26" s="41"/>
      <c r="AB26" s="41"/>
      <c r="AC26" s="41">
        <f>K26-T26</f>
        <v>0.14746079280433122</v>
      </c>
      <c r="AD26" s="41">
        <f>+AM26+BA26</f>
        <v>11</v>
      </c>
      <c r="AE26" s="240" t="s">
        <v>491</v>
      </c>
      <c r="AF26" s="41"/>
      <c r="AG26" s="41">
        <v>11</v>
      </c>
      <c r="AH26" s="41"/>
      <c r="AI26" s="458"/>
      <c r="AJ26" s="41"/>
      <c r="AK26" s="41"/>
      <c r="AL26" s="41"/>
      <c r="AM26" s="41">
        <f>SUM(AF26:AL26)+AT26+AV26+AX26</f>
        <v>11</v>
      </c>
      <c r="AN26" s="89"/>
      <c r="AO26" s="41"/>
      <c r="AP26" s="41"/>
      <c r="AQ26" s="41"/>
      <c r="AR26" s="41">
        <f>SUM(AN26:AQ26)</f>
        <v>0</v>
      </c>
      <c r="AS26" s="41"/>
      <c r="AT26" s="41"/>
      <c r="AU26" s="41"/>
      <c r="AV26" s="41"/>
      <c r="AW26" s="41"/>
      <c r="AX26" s="41"/>
      <c r="AY26" s="41"/>
      <c r="AZ26" s="41"/>
      <c r="BA26" s="41">
        <f>+AR26+AS26+AU26+AW26+AY26+AZ26</f>
        <v>0</v>
      </c>
      <c r="BB26" s="54"/>
      <c r="BC26" s="55">
        <v>7</v>
      </c>
      <c r="BD26" s="55"/>
      <c r="BE26" s="54"/>
      <c r="BF26" s="55"/>
    </row>
    <row r="27" spans="1:58" ht="12.95" customHeight="1">
      <c r="A27" s="44"/>
      <c r="B27" s="45" t="s">
        <v>231</v>
      </c>
      <c r="C27" s="449">
        <f>(M27*E27*O27*Q27)/100000000</f>
        <v>8.2990201593750008</v>
      </c>
      <c r="D27" s="45" t="s">
        <v>407</v>
      </c>
      <c r="E27" s="46">
        <v>16.5</v>
      </c>
      <c r="F27" s="46">
        <v>1</v>
      </c>
      <c r="G27" s="462">
        <v>1210</v>
      </c>
      <c r="H27" s="48">
        <v>0</v>
      </c>
      <c r="I27" s="49">
        <v>0.88</v>
      </c>
      <c r="J27" s="88">
        <f>E27*G27*(1-H27)*1440/1000000*2.77</f>
        <v>79.636392000000001</v>
      </c>
      <c r="K27" s="88">
        <f>(IF(G27&lt;L27,L27,G27)*(1-IF(H27&lt;N27,H27,N27))*E27*O27*Q27)/100000000</f>
        <v>8.3281687499999997</v>
      </c>
      <c r="L27" s="39">
        <v>1250</v>
      </c>
      <c r="M27" s="39">
        <f>+L27-L27*0.0035</f>
        <v>1245.625</v>
      </c>
      <c r="N27" s="50">
        <f>1-(M27/L27)</f>
        <v>3.4999999999999476E-3</v>
      </c>
      <c r="O27" s="51">
        <f>+'Trim Rwd'!H18</f>
        <v>271</v>
      </c>
      <c r="P27" s="52">
        <f>O27*(Q27-R27-S27)</f>
        <v>35501</v>
      </c>
      <c r="Q27" s="51">
        <v>149</v>
      </c>
      <c r="R27" s="419">
        <v>0</v>
      </c>
      <c r="S27" s="419">
        <v>18</v>
      </c>
      <c r="T27" s="41">
        <f>E27*M27*O27*Q27/100000000</f>
        <v>8.2990201593750008</v>
      </c>
      <c r="U27" s="41">
        <f>E27*M27*O27*(Q27-R27-S27)/100000000</f>
        <v>7.296453965625</v>
      </c>
      <c r="V27" s="41">
        <f>E27*G27*(1-N27)*O27/100*(R27+S27)/1000000</f>
        <v>0.97048407555000005</v>
      </c>
      <c r="W27" s="41">
        <f>+'5'!K10/1000</f>
        <v>0</v>
      </c>
      <c r="X27" s="42"/>
      <c r="Y27" s="221"/>
      <c r="Z27" s="41"/>
      <c r="AA27" s="41"/>
      <c r="AB27" s="41"/>
      <c r="AC27" s="41">
        <f>K27-T27</f>
        <v>2.914859062499886E-2</v>
      </c>
      <c r="AD27" s="41">
        <f>+AM27+BA27</f>
        <v>18</v>
      </c>
      <c r="AE27" s="240" t="s">
        <v>540</v>
      </c>
      <c r="AF27" s="37"/>
      <c r="AG27" s="37"/>
      <c r="AH27" s="37">
        <v>18</v>
      </c>
      <c r="AJ27" s="41"/>
      <c r="AK27" s="41"/>
      <c r="AL27" s="41"/>
      <c r="AM27" s="41">
        <f>SUM(AF27:AL27)+AT27+AV27+AX27</f>
        <v>18</v>
      </c>
      <c r="AN27" s="41"/>
      <c r="AO27" s="41"/>
      <c r="AP27" s="41"/>
      <c r="AQ27" s="41"/>
      <c r="AR27" s="41">
        <f>SUM(AN27:AQ27)</f>
        <v>0</v>
      </c>
      <c r="AS27" s="41"/>
      <c r="AT27" s="41"/>
      <c r="AU27" s="41"/>
      <c r="AV27" s="41"/>
      <c r="AW27" s="41"/>
      <c r="AX27" s="41"/>
      <c r="AY27" s="41"/>
      <c r="AZ27" s="41"/>
      <c r="BA27" s="41">
        <f>+AR27+AS27+AU27+AW27+AY27+AZ27</f>
        <v>0</v>
      </c>
      <c r="BB27" s="37"/>
      <c r="BC27" s="57"/>
      <c r="BD27" s="57"/>
      <c r="BE27" s="37"/>
      <c r="BF27" s="57"/>
    </row>
    <row r="28" spans="1:58" ht="12.95" customHeight="1">
      <c r="A28" s="44"/>
      <c r="B28" s="45"/>
      <c r="C28" s="449"/>
      <c r="D28" s="45"/>
      <c r="E28" s="46"/>
      <c r="F28" s="46"/>
      <c r="G28" s="47"/>
      <c r="H28" s="48"/>
      <c r="I28" s="49"/>
      <c r="J28" s="88"/>
      <c r="K28" s="88"/>
      <c r="L28" s="39"/>
      <c r="M28" s="39"/>
      <c r="N28" s="50"/>
      <c r="O28" s="51"/>
      <c r="P28" s="52"/>
      <c r="Q28" s="38"/>
      <c r="R28" s="419"/>
      <c r="S28" s="419"/>
      <c r="T28" s="41"/>
      <c r="U28" s="41"/>
      <c r="V28" s="41"/>
      <c r="W28" s="41"/>
      <c r="X28" s="42"/>
      <c r="Y28" s="221"/>
      <c r="Z28" s="41"/>
      <c r="AA28" s="41"/>
      <c r="AB28" s="41"/>
      <c r="AC28" s="41"/>
      <c r="AD28" s="41">
        <f>+AM28+BA28</f>
        <v>15</v>
      </c>
      <c r="AE28" s="243" t="s">
        <v>541</v>
      </c>
      <c r="AF28" s="41"/>
      <c r="AG28" s="41"/>
      <c r="AH28" s="41"/>
      <c r="AI28" s="458">
        <v>15</v>
      </c>
      <c r="AJ28" s="41"/>
      <c r="AK28" s="41"/>
      <c r="AL28" s="41"/>
      <c r="AM28" s="41">
        <f>SUM(AF28:AL28)+AT28+AV28+AX28</f>
        <v>15</v>
      </c>
      <c r="AN28" s="41"/>
      <c r="AO28" s="41"/>
      <c r="AP28" s="41"/>
      <c r="AQ28" s="41"/>
      <c r="AR28" s="41">
        <f>SUM(AN28:AQ28)</f>
        <v>0</v>
      </c>
      <c r="AS28" s="41"/>
      <c r="AT28" s="41"/>
      <c r="AU28" s="41"/>
      <c r="AV28" s="41"/>
      <c r="AW28" s="41"/>
      <c r="AX28" s="41"/>
      <c r="AY28" s="41"/>
      <c r="AZ28" s="41"/>
      <c r="BA28" s="41">
        <f>+AR28+AS28+AU28+AW28+AY28+AZ28</f>
        <v>0</v>
      </c>
      <c r="BB28" s="37"/>
      <c r="BC28" s="57"/>
      <c r="BD28" s="57"/>
      <c r="BE28" s="37"/>
      <c r="BF28" s="57"/>
    </row>
    <row r="29" spans="1:58" ht="12.95" customHeight="1">
      <c r="A29" s="44"/>
      <c r="B29" s="45"/>
      <c r="C29" s="449"/>
      <c r="D29" s="45"/>
      <c r="E29" s="46"/>
      <c r="F29" s="46"/>
      <c r="G29" s="47"/>
      <c r="H29" s="48"/>
      <c r="I29" s="49"/>
      <c r="J29" s="88"/>
      <c r="K29" s="88"/>
      <c r="L29" s="39"/>
      <c r="M29" s="39"/>
      <c r="N29" s="50"/>
      <c r="O29" s="51"/>
      <c r="P29" s="52"/>
      <c r="Q29" s="51"/>
      <c r="R29" s="419"/>
      <c r="S29" s="419"/>
      <c r="T29" s="41"/>
      <c r="U29" s="41"/>
      <c r="V29" s="41"/>
      <c r="W29" s="41"/>
      <c r="X29" s="42"/>
      <c r="Y29" s="221"/>
      <c r="Z29" s="41"/>
      <c r="AA29" s="41"/>
      <c r="AB29" s="41"/>
      <c r="AC29" s="41"/>
      <c r="AD29" s="41"/>
      <c r="AE29" s="174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54"/>
      <c r="BC29" s="55"/>
      <c r="BD29" s="55"/>
      <c r="BE29" s="37"/>
      <c r="BF29" s="55"/>
    </row>
    <row r="30" spans="1:58" ht="12.95" customHeight="1">
      <c r="A30" s="344">
        <v>45875</v>
      </c>
      <c r="B30" s="45" t="s">
        <v>231</v>
      </c>
      <c r="C30" s="449">
        <f>(M30*E30*O30*Q30)/100000000</f>
        <v>79.65048483132631</v>
      </c>
      <c r="D30" s="45" t="s">
        <v>407</v>
      </c>
      <c r="E30" s="46">
        <v>16.5</v>
      </c>
      <c r="F30" s="46">
        <v>1</v>
      </c>
      <c r="G30" s="462">
        <v>1210</v>
      </c>
      <c r="H30" s="48">
        <v>0</v>
      </c>
      <c r="I30" s="49">
        <v>0.88</v>
      </c>
      <c r="J30" s="88">
        <f>E30*G30*(1-H30)*1440/1000000*2.77</f>
        <v>79.636392000000001</v>
      </c>
      <c r="K30" s="88">
        <f>(IF(G30&lt;L30,L30,G30)*(1-IF(H30&lt;N30,H30,N30))*E30*O30*Q30)/100000000</f>
        <v>79.930240673684196</v>
      </c>
      <c r="L30" s="39">
        <v>1260</v>
      </c>
      <c r="M30" s="39">
        <f>+L30-L30*0.0035</f>
        <v>1255.5899999999999</v>
      </c>
      <c r="N30" s="50">
        <f>1-(M30/L30)</f>
        <v>3.5000000000000586E-3</v>
      </c>
      <c r="O30" s="51">
        <f>+'Trim Rwd'!H20</f>
        <v>266.98947368421051</v>
      </c>
      <c r="P30" s="52">
        <f>O30*(Q30-R30-S30)</f>
        <v>375921.1789473684</v>
      </c>
      <c r="Q30" s="51">
        <v>1440</v>
      </c>
      <c r="R30" s="419">
        <v>0</v>
      </c>
      <c r="S30" s="419">
        <v>32</v>
      </c>
      <c r="T30" s="41">
        <f>E30*M30*O30*Q30/100000000</f>
        <v>79.65048483132631</v>
      </c>
      <c r="U30" s="41">
        <f>E30*M30*O30*(Q30-R30-S30)/100000000</f>
        <v>77.880474057296823</v>
      </c>
      <c r="V30" s="41">
        <f>E30*G30*(1-N30)*O30/100*(R30+S30)/1000000</f>
        <v>1.699772251250526</v>
      </c>
      <c r="W30" s="41">
        <f>+'6'!K34/1000</f>
        <v>73.584000000000003</v>
      </c>
      <c r="X30" s="416">
        <f>SUM(W30:W33)/SUM(K30:K33)</f>
        <v>0.9206027578524032</v>
      </c>
      <c r="Y30" s="221">
        <v>0</v>
      </c>
      <c r="Z30" s="41">
        <f>+'6'!D34/1000</f>
        <v>0.30599999999999999</v>
      </c>
      <c r="AA30" s="53">
        <f>SUM(U30:U33)-SUM(W30:W33)-SUM(Z30:Z33)-SUM(Y30:Y33)</f>
        <v>3.9904740572968196</v>
      </c>
      <c r="AB30" s="53">
        <f>(SUM(K30:K33)-SUM(W30:W33)-SUM(Y30:Y33)-SUM(Z30:Z33)-SUM(AC30:AC33)-SUM(V30:V33))-AA30</f>
        <v>7.0238522778960366E-2</v>
      </c>
      <c r="AC30" s="41">
        <f>K30-T30</f>
        <v>0.27975584235788631</v>
      </c>
      <c r="AD30" s="41">
        <f>+AM30+BA30</f>
        <v>0</v>
      </c>
      <c r="AE30" s="240" t="s">
        <v>277</v>
      </c>
      <c r="AF30" s="41">
        <v>0</v>
      </c>
      <c r="AG30" s="41"/>
      <c r="AH30" s="41"/>
      <c r="AI30" s="458"/>
      <c r="AJ30" s="41"/>
      <c r="AK30" s="41"/>
      <c r="AL30" s="41"/>
      <c r="AM30" s="41">
        <f>SUM(AF30:AL30)+AT30+AV30+AX30</f>
        <v>0</v>
      </c>
      <c r="AN30" s="41"/>
      <c r="AO30" s="41"/>
      <c r="AP30" s="41"/>
      <c r="AQ30" s="41"/>
      <c r="AR30" s="41">
        <f>SUM(AN30:AQ30)</f>
        <v>0</v>
      </c>
      <c r="AS30" s="41"/>
      <c r="AT30" s="41"/>
      <c r="AU30" s="41"/>
      <c r="AV30" s="41"/>
      <c r="AW30" s="41"/>
      <c r="AX30" s="41"/>
      <c r="AY30" s="41"/>
      <c r="AZ30" s="41"/>
      <c r="BA30" s="41">
        <f>+AR30+AS30+AU30+AW30+AY30+AZ30</f>
        <v>0</v>
      </c>
      <c r="BB30" s="37">
        <v>0</v>
      </c>
      <c r="BC30" s="55"/>
      <c r="BD30" s="55"/>
      <c r="BE30" s="37"/>
      <c r="BF30" s="55"/>
    </row>
    <row r="31" spans="1:58" ht="12.95" customHeight="1">
      <c r="A31" s="344"/>
      <c r="B31" s="45"/>
      <c r="C31" s="449"/>
      <c r="D31" s="45"/>
      <c r="E31" s="46"/>
      <c r="F31" s="46"/>
      <c r="G31" s="462"/>
      <c r="H31" s="48"/>
      <c r="I31" s="49"/>
      <c r="J31" s="88"/>
      <c r="K31" s="88"/>
      <c r="L31" s="39"/>
      <c r="M31" s="39"/>
      <c r="N31" s="50"/>
      <c r="O31" s="51"/>
      <c r="P31" s="52"/>
      <c r="Q31" s="51"/>
      <c r="R31" s="419"/>
      <c r="S31" s="419"/>
      <c r="T31" s="41"/>
      <c r="U31" s="41"/>
      <c r="V31" s="41"/>
      <c r="W31" s="41"/>
      <c r="X31" s="42"/>
      <c r="Y31" s="221"/>
      <c r="Z31" s="41"/>
      <c r="AA31" s="41"/>
      <c r="AB31" s="41"/>
      <c r="AC31" s="41"/>
      <c r="AD31" s="41">
        <f>+AM31+BA31</f>
        <v>2</v>
      </c>
      <c r="AE31" s="240" t="s">
        <v>521</v>
      </c>
      <c r="AF31" s="41"/>
      <c r="AG31" s="41">
        <v>2</v>
      </c>
      <c r="AH31" s="41"/>
      <c r="AI31" s="458"/>
      <c r="AJ31" s="41"/>
      <c r="AK31" s="41"/>
      <c r="AL31" s="41"/>
      <c r="AM31" s="41">
        <f>SUM(AF31:AL31)+AT31+AV31+AX31</f>
        <v>2</v>
      </c>
      <c r="AN31" s="89"/>
      <c r="AO31" s="41"/>
      <c r="AP31" s="41"/>
      <c r="AQ31" s="41"/>
      <c r="AR31" s="41">
        <f>SUM(AN31:AQ31)</f>
        <v>0</v>
      </c>
      <c r="AS31" s="41"/>
      <c r="AT31" s="41"/>
      <c r="AU31" s="41"/>
      <c r="AV31" s="41"/>
      <c r="AW31" s="41"/>
      <c r="AX31" s="41"/>
      <c r="AY31" s="41"/>
      <c r="AZ31" s="41"/>
      <c r="BA31" s="41">
        <f>+AR31+AS31+AU31+AW31+AY31+AZ31</f>
        <v>0</v>
      </c>
      <c r="BB31" s="54"/>
      <c r="BC31" s="55">
        <v>1</v>
      </c>
      <c r="BD31" s="55"/>
      <c r="BE31" s="54"/>
      <c r="BF31" s="55"/>
    </row>
    <row r="32" spans="1:58" ht="12.95" customHeight="1">
      <c r="A32" s="44"/>
      <c r="B32" s="45"/>
      <c r="C32" s="449"/>
      <c r="D32" s="45"/>
      <c r="E32" s="46"/>
      <c r="F32" s="46"/>
      <c r="G32" s="462"/>
      <c r="H32" s="48"/>
      <c r="I32" s="49"/>
      <c r="J32" s="88"/>
      <c r="K32" s="88"/>
      <c r="L32" s="39"/>
      <c r="M32" s="39"/>
      <c r="N32" s="50"/>
      <c r="O32" s="51"/>
      <c r="P32" s="52"/>
      <c r="Q32" s="51"/>
      <c r="R32" s="419"/>
      <c r="S32" s="419"/>
      <c r="T32" s="41"/>
      <c r="U32" s="41"/>
      <c r="V32" s="41"/>
      <c r="W32" s="41"/>
      <c r="X32" s="42"/>
      <c r="Y32" s="221"/>
      <c r="Z32" s="41"/>
      <c r="AA32" s="41"/>
      <c r="AB32" s="41"/>
      <c r="AC32" s="41"/>
      <c r="AD32" s="41">
        <f>+AM32+BA32</f>
        <v>30</v>
      </c>
      <c r="AE32" s="240" t="s">
        <v>500</v>
      </c>
      <c r="AF32" s="37"/>
      <c r="AG32" s="37"/>
      <c r="AH32" s="37">
        <v>30</v>
      </c>
      <c r="AI32" s="458"/>
      <c r="AJ32" s="41"/>
      <c r="AK32" s="41"/>
      <c r="AL32" s="41"/>
      <c r="AM32" s="41">
        <f>SUM(AF32:AL32)+AT32+AV32+AX32</f>
        <v>30</v>
      </c>
      <c r="AN32" s="41"/>
      <c r="AO32" s="41"/>
      <c r="AP32" s="41"/>
      <c r="AQ32" s="41"/>
      <c r="AR32" s="41">
        <f>SUM(AN32:AQ32)</f>
        <v>0</v>
      </c>
      <c r="AS32" s="41"/>
      <c r="AT32" s="41"/>
      <c r="AU32" s="41"/>
      <c r="AV32" s="41"/>
      <c r="AW32" s="41"/>
      <c r="AX32" s="41"/>
      <c r="AY32" s="41"/>
      <c r="AZ32" s="41"/>
      <c r="BA32" s="41">
        <f>+AR32+AS32+AU32+AW32+AY32+AZ32</f>
        <v>0</v>
      </c>
      <c r="BB32" s="37"/>
      <c r="BC32" s="57"/>
      <c r="BD32" s="57"/>
      <c r="BE32" s="37"/>
      <c r="BF32" s="57"/>
    </row>
    <row r="33" spans="1:58" ht="12.95" customHeight="1">
      <c r="A33" s="44"/>
      <c r="B33" s="45"/>
      <c r="C33" s="449"/>
      <c r="D33" s="45"/>
      <c r="E33" s="46"/>
      <c r="F33" s="46"/>
      <c r="G33" s="47"/>
      <c r="H33" s="48"/>
      <c r="I33" s="49"/>
      <c r="J33" s="88"/>
      <c r="K33" s="88"/>
      <c r="L33" s="39"/>
      <c r="M33" s="39"/>
      <c r="N33" s="50"/>
      <c r="O33" s="51"/>
      <c r="P33" s="52"/>
      <c r="Q33" s="51"/>
      <c r="R33" s="419"/>
      <c r="S33" s="419"/>
      <c r="T33" s="41"/>
      <c r="U33" s="41"/>
      <c r="V33" s="41"/>
      <c r="W33" s="41"/>
      <c r="X33" s="42"/>
      <c r="Y33" s="221"/>
      <c r="Z33" s="41"/>
      <c r="AA33" s="41"/>
      <c r="AB33" s="41"/>
      <c r="AC33" s="41"/>
      <c r="AD33" s="41"/>
      <c r="AE33" s="240"/>
      <c r="AF33" s="37"/>
      <c r="AG33" s="37"/>
      <c r="AH33" s="37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37"/>
      <c r="BC33" s="57"/>
      <c r="BD33" s="57"/>
      <c r="BE33" s="37"/>
      <c r="BF33" s="57"/>
    </row>
    <row r="34" spans="1:58" ht="12.95" customHeight="1">
      <c r="A34" s="344">
        <v>45876</v>
      </c>
      <c r="B34" s="45" t="s">
        <v>231</v>
      </c>
      <c r="C34" s="449">
        <f>(M34*E34*O34*Q34)/100000000</f>
        <v>20.954102053499998</v>
      </c>
      <c r="D34" s="45" t="s">
        <v>566</v>
      </c>
      <c r="E34" s="46">
        <v>16.5</v>
      </c>
      <c r="F34" s="46">
        <v>1</v>
      </c>
      <c r="G34" s="462">
        <v>1210</v>
      </c>
      <c r="H34" s="48">
        <v>0</v>
      </c>
      <c r="I34" s="49">
        <v>0.88</v>
      </c>
      <c r="J34" s="88">
        <f>E34*G34*(1-H34)*1440/1000000*2.77</f>
        <v>79.636392000000001</v>
      </c>
      <c r="K34" s="88">
        <f>(IF(G34&lt;L34,L34,G34)*(1-IF(H34&lt;N34,H34,N34))*E34*O34*Q34)/100000000</f>
        <v>21.027698999999998</v>
      </c>
      <c r="L34" s="39">
        <v>1260</v>
      </c>
      <c r="M34" s="39">
        <f>+L34-L34*0.0035</f>
        <v>1255.5899999999999</v>
      </c>
      <c r="N34" s="50">
        <f>1-(M34/L34)</f>
        <v>3.5000000000000586E-3</v>
      </c>
      <c r="O34" s="51">
        <f>+'Trim Rwd'!H24</f>
        <v>266.16666666666669</v>
      </c>
      <c r="P34" s="52">
        <f>O34*(Q34-R34-S34)</f>
        <v>64412.333333333336</v>
      </c>
      <c r="Q34" s="51">
        <f>275+105</f>
        <v>380</v>
      </c>
      <c r="R34" s="419">
        <v>105</v>
      </c>
      <c r="S34" s="419">
        <v>33</v>
      </c>
      <c r="T34" s="41">
        <f>E34*M34*O34*Q34/100000000</f>
        <v>20.954102053499998</v>
      </c>
      <c r="U34" s="41">
        <f>E34*M34*O34*(Q34-R34-S34)/100000000</f>
        <v>13.344454465649997</v>
      </c>
      <c r="V34" s="41">
        <f>E34*G34*(1-N34)*O34/100*(R34+S34)/1000000</f>
        <v>7.307677445475</v>
      </c>
      <c r="W34" s="41">
        <f>+'7'!K10/1000</f>
        <v>31.658999999999999</v>
      </c>
      <c r="X34" s="416">
        <f>SUM(W34:W37)/SUM(K34:K37)</f>
        <v>0.93472606491672772</v>
      </c>
      <c r="Y34" s="221">
        <v>0</v>
      </c>
      <c r="Z34" s="41">
        <f>+('7'!D7+'7'!D16)/1000</f>
        <v>1.1200000000000001</v>
      </c>
      <c r="AA34" s="53">
        <f>SUM(U34:U37)-SUM(W34:W37)-SUM(Z34:Z37)-SUM(Y34:Y37)</f>
        <v>-7.0498834343499945</v>
      </c>
      <c r="AB34" s="53">
        <f>(SUM(K34:K37)-SUM(W34:W37)-SUM(Y34:Y37)-SUM(Z34:Z37)-SUM(AC34:AC37)-SUM(V34:V37))-AA34</f>
        <v>0.38799574909142898</v>
      </c>
      <c r="AC34" s="41">
        <f>K34-T34</f>
        <v>7.3596946500000371E-2</v>
      </c>
      <c r="AD34" s="41">
        <f>+AM34+BA34</f>
        <v>20</v>
      </c>
      <c r="AE34" s="240" t="s">
        <v>447</v>
      </c>
      <c r="AF34" s="41">
        <v>20</v>
      </c>
      <c r="AG34" s="41"/>
      <c r="AH34" s="41"/>
      <c r="AI34" s="458"/>
      <c r="AJ34" s="41"/>
      <c r="AK34" s="41"/>
      <c r="AL34" s="41"/>
      <c r="AM34" s="41">
        <f>SUM(AF34:AL34)+AT34+AV34+AX34</f>
        <v>20</v>
      </c>
      <c r="AN34" s="41"/>
      <c r="AO34" s="41"/>
      <c r="AP34" s="41"/>
      <c r="AQ34" s="41"/>
      <c r="AR34" s="41">
        <f>SUM(AN34:AQ34)</f>
        <v>0</v>
      </c>
      <c r="AS34" s="41"/>
      <c r="AT34" s="41"/>
      <c r="AU34" s="41"/>
      <c r="AV34" s="41"/>
      <c r="AW34" s="41"/>
      <c r="AX34" s="41"/>
      <c r="AY34" s="41"/>
      <c r="AZ34" s="41"/>
      <c r="BA34" s="41">
        <f>+AR34+AS34+AU34+AW34+AY34+AZ34</f>
        <v>0</v>
      </c>
      <c r="BB34" s="37">
        <v>4</v>
      </c>
      <c r="BC34" s="55"/>
      <c r="BD34" s="55"/>
      <c r="BE34" s="37"/>
      <c r="BF34" s="55"/>
    </row>
    <row r="35" spans="1:58" ht="12.95" customHeight="1">
      <c r="A35" s="344"/>
      <c r="B35" s="45" t="s">
        <v>231</v>
      </c>
      <c r="C35" s="449">
        <f>(M35*E35*O35*Q35)/100000000</f>
        <v>52.896438000000003</v>
      </c>
      <c r="D35" s="45" t="s">
        <v>566</v>
      </c>
      <c r="E35" s="46">
        <v>14</v>
      </c>
      <c r="F35" s="46">
        <v>1</v>
      </c>
      <c r="G35" s="462">
        <v>1270</v>
      </c>
      <c r="H35" s="48">
        <v>0</v>
      </c>
      <c r="I35" s="49">
        <v>0.88</v>
      </c>
      <c r="J35" s="88">
        <f>E35*G35*(1-H35)*1440/1000000*2.77</f>
        <v>70.920864000000009</v>
      </c>
      <c r="K35" s="88">
        <f>(IF(G35&lt;L35,L35,G35)*(1-IF(H35&lt;N35,H35,N35))*E35*O35*Q35)/100000000</f>
        <v>53.094552</v>
      </c>
      <c r="L35" s="39">
        <v>1340</v>
      </c>
      <c r="M35" s="39">
        <v>1335</v>
      </c>
      <c r="N35" s="50">
        <f>1-(M35/L35)</f>
        <v>3.7313432835820448E-3</v>
      </c>
      <c r="O35" s="51">
        <f>+'Trim Rwd'!H26</f>
        <v>267</v>
      </c>
      <c r="P35" s="52">
        <f>O35*(Q35-R35-S35)</f>
        <v>274209</v>
      </c>
      <c r="Q35" s="51">
        <v>1060</v>
      </c>
      <c r="R35" s="419">
        <v>0</v>
      </c>
      <c r="S35" s="419">
        <v>33</v>
      </c>
      <c r="T35" s="41">
        <f>E35*M35*O35*Q35/100000000</f>
        <v>52.896438000000003</v>
      </c>
      <c r="U35" s="41">
        <f>E35*M35*O35*(Q35-R35-S35)/100000000</f>
        <v>51.249662100000002</v>
      </c>
      <c r="V35" s="41">
        <f>E35*G35*(1-N35)*O35/100*(R35+S35)/1000000</f>
        <v>1.5607502932835822</v>
      </c>
      <c r="W35" s="41">
        <f>+'7'!K11/1000</f>
        <v>37.625</v>
      </c>
      <c r="X35" s="42"/>
      <c r="Y35" s="221"/>
      <c r="Z35" s="41">
        <f>+'7'!D25/1000</f>
        <v>1.24</v>
      </c>
      <c r="AA35" s="41"/>
      <c r="AB35" s="41"/>
      <c r="AC35" s="41">
        <f>K35-T35</f>
        <v>0.19811399999999679</v>
      </c>
      <c r="AD35" s="41">
        <f>+AM35+BA35</f>
        <v>6</v>
      </c>
      <c r="AE35" s="240" t="s">
        <v>567</v>
      </c>
      <c r="AF35" s="41"/>
      <c r="AG35" s="41">
        <v>6</v>
      </c>
      <c r="AH35" s="41"/>
      <c r="AI35" s="458"/>
      <c r="AJ35" s="41"/>
      <c r="AK35" s="41"/>
      <c r="AL35" s="41"/>
      <c r="AM35" s="41">
        <f>SUM(AF35:AL35)+AT35+AV35+AX35</f>
        <v>6</v>
      </c>
      <c r="AN35" s="89"/>
      <c r="AO35" s="41"/>
      <c r="AP35" s="41"/>
      <c r="AQ35" s="41"/>
      <c r="AR35" s="41">
        <f>SUM(AN35:AQ35)</f>
        <v>0</v>
      </c>
      <c r="AS35" s="41"/>
      <c r="AT35" s="41"/>
      <c r="AU35" s="41"/>
      <c r="AV35" s="41"/>
      <c r="AW35" s="41"/>
      <c r="AX35" s="41"/>
      <c r="AY35" s="41"/>
      <c r="AZ35" s="41"/>
      <c r="BA35" s="41">
        <f>+AR35+AS35+AU35+AW35+AY35+AZ35</f>
        <v>0</v>
      </c>
      <c r="BB35" s="54"/>
      <c r="BC35" s="55">
        <v>2</v>
      </c>
      <c r="BD35" s="55"/>
      <c r="BE35" s="54"/>
      <c r="BF35" s="55"/>
    </row>
    <row r="36" spans="1:58" ht="12.95" customHeight="1">
      <c r="A36" s="44"/>
      <c r="B36" s="45"/>
      <c r="C36" s="449"/>
      <c r="D36" s="45"/>
      <c r="E36" s="46"/>
      <c r="F36" s="46"/>
      <c r="G36" s="462"/>
      <c r="H36" s="48"/>
      <c r="I36" s="49"/>
      <c r="J36" s="88"/>
      <c r="K36" s="88"/>
      <c r="L36" s="39"/>
      <c r="M36" s="39"/>
      <c r="N36" s="50"/>
      <c r="O36" s="51"/>
      <c r="P36" s="52"/>
      <c r="Q36" s="51"/>
      <c r="R36" s="419"/>
      <c r="S36" s="419"/>
      <c r="T36" s="41"/>
      <c r="U36" s="41"/>
      <c r="V36" s="41"/>
      <c r="W36" s="41"/>
      <c r="X36" s="42"/>
      <c r="Y36" s="221"/>
      <c r="Z36" s="41"/>
      <c r="AA36" s="41"/>
      <c r="AB36" s="41"/>
      <c r="AC36" s="41"/>
      <c r="AD36" s="41">
        <f>+AM36+BA36</f>
        <v>30</v>
      </c>
      <c r="AE36" s="240" t="s">
        <v>568</v>
      </c>
      <c r="AF36" s="37"/>
      <c r="AG36" s="37"/>
      <c r="AH36" s="37">
        <v>30</v>
      </c>
      <c r="AI36" s="458"/>
      <c r="AJ36" s="41"/>
      <c r="AK36" s="41"/>
      <c r="AL36" s="41"/>
      <c r="AM36" s="41">
        <f>SUM(AF36:AL36)+AT36+AV36+AX36</f>
        <v>30</v>
      </c>
      <c r="AN36" s="41"/>
      <c r="AO36" s="41"/>
      <c r="AP36" s="41"/>
      <c r="AQ36" s="41"/>
      <c r="AR36" s="41">
        <f>SUM(AN36:AQ36)</f>
        <v>0</v>
      </c>
      <c r="AS36" s="41"/>
      <c r="AT36" s="41"/>
      <c r="AU36" s="41"/>
      <c r="AV36" s="41"/>
      <c r="AW36" s="41"/>
      <c r="AX36" s="41"/>
      <c r="AY36" s="41"/>
      <c r="AZ36" s="41"/>
      <c r="BA36" s="41">
        <f>+AR36+AS36+AU36+AW36+AY36+AZ36</f>
        <v>0</v>
      </c>
      <c r="BB36" s="37"/>
      <c r="BC36" s="57"/>
      <c r="BD36" s="57"/>
      <c r="BE36" s="37"/>
      <c r="BF36" s="57"/>
    </row>
    <row r="37" spans="1:58" ht="12.95" customHeight="1">
      <c r="A37" s="44"/>
      <c r="B37" s="45"/>
      <c r="C37" s="449"/>
      <c r="D37" s="45"/>
      <c r="E37" s="46"/>
      <c r="F37" s="46"/>
      <c r="G37" s="47"/>
      <c r="H37" s="48"/>
      <c r="I37" s="49"/>
      <c r="J37" s="88"/>
      <c r="K37" s="88"/>
      <c r="L37" s="39"/>
      <c r="M37" s="39"/>
      <c r="N37" s="50"/>
      <c r="O37" s="51"/>
      <c r="P37" s="52"/>
      <c r="Q37" s="51"/>
      <c r="R37" s="419"/>
      <c r="S37" s="419"/>
      <c r="T37" s="41"/>
      <c r="U37" s="41"/>
      <c r="V37" s="41"/>
      <c r="W37" s="41"/>
      <c r="X37" s="42"/>
      <c r="Y37" s="221"/>
      <c r="Z37" s="41"/>
      <c r="AA37" s="41"/>
      <c r="AB37" s="41"/>
      <c r="AC37" s="41"/>
      <c r="AD37" s="41">
        <f>+AM37+BA37</f>
        <v>10</v>
      </c>
      <c r="AE37" s="240" t="s">
        <v>541</v>
      </c>
      <c r="AF37" s="37"/>
      <c r="AG37" s="37"/>
      <c r="AH37" s="37"/>
      <c r="AI37" s="458">
        <v>10</v>
      </c>
      <c r="AJ37" s="41"/>
      <c r="AK37" s="41"/>
      <c r="AL37" s="41"/>
      <c r="AM37" s="41">
        <f>SUM(AF37:AL37)+AT37+AV37+AX37</f>
        <v>10</v>
      </c>
      <c r="AN37" s="41"/>
      <c r="AO37" s="41"/>
      <c r="AP37" s="41"/>
      <c r="AQ37" s="41"/>
      <c r="AR37" s="41">
        <f>SUM(AN37:AQ37)</f>
        <v>0</v>
      </c>
      <c r="AS37" s="41"/>
      <c r="AT37" s="41"/>
      <c r="AU37" s="41"/>
      <c r="AV37" s="41"/>
      <c r="AW37" s="41"/>
      <c r="AX37" s="41"/>
      <c r="AY37" s="41"/>
      <c r="AZ37" s="41"/>
      <c r="BA37" s="41">
        <f>+AR37+AS37+AU37+AW37+AY37+AZ37</f>
        <v>0</v>
      </c>
      <c r="BB37" s="37"/>
      <c r="BC37" s="57"/>
      <c r="BD37" s="57"/>
      <c r="BE37" s="37"/>
      <c r="BF37" s="57"/>
    </row>
    <row r="38" spans="1:58" ht="12.95" customHeight="1">
      <c r="A38" s="44"/>
      <c r="B38" s="45"/>
      <c r="C38" s="449"/>
      <c r="D38" s="45"/>
      <c r="E38" s="46"/>
      <c r="F38" s="46"/>
      <c r="G38" s="47"/>
      <c r="H38" s="48"/>
      <c r="I38" s="49"/>
      <c r="J38" s="88"/>
      <c r="K38" s="88"/>
      <c r="L38" s="39"/>
      <c r="M38" s="39"/>
      <c r="N38" s="50"/>
      <c r="O38" s="51"/>
      <c r="P38" s="52"/>
      <c r="Q38" s="51"/>
      <c r="R38" s="419"/>
      <c r="S38" s="419"/>
      <c r="T38" s="41"/>
      <c r="U38" s="41"/>
      <c r="V38" s="41"/>
      <c r="W38" s="41"/>
      <c r="X38" s="42"/>
      <c r="Y38" s="221"/>
      <c r="Z38" s="41"/>
      <c r="AA38" s="41"/>
      <c r="AB38" s="41"/>
      <c r="AC38" s="41"/>
      <c r="AD38" s="41">
        <f>+AM38+BA38</f>
        <v>105</v>
      </c>
      <c r="AE38" s="240" t="s">
        <v>569</v>
      </c>
      <c r="AF38" s="41"/>
      <c r="AG38" s="41"/>
      <c r="AH38" s="41"/>
      <c r="AI38" s="41"/>
      <c r="AJ38" s="41"/>
      <c r="AK38" s="41"/>
      <c r="AL38" s="41"/>
      <c r="AM38" s="41">
        <f>SUM(AF38:AL38)+AT38+AV38+AX38</f>
        <v>0</v>
      </c>
      <c r="AN38" s="41"/>
      <c r="AO38" s="41"/>
      <c r="AP38" s="41">
        <v>105</v>
      </c>
      <c r="AQ38" s="41"/>
      <c r="AR38" s="41">
        <f>SUM(AN38:AQ38)</f>
        <v>105</v>
      </c>
      <c r="AS38" s="41"/>
      <c r="AT38" s="41"/>
      <c r="AU38" s="41"/>
      <c r="AV38" s="41"/>
      <c r="AW38" s="41"/>
      <c r="AX38" s="41"/>
      <c r="AY38" s="41"/>
      <c r="AZ38" s="41"/>
      <c r="BA38" s="41">
        <f>+AR38+AS38+AU38+AW38+AY38+AZ38</f>
        <v>105</v>
      </c>
      <c r="BB38" s="37"/>
      <c r="BC38" s="57"/>
      <c r="BD38" s="57"/>
      <c r="BE38" s="37"/>
      <c r="BF38" s="57"/>
    </row>
    <row r="39" spans="1:58" ht="12.95" customHeight="1">
      <c r="A39" s="344"/>
      <c r="B39" s="45"/>
      <c r="C39" s="449"/>
      <c r="D39" s="45"/>
      <c r="E39" s="46"/>
      <c r="F39" s="46"/>
      <c r="G39" s="462"/>
      <c r="H39" s="48"/>
      <c r="I39" s="49"/>
      <c r="J39" s="88"/>
      <c r="K39" s="88"/>
      <c r="L39" s="39"/>
      <c r="M39" s="39"/>
      <c r="N39" s="50"/>
      <c r="O39" s="51"/>
      <c r="P39" s="52"/>
      <c r="Q39" s="51"/>
      <c r="R39" s="419"/>
      <c r="S39" s="419"/>
      <c r="T39" s="41"/>
      <c r="U39" s="41"/>
      <c r="V39" s="41"/>
      <c r="W39" s="41"/>
      <c r="X39" s="416"/>
      <c r="Y39" s="221"/>
      <c r="Z39" s="41"/>
      <c r="AA39" s="53"/>
      <c r="AB39" s="53"/>
      <c r="AC39" s="41"/>
      <c r="AD39" s="41"/>
      <c r="AE39" s="240"/>
      <c r="AF39" s="41"/>
      <c r="AG39" s="41"/>
      <c r="AH39" s="41"/>
      <c r="AI39" s="458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37"/>
      <c r="BC39" s="55"/>
      <c r="BD39" s="55"/>
      <c r="BE39" s="55"/>
      <c r="BF39" s="55"/>
    </row>
    <row r="40" spans="1:58" ht="12.95" customHeight="1">
      <c r="A40" s="344">
        <v>45846</v>
      </c>
      <c r="B40" s="45" t="s">
        <v>231</v>
      </c>
      <c r="C40" s="449">
        <f>(M40*E40*O40*Q40)/100000000</f>
        <v>71.859312000000003</v>
      </c>
      <c r="D40" s="45" t="s">
        <v>566</v>
      </c>
      <c r="E40" s="46">
        <v>14</v>
      </c>
      <c r="F40" s="46">
        <v>1</v>
      </c>
      <c r="G40" s="462">
        <v>1270</v>
      </c>
      <c r="H40" s="48">
        <v>0</v>
      </c>
      <c r="I40" s="49">
        <v>0.88</v>
      </c>
      <c r="J40" s="88">
        <f>E40*G40*(1-H40)*1440/1000000*2.77</f>
        <v>70.920864000000009</v>
      </c>
      <c r="K40" s="88">
        <f>(IF(G40&lt;L40,L40,G40)*(1-IF(H40&lt;N40,H40,N40))*E40*O40*Q40)/100000000</f>
        <v>72.128448000000006</v>
      </c>
      <c r="L40" s="39">
        <v>1340</v>
      </c>
      <c r="M40" s="39">
        <v>1335</v>
      </c>
      <c r="N40" s="50">
        <f>1-(M40/L40)</f>
        <v>3.7313432835820448E-3</v>
      </c>
      <c r="O40" s="51">
        <f>+'Trim Rwd'!H28</f>
        <v>267</v>
      </c>
      <c r="P40" s="52">
        <f>O40*(Q40-R40-S40)</f>
        <v>371397</v>
      </c>
      <c r="Q40" s="51">
        <v>1440</v>
      </c>
      <c r="R40" s="419">
        <v>0</v>
      </c>
      <c r="S40" s="419">
        <v>49</v>
      </c>
      <c r="T40" s="41">
        <f>E40*M40*O40*Q40/100000000</f>
        <v>71.859312000000003</v>
      </c>
      <c r="U40" s="41">
        <f>E40*M40*O40*(Q40-R40-S40)/100000000</f>
        <v>69.414099300000004</v>
      </c>
      <c r="V40" s="41">
        <f>E40*G40*(1-N40)*O40/100*(R40+S40)/1000000</f>
        <v>2.3174777082089553</v>
      </c>
      <c r="W40" s="41">
        <f>+'8'!K11/1000</f>
        <v>70.066000000000003</v>
      </c>
      <c r="X40" s="416">
        <f>SUM(W40:W43)/SUM(K40:K43)</f>
        <v>0.97140590076192956</v>
      </c>
      <c r="Y40" s="221">
        <v>0</v>
      </c>
      <c r="Z40" s="41">
        <f>+'8'!D7/1000</f>
        <v>1.07</v>
      </c>
      <c r="AA40" s="53">
        <f>SUM(U40:U43)-SUM(W40:W43)-SUM(Z40:Z43)-SUM(Y40:Y43)</f>
        <v>-1.7219006999999988</v>
      </c>
      <c r="AB40" s="53">
        <f>(SUM(K40:K43)-SUM(W40:W43)-SUM(Y40:Y43)-SUM(Z40:Z43)-SUM(AC40:AC43)-SUM(V40:V43))-AA40</f>
        <v>0.12773499179104375</v>
      </c>
      <c r="AC40" s="41">
        <f>K40-T40</f>
        <v>0.26913600000000315</v>
      </c>
      <c r="AD40" s="41">
        <f>+AM40+BA40</f>
        <v>14</v>
      </c>
      <c r="AE40" s="240" t="s">
        <v>580</v>
      </c>
      <c r="AF40" s="41">
        <v>14</v>
      </c>
      <c r="AG40" s="41"/>
      <c r="AH40" s="41"/>
      <c r="AI40" s="458"/>
      <c r="AJ40" s="41"/>
      <c r="AK40" s="41"/>
      <c r="AL40" s="41"/>
      <c r="AM40" s="41">
        <f>SUM(AF40:AL40)+AT40+AV40+AX40</f>
        <v>14</v>
      </c>
      <c r="AN40" s="41"/>
      <c r="AO40" s="41"/>
      <c r="AP40" s="41"/>
      <c r="AQ40" s="41"/>
      <c r="AR40" s="41">
        <f>SUM(AN40:AQ40)</f>
        <v>0</v>
      </c>
      <c r="AS40" s="41"/>
      <c r="AT40" s="41"/>
      <c r="AU40" s="41"/>
      <c r="AV40" s="41"/>
      <c r="AW40" s="41"/>
      <c r="AX40" s="41"/>
      <c r="AY40" s="41"/>
      <c r="AZ40" s="41"/>
      <c r="BA40" s="41">
        <f>+AR40+AS40+AU40+AW40+AY40+AZ40</f>
        <v>0</v>
      </c>
      <c r="BB40" s="37">
        <v>0</v>
      </c>
      <c r="BC40" s="55"/>
      <c r="BD40" s="55"/>
      <c r="BE40" s="37"/>
      <c r="BF40" s="55"/>
    </row>
    <row r="41" spans="1:58" ht="12.95" customHeight="1">
      <c r="A41" s="344"/>
      <c r="B41" s="45"/>
      <c r="C41" s="449"/>
      <c r="D41" s="45"/>
      <c r="E41" s="46"/>
      <c r="F41" s="46"/>
      <c r="G41" s="462"/>
      <c r="H41" s="48"/>
      <c r="I41" s="49"/>
      <c r="J41" s="88"/>
      <c r="K41" s="88"/>
      <c r="L41" s="39"/>
      <c r="M41" s="39"/>
      <c r="N41" s="50"/>
      <c r="O41" s="51"/>
      <c r="P41" s="52"/>
      <c r="Q41" s="51"/>
      <c r="R41" s="419"/>
      <c r="S41" s="419"/>
      <c r="T41" s="41"/>
      <c r="U41" s="41"/>
      <c r="V41" s="41"/>
      <c r="W41" s="41"/>
      <c r="X41" s="42"/>
      <c r="Y41" s="221"/>
      <c r="Z41" s="41"/>
      <c r="AA41" s="41"/>
      <c r="AB41" s="41"/>
      <c r="AC41" s="41"/>
      <c r="AD41" s="41">
        <f>+AM41+BA41</f>
        <v>0</v>
      </c>
      <c r="AE41" s="240" t="s">
        <v>446</v>
      </c>
      <c r="AF41" s="41"/>
      <c r="AG41" s="41">
        <v>0</v>
      </c>
      <c r="AH41" s="41"/>
      <c r="AI41" s="458"/>
      <c r="AJ41" s="41"/>
      <c r="AK41" s="41"/>
      <c r="AL41" s="41"/>
      <c r="AM41" s="41">
        <f>SUM(AF41:AL41)+AT41+AV41+AX41</f>
        <v>0</v>
      </c>
      <c r="AN41" s="89"/>
      <c r="AO41" s="41"/>
      <c r="AP41" s="41"/>
      <c r="AQ41" s="41"/>
      <c r="AR41" s="41">
        <f>SUM(AN41:AQ41)</f>
        <v>0</v>
      </c>
      <c r="AS41" s="41"/>
      <c r="AT41" s="41"/>
      <c r="AU41" s="41"/>
      <c r="AV41" s="41"/>
      <c r="AW41" s="41"/>
      <c r="AX41" s="41"/>
      <c r="AY41" s="41"/>
      <c r="AZ41" s="41"/>
      <c r="BA41" s="41">
        <f>+AR41+AS41+AU41+AW41+AY41+AZ41</f>
        <v>0</v>
      </c>
      <c r="BB41" s="54"/>
      <c r="BC41" s="55">
        <v>1</v>
      </c>
      <c r="BD41" s="55"/>
      <c r="BE41" s="54"/>
      <c r="BF41" s="55"/>
    </row>
    <row r="42" spans="1:58" ht="12.95" customHeight="1">
      <c r="A42" s="44"/>
      <c r="B42" s="45"/>
      <c r="C42" s="449"/>
      <c r="D42" s="45"/>
      <c r="E42" s="46"/>
      <c r="F42" s="46"/>
      <c r="G42" s="462"/>
      <c r="H42" s="48"/>
      <c r="I42" s="49"/>
      <c r="J42" s="88"/>
      <c r="K42" s="88"/>
      <c r="L42" s="39"/>
      <c r="M42" s="39"/>
      <c r="N42" s="50"/>
      <c r="O42" s="51"/>
      <c r="P42" s="52"/>
      <c r="Q42" s="51"/>
      <c r="R42" s="419"/>
      <c r="S42" s="419"/>
      <c r="T42" s="41"/>
      <c r="U42" s="41"/>
      <c r="V42" s="41"/>
      <c r="W42" s="41"/>
      <c r="X42" s="42"/>
      <c r="Y42" s="221"/>
      <c r="Z42" s="41"/>
      <c r="AA42" s="41"/>
      <c r="AB42" s="41"/>
      <c r="AC42" s="41"/>
      <c r="AD42" s="41">
        <f>+AM42+BA42</f>
        <v>35</v>
      </c>
      <c r="AE42" s="240" t="s">
        <v>581</v>
      </c>
      <c r="AF42" s="37"/>
      <c r="AG42" s="37"/>
      <c r="AH42" s="37">
        <v>35</v>
      </c>
      <c r="AI42" s="458"/>
      <c r="AJ42" s="41"/>
      <c r="AK42" s="41"/>
      <c r="AL42" s="41"/>
      <c r="AM42" s="41">
        <f>SUM(AF42:AL42)+AT42+AV42+AX42</f>
        <v>35</v>
      </c>
      <c r="AN42" s="41"/>
      <c r="AO42" s="41"/>
      <c r="AP42" s="41"/>
      <c r="AQ42" s="41"/>
      <c r="AR42" s="41">
        <f>SUM(AN42:AQ42)</f>
        <v>0</v>
      </c>
      <c r="AS42" s="41"/>
      <c r="AT42" s="41"/>
      <c r="AU42" s="41"/>
      <c r="AV42" s="41"/>
      <c r="AW42" s="41"/>
      <c r="AX42" s="41"/>
      <c r="AY42" s="41"/>
      <c r="AZ42" s="41"/>
      <c r="BA42" s="41">
        <f>+AR42+AS42+AU42+AW42+AY42+AZ42</f>
        <v>0</v>
      </c>
      <c r="BB42" s="37"/>
      <c r="BC42" s="57"/>
      <c r="BD42" s="57"/>
      <c r="BE42" s="37"/>
      <c r="BF42" s="57"/>
    </row>
    <row r="43" spans="1:58" ht="12.95" customHeight="1">
      <c r="A43" s="344"/>
      <c r="B43" s="45"/>
      <c r="C43" s="449"/>
      <c r="D43" s="45"/>
      <c r="E43" s="46"/>
      <c r="F43" s="46"/>
      <c r="G43" s="462"/>
      <c r="H43" s="48"/>
      <c r="I43" s="49"/>
      <c r="J43" s="88"/>
      <c r="K43" s="88"/>
      <c r="L43" s="39"/>
      <c r="M43" s="39"/>
      <c r="N43" s="50"/>
      <c r="O43" s="51"/>
      <c r="P43" s="52"/>
      <c r="Q43" s="51"/>
      <c r="R43" s="419"/>
      <c r="S43" s="419"/>
      <c r="T43" s="41"/>
      <c r="U43" s="41"/>
      <c r="V43" s="41"/>
      <c r="W43" s="41"/>
      <c r="X43" s="416"/>
      <c r="Y43" s="221"/>
      <c r="Z43" s="41"/>
      <c r="AA43" s="53"/>
      <c r="AB43" s="53"/>
      <c r="AC43" s="41"/>
      <c r="AD43" s="41"/>
      <c r="AE43" s="240"/>
      <c r="AF43" s="41"/>
      <c r="AG43" s="41"/>
      <c r="AH43" s="41"/>
      <c r="AI43" s="458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37"/>
      <c r="BC43" s="55"/>
      <c r="BD43" s="55"/>
      <c r="BE43" s="55"/>
      <c r="BF43" s="55"/>
    </row>
    <row r="44" spans="1:58" ht="12.95" customHeight="1">
      <c r="A44" s="344">
        <v>45878</v>
      </c>
      <c r="B44" s="45" t="s">
        <v>231</v>
      </c>
      <c r="C44" s="449">
        <f>(M44*E44*O44*Q44)/100000000</f>
        <v>40.567251924000004</v>
      </c>
      <c r="D44" s="45" t="s">
        <v>566</v>
      </c>
      <c r="E44" s="46">
        <v>14</v>
      </c>
      <c r="F44" s="46">
        <v>1</v>
      </c>
      <c r="G44" s="462">
        <v>1270</v>
      </c>
      <c r="H44" s="48">
        <v>0</v>
      </c>
      <c r="I44" s="49">
        <v>0.88</v>
      </c>
      <c r="J44" s="88">
        <f>E44*G44*(1-H44)*1440/1000000*2.77</f>
        <v>70.920864000000009</v>
      </c>
      <c r="K44" s="88">
        <f>(IF(G44&lt;L44,L44,G44)*(1-IF(H44&lt;N44,H44,N44))*E44*O44*Q44)/100000000</f>
        <v>40.709736000000007</v>
      </c>
      <c r="L44" s="39">
        <v>1340</v>
      </c>
      <c r="M44" s="39">
        <v>1335.31</v>
      </c>
      <c r="N44" s="50">
        <f>1-(M44/L44)</f>
        <v>3.5000000000000586E-3</v>
      </c>
      <c r="O44" s="51">
        <f>+'Trim Rwd'!H30</f>
        <v>267.90476190476193</v>
      </c>
      <c r="P44" s="52">
        <f>O44*(Q44-R44-S44)</f>
        <v>204679.23809523811</v>
      </c>
      <c r="Q44" s="51">
        <v>810</v>
      </c>
      <c r="R44" s="419">
        <v>0</v>
      </c>
      <c r="S44" s="419">
        <v>46</v>
      </c>
      <c r="T44" s="41">
        <f>E44*M44*O44*Q44/100000000</f>
        <v>40.567251924000004</v>
      </c>
      <c r="U44" s="41">
        <f>E44*M44*O44*(Q44-R44-S44)/100000000</f>
        <v>38.263432678933334</v>
      </c>
      <c r="V44" s="41">
        <f>E44*G44*(1-N44)*O44/100*(R44+S44)/1000000</f>
        <v>2.1834704785333336</v>
      </c>
      <c r="W44" s="41">
        <f>+'9'!K11/1000</f>
        <v>52.664000000000001</v>
      </c>
      <c r="X44" s="416">
        <f>SUM(W44:W47)/SUM(K44:K47)</f>
        <v>0.98913092366095912</v>
      </c>
      <c r="Y44" s="221">
        <v>0</v>
      </c>
      <c r="Z44" s="41">
        <f>+('9'!D7+'9'!D16)/1000</f>
        <v>0.76200000000000001</v>
      </c>
      <c r="AA44" s="53">
        <f>SUM(U44:U47)-SUM(W44:W47)-SUM(Z44:Z47)-SUM(Y44:Y47)</f>
        <v>-4.1498641210666705</v>
      </c>
      <c r="AB44" s="53">
        <f>(SUM(K44:K47)-SUM(W44:W47)-SUM(Y44:Y47)-SUM(Z44:Z47)-SUM(AC44:AC47)-SUM(V44:V47))-AA44</f>
        <v>0.28084117653332941</v>
      </c>
      <c r="AC44" s="41">
        <f>K44-T44</f>
        <v>0.14248407600000235</v>
      </c>
      <c r="AD44" s="41">
        <f>+AM44+BA44</f>
        <v>0</v>
      </c>
      <c r="AE44" s="240" t="s">
        <v>277</v>
      </c>
      <c r="AF44" s="41">
        <v>0</v>
      </c>
      <c r="AG44" s="41"/>
      <c r="AH44" s="41"/>
      <c r="AI44" s="458"/>
      <c r="AJ44" s="41"/>
      <c r="AK44" s="41"/>
      <c r="AL44" s="41"/>
      <c r="AM44" s="41">
        <f>SUM(AF44:AL44)+AT44+AV44+AX44</f>
        <v>0</v>
      </c>
      <c r="AN44" s="41"/>
      <c r="AO44" s="41"/>
      <c r="AP44" s="41"/>
      <c r="AQ44" s="41"/>
      <c r="AR44" s="41">
        <f>SUM(AN44:AQ44)</f>
        <v>0</v>
      </c>
      <c r="AS44" s="41"/>
      <c r="AT44" s="41"/>
      <c r="AU44" s="41"/>
      <c r="AV44" s="41"/>
      <c r="AW44" s="41"/>
      <c r="AX44" s="41"/>
      <c r="AY44" s="41"/>
      <c r="AZ44" s="41"/>
      <c r="BA44" s="41">
        <f>+AR44+AS44+AU44+AW44+AY44+AZ44</f>
        <v>0</v>
      </c>
      <c r="BB44" s="37">
        <v>0</v>
      </c>
      <c r="BC44" s="55"/>
      <c r="BD44" s="55"/>
      <c r="BE44" s="37"/>
      <c r="BF44" s="55"/>
    </row>
    <row r="45" spans="1:58" ht="12.95" customHeight="1">
      <c r="A45" s="344"/>
      <c r="B45" s="45" t="s">
        <v>231</v>
      </c>
      <c r="C45" s="449">
        <f>(M45*E45*O45*Q45)/100000000</f>
        <v>34.408188359999997</v>
      </c>
      <c r="D45" s="45" t="s">
        <v>566</v>
      </c>
      <c r="E45" s="46">
        <v>17</v>
      </c>
      <c r="F45" s="46">
        <v>1</v>
      </c>
      <c r="G45" s="462">
        <v>1210</v>
      </c>
      <c r="H45" s="48">
        <v>0</v>
      </c>
      <c r="I45" s="49">
        <v>0.88</v>
      </c>
      <c r="J45" s="88">
        <f>E45*G45*(1-H45)*1440/1000000*2.77</f>
        <v>82.049616</v>
      </c>
      <c r="K45" s="88">
        <f>(IF(G45&lt;L45,L45,G45)*(1-IF(H45&lt;N45,H45,N45))*E45*O45*Q45)/100000000</f>
        <v>34.529040000000002</v>
      </c>
      <c r="L45" s="39">
        <v>1240</v>
      </c>
      <c r="M45" s="39">
        <v>1235.6600000000001</v>
      </c>
      <c r="N45" s="50">
        <f>1-(M45/L45)</f>
        <v>3.4999999999999476E-3</v>
      </c>
      <c r="O45" s="51">
        <f>+'Trim Rwd'!H32</f>
        <v>260</v>
      </c>
      <c r="P45" s="52">
        <f>O45*(Q45-R45-S45)</f>
        <v>156000</v>
      </c>
      <c r="Q45" s="51">
        <v>630</v>
      </c>
      <c r="R45" s="419">
        <v>0</v>
      </c>
      <c r="S45" s="419">
        <v>30</v>
      </c>
      <c r="T45" s="41">
        <f>E45*M45*O45*Q45/100000000</f>
        <v>34.408188359999997</v>
      </c>
      <c r="U45" s="41">
        <f>E45*M45*O45*(Q45-R45-S45)/100000000</f>
        <v>32.769703200000002</v>
      </c>
      <c r="V45" s="41">
        <f>E45*G45*(1-N45)*O45/100*(R45+S45)/1000000</f>
        <v>1.59884439</v>
      </c>
      <c r="W45" s="41">
        <f>+'9'!K12/1000</f>
        <v>21.757000000000001</v>
      </c>
      <c r="X45" s="42"/>
      <c r="Y45" s="221"/>
      <c r="Z45" s="41"/>
      <c r="AA45" s="41"/>
      <c r="AB45" s="41"/>
      <c r="AC45" s="41"/>
      <c r="AD45" s="41">
        <f>+AM45+BA45</f>
        <v>2</v>
      </c>
      <c r="AE45" s="240" t="s">
        <v>567</v>
      </c>
      <c r="AF45" s="41"/>
      <c r="AG45" s="41">
        <v>2</v>
      </c>
      <c r="AH45" s="41"/>
      <c r="AI45" s="458"/>
      <c r="AJ45" s="41"/>
      <c r="AK45" s="41"/>
      <c r="AL45" s="41"/>
      <c r="AM45" s="41">
        <f>SUM(AF45:AL45)+AT45+AV45+AX45</f>
        <v>2</v>
      </c>
      <c r="AN45" s="89"/>
      <c r="AO45" s="41"/>
      <c r="AP45" s="41"/>
      <c r="AQ45" s="41"/>
      <c r="AR45" s="41">
        <f>SUM(AN45:AQ45)</f>
        <v>0</v>
      </c>
      <c r="AS45" s="41"/>
      <c r="AT45" s="41"/>
      <c r="AU45" s="41"/>
      <c r="AV45" s="41"/>
      <c r="AW45" s="41"/>
      <c r="AX45" s="41"/>
      <c r="AY45" s="41"/>
      <c r="AZ45" s="41"/>
      <c r="BA45" s="41">
        <f>+AR45+AS45+AU45+AW45+AY45+AZ45</f>
        <v>0</v>
      </c>
      <c r="BB45" s="54"/>
      <c r="BC45" s="55">
        <v>1</v>
      </c>
      <c r="BD45" s="55"/>
      <c r="BE45" s="54"/>
      <c r="BF45" s="55"/>
    </row>
    <row r="46" spans="1:58" ht="12.95" customHeight="1">
      <c r="A46" s="44"/>
      <c r="B46" s="45"/>
      <c r="C46" s="449"/>
      <c r="D46" s="45"/>
      <c r="E46" s="46"/>
      <c r="F46" s="46"/>
      <c r="G46" s="462"/>
      <c r="H46" s="48"/>
      <c r="I46" s="49"/>
      <c r="J46" s="88"/>
      <c r="K46" s="88"/>
      <c r="L46" s="39"/>
      <c r="M46" s="39"/>
      <c r="N46" s="50"/>
      <c r="O46" s="51"/>
      <c r="P46" s="52"/>
      <c r="Q46" s="51"/>
      <c r="R46" s="419"/>
      <c r="S46" s="419"/>
      <c r="T46" s="41"/>
      <c r="U46" s="41"/>
      <c r="V46" s="41"/>
      <c r="W46" s="41"/>
      <c r="X46" s="42"/>
      <c r="Y46" s="221"/>
      <c r="Z46" s="41"/>
      <c r="AA46" s="41"/>
      <c r="AB46" s="41"/>
      <c r="AC46" s="41"/>
      <c r="AD46" s="41">
        <f>+AM46+BA46</f>
        <v>22</v>
      </c>
      <c r="AE46" s="240" t="s">
        <v>581</v>
      </c>
      <c r="AF46" s="37"/>
      <c r="AG46" s="37"/>
      <c r="AH46" s="37">
        <v>22</v>
      </c>
      <c r="AI46" s="458"/>
      <c r="AJ46" s="41"/>
      <c r="AK46" s="41"/>
      <c r="AL46" s="41"/>
      <c r="AM46" s="41">
        <f>SUM(AF46:AL46)+AT46+AV46+AX46</f>
        <v>22</v>
      </c>
      <c r="AN46" s="41"/>
      <c r="AO46" s="41"/>
      <c r="AP46" s="41"/>
      <c r="AQ46" s="41"/>
      <c r="AR46" s="41">
        <f>SUM(AN46:AQ46)</f>
        <v>0</v>
      </c>
      <c r="AS46" s="41"/>
      <c r="AT46" s="41"/>
      <c r="AU46" s="41"/>
      <c r="AV46" s="41"/>
      <c r="AW46" s="41"/>
      <c r="AX46" s="41"/>
      <c r="AY46" s="41"/>
      <c r="AZ46" s="41"/>
      <c r="BA46" s="41">
        <f>+AR46+AS46+AU46+AW46+AY46+AZ46</f>
        <v>0</v>
      </c>
      <c r="BB46" s="37"/>
      <c r="BC46" s="57"/>
      <c r="BD46" s="57"/>
      <c r="BE46" s="37"/>
      <c r="BF46" s="57"/>
    </row>
    <row r="47" spans="1:58" ht="12.95" customHeight="1">
      <c r="A47" s="44"/>
      <c r="B47" s="45"/>
      <c r="C47" s="449"/>
      <c r="D47" s="45"/>
      <c r="E47" s="46"/>
      <c r="F47" s="46"/>
      <c r="G47" s="462"/>
      <c r="H47" s="48"/>
      <c r="I47" s="49"/>
      <c r="J47" s="88"/>
      <c r="K47" s="88"/>
      <c r="L47" s="39"/>
      <c r="M47" s="39"/>
      <c r="N47" s="50"/>
      <c r="O47" s="51"/>
      <c r="P47" s="52"/>
      <c r="Q47" s="51"/>
      <c r="R47" s="419"/>
      <c r="S47" s="419"/>
      <c r="T47" s="41"/>
      <c r="U47" s="41"/>
      <c r="V47" s="41"/>
      <c r="W47" s="41"/>
      <c r="X47" s="42"/>
      <c r="Y47" s="221"/>
      <c r="Z47" s="41"/>
      <c r="AA47" s="41"/>
      <c r="AB47" s="41"/>
      <c r="AC47" s="41"/>
      <c r="AD47" s="41">
        <f>+AM47+BA47</f>
        <v>52</v>
      </c>
      <c r="AE47" s="243" t="s">
        <v>561</v>
      </c>
      <c r="AF47" s="37"/>
      <c r="AG47" s="37"/>
      <c r="AH47" s="37"/>
      <c r="AI47" s="458"/>
      <c r="AJ47" s="41"/>
      <c r="AK47" s="41">
        <v>52</v>
      </c>
      <c r="AL47" s="41"/>
      <c r="AM47" s="41">
        <f>SUM(AF47:AL47)+AT47+AV47+AX47</f>
        <v>52</v>
      </c>
      <c r="AN47" s="41"/>
      <c r="AO47" s="41"/>
      <c r="AP47" s="41"/>
      <c r="AQ47" s="41"/>
      <c r="AR47" s="41">
        <f>SUM(AN47:AQ47)</f>
        <v>0</v>
      </c>
      <c r="AS47" s="41"/>
      <c r="AT47" s="41"/>
      <c r="AU47" s="41"/>
      <c r="AV47" s="41"/>
      <c r="AW47" s="41"/>
      <c r="AX47" s="41"/>
      <c r="AY47" s="41"/>
      <c r="AZ47" s="41"/>
      <c r="BA47" s="41">
        <f>+AR47+AS47+AU47+AW47+AY47+AZ47</f>
        <v>0</v>
      </c>
      <c r="BB47" s="37"/>
      <c r="BC47" s="57"/>
      <c r="BD47" s="57"/>
      <c r="BE47" s="37"/>
      <c r="BF47" s="57"/>
    </row>
    <row r="48" spans="1:58" ht="12.95" customHeight="1">
      <c r="A48" s="344"/>
      <c r="B48" s="45"/>
      <c r="C48" s="449"/>
      <c r="D48" s="45"/>
      <c r="E48" s="46"/>
      <c r="F48" s="46"/>
      <c r="G48" s="462"/>
      <c r="H48" s="48"/>
      <c r="I48" s="49"/>
      <c r="J48" s="88"/>
      <c r="K48" s="88"/>
      <c r="L48" s="39"/>
      <c r="M48" s="39"/>
      <c r="N48" s="50"/>
      <c r="O48" s="51"/>
      <c r="P48" s="52"/>
      <c r="Q48" s="51"/>
      <c r="R48" s="419"/>
      <c r="S48" s="419"/>
      <c r="T48" s="41"/>
      <c r="U48" s="41"/>
      <c r="V48" s="41"/>
      <c r="W48" s="41"/>
      <c r="X48" s="416"/>
      <c r="Y48" s="221"/>
      <c r="Z48" s="41"/>
      <c r="AA48" s="53"/>
      <c r="AB48" s="53"/>
      <c r="AC48" s="41"/>
      <c r="AD48" s="41"/>
      <c r="AE48" s="240"/>
      <c r="AF48" s="41"/>
      <c r="AG48" s="41"/>
      <c r="AH48" s="41"/>
      <c r="AI48" s="458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37"/>
      <c r="BC48" s="55"/>
      <c r="BD48" s="55"/>
      <c r="BE48" s="55"/>
      <c r="BF48" s="55"/>
    </row>
    <row r="49" spans="1:58" ht="12.95" customHeight="1">
      <c r="A49" s="344">
        <v>45878</v>
      </c>
      <c r="B49" s="45" t="s">
        <v>231</v>
      </c>
      <c r="C49" s="449">
        <f>(M49*E49*O49*Q49)/100000000</f>
        <v>79.915792319999994</v>
      </c>
      <c r="D49" s="45" t="s">
        <v>566</v>
      </c>
      <c r="E49" s="46">
        <v>17</v>
      </c>
      <c r="F49" s="46">
        <v>1</v>
      </c>
      <c r="G49" s="462">
        <v>1210</v>
      </c>
      <c r="H49" s="48">
        <v>0</v>
      </c>
      <c r="I49" s="49">
        <v>0.88</v>
      </c>
      <c r="J49" s="88">
        <f>E49*G49*(1-H49)*1440/1000000*2.77</f>
        <v>82.049616</v>
      </c>
      <c r="K49" s="88">
        <f>(IF(G49&lt;L49,L49,G49)*(1-IF(H49&lt;N49,H49,N49))*E49*O49*Q49)/100000000</f>
        <v>80.196479999999994</v>
      </c>
      <c r="L49" s="39">
        <v>1260</v>
      </c>
      <c r="M49" s="39">
        <v>1255.5899999999999</v>
      </c>
      <c r="N49" s="50">
        <f>1-(M49/L49)</f>
        <v>3.5000000000000586E-3</v>
      </c>
      <c r="O49" s="51">
        <f>+'Trim Rwd'!H34</f>
        <v>260</v>
      </c>
      <c r="P49" s="52">
        <f>O49*(Q49-R49-S49)</f>
        <v>358280</v>
      </c>
      <c r="Q49" s="51">
        <v>1440</v>
      </c>
      <c r="R49" s="419">
        <v>0</v>
      </c>
      <c r="S49" s="419">
        <v>62</v>
      </c>
      <c r="T49" s="41">
        <f>E49*M49*O49*Q49/100000000</f>
        <v>79.915792319999994</v>
      </c>
      <c r="U49" s="41">
        <f>E49*M49*O49*(Q49-R49-S49)/100000000</f>
        <v>76.474973484000003</v>
      </c>
      <c r="V49" s="41">
        <f>E49*G49*(1-N49)*O49/100*(R49+S49)/1000000</f>
        <v>3.304278405999999</v>
      </c>
      <c r="W49" s="41">
        <f>+'10'!K12/1000</f>
        <v>81.748999999999995</v>
      </c>
      <c r="X49" s="416">
        <f>SUM(W49:W52)/SUM(K49:K52)</f>
        <v>1.019358954407974</v>
      </c>
      <c r="Y49" s="221">
        <v>0</v>
      </c>
      <c r="Z49" s="41">
        <f>+'10'!D34/1000</f>
        <v>0.86699999999999999</v>
      </c>
      <c r="AA49" s="53">
        <f>SUM(U49:U52)-SUM(W49:W52)-SUM(Z49:Z52)-SUM(Y49:Y52)</f>
        <v>-6.1410265159999922</v>
      </c>
      <c r="AB49" s="53">
        <f>(SUM(K49:K52)-SUM(W49:W52)-SUM(Y49:Y52)-SUM(Z49:Z52)-SUM(AC49:AC52)-SUM(V49:V52))-AA49</f>
        <v>0.13654042999999216</v>
      </c>
      <c r="AC49" s="41">
        <f>K49-T49</f>
        <v>0.28068767999999977</v>
      </c>
      <c r="AD49" s="41">
        <f>+AM49+BA49</f>
        <v>18</v>
      </c>
      <c r="AE49" s="240" t="s">
        <v>494</v>
      </c>
      <c r="AF49" s="41">
        <v>18</v>
      </c>
      <c r="AG49" s="41"/>
      <c r="AH49" s="41"/>
      <c r="AI49" s="458"/>
      <c r="AJ49" s="41"/>
      <c r="AK49" s="41"/>
      <c r="AL49" s="41"/>
      <c r="AM49" s="41">
        <f>SUM(AF49:AL49)+AT49+AV49+AX49</f>
        <v>18</v>
      </c>
      <c r="AN49" s="41"/>
      <c r="AO49" s="41"/>
      <c r="AP49" s="41"/>
      <c r="AQ49" s="41"/>
      <c r="AR49" s="41">
        <f>SUM(AN49:AQ49)</f>
        <v>0</v>
      </c>
      <c r="AS49" s="41"/>
      <c r="AT49" s="41"/>
      <c r="AU49" s="41"/>
      <c r="AV49" s="41"/>
      <c r="AW49" s="41"/>
      <c r="AX49" s="41"/>
      <c r="AY49" s="41"/>
      <c r="AZ49" s="41"/>
      <c r="BA49" s="41">
        <f>+AR49+AS49+AU49+AW49+AY49+AZ49</f>
        <v>0</v>
      </c>
      <c r="BB49" s="37">
        <v>0</v>
      </c>
      <c r="BC49" s="55"/>
      <c r="BD49" s="55"/>
      <c r="BE49" s="37"/>
      <c r="BF49" s="55"/>
    </row>
    <row r="50" spans="1:58" ht="12.95" customHeight="1">
      <c r="A50" s="344"/>
      <c r="B50" s="45"/>
      <c r="C50" s="449"/>
      <c r="D50" s="45"/>
      <c r="E50" s="46"/>
      <c r="F50" s="46"/>
      <c r="G50" s="462"/>
      <c r="H50" s="48"/>
      <c r="I50" s="49"/>
      <c r="J50" s="88"/>
      <c r="K50" s="88"/>
      <c r="L50" s="39"/>
      <c r="M50" s="39"/>
      <c r="N50" s="50"/>
      <c r="O50" s="51"/>
      <c r="P50" s="52"/>
      <c r="Q50" s="51"/>
      <c r="R50" s="419"/>
      <c r="S50" s="419"/>
      <c r="T50" s="41"/>
      <c r="U50" s="41"/>
      <c r="V50" s="41"/>
      <c r="W50" s="41"/>
      <c r="X50" s="42"/>
      <c r="Y50" s="221"/>
      <c r="Z50" s="41"/>
      <c r="AA50" s="41"/>
      <c r="AB50" s="41"/>
      <c r="AC50" s="41"/>
      <c r="AD50" s="41">
        <f>+AM50+BA50</f>
        <v>0</v>
      </c>
      <c r="AE50" s="240" t="s">
        <v>446</v>
      </c>
      <c r="AF50" s="41"/>
      <c r="AG50" s="41">
        <v>0</v>
      </c>
      <c r="AH50" s="41"/>
      <c r="AI50" s="458"/>
      <c r="AJ50" s="41"/>
      <c r="AK50" s="41"/>
      <c r="AL50" s="41"/>
      <c r="AM50" s="41">
        <f>SUM(AF50:AL50)+AT50+AV50+AX50</f>
        <v>0</v>
      </c>
      <c r="AN50" s="89"/>
      <c r="AO50" s="41"/>
      <c r="AP50" s="41"/>
      <c r="AQ50" s="41"/>
      <c r="AR50" s="41">
        <f>SUM(AN50:AQ50)</f>
        <v>0</v>
      </c>
      <c r="AS50" s="41"/>
      <c r="AT50" s="41"/>
      <c r="AU50" s="41"/>
      <c r="AV50" s="41"/>
      <c r="AW50" s="41"/>
      <c r="AX50" s="41"/>
      <c r="AY50" s="41"/>
      <c r="AZ50" s="41"/>
      <c r="BA50" s="41">
        <f>+AR50+AS50+AU50+AW50+AY50+AZ50</f>
        <v>0</v>
      </c>
      <c r="BB50" s="54"/>
      <c r="BC50" s="55">
        <v>1</v>
      </c>
      <c r="BD50" s="55"/>
      <c r="BE50" s="54"/>
      <c r="BF50" s="55"/>
    </row>
    <row r="51" spans="1:58" ht="12.95" customHeight="1">
      <c r="A51" s="44"/>
      <c r="B51" s="45"/>
      <c r="C51" s="449"/>
      <c r="D51" s="45"/>
      <c r="E51" s="46"/>
      <c r="F51" s="46"/>
      <c r="G51" s="462"/>
      <c r="H51" s="48"/>
      <c r="I51" s="49"/>
      <c r="J51" s="88"/>
      <c r="K51" s="88"/>
      <c r="L51" s="39"/>
      <c r="M51" s="39"/>
      <c r="N51" s="50"/>
      <c r="O51" s="51"/>
      <c r="P51" s="52"/>
      <c r="Q51" s="51"/>
      <c r="R51" s="419"/>
      <c r="S51" s="419"/>
      <c r="T51" s="41"/>
      <c r="U51" s="41"/>
      <c r="V51" s="41"/>
      <c r="W51" s="41"/>
      <c r="X51" s="42"/>
      <c r="Y51" s="221"/>
      <c r="Z51" s="41"/>
      <c r="AA51" s="41"/>
      <c r="AB51" s="41"/>
      <c r="AC51" s="41"/>
      <c r="AD51" s="41">
        <f>+AM51+BA51</f>
        <v>26</v>
      </c>
      <c r="AE51" s="240" t="s">
        <v>596</v>
      </c>
      <c r="AF51" s="37"/>
      <c r="AG51" s="37"/>
      <c r="AH51" s="37">
        <v>26</v>
      </c>
      <c r="AI51" s="458"/>
      <c r="AJ51" s="41"/>
      <c r="AK51" s="41"/>
      <c r="AL51" s="41"/>
      <c r="AM51" s="41">
        <f>SUM(AF51:AL51)+AT51+AV51+AX51</f>
        <v>26</v>
      </c>
      <c r="AN51" s="41"/>
      <c r="AO51" s="41"/>
      <c r="AP51" s="41"/>
      <c r="AQ51" s="41"/>
      <c r="AR51" s="41">
        <f>SUM(AN51:AQ51)</f>
        <v>0</v>
      </c>
      <c r="AS51" s="41"/>
      <c r="AT51" s="41"/>
      <c r="AU51" s="41"/>
      <c r="AV51" s="41"/>
      <c r="AW51" s="41"/>
      <c r="AX51" s="41"/>
      <c r="AY51" s="41"/>
      <c r="AZ51" s="41"/>
      <c r="BA51" s="41">
        <f>+AR51+AS51+AU51+AW51+AY51+AZ51</f>
        <v>0</v>
      </c>
      <c r="BB51" s="37"/>
      <c r="BC51" s="57"/>
      <c r="BD51" s="57"/>
      <c r="BE51" s="37"/>
      <c r="BF51" s="57"/>
    </row>
    <row r="52" spans="1:58" ht="12.95" customHeight="1">
      <c r="A52" s="44"/>
      <c r="B52" s="45"/>
      <c r="C52" s="449"/>
      <c r="D52" s="45"/>
      <c r="E52" s="46"/>
      <c r="F52" s="46"/>
      <c r="G52" s="462"/>
      <c r="H52" s="48"/>
      <c r="I52" s="49"/>
      <c r="J52" s="88"/>
      <c r="K52" s="88"/>
      <c r="L52" s="39"/>
      <c r="M52" s="39"/>
      <c r="N52" s="50"/>
      <c r="O52" s="51"/>
      <c r="P52" s="52"/>
      <c r="Q52" s="51"/>
      <c r="R52" s="419"/>
      <c r="S52" s="419"/>
      <c r="T52" s="41"/>
      <c r="U52" s="41"/>
      <c r="V52" s="41"/>
      <c r="W52" s="41"/>
      <c r="X52" s="42"/>
      <c r="Y52" s="221"/>
      <c r="Z52" s="41"/>
      <c r="AA52" s="41"/>
      <c r="AB52" s="41"/>
      <c r="AC52" s="41"/>
      <c r="AD52" s="41">
        <f>+AM52+BA52</f>
        <v>18</v>
      </c>
      <c r="AE52" s="243" t="s">
        <v>561</v>
      </c>
      <c r="AF52" s="37"/>
      <c r="AG52" s="37"/>
      <c r="AH52" s="37"/>
      <c r="AI52" s="458"/>
      <c r="AJ52" s="41"/>
      <c r="AK52" s="41">
        <v>18</v>
      </c>
      <c r="AL52" s="41"/>
      <c r="AM52" s="41">
        <f>SUM(AF52:AL52)+AT52+AV52+AX52</f>
        <v>18</v>
      </c>
      <c r="AN52" s="41"/>
      <c r="AO52" s="41"/>
      <c r="AP52" s="41"/>
      <c r="AQ52" s="41"/>
      <c r="AR52" s="41">
        <f>SUM(AN52:AQ52)</f>
        <v>0</v>
      </c>
      <c r="AS52" s="41"/>
      <c r="AT52" s="41"/>
      <c r="AU52" s="41"/>
      <c r="AV52" s="41"/>
      <c r="AW52" s="41"/>
      <c r="AX52" s="41"/>
      <c r="AY52" s="41"/>
      <c r="AZ52" s="41"/>
      <c r="BA52" s="41">
        <f>+AR52+AS52+AU52+AW52+AY52+AZ52</f>
        <v>0</v>
      </c>
      <c r="BB52" s="37"/>
      <c r="BC52" s="57"/>
      <c r="BD52" s="57"/>
      <c r="BE52" s="37"/>
      <c r="BF52" s="57"/>
    </row>
    <row r="53" spans="1:58" ht="12.95" customHeight="1">
      <c r="A53" s="344"/>
      <c r="B53" s="45"/>
      <c r="C53" s="449"/>
      <c r="D53" s="45"/>
      <c r="E53" s="46"/>
      <c r="F53" s="46"/>
      <c r="G53" s="462"/>
      <c r="H53" s="48"/>
      <c r="I53" s="49"/>
      <c r="J53" s="88"/>
      <c r="K53" s="88"/>
      <c r="L53" s="39"/>
      <c r="M53" s="39"/>
      <c r="N53" s="50"/>
      <c r="O53" s="51"/>
      <c r="P53" s="52"/>
      <c r="Q53" s="51"/>
      <c r="R53" s="419"/>
      <c r="S53" s="419"/>
      <c r="T53" s="41"/>
      <c r="U53" s="41"/>
      <c r="V53" s="41"/>
      <c r="W53" s="41"/>
      <c r="X53" s="416"/>
      <c r="Y53" s="221"/>
      <c r="Z53" s="41"/>
      <c r="AA53" s="53"/>
      <c r="AB53" s="53"/>
      <c r="AC53" s="41"/>
      <c r="AD53" s="41"/>
      <c r="AE53" s="240"/>
      <c r="AF53" s="41"/>
      <c r="AG53" s="41"/>
      <c r="AH53" s="41"/>
      <c r="AI53" s="458"/>
      <c r="AJ53" s="41"/>
      <c r="AK53" s="41"/>
      <c r="AL53" s="41"/>
      <c r="AM53" s="41"/>
      <c r="AN53" s="89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54"/>
      <c r="BC53" s="55"/>
      <c r="BD53" s="55"/>
      <c r="BE53" s="55"/>
      <c r="BF53" s="55"/>
    </row>
    <row r="54" spans="1:58" ht="12.95" customHeight="1">
      <c r="A54" s="344">
        <v>45880</v>
      </c>
      <c r="B54" s="45" t="s">
        <v>231</v>
      </c>
      <c r="C54" s="449">
        <f>(M54*E54*O54*Q54)/100000000</f>
        <v>15.613134159323074</v>
      </c>
      <c r="D54" s="45" t="s">
        <v>616</v>
      </c>
      <c r="E54" s="46">
        <v>17</v>
      </c>
      <c r="F54" s="46">
        <v>1</v>
      </c>
      <c r="G54" s="462">
        <v>1210</v>
      </c>
      <c r="H54" s="48">
        <v>0</v>
      </c>
      <c r="I54" s="49">
        <v>0.88</v>
      </c>
      <c r="J54" s="88">
        <f>E54*G54*(1-H54)*1440/1000000*2.77</f>
        <v>82.049616</v>
      </c>
      <c r="K54" s="88">
        <f>(IF(G54&lt;L54,L54,G54)*(1-IF(H54&lt;N54,H54,N54))*E54*O54*Q54)/100000000</f>
        <v>15.667972061538462</v>
      </c>
      <c r="L54" s="39">
        <v>1260</v>
      </c>
      <c r="M54" s="39">
        <v>1255.5899999999999</v>
      </c>
      <c r="N54" s="50">
        <f>1-(M54/L54)</f>
        <v>3.5000000000000586E-3</v>
      </c>
      <c r="O54" s="51">
        <f>+'Trim Rwd'!H36</f>
        <v>260.30769230769232</v>
      </c>
      <c r="P54" s="52">
        <f>O54*(Q54-R54-S54)</f>
        <v>69502.153846153844</v>
      </c>
      <c r="Q54" s="51">
        <v>281</v>
      </c>
      <c r="R54" s="419">
        <v>0</v>
      </c>
      <c r="S54" s="419">
        <v>14</v>
      </c>
      <c r="T54" s="41">
        <f>E54*M54*O54*Q54/100000000</f>
        <v>15.613134159323074</v>
      </c>
      <c r="U54" s="41">
        <f>E54*M54*O54*(Q54-R54-S54)/100000000</f>
        <v>14.835255589107692</v>
      </c>
      <c r="V54" s="41">
        <f>E54*G54*(1-N54)*O54/100*(R54+S54)/1000000</f>
        <v>0.74701037298461526</v>
      </c>
      <c r="W54" s="41">
        <f>+('11'!K12+'11'!K9)/1000</f>
        <v>12.068</v>
      </c>
      <c r="X54" s="416">
        <f>SUM(W54:W57)/SUM(K54:K57)</f>
        <v>0.72974618419024206</v>
      </c>
      <c r="Y54" s="221">
        <v>0</v>
      </c>
      <c r="Z54" s="41">
        <v>0</v>
      </c>
      <c r="AA54" s="53">
        <f>SUM(U54:U57)-SUM(W54:W57)-SUM(Z54:Z57)-SUM(Y54:Y57)</f>
        <v>14.58928789989217</v>
      </c>
      <c r="AB54" s="53">
        <f>(SUM(K54:K57)-SUM(W54:W57)-SUM(Y54:Y57)-SUM(Z54:Z57)-SUM(AC54:AC57)-SUM(V54:V57))-AA54</f>
        <v>0.16333642139025351</v>
      </c>
      <c r="AC54" s="41">
        <f>K54-T54</f>
        <v>5.4837902215387757E-2</v>
      </c>
      <c r="AD54" s="41">
        <f>+AM54+BA54</f>
        <v>14</v>
      </c>
      <c r="AE54" s="240" t="s">
        <v>492</v>
      </c>
      <c r="AF54" s="41">
        <v>14</v>
      </c>
      <c r="AG54" s="41"/>
      <c r="AH54" s="41"/>
      <c r="AI54" s="458"/>
      <c r="AJ54" s="41"/>
      <c r="AK54" s="41"/>
      <c r="AL54" s="41"/>
      <c r="AM54" s="41">
        <f>SUM(AF54:AL54)+AT54+AV54+AX54</f>
        <v>14</v>
      </c>
      <c r="AN54" s="41"/>
      <c r="AO54" s="41"/>
      <c r="AP54" s="41"/>
      <c r="AQ54" s="41"/>
      <c r="AR54" s="41">
        <f>SUM(AN54:AQ54)</f>
        <v>0</v>
      </c>
      <c r="AS54" s="41"/>
      <c r="AT54" s="41"/>
      <c r="AU54" s="41"/>
      <c r="AV54" s="41"/>
      <c r="AW54" s="41"/>
      <c r="AX54" s="41"/>
      <c r="AY54" s="41"/>
      <c r="AZ54" s="41"/>
      <c r="BA54" s="41">
        <f>+AR54+AS54+AU54+AW54+AY54+AZ54</f>
        <v>0</v>
      </c>
      <c r="BB54" s="37">
        <v>3</v>
      </c>
      <c r="BC54" s="55"/>
      <c r="BD54" s="55"/>
      <c r="BE54" s="37"/>
      <c r="BF54" s="55"/>
    </row>
    <row r="55" spans="1:58" ht="12.95" customHeight="1">
      <c r="A55" s="344"/>
      <c r="B55" s="45" t="s">
        <v>231</v>
      </c>
      <c r="C55" s="449">
        <f>(M55*E55*O55*Q55)/100000000</f>
        <v>40.781180942600002</v>
      </c>
      <c r="D55" s="45" t="s">
        <v>407</v>
      </c>
      <c r="E55" s="46">
        <v>21</v>
      </c>
      <c r="F55" s="46">
        <v>1</v>
      </c>
      <c r="G55" s="462">
        <v>990</v>
      </c>
      <c r="H55" s="48">
        <v>0</v>
      </c>
      <c r="I55" s="49">
        <v>0.88</v>
      </c>
      <c r="J55" s="88">
        <f>E55*G55*(1-H55)*1440/1000000*2.77</f>
        <v>82.927152000000007</v>
      </c>
      <c r="K55" s="88">
        <f>(IF(G55&lt;L55,L55,G55)*(1-IF(H55&lt;N55,H55,N55))*E55*O55*Q55)/100000000</f>
        <v>40.924416399999998</v>
      </c>
      <c r="L55" s="39">
        <v>1060</v>
      </c>
      <c r="M55" s="39">
        <v>1056.29</v>
      </c>
      <c r="N55" s="50">
        <f>1-(M55/L55)</f>
        <v>3.5000000000000586E-3</v>
      </c>
      <c r="O55" s="51">
        <f>+'Trim Rwd'!H38</f>
        <v>270.76190476190476</v>
      </c>
      <c r="P55" s="52">
        <f>O55*(Q55-R55-S55)</f>
        <v>176536.76190476189</v>
      </c>
      <c r="Q55" s="51">
        <v>679</v>
      </c>
      <c r="R55" s="419">
        <v>0</v>
      </c>
      <c r="S55" s="419">
        <v>27</v>
      </c>
      <c r="T55" s="41">
        <f>E55*M55*O55*Q55/100000000</f>
        <v>40.781180942600002</v>
      </c>
      <c r="U55" s="41">
        <f>E55*M55*O55*(Q55-R55-S55)/100000000</f>
        <v>39.159543408799998</v>
      </c>
      <c r="V55" s="41">
        <f>E55*G55*(1-N55)*O55/100*(R55+S55)/1000000</f>
        <v>1.5145482626999998</v>
      </c>
      <c r="W55" s="41">
        <f>+'11'!K13/1000</f>
        <v>25.294</v>
      </c>
      <c r="X55" s="42"/>
      <c r="Y55" s="221"/>
      <c r="Z55" s="41">
        <f>+'11'!D16/1000</f>
        <v>4.09</v>
      </c>
      <c r="AA55" s="41"/>
      <c r="AB55" s="41"/>
      <c r="AC55" s="41">
        <f>K55-T55</f>
        <v>0.14323545739999588</v>
      </c>
      <c r="AD55" s="41">
        <f>+AM55+BA55</f>
        <v>0</v>
      </c>
      <c r="AE55" s="240" t="s">
        <v>446</v>
      </c>
      <c r="AF55" s="41"/>
      <c r="AG55" s="41">
        <v>0</v>
      </c>
      <c r="AH55" s="41"/>
      <c r="AI55" s="458"/>
      <c r="AJ55" s="41"/>
      <c r="AK55" s="41"/>
      <c r="AL55" s="41"/>
      <c r="AM55" s="41">
        <f>SUM(AF55:AL55)+AT55+AV55+AX55</f>
        <v>0</v>
      </c>
      <c r="AN55" s="89"/>
      <c r="AO55" s="41"/>
      <c r="AP55" s="41"/>
      <c r="AQ55" s="41"/>
      <c r="AR55" s="41">
        <f>SUM(AN55:AQ55)</f>
        <v>0</v>
      </c>
      <c r="AS55" s="41"/>
      <c r="AT55" s="41"/>
      <c r="AU55" s="41"/>
      <c r="AV55" s="41"/>
      <c r="AW55" s="41"/>
      <c r="AX55" s="41"/>
      <c r="AY55" s="41"/>
      <c r="AZ55" s="41"/>
      <c r="BA55" s="41">
        <f>+AR55+AS55+AU55+AW55+AY55+AZ55</f>
        <v>0</v>
      </c>
      <c r="BB55" s="54"/>
      <c r="BC55" s="55">
        <v>0</v>
      </c>
      <c r="BD55" s="55"/>
      <c r="BE55" s="54"/>
      <c r="BF55" s="55"/>
    </row>
    <row r="56" spans="1:58" ht="12.95" customHeight="1">
      <c r="A56" s="44"/>
      <c r="B56" s="45" t="s">
        <v>231</v>
      </c>
      <c r="C56" s="449">
        <f>(M56*E56*O56*Q56)/100000000</f>
        <v>26.92840493048276</v>
      </c>
      <c r="D56" s="45" t="s">
        <v>407</v>
      </c>
      <c r="E56" s="46">
        <v>16.5</v>
      </c>
      <c r="F56" s="46">
        <v>1</v>
      </c>
      <c r="G56" s="462">
        <v>1230</v>
      </c>
      <c r="H56" s="48">
        <v>0</v>
      </c>
      <c r="I56" s="49">
        <v>0.88</v>
      </c>
      <c r="J56" s="88">
        <f>E56*G56*(1-H56)*1440/1000000*2.77</f>
        <v>80.952695999999989</v>
      </c>
      <c r="K56" s="88">
        <f>(IF(G56&lt;L56,L56,G56)*(1-IF(H56&lt;N56,H56,N56))*E56*O56*Q56)/100000000</f>
        <v>27.022985379310345</v>
      </c>
      <c r="L56" s="39">
        <v>1260</v>
      </c>
      <c r="M56" s="39">
        <v>1255.5899999999999</v>
      </c>
      <c r="N56" s="50">
        <f>1-(M56/L56)</f>
        <v>3.5000000000000586E-3</v>
      </c>
      <c r="O56" s="51">
        <f>+'Trim Rwd'!H40</f>
        <v>270.79310344827587</v>
      </c>
      <c r="P56" s="52">
        <f>O56*(Q56-R56-S56)</f>
        <v>124835.62068965517</v>
      </c>
      <c r="Q56" s="51">
        <v>480</v>
      </c>
      <c r="R56" s="419">
        <v>0</v>
      </c>
      <c r="S56" s="419">
        <f>5+14</f>
        <v>19</v>
      </c>
      <c r="T56" s="41">
        <f>E56*M56*O56*Q56/100000000</f>
        <v>26.92840493048276</v>
      </c>
      <c r="U56" s="41">
        <f>E56*M56*O56*(Q56-R56-S56)/100000000</f>
        <v>25.862488901984481</v>
      </c>
      <c r="V56" s="41">
        <f>E56*G56*(1-N56)*O56/100*(R56+S56)/1000000</f>
        <v>1.040537075438793</v>
      </c>
      <c r="W56" s="41">
        <f>+'11'!K10/1000</f>
        <v>23.655999999999999</v>
      </c>
      <c r="X56" s="42"/>
      <c r="Y56" s="221"/>
      <c r="Z56" s="41">
        <f>+'11'!D25/1000</f>
        <v>0.16</v>
      </c>
      <c r="AA56" s="41"/>
      <c r="AB56" s="41"/>
      <c r="AC56" s="41">
        <f>K56-T56</f>
        <v>9.4580448827585428E-2</v>
      </c>
      <c r="AD56" s="41">
        <f>+AM56+BA56</f>
        <v>27</v>
      </c>
      <c r="AE56" s="240" t="s">
        <v>617</v>
      </c>
      <c r="AF56" s="37"/>
      <c r="AG56" s="37"/>
      <c r="AH56" s="37">
        <v>27</v>
      </c>
      <c r="AI56" s="458"/>
      <c r="AJ56" s="41"/>
      <c r="AK56" s="41"/>
      <c r="AL56" s="41"/>
      <c r="AM56" s="41">
        <f>SUM(AF56:AL56)+AT56+AV56+AX56</f>
        <v>27</v>
      </c>
      <c r="AN56" s="41"/>
      <c r="AO56" s="41"/>
      <c r="AP56" s="41"/>
      <c r="AQ56" s="41"/>
      <c r="AR56" s="41">
        <f>SUM(AN56:AQ56)</f>
        <v>0</v>
      </c>
      <c r="AS56" s="41"/>
      <c r="AT56" s="41"/>
      <c r="AU56" s="41"/>
      <c r="AV56" s="41"/>
      <c r="AW56" s="41"/>
      <c r="AX56" s="41"/>
      <c r="AY56" s="41"/>
      <c r="AZ56" s="41"/>
      <c r="BA56" s="41">
        <f>+AR56+AS56+AU56+AW56+AY56+AZ56</f>
        <v>0</v>
      </c>
      <c r="BB56" s="37"/>
      <c r="BC56" s="57"/>
      <c r="BD56" s="57"/>
      <c r="BE56" s="37"/>
      <c r="BF56" s="57"/>
    </row>
    <row r="57" spans="1:58" ht="12.95" customHeight="1">
      <c r="A57" s="44"/>
      <c r="B57" s="45"/>
      <c r="C57" s="449"/>
      <c r="D57" s="45"/>
      <c r="E57" s="46"/>
      <c r="F57" s="46"/>
      <c r="G57" s="462"/>
      <c r="H57" s="48"/>
      <c r="I57" s="49"/>
      <c r="J57" s="88"/>
      <c r="K57" s="88"/>
      <c r="L57" s="39"/>
      <c r="M57" s="39"/>
      <c r="N57" s="50"/>
      <c r="O57" s="51"/>
      <c r="P57" s="52"/>
      <c r="Q57" s="51"/>
      <c r="R57" s="419"/>
      <c r="S57" s="419"/>
      <c r="T57" s="41"/>
      <c r="U57" s="41"/>
      <c r="V57" s="41"/>
      <c r="W57" s="41"/>
      <c r="X57" s="42"/>
      <c r="Y57" s="221"/>
      <c r="Z57" s="41"/>
      <c r="AA57" s="41"/>
      <c r="AB57" s="41"/>
      <c r="AC57" s="41"/>
      <c r="AD57" s="41">
        <f>+AM57+BA57</f>
        <v>5</v>
      </c>
      <c r="AE57" s="243" t="s">
        <v>541</v>
      </c>
      <c r="AF57" s="37"/>
      <c r="AG57" s="37"/>
      <c r="AH57" s="37"/>
      <c r="AI57" s="458">
        <v>5</v>
      </c>
      <c r="AJ57" s="41"/>
      <c r="AK57" s="41"/>
      <c r="AL57" s="41"/>
      <c r="AM57" s="41">
        <f>SUM(AF57:AL57)+AT57+AV57+AX57</f>
        <v>5</v>
      </c>
      <c r="AN57" s="41"/>
      <c r="AO57" s="41"/>
      <c r="AP57" s="41"/>
      <c r="AQ57" s="41"/>
      <c r="AR57" s="41">
        <f>SUM(AN57:AQ57)</f>
        <v>0</v>
      </c>
      <c r="AS57" s="41"/>
      <c r="AT57" s="41"/>
      <c r="AU57" s="41"/>
      <c r="AV57" s="41"/>
      <c r="AW57" s="41"/>
      <c r="AX57" s="41"/>
      <c r="AY57" s="41"/>
      <c r="AZ57" s="41"/>
      <c r="BA57" s="41">
        <f>+AR57+AS57+AU57+AW57+AY57+AZ57</f>
        <v>0</v>
      </c>
      <c r="BB57" s="37"/>
      <c r="BC57" s="57"/>
      <c r="BD57" s="57"/>
      <c r="BE57" s="37"/>
      <c r="BF57" s="57"/>
    </row>
    <row r="58" spans="1:58" ht="12.95" customHeight="1">
      <c r="A58" s="44"/>
      <c r="B58" s="45"/>
      <c r="C58" s="449"/>
      <c r="D58" s="45"/>
      <c r="E58" s="46"/>
      <c r="F58" s="46"/>
      <c r="G58" s="47"/>
      <c r="H58" s="48"/>
      <c r="I58" s="49"/>
      <c r="J58" s="88"/>
      <c r="K58" s="88"/>
      <c r="L58" s="39"/>
      <c r="M58" s="39"/>
      <c r="N58" s="50"/>
      <c r="O58" s="51"/>
      <c r="P58" s="52"/>
      <c r="Q58" s="51"/>
      <c r="R58" s="419"/>
      <c r="S58" s="419"/>
      <c r="T58" s="41"/>
      <c r="U58" s="41"/>
      <c r="V58" s="41"/>
      <c r="W58" s="41"/>
      <c r="X58" s="42"/>
      <c r="Y58" s="221"/>
      <c r="Z58" s="41"/>
      <c r="AA58" s="41"/>
      <c r="AB58" s="41"/>
      <c r="AC58" s="41"/>
      <c r="AD58" s="41">
        <f>+AM58+BA58</f>
        <v>14</v>
      </c>
      <c r="AE58" s="243" t="s">
        <v>561</v>
      </c>
      <c r="AF58" s="37"/>
      <c r="AG58" s="37"/>
      <c r="AH58" s="37"/>
      <c r="AJ58" s="41"/>
      <c r="AK58" s="41">
        <v>14</v>
      </c>
      <c r="AL58" s="41"/>
      <c r="AM58" s="41">
        <f>SUM(AF58:AL58)+AT58+AV58+AX58</f>
        <v>14</v>
      </c>
      <c r="AN58" s="41"/>
      <c r="AO58" s="41"/>
      <c r="AP58" s="41"/>
      <c r="AQ58" s="41"/>
      <c r="AR58" s="41">
        <f>SUM(AN58:AQ58)</f>
        <v>0</v>
      </c>
      <c r="AS58" s="41"/>
      <c r="AT58" s="41"/>
      <c r="AU58" s="41"/>
      <c r="AV58" s="41"/>
      <c r="AW58" s="41"/>
      <c r="AX58" s="41"/>
      <c r="AY58" s="41"/>
      <c r="AZ58" s="41"/>
      <c r="BA58" s="41">
        <f>+AR58+AS58+AU58+AW58+AY58+AZ58</f>
        <v>0</v>
      </c>
      <c r="BB58" s="37"/>
      <c r="BC58" s="57"/>
      <c r="BD58" s="57"/>
      <c r="BE58" s="37"/>
      <c r="BF58" s="57"/>
    </row>
    <row r="59" spans="1:58" ht="12.95" customHeight="1">
      <c r="A59" s="44"/>
      <c r="B59" s="45"/>
      <c r="C59" s="449"/>
      <c r="D59" s="45"/>
      <c r="E59" s="46"/>
      <c r="F59" s="46"/>
      <c r="G59" s="47"/>
      <c r="H59" s="48"/>
      <c r="I59" s="49"/>
      <c r="J59" s="88"/>
      <c r="K59" s="88"/>
      <c r="L59" s="39"/>
      <c r="M59" s="39"/>
      <c r="N59" s="50"/>
      <c r="O59" s="51"/>
      <c r="P59" s="52"/>
      <c r="Q59" s="51"/>
      <c r="R59" s="419"/>
      <c r="S59" s="419"/>
      <c r="T59" s="41"/>
      <c r="U59" s="41"/>
      <c r="V59" s="41"/>
      <c r="W59" s="41"/>
      <c r="X59" s="42"/>
      <c r="Y59" s="221"/>
      <c r="Z59" s="41"/>
      <c r="AA59" s="41"/>
      <c r="AB59" s="41"/>
      <c r="AC59" s="41"/>
      <c r="AD59" s="41"/>
      <c r="AE59" s="243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37"/>
      <c r="BC59" s="55"/>
      <c r="BD59" s="55"/>
      <c r="BE59" s="55"/>
      <c r="BF59" s="55"/>
    </row>
    <row r="60" spans="1:58" ht="12.95" customHeight="1">
      <c r="A60" s="344">
        <v>45881</v>
      </c>
      <c r="B60" s="45" t="s">
        <v>231</v>
      </c>
      <c r="C60" s="449">
        <f>(M60*E60*O60*Q60)/100000000</f>
        <v>2.3882828508</v>
      </c>
      <c r="D60" s="45" t="s">
        <v>407</v>
      </c>
      <c r="E60" s="46">
        <v>16.5</v>
      </c>
      <c r="F60" s="46">
        <v>1</v>
      </c>
      <c r="G60" s="462">
        <v>1230</v>
      </c>
      <c r="H60" s="48">
        <v>0</v>
      </c>
      <c r="I60" s="49">
        <v>0.88</v>
      </c>
      <c r="J60" s="88">
        <f>E60*G60*(1-H60)*1440/1000000*2.77</f>
        <v>80.952695999999989</v>
      </c>
      <c r="K60" s="88">
        <f>(IF(G60&lt;L60,L60,G60)*(1-IF(H60&lt;N60,H60,N60))*E60*O60*Q60)/100000000</f>
        <v>2.3966712000000001</v>
      </c>
      <c r="L60" s="39">
        <v>1260</v>
      </c>
      <c r="M60" s="39">
        <v>1255.5899999999999</v>
      </c>
      <c r="N60" s="50">
        <f>1-(M60/L60)</f>
        <v>3.5000000000000586E-3</v>
      </c>
      <c r="O60" s="51">
        <f>+'Trim Rwd'!H44</f>
        <v>262</v>
      </c>
      <c r="P60" s="52">
        <f>O60*(Q60-R60-S60)</f>
        <v>11528</v>
      </c>
      <c r="Q60" s="51">
        <v>44</v>
      </c>
      <c r="R60" s="419">
        <v>0</v>
      </c>
      <c r="S60" s="419">
        <v>0</v>
      </c>
      <c r="T60" s="41">
        <f>E60*M60*O60*Q60/100000000</f>
        <v>2.3882828508</v>
      </c>
      <c r="U60" s="41">
        <f>E60*M60*O60*(Q60-R60-S60)/100000000</f>
        <v>2.3882828508</v>
      </c>
      <c r="V60" s="41">
        <f>E60*G60*(1-N60)*O60/100*(R60+S60)/1000000</f>
        <v>0</v>
      </c>
      <c r="W60" s="41">
        <f>+'12'!K10/1000</f>
        <v>6.9359999999999999</v>
      </c>
      <c r="X60" s="416">
        <f>SUM(W60:W63)/SUM(K60:K63)</f>
        <v>1.0214101881452593</v>
      </c>
      <c r="Y60" s="221">
        <v>0</v>
      </c>
      <c r="Z60" s="41">
        <v>0</v>
      </c>
      <c r="AA60" s="53">
        <f>SUM(U60:U63)-SUM(W60:W63)-SUM(Z60:Z63)-SUM(Y60:Y63)</f>
        <v>-5.2901841578869462</v>
      </c>
      <c r="AB60" s="53">
        <f>(SUM(K60:K63)-SUM(W60:W63)-SUM(Y60:Y63)-SUM(Z60:Z63)-SUM(AC60:AC63)-SUM(V60:V63))-AA60</f>
        <v>6.8086703513156266E-2</v>
      </c>
      <c r="AC60" s="41">
        <f>K60-T60</f>
        <v>8.3883492000000892E-3</v>
      </c>
      <c r="AD60" s="41">
        <f>+AM60+BA60</f>
        <v>0</v>
      </c>
      <c r="AE60" s="240" t="s">
        <v>277</v>
      </c>
      <c r="AF60" s="41">
        <v>0</v>
      </c>
      <c r="AG60" s="41"/>
      <c r="AH60" s="41"/>
      <c r="AI60" s="458"/>
      <c r="AJ60" s="41"/>
      <c r="AK60" s="41"/>
      <c r="AL60" s="41"/>
      <c r="AM60" s="41">
        <f>SUM(AF60:AL60)+AT60+AV60+AX60</f>
        <v>0</v>
      </c>
      <c r="AN60" s="41"/>
      <c r="AO60" s="41"/>
      <c r="AP60" s="41"/>
      <c r="AQ60" s="41"/>
      <c r="AR60" s="41">
        <f>SUM(AN60:AQ60)</f>
        <v>0</v>
      </c>
      <c r="AS60" s="41"/>
      <c r="AT60" s="41"/>
      <c r="AU60" s="41"/>
      <c r="AV60" s="41"/>
      <c r="AW60" s="41"/>
      <c r="AX60" s="41"/>
      <c r="AY60" s="41"/>
      <c r="AZ60" s="41"/>
      <c r="BA60" s="41">
        <f>+AR60+AS60+AU60+AW60+AY60+AZ60</f>
        <v>0</v>
      </c>
      <c r="BB60" s="37">
        <v>0</v>
      </c>
      <c r="BC60" s="55"/>
      <c r="BD60" s="55"/>
      <c r="BE60" s="37"/>
      <c r="BF60" s="55"/>
    </row>
    <row r="61" spans="1:58" ht="12.95" customHeight="1">
      <c r="A61" s="344"/>
      <c r="B61" s="45" t="s">
        <v>231</v>
      </c>
      <c r="C61" s="449">
        <f>(M61*E61*O61*Q61)/100000000</f>
        <v>3.9913071596999998</v>
      </c>
      <c r="D61" s="45" t="s">
        <v>616</v>
      </c>
      <c r="E61" s="46">
        <v>17</v>
      </c>
      <c r="F61" s="46">
        <v>1</v>
      </c>
      <c r="G61" s="462">
        <v>1210</v>
      </c>
      <c r="H61" s="48">
        <v>0</v>
      </c>
      <c r="I61" s="49">
        <v>0.88</v>
      </c>
      <c r="J61" s="88">
        <f>E61*G61*(1-H61)*1440/1000000*2.77</f>
        <v>82.049616</v>
      </c>
      <c r="K61" s="88">
        <f>(IF(G61&lt;L61,L61,G61)*(1-IF(H61&lt;N61,H61,N61))*E61*O61*Q61)/100000000</f>
        <v>4.0053257999999996</v>
      </c>
      <c r="L61" s="39">
        <v>1260</v>
      </c>
      <c r="M61" s="39">
        <v>1255.5899999999999</v>
      </c>
      <c r="N61" s="50">
        <f>1-(M61/L61)</f>
        <v>3.5000000000000586E-3</v>
      </c>
      <c r="O61" s="51">
        <f>+'Trim Rwd'!H43</f>
        <v>271</v>
      </c>
      <c r="P61" s="52">
        <f>O61*(Q61-R61-S61)</f>
        <v>18699</v>
      </c>
      <c r="Q61" s="51">
        <v>69</v>
      </c>
      <c r="R61" s="419">
        <v>0</v>
      </c>
      <c r="S61" s="419">
        <v>0</v>
      </c>
      <c r="T61" s="41">
        <f>E61*M61*O61*Q61/100000000</f>
        <v>3.9913071596999998</v>
      </c>
      <c r="U61" s="41">
        <f>E61*M61*O61*(Q61-R61-S61)/100000000</f>
        <v>3.9913071596999998</v>
      </c>
      <c r="V61" s="41">
        <f>E61*G61*(1-N61)*O61/100*(R61+S61)/1000000</f>
        <v>0</v>
      </c>
      <c r="W61" s="41">
        <f>+'12'!K12/1000</f>
        <v>5.7859999999999996</v>
      </c>
      <c r="X61" s="42"/>
      <c r="Y61" s="221"/>
      <c r="Z61" s="41">
        <v>0</v>
      </c>
      <c r="AA61" s="41"/>
      <c r="AB61" s="41"/>
      <c r="AC61" s="41">
        <f>K61-T61</f>
        <v>1.4018640299999774E-2</v>
      </c>
      <c r="AD61" s="41">
        <f>+AM61+BA61</f>
        <v>0</v>
      </c>
      <c r="AE61" s="240" t="s">
        <v>446</v>
      </c>
      <c r="AF61" s="41"/>
      <c r="AG61" s="41">
        <v>0</v>
      </c>
      <c r="AH61" s="41"/>
      <c r="AI61" s="458"/>
      <c r="AJ61" s="41"/>
      <c r="AK61" s="41"/>
      <c r="AL61" s="41"/>
      <c r="AM61" s="41">
        <f>SUM(AF61:AL61)+AT61+AV61+AX61</f>
        <v>0</v>
      </c>
      <c r="AN61" s="89"/>
      <c r="AO61" s="41"/>
      <c r="AP61" s="41"/>
      <c r="AQ61" s="41"/>
      <c r="AR61" s="41">
        <f>SUM(AN61:AQ61)</f>
        <v>0</v>
      </c>
      <c r="AS61" s="41"/>
      <c r="AT61" s="41"/>
      <c r="AU61" s="41"/>
      <c r="AV61" s="41"/>
      <c r="AW61" s="41"/>
      <c r="AX61" s="41"/>
      <c r="AY61" s="41"/>
      <c r="AZ61" s="41"/>
      <c r="BA61" s="41">
        <f>+AR61+AS61+AU61+AW61+AY61+AZ61</f>
        <v>0</v>
      </c>
      <c r="BB61" s="54"/>
      <c r="BC61" s="55">
        <v>0</v>
      </c>
      <c r="BD61" s="55"/>
      <c r="BE61" s="54"/>
      <c r="BF61" s="55"/>
    </row>
    <row r="62" spans="1:58" ht="12.95" customHeight="1">
      <c r="A62" s="44"/>
      <c r="B62" s="45" t="s">
        <v>231</v>
      </c>
      <c r="C62" s="449">
        <f>(M62*E62*O62*Q62)/100000000</f>
        <v>76.223523781822109</v>
      </c>
      <c r="D62" s="45" t="s">
        <v>407</v>
      </c>
      <c r="E62" s="46">
        <v>21</v>
      </c>
      <c r="F62" s="46">
        <v>1</v>
      </c>
      <c r="G62" s="462">
        <v>990</v>
      </c>
      <c r="H62" s="48">
        <v>0</v>
      </c>
      <c r="I62" s="49">
        <v>0.88</v>
      </c>
      <c r="J62" s="88">
        <f>E62*G62*(1-H62)*1440/1000000*2.77</f>
        <v>82.927152000000007</v>
      </c>
      <c r="K62" s="88">
        <f>(IF(G62&lt;L62,L62,G62)*(1-IF(H62&lt;N62,H62,N62))*E62*O62*Q62)/100000000</f>
        <v>76.491243132786877</v>
      </c>
      <c r="L62" s="39">
        <v>1022.7656367746797</v>
      </c>
      <c r="M62" s="39">
        <v>1019.1859570459683</v>
      </c>
      <c r="N62" s="50">
        <f>1-(M62/L62)</f>
        <v>3.5000000000000586E-3</v>
      </c>
      <c r="O62" s="51">
        <f>+'Trim Rwd'!H45</f>
        <v>268.37704918032784</v>
      </c>
      <c r="P62" s="52">
        <f>O62*(Q62-R62-S62)</f>
        <v>346206.39344262291</v>
      </c>
      <c r="Q62" s="51">
        <v>1327</v>
      </c>
      <c r="R62" s="419">
        <v>0</v>
      </c>
      <c r="S62" s="419">
        <v>37</v>
      </c>
      <c r="T62" s="41">
        <f>E62*M62*O62*Q62/100000000</f>
        <v>76.223523781822109</v>
      </c>
      <c r="U62" s="41">
        <f>E62*M62*O62*(Q62-R62-S62)/100000000</f>
        <v>74.09822583161305</v>
      </c>
      <c r="V62" s="41">
        <f>E62*G62*(1-N62)*O62/100*(R62+S62)/1000000</f>
        <v>2.0572112466959016</v>
      </c>
      <c r="W62" s="41">
        <f>+'12'!K13/1000</f>
        <v>71.945999999999998</v>
      </c>
      <c r="X62" s="42"/>
      <c r="Y62" s="221"/>
      <c r="Z62" s="41">
        <f>+'12'!D9/1000</f>
        <v>1.1000000000000001</v>
      </c>
      <c r="AA62" s="41"/>
      <c r="AB62" s="41"/>
      <c r="AC62" s="41">
        <f>K62-T62</f>
        <v>0.26771935096476795</v>
      </c>
      <c r="AD62" s="41">
        <f>+AM62+BA62</f>
        <v>12</v>
      </c>
      <c r="AE62" s="240" t="s">
        <v>500</v>
      </c>
      <c r="AF62" s="37"/>
      <c r="AG62" s="37"/>
      <c r="AH62" s="37">
        <v>12</v>
      </c>
      <c r="AI62" s="458"/>
      <c r="AJ62" s="41"/>
      <c r="AK62" s="41"/>
      <c r="AL62" s="41"/>
      <c r="AM62" s="41">
        <f>SUM(AF62:AL62)+AT62+AV62+AX62</f>
        <v>12</v>
      </c>
      <c r="AN62" s="41"/>
      <c r="AO62" s="41"/>
      <c r="AP62" s="41"/>
      <c r="AQ62" s="41"/>
      <c r="AR62" s="41">
        <f>SUM(AN62:AQ62)</f>
        <v>0</v>
      </c>
      <c r="AS62" s="41"/>
      <c r="AT62" s="41"/>
      <c r="AU62" s="41"/>
      <c r="AV62" s="41"/>
      <c r="AW62" s="41"/>
      <c r="AX62" s="41"/>
      <c r="AY62" s="41"/>
      <c r="AZ62" s="41"/>
      <c r="BA62" s="41">
        <f>+AR62+AS62+AU62+AW62+AY62+AZ62</f>
        <v>0</v>
      </c>
      <c r="BB62" s="37"/>
      <c r="BC62" s="57"/>
      <c r="BD62" s="57"/>
      <c r="BE62" s="37"/>
      <c r="BF62" s="57"/>
    </row>
    <row r="63" spans="1:58" ht="12.95" customHeight="1">
      <c r="A63" s="44"/>
      <c r="B63" s="45"/>
      <c r="C63" s="449"/>
      <c r="D63" s="45"/>
      <c r="E63" s="46"/>
      <c r="F63" s="46"/>
      <c r="G63" s="462"/>
      <c r="H63" s="48"/>
      <c r="I63" s="49"/>
      <c r="J63" s="88"/>
      <c r="K63" s="88"/>
      <c r="L63" s="39"/>
      <c r="M63" s="39"/>
      <c r="N63" s="50"/>
      <c r="O63" s="51"/>
      <c r="P63" s="52"/>
      <c r="Q63" s="51"/>
      <c r="R63" s="419"/>
      <c r="S63" s="419"/>
      <c r="T63" s="41"/>
      <c r="U63" s="41"/>
      <c r="V63" s="41"/>
      <c r="W63" s="41"/>
      <c r="X63" s="42"/>
      <c r="Y63" s="221"/>
      <c r="Z63" s="41"/>
      <c r="AA63" s="41"/>
      <c r="AB63" s="41"/>
      <c r="AC63" s="41"/>
      <c r="AD63" s="41">
        <f>+AM63+BA63</f>
        <v>10</v>
      </c>
      <c r="AE63" s="243" t="s">
        <v>541</v>
      </c>
      <c r="AF63" s="37"/>
      <c r="AG63" s="37"/>
      <c r="AH63" s="37"/>
      <c r="AI63" s="458">
        <v>10</v>
      </c>
      <c r="AJ63" s="41"/>
      <c r="AK63" s="41"/>
      <c r="AL63" s="41"/>
      <c r="AM63" s="41">
        <f>SUM(AF63:AL63)+AT63+AV63+AX63</f>
        <v>10</v>
      </c>
      <c r="AN63" s="41"/>
      <c r="AO63" s="41"/>
      <c r="AP63" s="41"/>
      <c r="AQ63" s="41"/>
      <c r="AR63" s="41">
        <f>SUM(AN63:AQ63)</f>
        <v>0</v>
      </c>
      <c r="AS63" s="41"/>
      <c r="AT63" s="41"/>
      <c r="AU63" s="41"/>
      <c r="AV63" s="41"/>
      <c r="AW63" s="41"/>
      <c r="AX63" s="41"/>
      <c r="AY63" s="41"/>
      <c r="AZ63" s="41"/>
      <c r="BA63" s="41">
        <f>+AR63+AS63+AU63+AW63+AY63+AZ63</f>
        <v>0</v>
      </c>
      <c r="BB63" s="37"/>
      <c r="BC63" s="57"/>
      <c r="BD63" s="57"/>
      <c r="BE63" s="37"/>
      <c r="BF63" s="57"/>
    </row>
    <row r="64" spans="1:58" ht="12.95" customHeight="1">
      <c r="A64" s="44"/>
      <c r="B64" s="45"/>
      <c r="C64" s="449"/>
      <c r="D64" s="45"/>
      <c r="E64" s="46"/>
      <c r="F64" s="46"/>
      <c r="G64" s="47"/>
      <c r="H64" s="48"/>
      <c r="I64" s="49"/>
      <c r="J64" s="88"/>
      <c r="K64" s="88"/>
      <c r="L64" s="39"/>
      <c r="M64" s="39"/>
      <c r="N64" s="50"/>
      <c r="O64" s="51"/>
      <c r="P64" s="52"/>
      <c r="Q64" s="51"/>
      <c r="R64" s="419"/>
      <c r="S64" s="419"/>
      <c r="T64" s="41"/>
      <c r="U64" s="41"/>
      <c r="V64" s="41"/>
      <c r="W64" s="41"/>
      <c r="X64" s="42"/>
      <c r="Y64" s="221"/>
      <c r="Z64" s="41"/>
      <c r="AA64" s="41"/>
      <c r="AB64" s="41"/>
      <c r="AC64" s="41"/>
      <c r="AD64" s="41">
        <f>+AM64+BA64</f>
        <v>15</v>
      </c>
      <c r="AE64" s="243" t="s">
        <v>561</v>
      </c>
      <c r="AF64" s="37"/>
      <c r="AG64" s="37"/>
      <c r="AH64" s="37"/>
      <c r="AI64" s="458"/>
      <c r="AJ64" s="41"/>
      <c r="AK64" s="41">
        <v>15</v>
      </c>
      <c r="AL64" s="41"/>
      <c r="AM64" s="41">
        <f>SUM(AF64:AL64)+AT64+AV64+AX64</f>
        <v>15</v>
      </c>
      <c r="AN64" s="41"/>
      <c r="AO64" s="41"/>
      <c r="AP64" s="41"/>
      <c r="AQ64" s="41"/>
      <c r="AR64" s="41">
        <f>SUM(AN64:AQ64)</f>
        <v>0</v>
      </c>
      <c r="AS64" s="41"/>
      <c r="AT64" s="41"/>
      <c r="AU64" s="41"/>
      <c r="AV64" s="41"/>
      <c r="AW64" s="41"/>
      <c r="AX64" s="41"/>
      <c r="AY64" s="41"/>
      <c r="AZ64" s="41"/>
      <c r="BA64" s="41">
        <f>+AR64+AS64+AU64+AW64+AY64+AZ64</f>
        <v>0</v>
      </c>
      <c r="BB64" s="37"/>
      <c r="BC64" s="57"/>
      <c r="BD64" s="57"/>
      <c r="BE64" s="37"/>
      <c r="BF64" s="57"/>
    </row>
    <row r="65" spans="1:58" ht="12.95" customHeight="1">
      <c r="A65" s="44"/>
      <c r="B65" s="45"/>
      <c r="C65" s="449"/>
      <c r="D65" s="45"/>
      <c r="E65" s="46"/>
      <c r="F65" s="46"/>
      <c r="G65" s="47"/>
      <c r="H65" s="48"/>
      <c r="I65" s="49"/>
      <c r="J65" s="88"/>
      <c r="K65" s="88"/>
      <c r="L65" s="39"/>
      <c r="M65" s="39"/>
      <c r="N65" s="50"/>
      <c r="O65" s="51"/>
      <c r="P65" s="52"/>
      <c r="Q65" s="51"/>
      <c r="R65" s="419"/>
      <c r="S65" s="419"/>
      <c r="T65" s="41"/>
      <c r="U65" s="41"/>
      <c r="V65" s="41"/>
      <c r="W65" s="41"/>
      <c r="X65" s="42"/>
      <c r="Y65" s="221"/>
      <c r="Z65" s="41"/>
      <c r="AA65" s="41"/>
      <c r="AB65" s="41"/>
      <c r="AC65" s="41"/>
      <c r="AD65" s="41"/>
      <c r="AE65" s="240"/>
      <c r="AF65" s="37"/>
      <c r="AG65" s="37"/>
      <c r="AH65" s="37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37"/>
      <c r="BC65" s="57"/>
      <c r="BD65" s="55"/>
      <c r="BE65" s="55"/>
      <c r="BF65" s="55"/>
    </row>
    <row r="66" spans="1:58" ht="12.95" customHeight="1">
      <c r="A66" s="344">
        <v>45882</v>
      </c>
      <c r="B66" s="45" t="s">
        <v>231</v>
      </c>
      <c r="C66" s="449">
        <f>(M66*E66*O66*Q66)/100000000</f>
        <v>14.5008256512</v>
      </c>
      <c r="D66" s="45" t="s">
        <v>407</v>
      </c>
      <c r="E66" s="46">
        <v>21</v>
      </c>
      <c r="F66" s="46">
        <v>1</v>
      </c>
      <c r="G66" s="462">
        <v>990</v>
      </c>
      <c r="H66" s="48">
        <v>0</v>
      </c>
      <c r="I66" s="49">
        <v>0.88</v>
      </c>
      <c r="J66" s="88">
        <f>E66*G66*(1-H66)*1440/1000000*2.77</f>
        <v>82.927152000000007</v>
      </c>
      <c r="K66" s="88">
        <f>(IF(G66&lt;L66,L66,G66)*(1-IF(H66&lt;N66,H66,N66))*E66*O66*Q66)/100000000</f>
        <v>14.5517568</v>
      </c>
      <c r="L66" s="39">
        <v>1010</v>
      </c>
      <c r="M66" s="39">
        <f>+L66-L66*0.0035</f>
        <v>1006.465</v>
      </c>
      <c r="N66" s="50">
        <f>1-(M66/L66)</f>
        <v>3.4999999999999476E-3</v>
      </c>
      <c r="O66" s="51">
        <f>+'Trim Rwd'!H51</f>
        <v>268</v>
      </c>
      <c r="P66" s="52">
        <f>O66*(Q66-R66-S66)</f>
        <v>67268</v>
      </c>
      <c r="Q66" s="51">
        <v>256</v>
      </c>
      <c r="R66" s="419">
        <v>0</v>
      </c>
      <c r="S66" s="419">
        <v>5</v>
      </c>
      <c r="T66" s="41">
        <f>E66*M66*O66*Q66/100000000</f>
        <v>14.5008256512</v>
      </c>
      <c r="U66" s="41">
        <f>E66*M66*O66*(Q66-R66-S66)/100000000</f>
        <v>14.217606400199999</v>
      </c>
      <c r="V66" s="41">
        <f>E66*G66*(1-N66)*O66/100*(R66+S66)/1000000</f>
        <v>0.277610949</v>
      </c>
      <c r="W66" s="41">
        <f>+'13'!K13/1000</f>
        <v>19.878</v>
      </c>
      <c r="X66" s="416">
        <f>SUM(W66:W69)/SUM(K66:K69)</f>
        <v>0.96594056400670747</v>
      </c>
      <c r="Y66" s="221">
        <v>0</v>
      </c>
      <c r="Z66" s="41">
        <v>0</v>
      </c>
      <c r="AA66" s="53">
        <f>SUM(U66:U69)-SUM(W66:W69)-SUM(Z66:Z69)-SUM(Y66:Y69)</f>
        <v>0.71177256653334098</v>
      </c>
      <c r="AB66" s="53">
        <f>(SUM(K66:K69)-SUM(W66:W69)-SUM(Y66:Y69)-SUM(Z66:Z69)-SUM(AC66:AC69)-SUM(V66:V69))-AA66</f>
        <v>1.2711353999997232E-2</v>
      </c>
      <c r="AC66" s="41">
        <f>K66-T66</f>
        <v>5.0931148800000159E-2</v>
      </c>
      <c r="AD66" s="41">
        <f>+AM66+BA66</f>
        <v>5</v>
      </c>
      <c r="AE66" s="240" t="s">
        <v>648</v>
      </c>
      <c r="AF66" s="41">
        <v>5</v>
      </c>
      <c r="AG66" s="41"/>
      <c r="AH66" s="41"/>
      <c r="AI66" s="458"/>
      <c r="AJ66" s="41"/>
      <c r="AK66" s="41"/>
      <c r="AL66" s="41"/>
      <c r="AM66" s="41">
        <f>SUM(AF66:AL66)+AT66+AV66+AX66</f>
        <v>5</v>
      </c>
      <c r="AN66" s="41"/>
      <c r="AO66" s="41"/>
      <c r="AP66" s="41"/>
      <c r="AQ66" s="41"/>
      <c r="AR66" s="41">
        <f>SUM(AN66:AQ66)</f>
        <v>0</v>
      </c>
      <c r="AS66" s="41"/>
      <c r="AT66" s="41"/>
      <c r="AU66" s="41"/>
      <c r="AV66" s="41"/>
      <c r="AW66" s="41"/>
      <c r="AX66" s="41"/>
      <c r="AY66" s="41"/>
      <c r="AZ66" s="41"/>
      <c r="BA66" s="41">
        <f>+AR66+AS66+AU66+AW66+AY66+AZ66</f>
        <v>0</v>
      </c>
      <c r="BB66" s="37">
        <v>1</v>
      </c>
      <c r="BC66" s="55"/>
      <c r="BD66" s="55"/>
      <c r="BE66" s="37"/>
      <c r="BF66" s="55"/>
    </row>
    <row r="67" spans="1:58" ht="12.95" customHeight="1">
      <c r="A67" s="344"/>
      <c r="B67" s="45" t="s">
        <v>231</v>
      </c>
      <c r="C67" s="449">
        <f>(M67*E67*O67*Q67)/100000000</f>
        <v>14.288381018999999</v>
      </c>
      <c r="D67" s="45" t="s">
        <v>407</v>
      </c>
      <c r="E67" s="46">
        <v>22</v>
      </c>
      <c r="F67" s="46">
        <v>1</v>
      </c>
      <c r="G67" s="462">
        <v>990</v>
      </c>
      <c r="H67" s="48">
        <v>0</v>
      </c>
      <c r="I67" s="49">
        <v>0.88</v>
      </c>
      <c r="J67" s="88">
        <f>E67*G67*(1-H67)*1440/1000000*2.77</f>
        <v>86.876064</v>
      </c>
      <c r="K67" s="88">
        <f>(IF(G67&lt;L67,L67,G67)*(1-IF(H67&lt;N67,H67,N67))*E67*O67*Q67)/100000000</f>
        <v>14.338566</v>
      </c>
      <c r="L67" s="39">
        <v>1010</v>
      </c>
      <c r="M67" s="39">
        <f>+L67-L67*0.0035</f>
        <v>1006.465</v>
      </c>
      <c r="N67" s="50">
        <f>1-(M67/L67)</f>
        <v>3.4999999999999476E-3</v>
      </c>
      <c r="O67" s="51">
        <f>+'Trim Rwd'!H52</f>
        <v>270</v>
      </c>
      <c r="P67" s="52">
        <f>O67*(Q67-R67-S67)</f>
        <v>62910</v>
      </c>
      <c r="Q67" s="51">
        <v>239</v>
      </c>
      <c r="R67" s="419">
        <v>0</v>
      </c>
      <c r="S67" s="419">
        <v>6</v>
      </c>
      <c r="T67" s="41">
        <f>E67*M67*O67*Q67/100000000</f>
        <v>14.288381018999999</v>
      </c>
      <c r="U67" s="41">
        <f>E67*M67*O67*(Q67-R67-S67)/100000000</f>
        <v>13.929676893</v>
      </c>
      <c r="V67" s="41">
        <f>E67*G67*(1-N67)*O67/100*(R67+S67)/1000000</f>
        <v>0.35160107400000001</v>
      </c>
      <c r="W67" s="41">
        <f>+'13'!K14/1000</f>
        <v>13.084</v>
      </c>
      <c r="X67" s="42"/>
      <c r="Y67" s="221"/>
      <c r="Z67" s="41">
        <v>0</v>
      </c>
      <c r="AA67" s="41"/>
      <c r="AB67" s="41"/>
      <c r="AC67" s="41">
        <f>K67-T67</f>
        <v>5.0184981000001017E-2</v>
      </c>
      <c r="AD67" s="41">
        <f>+AM67+BA67</f>
        <v>2</v>
      </c>
      <c r="AE67" s="240" t="s">
        <v>567</v>
      </c>
      <c r="AF67" s="41"/>
      <c r="AG67" s="41">
        <v>2</v>
      </c>
      <c r="AH67" s="41"/>
      <c r="AI67" s="458"/>
      <c r="AJ67" s="41"/>
      <c r="AK67" s="41"/>
      <c r="AL67" s="41"/>
      <c r="AM67" s="41">
        <f>SUM(AF67:AL67)+AT67+AV67+AX67</f>
        <v>2</v>
      </c>
      <c r="AN67" s="89"/>
      <c r="AO67" s="41"/>
      <c r="AP67" s="41"/>
      <c r="AQ67" s="41"/>
      <c r="AR67" s="41">
        <f>SUM(AN67:AQ67)</f>
        <v>0</v>
      </c>
      <c r="AS67" s="41"/>
      <c r="AT67" s="41"/>
      <c r="AU67" s="41"/>
      <c r="AV67" s="41"/>
      <c r="AW67" s="41"/>
      <c r="AX67" s="41"/>
      <c r="AY67" s="41"/>
      <c r="AZ67" s="41"/>
      <c r="BA67" s="41">
        <f>+AR67+AS67+AU67+AW67+AY67+AZ67</f>
        <v>0</v>
      </c>
      <c r="BB67" s="54"/>
      <c r="BC67" s="55">
        <v>2</v>
      </c>
      <c r="BD67" s="55"/>
      <c r="BE67" s="54"/>
      <c r="BF67" s="55"/>
    </row>
    <row r="68" spans="1:58" ht="12.95" customHeight="1">
      <c r="A68" s="44"/>
      <c r="B68" s="45" t="s">
        <v>231</v>
      </c>
      <c r="C68" s="449">
        <f>(M68*E68*O68*Q68)/100000000</f>
        <v>49.546083635999992</v>
      </c>
      <c r="D68" s="45" t="s">
        <v>407</v>
      </c>
      <c r="E68" s="46">
        <v>16</v>
      </c>
      <c r="F68" s="46">
        <v>1</v>
      </c>
      <c r="G68" s="462">
        <v>1260</v>
      </c>
      <c r="H68" s="48">
        <v>0</v>
      </c>
      <c r="I68" s="49">
        <v>0.88</v>
      </c>
      <c r="J68" s="88">
        <f>E68*G68*(1-H68)*1440/1000000*2.77</f>
        <v>80.414208000000002</v>
      </c>
      <c r="K68" s="88">
        <f>(IF(G68&lt;L68,L68,G68)*(1-IF(H68&lt;N68,H68,N68))*E68*O68*Q68)/100000000</f>
        <v>49.720103999999992</v>
      </c>
      <c r="L68" s="39">
        <v>1260</v>
      </c>
      <c r="M68" s="39">
        <f>+L68-L68*0.0035</f>
        <v>1255.5899999999999</v>
      </c>
      <c r="N68" s="50">
        <f>1-(M68/L68)</f>
        <v>3.5000000000000586E-3</v>
      </c>
      <c r="O68" s="51">
        <f>+'Trim Rwd'!H53</f>
        <v>260.98148148148147</v>
      </c>
      <c r="P68" s="52">
        <f>O68*(Q68-R68-S68)</f>
        <v>241407.87037037036</v>
      </c>
      <c r="Q68" s="51">
        <v>945</v>
      </c>
      <c r="R68" s="419">
        <v>0</v>
      </c>
      <c r="S68" s="419">
        <v>20</v>
      </c>
      <c r="T68" s="41">
        <f>E68*M68*O68*Q68/100000000</f>
        <v>49.546083635999992</v>
      </c>
      <c r="U68" s="41">
        <f>E68*M68*O68*(Q68-R68-S68)/100000000</f>
        <v>48.497489273333329</v>
      </c>
      <c r="V68" s="41">
        <f>E68*G68*(1-N68)*O68/100*(R68+S68)/1000000</f>
        <v>1.0485943626666665</v>
      </c>
      <c r="W68" s="41">
        <f>+'13'!K15/1000</f>
        <v>42.970999999999997</v>
      </c>
      <c r="X68" s="42"/>
      <c r="Y68" s="221"/>
      <c r="Z68" s="41">
        <v>0</v>
      </c>
      <c r="AA68" s="41"/>
      <c r="AB68" s="41"/>
      <c r="AC68" s="41">
        <f>K68-T68</f>
        <v>0.17402036400000043</v>
      </c>
      <c r="AD68" s="41">
        <f>+AM68+BA68</f>
        <v>19</v>
      </c>
      <c r="AE68" s="240" t="s">
        <v>617</v>
      </c>
      <c r="AF68" s="37"/>
      <c r="AG68" s="37"/>
      <c r="AH68" s="37">
        <v>19</v>
      </c>
      <c r="AI68" s="458"/>
      <c r="AJ68" s="41"/>
      <c r="AK68" s="41"/>
      <c r="AL68" s="41"/>
      <c r="AM68" s="41">
        <f>SUM(AF68:AL68)+AT68+AV68+AX68</f>
        <v>19</v>
      </c>
      <c r="AN68" s="41"/>
      <c r="AO68" s="41"/>
      <c r="AP68" s="41"/>
      <c r="AQ68" s="41"/>
      <c r="AR68" s="41">
        <f>SUM(AN68:AQ68)</f>
        <v>0</v>
      </c>
      <c r="AS68" s="41"/>
      <c r="AT68" s="41"/>
      <c r="AU68" s="41"/>
      <c r="AV68" s="41"/>
      <c r="AW68" s="41"/>
      <c r="AX68" s="41"/>
      <c r="AY68" s="41"/>
      <c r="AZ68" s="41"/>
      <c r="BA68" s="41">
        <f>+AR68+AS68+AU68+AW68+AY68+AZ68</f>
        <v>0</v>
      </c>
      <c r="BB68" s="37"/>
      <c r="BC68" s="57"/>
      <c r="BD68" s="57"/>
      <c r="BE68" s="37"/>
      <c r="BF68" s="57"/>
    </row>
    <row r="69" spans="1:58" ht="12.95" customHeight="1">
      <c r="A69" s="44"/>
      <c r="B69" s="45"/>
      <c r="C69" s="449"/>
      <c r="D69" s="45"/>
      <c r="E69" s="46"/>
      <c r="F69" s="46"/>
      <c r="G69" s="462"/>
      <c r="H69" s="48"/>
      <c r="I69" s="49"/>
      <c r="J69" s="88"/>
      <c r="K69" s="88"/>
      <c r="L69" s="39"/>
      <c r="M69" s="39"/>
      <c r="N69" s="50"/>
      <c r="O69" s="51"/>
      <c r="P69" s="52"/>
      <c r="Q69" s="51"/>
      <c r="R69" s="419"/>
      <c r="S69" s="419"/>
      <c r="T69" s="41"/>
      <c r="U69" s="41"/>
      <c r="V69" s="41"/>
      <c r="W69" s="41"/>
      <c r="X69" s="42"/>
      <c r="Y69" s="221"/>
      <c r="Z69" s="41"/>
      <c r="AA69" s="41"/>
      <c r="AB69" s="41"/>
      <c r="AC69" s="41"/>
      <c r="AD69" s="41">
        <f>+AM69+BA69</f>
        <v>5</v>
      </c>
      <c r="AE69" s="243" t="s">
        <v>541</v>
      </c>
      <c r="AF69" s="37"/>
      <c r="AG69" s="37"/>
      <c r="AH69" s="37"/>
      <c r="AI69" s="458">
        <v>5</v>
      </c>
      <c r="AJ69" s="41"/>
      <c r="AK69" s="41"/>
      <c r="AL69" s="41"/>
      <c r="AM69" s="41">
        <f>SUM(AF69:AL69)+AT69+AV69+AX69</f>
        <v>5</v>
      </c>
      <c r="AN69" s="41"/>
      <c r="AO69" s="41"/>
      <c r="AP69" s="41"/>
      <c r="AQ69" s="41"/>
      <c r="AR69" s="41">
        <f>SUM(AN69:AQ69)</f>
        <v>0</v>
      </c>
      <c r="AS69" s="41"/>
      <c r="AT69" s="41"/>
      <c r="AU69" s="41"/>
      <c r="AV69" s="41"/>
      <c r="AW69" s="41"/>
      <c r="AX69" s="41"/>
      <c r="AY69" s="41"/>
      <c r="AZ69" s="41"/>
      <c r="BA69" s="41">
        <f>+AR69+AS69+AU69+AW69+AY69+AZ69</f>
        <v>0</v>
      </c>
      <c r="BB69" s="37"/>
      <c r="BC69" s="57"/>
      <c r="BD69" s="57"/>
      <c r="BE69" s="37"/>
      <c r="BF69" s="57"/>
    </row>
    <row r="70" spans="1:58" ht="12.95" customHeight="1">
      <c r="A70" s="44"/>
      <c r="B70" s="45"/>
      <c r="C70" s="449"/>
      <c r="D70" s="45"/>
      <c r="E70" s="46"/>
      <c r="F70" s="46"/>
      <c r="G70" s="47"/>
      <c r="H70" s="48"/>
      <c r="I70" s="49"/>
      <c r="J70" s="88"/>
      <c r="K70" s="88"/>
      <c r="L70" s="39"/>
      <c r="M70" s="39"/>
      <c r="N70" s="50"/>
      <c r="O70" s="51"/>
      <c r="P70" s="52"/>
      <c r="Q70" s="51"/>
      <c r="R70" s="419"/>
      <c r="S70" s="419"/>
      <c r="T70" s="41"/>
      <c r="U70" s="41"/>
      <c r="V70" s="41"/>
      <c r="W70" s="41"/>
      <c r="X70" s="42"/>
      <c r="Y70" s="221"/>
      <c r="Z70" s="41"/>
      <c r="AA70" s="41"/>
      <c r="AB70" s="41"/>
      <c r="AC70" s="41"/>
      <c r="AD70" s="41"/>
      <c r="AE70" s="243"/>
      <c r="AF70" s="37"/>
      <c r="AG70" s="37"/>
      <c r="AH70" s="37"/>
      <c r="AI70" s="458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37"/>
      <c r="BC70" s="57"/>
      <c r="BD70" s="57"/>
      <c r="BE70" s="37"/>
      <c r="BF70" s="57"/>
    </row>
    <row r="71" spans="1:58" ht="12.95" customHeight="1">
      <c r="A71" s="344">
        <v>45883</v>
      </c>
      <c r="B71" s="45" t="s">
        <v>231</v>
      </c>
      <c r="C71" s="449">
        <f>(M71*E71*O71*Q71)/100000000</f>
        <v>25.168050431999998</v>
      </c>
      <c r="D71" s="45" t="s">
        <v>407</v>
      </c>
      <c r="E71" s="46">
        <v>16</v>
      </c>
      <c r="F71" s="46">
        <v>1</v>
      </c>
      <c r="G71" s="462">
        <v>1260</v>
      </c>
      <c r="H71" s="48">
        <v>0</v>
      </c>
      <c r="I71" s="49">
        <v>0.88</v>
      </c>
      <c r="J71" s="88">
        <f>E71*G71*(1-H71)*1440/1000000*2.77</f>
        <v>80.414208000000002</v>
      </c>
      <c r="K71" s="88">
        <f>(IF(G71&lt;L71,L71,G71)*(1-IF(H71&lt;N71,H71,N71))*E71*O71*Q71)/100000000</f>
        <v>25.256447999999999</v>
      </c>
      <c r="L71" s="39">
        <v>1260</v>
      </c>
      <c r="M71" s="39">
        <f>+L71-L71*0.0035</f>
        <v>1255.5899999999999</v>
      </c>
      <c r="N71" s="50">
        <f>1-(M71/L71)</f>
        <v>3.5000000000000586E-3</v>
      </c>
      <c r="O71" s="51">
        <f>+'Trim Rwd'!H56</f>
        <v>261</v>
      </c>
      <c r="P71" s="52">
        <f>O71*(Q71-R71-S71)</f>
        <v>124758</v>
      </c>
      <c r="Q71" s="51">
        <v>480</v>
      </c>
      <c r="R71" s="419">
        <v>0</v>
      </c>
      <c r="S71" s="419">
        <v>2</v>
      </c>
      <c r="T71" s="41">
        <f>E71*M71*O71*Q71/100000000</f>
        <v>25.168050431999998</v>
      </c>
      <c r="U71" s="41">
        <f>E71*M71*O71*(Q71-R71-S71)/100000000</f>
        <v>25.063183555199998</v>
      </c>
      <c r="V71" s="41">
        <f>E71*G71*(1-N71)*O71/100*(R71+S71)/1000000</f>
        <v>0.10486687679999999</v>
      </c>
      <c r="W71" s="41">
        <f>+'14'!K15/1000</f>
        <v>43.249000000000002</v>
      </c>
      <c r="X71" s="416">
        <f>SUM(W71:W74)/SUM(K71:K74)</f>
        <v>1.0379524466916799</v>
      </c>
      <c r="Y71" s="221">
        <v>0</v>
      </c>
      <c r="Z71" s="41">
        <v>0</v>
      </c>
      <c r="AA71" s="53">
        <f>SUM(U71:U74)-SUM(W71:W74)-SUM(Z71:Z74)-SUM(Y71:Y74)</f>
        <v>-3.6745764030500112</v>
      </c>
      <c r="AB71" s="53">
        <f>(SUM(K71:K74)-SUM(W71:W74)-SUM(Y71:Y74)-SUM(Z71:Z74)-SUM(AC71:AC74)-SUM(V71:V74))-AA71</f>
        <v>0</v>
      </c>
      <c r="AC71" s="41">
        <f>K71-T71</f>
        <v>8.8397568000001314E-2</v>
      </c>
      <c r="AD71" s="41">
        <f>+AM71+BA71</f>
        <v>0</v>
      </c>
      <c r="AE71" s="240" t="s">
        <v>277</v>
      </c>
      <c r="AF71" s="41">
        <v>0</v>
      </c>
      <c r="AG71" s="41"/>
      <c r="AH71" s="41"/>
      <c r="AI71" s="458"/>
      <c r="AJ71" s="41"/>
      <c r="AK71" s="41"/>
      <c r="AL71" s="41"/>
      <c r="AM71" s="41">
        <f>SUM(AF71:AL71)+AT71+AV71+AX71</f>
        <v>0</v>
      </c>
      <c r="AN71" s="41"/>
      <c r="AO71" s="41"/>
      <c r="AP71" s="41"/>
      <c r="AQ71" s="41"/>
      <c r="AR71" s="41">
        <f>SUM(AN71:AQ71)</f>
        <v>0</v>
      </c>
      <c r="AS71" s="41"/>
      <c r="AT71" s="41"/>
      <c r="AU71" s="41"/>
      <c r="AV71" s="41"/>
      <c r="AW71" s="41"/>
      <c r="AX71" s="41"/>
      <c r="AY71" s="41"/>
      <c r="AZ71" s="41"/>
      <c r="BA71" s="41">
        <f>+AR71+AS71+AU71+AW71+AY71+AZ71</f>
        <v>0</v>
      </c>
      <c r="BB71" s="37">
        <v>0</v>
      </c>
      <c r="BC71" s="55"/>
      <c r="BD71" s="55"/>
      <c r="BE71" s="37"/>
      <c r="BF71" s="55"/>
    </row>
    <row r="72" spans="1:58" ht="12.95" customHeight="1">
      <c r="A72" s="344"/>
      <c r="B72" s="45" t="s">
        <v>231</v>
      </c>
      <c r="C72" s="449">
        <f>(M72*E72*O72*Q72)/100000000</f>
        <v>53.897958575999994</v>
      </c>
      <c r="D72" s="45" t="s">
        <v>407</v>
      </c>
      <c r="E72" s="46">
        <v>16.5</v>
      </c>
      <c r="F72" s="46">
        <v>1</v>
      </c>
      <c r="G72" s="462">
        <v>1260</v>
      </c>
      <c r="H72" s="48">
        <v>0</v>
      </c>
      <c r="I72" s="49">
        <v>0.88</v>
      </c>
      <c r="J72" s="88">
        <f>E72*G72*(1-H72)*1440/1000000*2.77</f>
        <v>82.927152000000007</v>
      </c>
      <c r="K72" s="88">
        <f>(IF(G72&lt;L72,L72,G72)*(1-IF(H72&lt;N72,H72,N72))*E72*O72*Q72)/100000000</f>
        <v>54.087263999999998</v>
      </c>
      <c r="L72" s="39">
        <v>1260</v>
      </c>
      <c r="M72" s="39">
        <f>+L72-L72*0.0035</f>
        <v>1255.5899999999999</v>
      </c>
      <c r="N72" s="50">
        <f>1-(M72/L72)</f>
        <v>3.5000000000000586E-3</v>
      </c>
      <c r="O72" s="51">
        <f>+'Trim Rwd'!H57</f>
        <v>271</v>
      </c>
      <c r="P72" s="52">
        <f>O72*(Q72-R72-S72)</f>
        <v>258805</v>
      </c>
      <c r="Q72" s="51">
        <v>960</v>
      </c>
      <c r="R72" s="419">
        <v>0</v>
      </c>
      <c r="S72" s="419">
        <v>5</v>
      </c>
      <c r="T72" s="41">
        <f>E72*M72*O72*Q72/100000000</f>
        <v>53.897958575999994</v>
      </c>
      <c r="U72" s="41">
        <f>E72*M72*O72*(Q72-R72-S72)/100000000</f>
        <v>53.617240041749994</v>
      </c>
      <c r="V72" s="41">
        <f>E72*G72*(1-N72)*O72/100*(R72+S72)/1000000</f>
        <v>0.28071853425000004</v>
      </c>
      <c r="W72" s="41">
        <f>+'14'!K10/1000</f>
        <v>39.106000000000002</v>
      </c>
      <c r="X72" s="42"/>
      <c r="Y72" s="221"/>
      <c r="Z72" s="41">
        <v>0</v>
      </c>
      <c r="AA72" s="41"/>
      <c r="AB72" s="41"/>
      <c r="AC72" s="41">
        <f>K72-T72</f>
        <v>0.18930542400000405</v>
      </c>
      <c r="AD72" s="41">
        <f>+AM72+BA72</f>
        <v>2</v>
      </c>
      <c r="AE72" s="240" t="s">
        <v>567</v>
      </c>
      <c r="AF72" s="41"/>
      <c r="AG72" s="41">
        <v>2</v>
      </c>
      <c r="AH72" s="41"/>
      <c r="AI72" s="458"/>
      <c r="AJ72" s="41"/>
      <c r="AK72" s="41"/>
      <c r="AL72" s="41"/>
      <c r="AM72" s="41">
        <f>SUM(AF72:AL72)+AT72+AV72+AX72</f>
        <v>2</v>
      </c>
      <c r="AN72" s="89"/>
      <c r="AO72" s="41"/>
      <c r="AP72" s="41"/>
      <c r="AQ72" s="41"/>
      <c r="AR72" s="41">
        <f>SUM(AN72:AQ72)</f>
        <v>0</v>
      </c>
      <c r="AS72" s="41"/>
      <c r="AT72" s="41"/>
      <c r="AU72" s="41"/>
      <c r="AV72" s="41"/>
      <c r="AW72" s="41"/>
      <c r="AX72" s="41"/>
      <c r="AY72" s="41"/>
      <c r="AZ72" s="41"/>
      <c r="BA72" s="41">
        <f>+AR72+AS72+AU72+AW72+AY72+AZ72</f>
        <v>0</v>
      </c>
      <c r="BB72" s="54"/>
      <c r="BC72" s="55">
        <v>2</v>
      </c>
      <c r="BD72" s="55"/>
      <c r="BE72" s="54"/>
      <c r="BF72" s="55"/>
    </row>
    <row r="73" spans="1:58" ht="12.95" customHeight="1">
      <c r="A73" s="44"/>
      <c r="B73" s="45"/>
      <c r="C73" s="449"/>
      <c r="D73" s="45"/>
      <c r="E73" s="46"/>
      <c r="F73" s="46"/>
      <c r="G73" s="462"/>
      <c r="H73" s="48"/>
      <c r="I73" s="49"/>
      <c r="J73" s="88"/>
      <c r="K73" s="88"/>
      <c r="L73" s="39"/>
      <c r="M73" s="39"/>
      <c r="N73" s="50"/>
      <c r="O73" s="51"/>
      <c r="P73" s="52"/>
      <c r="Q73" s="51"/>
      <c r="R73" s="419"/>
      <c r="S73" s="419"/>
      <c r="T73" s="41"/>
      <c r="U73" s="41"/>
      <c r="V73" s="41"/>
      <c r="W73" s="41"/>
      <c r="X73" s="42"/>
      <c r="Y73" s="221"/>
      <c r="Z73" s="41"/>
      <c r="AA73" s="41"/>
      <c r="AB73" s="41"/>
      <c r="AC73" s="41"/>
      <c r="AD73" s="41">
        <f>+AM73+BA73</f>
        <v>5</v>
      </c>
      <c r="AE73" s="240" t="s">
        <v>500</v>
      </c>
      <c r="AF73" s="37"/>
      <c r="AG73" s="37"/>
      <c r="AH73" s="37">
        <v>5</v>
      </c>
      <c r="AI73" s="458"/>
      <c r="AJ73" s="41"/>
      <c r="AK73" s="41"/>
      <c r="AL73" s="41"/>
      <c r="AM73" s="41">
        <f>SUM(AF73:AL73)+AT73+AV73+AX73</f>
        <v>5</v>
      </c>
      <c r="AN73" s="41"/>
      <c r="AO73" s="41"/>
      <c r="AP73" s="41"/>
      <c r="AQ73" s="41"/>
      <c r="AR73" s="41">
        <f>SUM(AN73:AQ73)</f>
        <v>0</v>
      </c>
      <c r="AS73" s="41"/>
      <c r="AT73" s="41"/>
      <c r="AU73" s="41"/>
      <c r="AV73" s="41"/>
      <c r="AW73" s="41"/>
      <c r="AX73" s="41"/>
      <c r="AY73" s="41"/>
      <c r="AZ73" s="41"/>
      <c r="BA73" s="41">
        <f>+AR73+AS73+AU73+AW73+AY73+AZ73</f>
        <v>0</v>
      </c>
      <c r="BB73" s="37"/>
      <c r="BC73" s="57"/>
      <c r="BD73" s="57"/>
      <c r="BE73" s="37"/>
      <c r="BF73" s="57"/>
    </row>
    <row r="74" spans="1:58" ht="12.95" customHeight="1">
      <c r="A74" s="44"/>
      <c r="B74" s="45"/>
      <c r="C74" s="449"/>
      <c r="D74" s="45"/>
      <c r="E74" s="46"/>
      <c r="F74" s="46"/>
      <c r="G74" s="47"/>
      <c r="H74" s="48"/>
      <c r="I74" s="49"/>
      <c r="J74" s="88"/>
      <c r="K74" s="88"/>
      <c r="L74" s="39"/>
      <c r="M74" s="39"/>
      <c r="N74" s="50"/>
      <c r="O74" s="51"/>
      <c r="P74" s="52"/>
      <c r="Q74" s="51"/>
      <c r="R74" s="419"/>
      <c r="S74" s="419"/>
      <c r="T74" s="41"/>
      <c r="U74" s="41"/>
      <c r="V74" s="41"/>
      <c r="W74" s="41"/>
      <c r="X74" s="42"/>
      <c r="Y74" s="221"/>
      <c r="Z74" s="41"/>
      <c r="AA74" s="41"/>
      <c r="AB74" s="41"/>
      <c r="AC74" s="41"/>
      <c r="AD74" s="41"/>
      <c r="AE74" s="240"/>
      <c r="AF74" s="37"/>
      <c r="AG74" s="37"/>
      <c r="AH74" s="37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37"/>
      <c r="BC74" s="57"/>
      <c r="BD74" s="55"/>
      <c r="BE74" s="55"/>
      <c r="BF74" s="55"/>
    </row>
    <row r="75" spans="1:58" ht="12.95" customHeight="1">
      <c r="A75" s="344">
        <v>45884</v>
      </c>
      <c r="B75" s="45" t="s">
        <v>231</v>
      </c>
      <c r="C75" s="449">
        <f>(M75*E75*O75*Q75)/100000000</f>
        <v>46.54313297865</v>
      </c>
      <c r="D75" s="45" t="s">
        <v>407</v>
      </c>
      <c r="E75" s="46">
        <v>16.5</v>
      </c>
      <c r="F75" s="46">
        <v>1</v>
      </c>
      <c r="G75" s="462">
        <v>1260</v>
      </c>
      <c r="H75" s="48">
        <v>0</v>
      </c>
      <c r="I75" s="49">
        <v>0.88</v>
      </c>
      <c r="J75" s="88">
        <f>E75*G75*(1-H75)*1440/1000000*2.77</f>
        <v>82.927152000000007</v>
      </c>
      <c r="K75" s="88">
        <f>(IF(G75&lt;L75,L75,G75)*(1-IF(H75&lt;N75,H75,N75))*E75*O75*Q75)/100000000</f>
        <v>46.706606100000002</v>
      </c>
      <c r="L75" s="39">
        <v>1260</v>
      </c>
      <c r="M75" s="39">
        <f>+L75-L75*0.0035</f>
        <v>1255.5899999999999</v>
      </c>
      <c r="N75" s="50">
        <f>1-(M75/L75)</f>
        <v>3.5000000000000586E-3</v>
      </c>
      <c r="O75" s="51">
        <f>+'Trim Rwd'!H59</f>
        <v>271</v>
      </c>
      <c r="P75" s="52">
        <f>O75*(Q75-R75-S75)</f>
        <v>220594</v>
      </c>
      <c r="Q75" s="51">
        <v>829</v>
      </c>
      <c r="R75" s="419">
        <v>0</v>
      </c>
      <c r="S75" s="419">
        <v>15</v>
      </c>
      <c r="T75" s="41">
        <f>E75*M75*O75*Q75/100000000</f>
        <v>46.54313297865</v>
      </c>
      <c r="U75" s="41">
        <f>E75*M75*O75*(Q75-R75-S75)/100000000</f>
        <v>45.700977375899996</v>
      </c>
      <c r="V75" s="41">
        <f>E75*G75*(1-N75)*O75/100*(R75+S75)/1000000</f>
        <v>0.84215560275000012</v>
      </c>
      <c r="W75" s="41">
        <f>+'15'!K10/1000</f>
        <v>51.322000000000003</v>
      </c>
      <c r="X75" s="416">
        <f>SUM(W75:W78)/SUM(K75:K78)</f>
        <v>0.96966855007746189</v>
      </c>
      <c r="Y75" s="221">
        <v>0</v>
      </c>
      <c r="Z75" s="41">
        <f>+('15'!D7+'15'!D16)/1000</f>
        <v>0.39300000000000002</v>
      </c>
      <c r="AA75" s="53">
        <f>SUM(U75:U78)-SUM(W75:W78)-SUM(Z75:Z78)-SUM(Y75:Y78)</f>
        <v>0.44980311669998563</v>
      </c>
      <c r="AB75" s="53">
        <f>(SUM(K75:K78)-SUM(W75:W78)-SUM(Y75:Y78)-SUM(Z75:Z78)-SUM(AC75:AC78)-SUM(V75:V78))-AA75</f>
        <v>5.773159728050814E-15</v>
      </c>
      <c r="AC75" s="41">
        <f>K75-T75</f>
        <v>0.1634731213500018</v>
      </c>
      <c r="AD75" s="41">
        <f>+AM75+BA75</f>
        <v>0</v>
      </c>
      <c r="AE75" s="240" t="s">
        <v>277</v>
      </c>
      <c r="AF75" s="41">
        <v>0</v>
      </c>
      <c r="AG75" s="41"/>
      <c r="AH75" s="41"/>
      <c r="AI75" s="458"/>
      <c r="AJ75" s="41"/>
      <c r="AK75" s="41"/>
      <c r="AL75" s="41"/>
      <c r="AM75" s="41">
        <f>SUM(AF75:AL75)+AT75+AV75+AX75</f>
        <v>0</v>
      </c>
      <c r="AN75" s="41"/>
      <c r="AO75" s="41"/>
      <c r="AP75" s="41"/>
      <c r="AQ75" s="41"/>
      <c r="AR75" s="41">
        <f>SUM(AN75:AQ75)</f>
        <v>0</v>
      </c>
      <c r="AS75" s="41"/>
      <c r="AT75" s="41"/>
      <c r="AU75" s="41"/>
      <c r="AV75" s="41"/>
      <c r="AW75" s="41"/>
      <c r="AX75" s="41"/>
      <c r="AY75" s="41"/>
      <c r="AZ75" s="41"/>
      <c r="BA75" s="41">
        <f>+AR75+AS75+AU75+AW75+AY75+AZ75</f>
        <v>0</v>
      </c>
      <c r="BB75" s="37">
        <v>0</v>
      </c>
      <c r="BC75" s="55"/>
      <c r="BD75" s="55"/>
      <c r="BE75" s="37"/>
      <c r="BF75" s="55"/>
    </row>
    <row r="76" spans="1:58" ht="12.95" customHeight="1">
      <c r="A76" s="344"/>
      <c r="B76" s="45" t="s">
        <v>231</v>
      </c>
      <c r="C76" s="449">
        <f>(M76*E76*O76*Q76)/100000000</f>
        <v>33.387042124799997</v>
      </c>
      <c r="D76" s="45" t="s">
        <v>407</v>
      </c>
      <c r="E76" s="46">
        <v>16</v>
      </c>
      <c r="F76" s="46">
        <v>1</v>
      </c>
      <c r="G76" s="462">
        <v>1260</v>
      </c>
      <c r="H76" s="48">
        <v>0</v>
      </c>
      <c r="I76" s="49">
        <v>0.88</v>
      </c>
      <c r="J76" s="88">
        <f>E76*G76*(1-H76)*1440/1000000*2.77</f>
        <v>80.414208000000002</v>
      </c>
      <c r="K76" s="88">
        <f>(IF(G76&lt;L76,L76,G76)*(1-IF(H76&lt;N76,H76,N76))*E76*O76*Q76)/100000000</f>
        <v>33.5043072</v>
      </c>
      <c r="L76" s="39">
        <v>1260</v>
      </c>
      <c r="M76" s="39">
        <f>+L76-L76*0.0035</f>
        <v>1255.5899999999999</v>
      </c>
      <c r="N76" s="50">
        <f>1-(M76/L76)</f>
        <v>3.5000000000000586E-3</v>
      </c>
      <c r="O76" s="51">
        <f>+'Trim Rwd'!H60</f>
        <v>272</v>
      </c>
      <c r="P76" s="52">
        <f>O76*(Q76-R76-S76)</f>
        <v>164832</v>
      </c>
      <c r="Q76" s="51">
        <v>611</v>
      </c>
      <c r="R76" s="419">
        <v>0</v>
      </c>
      <c r="S76" s="419">
        <v>5</v>
      </c>
      <c r="T76" s="41">
        <f>E76*M76*O76*Q76/100000000</f>
        <v>33.387042124799997</v>
      </c>
      <c r="U76" s="41">
        <f>E76*M76*O76*(Q76-R76-S76)/100000000</f>
        <v>33.113825740799996</v>
      </c>
      <c r="V76" s="41">
        <f>E76*G76*(1-N76)*O76/100*(R76+S76)/1000000</f>
        <v>0.27321638400000003</v>
      </c>
      <c r="W76" s="41">
        <f>+'15'!K15/1000</f>
        <v>26.456</v>
      </c>
      <c r="X76" s="42"/>
      <c r="Y76" s="221"/>
      <c r="Z76" s="41">
        <f>+'15'!D25/1000</f>
        <v>0.19400000000000001</v>
      </c>
      <c r="AA76" s="41"/>
      <c r="AB76" s="41"/>
      <c r="AC76" s="41">
        <f>K76-T76</f>
        <v>0.1172650752000024</v>
      </c>
      <c r="AD76" s="41">
        <f>+AM76+BA76</f>
        <v>0</v>
      </c>
      <c r="AE76" s="240" t="s">
        <v>446</v>
      </c>
      <c r="AF76" s="41"/>
      <c r="AG76" s="41">
        <v>0</v>
      </c>
      <c r="AH76" s="41"/>
      <c r="AI76" s="458"/>
      <c r="AJ76" s="41"/>
      <c r="AK76" s="41"/>
      <c r="AL76" s="41"/>
      <c r="AM76" s="41">
        <f>SUM(AF76:AL76)+AT76+AV76+AX76</f>
        <v>0</v>
      </c>
      <c r="AN76" s="89"/>
      <c r="AO76" s="41"/>
      <c r="AP76" s="41"/>
      <c r="AQ76" s="41"/>
      <c r="AR76" s="41">
        <f>SUM(AN76:AQ76)</f>
        <v>0</v>
      </c>
      <c r="AS76" s="41"/>
      <c r="AT76" s="41"/>
      <c r="AU76" s="41"/>
      <c r="AV76" s="41"/>
      <c r="AW76" s="41"/>
      <c r="AX76" s="41"/>
      <c r="AY76" s="41"/>
      <c r="AZ76" s="41"/>
      <c r="BA76" s="41">
        <f>+AR76+AS76+AU76+AW76+AY76+AZ76</f>
        <v>0</v>
      </c>
      <c r="BB76" s="54"/>
      <c r="BC76" s="55">
        <v>0</v>
      </c>
      <c r="BD76" s="55"/>
      <c r="BE76" s="54"/>
      <c r="BF76" s="55"/>
    </row>
    <row r="77" spans="1:58" ht="12.95" customHeight="1">
      <c r="A77" s="44"/>
      <c r="B77" s="45"/>
      <c r="C77" s="449"/>
      <c r="D77" s="45"/>
      <c r="E77" s="46"/>
      <c r="F77" s="46"/>
      <c r="G77" s="462"/>
      <c r="H77" s="48"/>
      <c r="I77" s="49"/>
      <c r="J77" s="88"/>
      <c r="K77" s="88"/>
      <c r="L77" s="39"/>
      <c r="M77" s="39"/>
      <c r="N77" s="50"/>
      <c r="O77" s="51"/>
      <c r="P77" s="52"/>
      <c r="Q77" s="51"/>
      <c r="R77" s="419"/>
      <c r="S77" s="419"/>
      <c r="T77" s="41"/>
      <c r="U77" s="41"/>
      <c r="V77" s="41"/>
      <c r="W77" s="41"/>
      <c r="X77" s="42"/>
      <c r="Y77" s="221"/>
      <c r="Z77" s="41"/>
      <c r="AA77" s="41"/>
      <c r="AB77" s="41"/>
      <c r="AC77" s="41"/>
      <c r="AD77" s="41">
        <f>+AM77+BA77</f>
        <v>15</v>
      </c>
      <c r="AE77" s="240" t="s">
        <v>596</v>
      </c>
      <c r="AF77" s="37"/>
      <c r="AG77" s="37"/>
      <c r="AH77" s="37">
        <v>15</v>
      </c>
      <c r="AI77" s="458"/>
      <c r="AJ77" s="41"/>
      <c r="AK77" s="41"/>
      <c r="AL77" s="41"/>
      <c r="AM77" s="41">
        <f>SUM(AF77:AL77)+AT77+AV77+AX77</f>
        <v>15</v>
      </c>
      <c r="AN77" s="41"/>
      <c r="AO77" s="41"/>
      <c r="AP77" s="41"/>
      <c r="AQ77" s="41"/>
      <c r="AR77" s="41">
        <f>SUM(AN77:AQ77)</f>
        <v>0</v>
      </c>
      <c r="AS77" s="41"/>
      <c r="AT77" s="41"/>
      <c r="AU77" s="41"/>
      <c r="AV77" s="41"/>
      <c r="AW77" s="41"/>
      <c r="AX77" s="41"/>
      <c r="AY77" s="41"/>
      <c r="AZ77" s="41"/>
      <c r="BA77" s="41">
        <f>+AR77+AS77+AU77+AW77+AY77+AZ77</f>
        <v>0</v>
      </c>
      <c r="BB77" s="37"/>
      <c r="BC77" s="57"/>
      <c r="BD77" s="57"/>
      <c r="BE77" s="37"/>
      <c r="BF77" s="57"/>
    </row>
    <row r="78" spans="1:58" ht="12.95" customHeight="1">
      <c r="A78" s="44"/>
      <c r="B78" s="45"/>
      <c r="C78" s="449"/>
      <c r="D78" s="45"/>
      <c r="E78" s="46"/>
      <c r="F78" s="46"/>
      <c r="G78" s="47"/>
      <c r="H78" s="48"/>
      <c r="I78" s="49"/>
      <c r="J78" s="88"/>
      <c r="K78" s="88"/>
      <c r="L78" s="39"/>
      <c r="M78" s="39"/>
      <c r="N78" s="50"/>
      <c r="O78" s="51"/>
      <c r="P78" s="52"/>
      <c r="Q78" s="51"/>
      <c r="R78" s="419"/>
      <c r="S78" s="419"/>
      <c r="T78" s="41"/>
      <c r="U78" s="41"/>
      <c r="V78" s="41"/>
      <c r="W78" s="41"/>
      <c r="X78" s="42"/>
      <c r="Y78" s="221"/>
      <c r="Z78" s="41"/>
      <c r="AA78" s="41"/>
      <c r="AB78" s="41"/>
      <c r="AC78" s="41"/>
      <c r="AD78" s="41">
        <f>+AM78+BA78</f>
        <v>5</v>
      </c>
      <c r="AE78" s="243" t="s">
        <v>541</v>
      </c>
      <c r="AF78" s="37"/>
      <c r="AG78" s="37"/>
      <c r="AH78" s="37"/>
      <c r="AI78" s="458">
        <v>5</v>
      </c>
      <c r="AJ78" s="41"/>
      <c r="AK78" s="41"/>
      <c r="AL78" s="41"/>
      <c r="AM78" s="41">
        <f>SUM(AF78:AL78)+AT78+AV78+AX78</f>
        <v>5</v>
      </c>
      <c r="AN78" s="41"/>
      <c r="AO78" s="41"/>
      <c r="AP78" s="41"/>
      <c r="AQ78" s="41"/>
      <c r="AR78" s="41">
        <f>SUM(AN78:AQ78)</f>
        <v>0</v>
      </c>
      <c r="AS78" s="41"/>
      <c r="AT78" s="41"/>
      <c r="AU78" s="41"/>
      <c r="AV78" s="41"/>
      <c r="AW78" s="41"/>
      <c r="AX78" s="41"/>
      <c r="AY78" s="41"/>
      <c r="AZ78" s="41"/>
      <c r="BA78" s="41">
        <f>+AR78+AS78+AU78+AW78+AY78+AZ78</f>
        <v>0</v>
      </c>
      <c r="BB78" s="37"/>
      <c r="BC78" s="57"/>
      <c r="BD78" s="57"/>
      <c r="BE78" s="37"/>
      <c r="BF78" s="57"/>
    </row>
    <row r="79" spans="1:58" ht="12.95" customHeight="1">
      <c r="A79" s="44"/>
      <c r="B79" s="45"/>
      <c r="C79" s="449"/>
      <c r="D79" s="45"/>
      <c r="E79" s="46"/>
      <c r="F79" s="46"/>
      <c r="G79" s="47"/>
      <c r="H79" s="48"/>
      <c r="I79" s="49"/>
      <c r="J79" s="88"/>
      <c r="K79" s="88"/>
      <c r="L79" s="39"/>
      <c r="M79" s="39"/>
      <c r="N79" s="50"/>
      <c r="O79" s="51"/>
      <c r="P79" s="52"/>
      <c r="Q79" s="51"/>
      <c r="R79" s="419"/>
      <c r="S79" s="419"/>
      <c r="T79" s="41"/>
      <c r="U79" s="41"/>
      <c r="V79" s="41"/>
      <c r="W79" s="41"/>
      <c r="X79" s="42"/>
      <c r="Y79" s="221"/>
      <c r="Z79" s="41"/>
      <c r="AA79" s="41"/>
      <c r="AB79" s="41"/>
      <c r="AC79" s="41"/>
      <c r="AD79" s="41"/>
      <c r="AE79" s="240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37"/>
      <c r="BC79" s="55"/>
      <c r="BD79" s="55"/>
      <c r="BE79" s="55"/>
      <c r="BF79" s="55"/>
    </row>
    <row r="80" spans="1:58" ht="12.95" customHeight="1">
      <c r="A80" s="344">
        <v>45885</v>
      </c>
      <c r="B80" s="45" t="s">
        <v>231</v>
      </c>
      <c r="C80" s="449">
        <f>(M80*E80*O80*Q80)/100000000</f>
        <v>59.014738943999994</v>
      </c>
      <c r="D80" s="45" t="s">
        <v>566</v>
      </c>
      <c r="E80" s="46">
        <v>16</v>
      </c>
      <c r="F80" s="46">
        <v>1</v>
      </c>
      <c r="G80" s="462">
        <v>1260</v>
      </c>
      <c r="H80" s="48">
        <v>0</v>
      </c>
      <c r="I80" s="49">
        <v>0.88</v>
      </c>
      <c r="J80" s="88">
        <f>E80*G80*(1-H80)*1440/1000000*2.77</f>
        <v>80.414208000000002</v>
      </c>
      <c r="K80" s="88">
        <f>(IF(G80&lt;L80,L80,G80)*(1-IF(H80&lt;N80,H80,N80))*E80*O80*Q80)/100000000</f>
        <v>59.222016000000004</v>
      </c>
      <c r="L80" s="39">
        <v>1260</v>
      </c>
      <c r="M80" s="39">
        <f>+L80-L80*0.0035</f>
        <v>1255.5899999999999</v>
      </c>
      <c r="N80" s="50">
        <f>1-(M80/L80)</f>
        <v>3.5000000000000586E-3</v>
      </c>
      <c r="O80" s="51">
        <f>+'Trim Rwd'!H62</f>
        <v>272</v>
      </c>
      <c r="P80" s="52">
        <f>O80*(Q80-R80-S80)</f>
        <v>290768</v>
      </c>
      <c r="Q80" s="51">
        <v>1080</v>
      </c>
      <c r="R80" s="419">
        <v>0</v>
      </c>
      <c r="S80" s="419">
        <v>11</v>
      </c>
      <c r="T80" s="41">
        <f>E80*M80*O80*Q80/100000000</f>
        <v>59.014738943999994</v>
      </c>
      <c r="U80" s="41">
        <f>E80*M80*O80*(Q80-R80-S80)/100000000</f>
        <v>58.413662899199998</v>
      </c>
      <c r="V80" s="41">
        <f>E80*G80*(1-N80)*O80/100*(R80+S80)/1000000</f>
        <v>0.60107604479999999</v>
      </c>
      <c r="W80" s="41">
        <f>+'16'!K15/1000</f>
        <v>68.632000000000005</v>
      </c>
      <c r="X80" s="416">
        <f>SUM(W80:W83)/SUM(K80:K83)</f>
        <v>1.0021387472367864</v>
      </c>
      <c r="Y80" s="221">
        <v>0</v>
      </c>
      <c r="Z80" s="41">
        <v>0</v>
      </c>
      <c r="AA80" s="53">
        <f>SUM(U80:U83)-SUM(W80:W83)-SUM(Z80:Z83)-SUM(Y80:Y83)</f>
        <v>-1.3435761328000098</v>
      </c>
      <c r="AB80" s="53">
        <f>(SUM(K80:K83)-SUM(W80:W83)-SUM(Y80:Y83)-SUM(Z80:Z83)-SUM(AC80:AC83)-SUM(V80:V83))-AA80</f>
        <v>1.1519539999998329E-2</v>
      </c>
      <c r="AC80" s="41">
        <f>K80-T80</f>
        <v>0.20727705600000945</v>
      </c>
      <c r="AD80" s="41">
        <f>+AM80+BA80</f>
        <v>0</v>
      </c>
      <c r="AE80" s="240" t="s">
        <v>277</v>
      </c>
      <c r="AF80" s="41">
        <v>0</v>
      </c>
      <c r="AG80" s="41"/>
      <c r="AH80" s="41"/>
      <c r="AI80" s="458"/>
      <c r="AJ80" s="41"/>
      <c r="AK80" s="41"/>
      <c r="AL80" s="41"/>
      <c r="AM80" s="41">
        <f>SUM(AF80:AL80)+AT80+AV80+AX80</f>
        <v>0</v>
      </c>
      <c r="AN80" s="41"/>
      <c r="AO80" s="41"/>
      <c r="AP80" s="41"/>
      <c r="AQ80" s="41"/>
      <c r="AR80" s="41">
        <f>SUM(AN80:AQ80)</f>
        <v>0</v>
      </c>
      <c r="AS80" s="41"/>
      <c r="AT80" s="41"/>
      <c r="AU80" s="41"/>
      <c r="AV80" s="41"/>
      <c r="AW80" s="41"/>
      <c r="AX80" s="41"/>
      <c r="AY80" s="41"/>
      <c r="AZ80" s="41"/>
      <c r="BA80" s="41">
        <f>+AR80+AS80+AU80+AW80+AY80+AZ80</f>
        <v>0</v>
      </c>
      <c r="BB80" s="37">
        <v>0</v>
      </c>
      <c r="BC80" s="55"/>
      <c r="BD80" s="55"/>
      <c r="BE80" s="37"/>
      <c r="BF80" s="55"/>
    </row>
    <row r="81" spans="1:58" ht="12.95" customHeight="1">
      <c r="A81" s="344"/>
      <c r="B81" s="45" t="s">
        <v>231</v>
      </c>
      <c r="C81" s="449">
        <f>(M81*E81*O81*Q81)/100000000</f>
        <v>20.901053376</v>
      </c>
      <c r="D81" s="45" t="s">
        <v>566</v>
      </c>
      <c r="E81" s="46">
        <v>17</v>
      </c>
      <c r="F81" s="46">
        <v>1</v>
      </c>
      <c r="G81" s="462">
        <v>1210</v>
      </c>
      <c r="H81" s="48">
        <v>0</v>
      </c>
      <c r="I81" s="49">
        <v>0.88</v>
      </c>
      <c r="J81" s="88">
        <f>E81*G81*(1-H81)*1440/1000000*2.77</f>
        <v>82.049616</v>
      </c>
      <c r="K81" s="88">
        <f>(IF(G81&lt;L81,L81,G81)*(1-IF(H81&lt;N81,H81,N81))*E81*O81*Q81)/100000000</f>
        <v>20.974464000000001</v>
      </c>
      <c r="L81" s="39">
        <v>1260</v>
      </c>
      <c r="M81" s="39">
        <f>+L81-L81*0.0035</f>
        <v>1255.5899999999999</v>
      </c>
      <c r="N81" s="50">
        <f>1-(M81/L81)</f>
        <v>3.5000000000000586E-3</v>
      </c>
      <c r="O81" s="51">
        <f>+'Trim Rwd'!H63</f>
        <v>272</v>
      </c>
      <c r="P81" s="52">
        <f>O81*(Q81-R81-S81)</f>
        <v>96560</v>
      </c>
      <c r="Q81" s="51">
        <v>360</v>
      </c>
      <c r="R81" s="419">
        <v>0</v>
      </c>
      <c r="S81" s="419">
        <v>5</v>
      </c>
      <c r="T81" s="41">
        <f>E81*M81*O81*Q81/100000000</f>
        <v>20.901053376</v>
      </c>
      <c r="U81" s="41">
        <f>E81*M81*O81*(Q81-R81-S81)/100000000</f>
        <v>20.610760968000001</v>
      </c>
      <c r="V81" s="41">
        <f>E81*G81*(1-N81)*O81/100*(R81+S81)/1000000</f>
        <v>0.27877286799999995</v>
      </c>
      <c r="W81" s="41">
        <f>+'16'!K12/1000</f>
        <v>11.736000000000001</v>
      </c>
      <c r="X81" s="42"/>
      <c r="Y81" s="221"/>
      <c r="Z81" s="41"/>
      <c r="AA81" s="41"/>
      <c r="AB81" s="41"/>
      <c r="AC81" s="41">
        <f>K81-T81</f>
        <v>7.3410624000000979E-2</v>
      </c>
      <c r="AD81" s="41">
        <f>+AM81+BA81</f>
        <v>0</v>
      </c>
      <c r="AE81" s="240" t="s">
        <v>446</v>
      </c>
      <c r="AF81" s="41"/>
      <c r="AG81" s="41">
        <v>0</v>
      </c>
      <c r="AH81" s="41"/>
      <c r="AI81" s="458"/>
      <c r="AJ81" s="41"/>
      <c r="AK81" s="41"/>
      <c r="AL81" s="41"/>
      <c r="AM81" s="41">
        <f>SUM(AF81:AL81)+AT81+AV81+AX81</f>
        <v>0</v>
      </c>
      <c r="AN81" s="89"/>
      <c r="AO81" s="41"/>
      <c r="AP81" s="41"/>
      <c r="AQ81" s="41"/>
      <c r="AR81" s="41">
        <f>SUM(AN81:AQ81)</f>
        <v>0</v>
      </c>
      <c r="AS81" s="41"/>
      <c r="AT81" s="41"/>
      <c r="AU81" s="41"/>
      <c r="AV81" s="41"/>
      <c r="AW81" s="41"/>
      <c r="AX81" s="41"/>
      <c r="AY81" s="41"/>
      <c r="AZ81" s="41"/>
      <c r="BA81" s="41">
        <f>+AR81+AS81+AU81+AW81+AY81+AZ81</f>
        <v>0</v>
      </c>
      <c r="BB81" s="54"/>
      <c r="BC81" s="55">
        <v>0</v>
      </c>
      <c r="BD81" s="55"/>
      <c r="BE81" s="54"/>
      <c r="BF81" s="55"/>
    </row>
    <row r="82" spans="1:58" ht="12.95" customHeight="1">
      <c r="A82" s="44"/>
      <c r="B82" s="45"/>
      <c r="C82" s="449"/>
      <c r="D82" s="45"/>
      <c r="E82" s="46"/>
      <c r="F82" s="46"/>
      <c r="G82" s="462"/>
      <c r="H82" s="48"/>
      <c r="I82" s="49"/>
      <c r="J82" s="88"/>
      <c r="K82" s="88"/>
      <c r="L82" s="39"/>
      <c r="M82" s="39"/>
      <c r="N82" s="50"/>
      <c r="O82" s="51"/>
      <c r="P82" s="52"/>
      <c r="Q82" s="51"/>
      <c r="R82" s="419"/>
      <c r="S82" s="419"/>
      <c r="T82" s="41"/>
      <c r="U82" s="41"/>
      <c r="V82" s="41"/>
      <c r="W82" s="41"/>
      <c r="X82" s="42"/>
      <c r="Y82" s="221"/>
      <c r="Z82" s="41"/>
      <c r="AA82" s="41"/>
      <c r="AB82" s="41"/>
      <c r="AC82" s="41"/>
      <c r="AD82" s="41">
        <f>+AM82+BA82</f>
        <v>11</v>
      </c>
      <c r="AE82" s="240" t="s">
        <v>500</v>
      </c>
      <c r="AF82" s="37"/>
      <c r="AG82" s="37"/>
      <c r="AH82" s="37">
        <v>11</v>
      </c>
      <c r="AI82" s="458"/>
      <c r="AJ82" s="41"/>
      <c r="AK82" s="41"/>
      <c r="AL82" s="41"/>
      <c r="AM82" s="41">
        <f>SUM(AF82:AL82)+AT82+AV82+AX82</f>
        <v>11</v>
      </c>
      <c r="AN82" s="41"/>
      <c r="AO82" s="41"/>
      <c r="AP82" s="41"/>
      <c r="AQ82" s="41"/>
      <c r="AR82" s="41">
        <f>SUM(AN82:AQ82)</f>
        <v>0</v>
      </c>
      <c r="AS82" s="41"/>
      <c r="AT82" s="41"/>
      <c r="AU82" s="41"/>
      <c r="AV82" s="41"/>
      <c r="AW82" s="41"/>
      <c r="AX82" s="41"/>
      <c r="AY82" s="41"/>
      <c r="AZ82" s="41"/>
      <c r="BA82" s="41">
        <f>+AR82+AS82+AU82+AW82+AY82+AZ82</f>
        <v>0</v>
      </c>
      <c r="BB82" s="37"/>
      <c r="BC82" s="57"/>
      <c r="BD82" s="57"/>
      <c r="BE82" s="37"/>
      <c r="BF82" s="57"/>
    </row>
    <row r="83" spans="1:58" ht="12.95" customHeight="1">
      <c r="A83" s="44"/>
      <c r="B83" s="45"/>
      <c r="C83" s="449"/>
      <c r="D83" s="45"/>
      <c r="E83" s="46"/>
      <c r="F83" s="46"/>
      <c r="G83" s="462"/>
      <c r="H83" s="48"/>
      <c r="I83" s="49"/>
      <c r="J83" s="88"/>
      <c r="K83" s="88"/>
      <c r="L83" s="39"/>
      <c r="M83" s="39"/>
      <c r="N83" s="50"/>
      <c r="O83" s="51"/>
      <c r="P83" s="52"/>
      <c r="Q83" s="51"/>
      <c r="R83" s="419"/>
      <c r="S83" s="419"/>
      <c r="T83" s="41"/>
      <c r="U83" s="41"/>
      <c r="V83" s="41"/>
      <c r="W83" s="41"/>
      <c r="X83" s="42"/>
      <c r="Y83" s="221"/>
      <c r="Z83" s="41"/>
      <c r="AA83" s="41"/>
      <c r="AB83" s="41"/>
      <c r="AC83" s="41"/>
      <c r="AD83" s="41">
        <f>+AM83+BA83</f>
        <v>5</v>
      </c>
      <c r="AE83" s="240" t="s">
        <v>541</v>
      </c>
      <c r="AF83" s="41"/>
      <c r="AG83" s="41"/>
      <c r="AH83" s="41"/>
      <c r="AI83" s="41">
        <v>5</v>
      </c>
      <c r="AJ83" s="41"/>
      <c r="AK83" s="41"/>
      <c r="AL83" s="41"/>
      <c r="AM83" s="41">
        <f>SUM(AF83:AL83)+AT83+AV83+AX83</f>
        <v>5</v>
      </c>
      <c r="AN83" s="41"/>
      <c r="AO83" s="41"/>
      <c r="AP83" s="41"/>
      <c r="AQ83" s="41"/>
      <c r="AR83" s="41">
        <f>SUM(AN83:AQ83)</f>
        <v>0</v>
      </c>
      <c r="AS83" s="41"/>
      <c r="AT83" s="41"/>
      <c r="AU83" s="41"/>
      <c r="AV83" s="41"/>
      <c r="AW83" s="41"/>
      <c r="AX83" s="41"/>
      <c r="AY83" s="41"/>
      <c r="AZ83" s="41"/>
      <c r="BA83" s="41">
        <f>+AR83+AS83+AU83+AW83+AY83+AZ83</f>
        <v>0</v>
      </c>
      <c r="BB83" s="37"/>
      <c r="BC83" s="57"/>
      <c r="BD83" s="57"/>
      <c r="BE83" s="37"/>
      <c r="BF83" s="57"/>
    </row>
    <row r="84" spans="1:58" ht="12.95" customHeight="1">
      <c r="A84" s="344"/>
      <c r="B84" s="45"/>
      <c r="C84" s="449"/>
      <c r="D84" s="45"/>
      <c r="E84" s="46"/>
      <c r="F84" s="46"/>
      <c r="G84" s="462"/>
      <c r="H84" s="48"/>
      <c r="I84" s="49"/>
      <c r="J84" s="88"/>
      <c r="K84" s="88"/>
      <c r="L84" s="39"/>
      <c r="M84" s="39"/>
      <c r="N84" s="50"/>
      <c r="O84" s="51"/>
      <c r="P84" s="52"/>
      <c r="Q84" s="51"/>
      <c r="R84" s="419"/>
      <c r="S84" s="419"/>
      <c r="T84" s="41"/>
      <c r="U84" s="41"/>
      <c r="V84" s="41"/>
      <c r="W84" s="41"/>
      <c r="X84" s="416"/>
      <c r="Y84" s="221"/>
      <c r="Z84" s="41"/>
      <c r="AA84" s="53"/>
      <c r="AB84" s="53"/>
      <c r="AC84" s="41"/>
      <c r="AD84" s="41"/>
      <c r="AE84" s="240"/>
      <c r="AF84" s="41"/>
      <c r="AG84" s="41"/>
      <c r="AH84" s="41"/>
      <c r="AI84" s="458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37"/>
      <c r="BC84" s="55"/>
      <c r="BD84" s="55"/>
      <c r="BE84" s="37"/>
      <c r="BF84" s="55"/>
    </row>
    <row r="85" spans="1:58" ht="12.95" customHeight="1">
      <c r="A85" s="344">
        <v>45886</v>
      </c>
      <c r="B85" s="45" t="s">
        <v>231</v>
      </c>
      <c r="C85" s="449">
        <f>(M85*E85*O85*Q85)/100000000</f>
        <v>43.419541646699997</v>
      </c>
      <c r="D85" s="45" t="s">
        <v>616</v>
      </c>
      <c r="E85" s="46">
        <v>17</v>
      </c>
      <c r="F85" s="46">
        <v>1</v>
      </c>
      <c r="G85" s="462">
        <v>1210</v>
      </c>
      <c r="H85" s="48">
        <v>0</v>
      </c>
      <c r="I85" s="49">
        <v>0.88</v>
      </c>
      <c r="J85" s="88">
        <f>E85*G85*(1-H85)*1440/1000000*2.77</f>
        <v>82.049616</v>
      </c>
      <c r="K85" s="88">
        <f>(IF(G85&lt;L85,L85,G85)*(1-IF(H85&lt;N85,H85,N85))*E85*O85*Q85)/100000000</f>
        <v>43.57204380000001</v>
      </c>
      <c r="L85" s="39">
        <v>1260</v>
      </c>
      <c r="M85" s="39">
        <v>1255.5899999999999</v>
      </c>
      <c r="N85" s="50">
        <f>1-(M85/L85)</f>
        <v>3.5000000000000586E-3</v>
      </c>
      <c r="O85" s="51">
        <f>+'Trim Rwd'!H65</f>
        <v>270.14285714285717</v>
      </c>
      <c r="P85" s="52">
        <f>O85*(Q85-R85-S85)</f>
        <v>196664.00000000003</v>
      </c>
      <c r="Q85" s="51">
        <v>753</v>
      </c>
      <c r="R85" s="419">
        <v>0</v>
      </c>
      <c r="S85" s="419">
        <v>25</v>
      </c>
      <c r="T85" s="41">
        <f>E85*M85*O85*Q85/100000000</f>
        <v>43.419541646699997</v>
      </c>
      <c r="U85" s="41">
        <f>E85*M85*O85*(Q85-R85-S85)/100000000</f>
        <v>41.977989799200003</v>
      </c>
      <c r="V85" s="41">
        <f>E85*G85*(1-N85)*O85/100*(R85+S85)/1000000</f>
        <v>1.3843474091071428</v>
      </c>
      <c r="W85" s="41">
        <f>+('17'!K9+'17'!K12)/1000</f>
        <v>47.981000000000002</v>
      </c>
      <c r="X85" s="416">
        <f>SUM(W85:W88)/SUM(K85:K88)</f>
        <v>0.99953816659635464</v>
      </c>
      <c r="Y85" s="221">
        <v>0</v>
      </c>
      <c r="Z85" s="41">
        <v>0</v>
      </c>
      <c r="AA85" s="53">
        <f>SUM(U85:U88)-SUM(W85:W88)-SUM(Z85:Z88)-SUM(Y85:Y88)</f>
        <v>-3.3961548999999991</v>
      </c>
      <c r="AB85" s="53">
        <f>(SUM(K85:K88)-SUM(W85:W88)-SUM(Y85:Y88)-SUM(Z85:Z88)-SUM(AC85:AC88)-SUM(V85:V88))-AA85</f>
        <v>2.8436538392857535E-2</v>
      </c>
      <c r="AC85" s="41">
        <f>K85-T85</f>
        <v>0.15250215330001282</v>
      </c>
      <c r="AD85" s="41">
        <f>+AM85+BA85</f>
        <v>0</v>
      </c>
      <c r="AE85" s="240" t="s">
        <v>277</v>
      </c>
      <c r="AF85" s="41">
        <v>0</v>
      </c>
      <c r="AG85" s="41"/>
      <c r="AH85" s="41"/>
      <c r="AI85" s="458"/>
      <c r="AJ85" s="41"/>
      <c r="AK85" s="41"/>
      <c r="AL85" s="41"/>
      <c r="AM85" s="41">
        <f>SUM(AF85:AL85)+AT85+AV85+AX85</f>
        <v>0</v>
      </c>
      <c r="AN85" s="41"/>
      <c r="AO85" s="41"/>
      <c r="AP85" s="41"/>
      <c r="AQ85" s="41"/>
      <c r="AR85" s="41">
        <f>SUM(AN85:AQ85)</f>
        <v>0</v>
      </c>
      <c r="AS85" s="41"/>
      <c r="AT85" s="41"/>
      <c r="AU85" s="41"/>
      <c r="AV85" s="41"/>
      <c r="AW85" s="41"/>
      <c r="AX85" s="41"/>
      <c r="AY85" s="41"/>
      <c r="AZ85" s="41"/>
      <c r="BA85" s="41">
        <f>+AR85+AS85+AU85+AW85+AY85+AZ85</f>
        <v>0</v>
      </c>
      <c r="BB85" s="37">
        <v>0</v>
      </c>
      <c r="BC85" s="55"/>
      <c r="BD85" s="55"/>
      <c r="BE85" s="37"/>
      <c r="BF85" s="55"/>
    </row>
    <row r="86" spans="1:58" ht="12.95" customHeight="1">
      <c r="A86" s="344"/>
      <c r="B86" s="45" t="s">
        <v>231</v>
      </c>
      <c r="C86" s="449">
        <f>(M86*E86*O86*Q86)/100000000</f>
        <v>8.1559610747999987</v>
      </c>
      <c r="D86" s="45" t="s">
        <v>566</v>
      </c>
      <c r="E86" s="46">
        <v>16.5</v>
      </c>
      <c r="F86" s="46">
        <v>1</v>
      </c>
      <c r="G86" s="462">
        <v>1260</v>
      </c>
      <c r="H86" s="48">
        <v>0</v>
      </c>
      <c r="I86" s="49">
        <v>0.88</v>
      </c>
      <c r="J86" s="88">
        <f>E86*G86*(1-H86)*1440/1000000*2.77</f>
        <v>82.927152000000007</v>
      </c>
      <c r="K86" s="88">
        <f>(IF(G86&lt;L86,L86,G86)*(1-IF(H86&lt;N86,H86,N86))*E86*O86*Q86)/100000000</f>
        <v>8.1846072000000003</v>
      </c>
      <c r="L86" s="39">
        <v>1260</v>
      </c>
      <c r="M86" s="39">
        <v>1255.5899999999999</v>
      </c>
      <c r="N86" s="50">
        <f>1-(M86/L86)</f>
        <v>3.5000000000000586E-3</v>
      </c>
      <c r="O86" s="51">
        <f>+'Trim Rwd'!H68</f>
        <v>266</v>
      </c>
      <c r="P86" s="52">
        <f>O86*(Q86-R86-S86)</f>
        <v>38304</v>
      </c>
      <c r="Q86" s="51">
        <v>148</v>
      </c>
      <c r="R86" s="419">
        <v>0</v>
      </c>
      <c r="S86" s="419">
        <v>4</v>
      </c>
      <c r="T86" s="41">
        <f>E86*M86*O86*Q86/100000000</f>
        <v>8.1559610747999987</v>
      </c>
      <c r="U86" s="41">
        <f>E86*M86*O86*(Q86-R86-S86)/100000000</f>
        <v>7.9355296943999978</v>
      </c>
      <c r="V86" s="41">
        <f>E86*G86*(1-N86)*O86/100*(R86+S86)/1000000</f>
        <v>0.22043138039999999</v>
      </c>
      <c r="W86" s="41">
        <f>+'17'!K16/1000</f>
        <v>11.811999999999999</v>
      </c>
      <c r="X86" s="416"/>
      <c r="Y86" s="221"/>
      <c r="Z86" s="41"/>
      <c r="AA86" s="53"/>
      <c r="AB86" s="53"/>
      <c r="AC86" s="41">
        <f>K86-T86</f>
        <v>2.8646125200001649E-2</v>
      </c>
      <c r="AD86" s="41">
        <f>+AM86+BA86</f>
        <v>8</v>
      </c>
      <c r="AE86" s="240" t="s">
        <v>491</v>
      </c>
      <c r="AF86" s="41"/>
      <c r="AG86" s="41">
        <v>8</v>
      </c>
      <c r="AH86" s="41"/>
      <c r="AI86" s="458"/>
      <c r="AJ86" s="41"/>
      <c r="AK86" s="41"/>
      <c r="AL86" s="41"/>
      <c r="AM86" s="41">
        <f>SUM(AF86:AL86)+AT86+AV86+AX86</f>
        <v>8</v>
      </c>
      <c r="AN86" s="89"/>
      <c r="AO86" s="41"/>
      <c r="AP86" s="41"/>
      <c r="AQ86" s="41"/>
      <c r="AR86" s="41">
        <f>SUM(AN86:AQ86)</f>
        <v>0</v>
      </c>
      <c r="AS86" s="41"/>
      <c r="AT86" s="41"/>
      <c r="AU86" s="41"/>
      <c r="AV86" s="41"/>
      <c r="AW86" s="41"/>
      <c r="AX86" s="41"/>
      <c r="AY86" s="41"/>
      <c r="AZ86" s="41"/>
      <c r="BA86" s="41">
        <f>+AR86+AS86+AU86+AW86+AY86+AZ86</f>
        <v>0</v>
      </c>
      <c r="BB86" s="54"/>
      <c r="BC86" s="55">
        <v>8</v>
      </c>
      <c r="BD86" s="55"/>
      <c r="BE86" s="54"/>
      <c r="BF86" s="55"/>
    </row>
    <row r="87" spans="1:58" ht="12.95" customHeight="1">
      <c r="A87" s="44"/>
      <c r="B87" s="45" t="s">
        <v>7</v>
      </c>
      <c r="C87" s="449">
        <f>(M87*E87*O87*Q87)/100000000</f>
        <v>20.8399270464</v>
      </c>
      <c r="D87" s="45" t="s">
        <v>407</v>
      </c>
      <c r="E87" s="46">
        <v>10.3</v>
      </c>
      <c r="F87" s="46">
        <v>1</v>
      </c>
      <c r="G87" s="462">
        <v>1730</v>
      </c>
      <c r="H87" s="48">
        <v>0.16</v>
      </c>
      <c r="I87" s="49">
        <v>0.88</v>
      </c>
      <c r="J87" s="88">
        <f>E87*G87*(1-H87)*1440/1000000*2.77</f>
        <v>59.704198847999997</v>
      </c>
      <c r="K87" s="88">
        <f>(IF(G87&lt;L87,L87,G87)*(1-IF(H87&lt;N87,H87,N87))*E87*O87*Q87)/100000000</f>
        <v>21.460162970400003</v>
      </c>
      <c r="L87" s="39">
        <v>1680</v>
      </c>
      <c r="M87" s="39">
        <v>1411.2</v>
      </c>
      <c r="N87" s="50">
        <f>1-(M87/L87)</f>
        <v>0.15999999999999992</v>
      </c>
      <c r="O87" s="51">
        <f>+'Trim Rwd'!H69</f>
        <v>266</v>
      </c>
      <c r="P87" s="52">
        <f>O87*(Q87-R87-S87)</f>
        <v>136724</v>
      </c>
      <c r="Q87" s="51">
        <v>539</v>
      </c>
      <c r="R87" s="419">
        <v>0</v>
      </c>
      <c r="S87" s="419">
        <v>25</v>
      </c>
      <c r="T87" s="41">
        <f>E87*M87*O87*Q87/100000000</f>
        <v>20.8399270464</v>
      </c>
      <c r="U87" s="41">
        <f>E87*M87*O87*(Q87-R87-S87)/100000000</f>
        <v>19.873325606400002</v>
      </c>
      <c r="V87" s="41">
        <f>E87*G87*(1-N87)*O87/100*(R87+S87)/1000000</f>
        <v>0.99536933999999999</v>
      </c>
      <c r="W87" s="41">
        <f>+'17'!K17/1000</f>
        <v>13.39</v>
      </c>
      <c r="X87" s="42"/>
      <c r="Y87" s="221"/>
      <c r="Z87" s="41"/>
      <c r="AA87" s="41"/>
      <c r="AB87" s="41"/>
      <c r="AC87" s="41">
        <f>K87-T87</f>
        <v>0.62023592400000283</v>
      </c>
      <c r="AD87" s="41">
        <f>+AM87+BA87</f>
        <v>18</v>
      </c>
      <c r="AE87" s="240" t="s">
        <v>617</v>
      </c>
      <c r="AF87" s="37"/>
      <c r="AG87" s="37"/>
      <c r="AH87" s="37">
        <v>18</v>
      </c>
      <c r="AI87" s="458"/>
      <c r="AJ87" s="41"/>
      <c r="AK87" s="41"/>
      <c r="AL87" s="41"/>
      <c r="AM87" s="41">
        <f>SUM(AF87:AL87)+AT87+AV87+AX87</f>
        <v>18</v>
      </c>
      <c r="AN87" s="41"/>
      <c r="AO87" s="41"/>
      <c r="AP87" s="41"/>
      <c r="AQ87" s="41"/>
      <c r="AR87" s="41">
        <f>SUM(AN87:AQ87)</f>
        <v>0</v>
      </c>
      <c r="AS87" s="41"/>
      <c r="AT87" s="41"/>
      <c r="AU87" s="41"/>
      <c r="AV87" s="41"/>
      <c r="AW87" s="41"/>
      <c r="AX87" s="41"/>
      <c r="AY87" s="41"/>
      <c r="AZ87" s="41"/>
      <c r="BA87" s="41">
        <f>+AR87+AS87+AU87+AW87+AY87+AZ87</f>
        <v>0</v>
      </c>
      <c r="BB87" s="37"/>
      <c r="BC87" s="57"/>
      <c r="BD87" s="57"/>
      <c r="BE87" s="37"/>
      <c r="BF87" s="57"/>
    </row>
    <row r="88" spans="1:58" ht="12.95" customHeight="1">
      <c r="A88" s="44"/>
      <c r="B88" s="45"/>
      <c r="C88" s="449"/>
      <c r="D88" s="45"/>
      <c r="E88" s="46"/>
      <c r="F88" s="46"/>
      <c r="G88" s="462"/>
      <c r="H88" s="48"/>
      <c r="I88" s="49"/>
      <c r="J88" s="88"/>
      <c r="K88" s="88"/>
      <c r="L88" s="39"/>
      <c r="M88" s="39"/>
      <c r="N88" s="50"/>
      <c r="O88" s="51"/>
      <c r="P88" s="52"/>
      <c r="Q88" s="51"/>
      <c r="R88" s="419"/>
      <c r="S88" s="419"/>
      <c r="T88" s="41"/>
      <c r="U88" s="41"/>
      <c r="V88" s="41"/>
      <c r="W88" s="41"/>
      <c r="X88" s="42"/>
      <c r="Y88" s="221"/>
      <c r="Z88" s="41"/>
      <c r="AA88" s="41"/>
      <c r="AB88" s="41"/>
      <c r="AC88" s="41"/>
      <c r="AD88" s="41">
        <f>+AM88+BA88</f>
        <v>28</v>
      </c>
      <c r="AE88" s="240" t="s">
        <v>541</v>
      </c>
      <c r="AF88" s="41"/>
      <c r="AG88" s="41"/>
      <c r="AH88" s="41"/>
      <c r="AI88" s="41">
        <v>28</v>
      </c>
      <c r="AJ88" s="41"/>
      <c r="AK88" s="41"/>
      <c r="AL88" s="41"/>
      <c r="AM88" s="41">
        <f>SUM(AF88:AL88)+AT88+AV88+AX88</f>
        <v>28</v>
      </c>
      <c r="AN88" s="41"/>
      <c r="AO88" s="41"/>
      <c r="AP88" s="41"/>
      <c r="AQ88" s="41"/>
      <c r="AR88" s="41">
        <f>SUM(AN88:AQ88)</f>
        <v>0</v>
      </c>
      <c r="AS88" s="41"/>
      <c r="AT88" s="41"/>
      <c r="AU88" s="41"/>
      <c r="AV88" s="41"/>
      <c r="AW88" s="41"/>
      <c r="AX88" s="41"/>
      <c r="AY88" s="41"/>
      <c r="AZ88" s="41"/>
      <c r="BA88" s="41">
        <f>+AR88+AS88+AU88+AW88+AY88+AZ88</f>
        <v>0</v>
      </c>
      <c r="BB88" s="37"/>
      <c r="BC88" s="57"/>
      <c r="BD88" s="57"/>
      <c r="BE88" s="37"/>
      <c r="BF88" s="57"/>
    </row>
    <row r="89" spans="1:58" ht="12.95" customHeight="1">
      <c r="A89" s="44"/>
      <c r="B89" s="45"/>
      <c r="C89" s="449"/>
      <c r="D89" s="45"/>
      <c r="E89" s="46"/>
      <c r="F89" s="46"/>
      <c r="G89" s="462"/>
      <c r="H89" s="48"/>
      <c r="I89" s="49"/>
      <c r="J89" s="88"/>
      <c r="K89" s="88"/>
      <c r="L89" s="39"/>
      <c r="M89" s="39"/>
      <c r="N89" s="50"/>
      <c r="O89" s="51"/>
      <c r="P89" s="52"/>
      <c r="Q89" s="51"/>
      <c r="R89" s="419"/>
      <c r="S89" s="419"/>
      <c r="T89" s="41"/>
      <c r="U89" s="41"/>
      <c r="V89" s="41"/>
      <c r="W89" s="41"/>
      <c r="X89" s="42"/>
      <c r="Y89" s="221"/>
      <c r="Z89" s="41"/>
      <c r="AA89" s="41"/>
      <c r="AB89" s="41"/>
      <c r="AC89" s="41"/>
      <c r="AD89" s="41"/>
      <c r="AE89" s="243"/>
      <c r="AF89" s="41"/>
      <c r="AG89" s="41"/>
      <c r="AH89" s="41"/>
      <c r="AI89" s="41"/>
      <c r="AJ89" s="41"/>
      <c r="AK89" s="41"/>
      <c r="AL89" s="41"/>
      <c r="AM89" s="41"/>
      <c r="AN89" s="58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37"/>
      <c r="BC89" s="55"/>
      <c r="BD89" s="55"/>
      <c r="BE89" s="55"/>
      <c r="BF89" s="55"/>
    </row>
    <row r="90" spans="1:58" ht="12.95" customHeight="1">
      <c r="A90" s="344">
        <v>45887</v>
      </c>
      <c r="B90" s="45" t="s">
        <v>7</v>
      </c>
      <c r="C90" s="449">
        <f>(M90*E90*O90*Q90)/100000000</f>
        <v>57.222805248000014</v>
      </c>
      <c r="D90" s="45" t="s">
        <v>407</v>
      </c>
      <c r="E90" s="46">
        <v>10.3</v>
      </c>
      <c r="F90" s="46">
        <v>1</v>
      </c>
      <c r="G90" s="462">
        <v>1730</v>
      </c>
      <c r="H90" s="48">
        <v>0.16</v>
      </c>
      <c r="I90" s="49">
        <v>0.88</v>
      </c>
      <c r="J90" s="88">
        <f>E90*G90*(1-H90)*1440/1000000*2.77</f>
        <v>59.704198847999997</v>
      </c>
      <c r="K90" s="88">
        <f>(IF(G90&lt;L90,L90,G90)*(1-IF(H90&lt;N90,H90,N90))*E90*O90*Q90)/100000000</f>
        <v>57.333273984000009</v>
      </c>
      <c r="L90" s="39">
        <v>1726.6666666666667</v>
      </c>
      <c r="M90" s="39">
        <v>1450.4</v>
      </c>
      <c r="N90" s="50">
        <f>1-(M90/L90)</f>
        <v>0.16000000000000003</v>
      </c>
      <c r="O90" s="51">
        <f>+'Trim Rwd'!H72</f>
        <v>266</v>
      </c>
      <c r="P90" s="52">
        <f>O90*(Q90-R90-S90)</f>
        <v>363888</v>
      </c>
      <c r="Q90" s="51">
        <v>1440</v>
      </c>
      <c r="R90" s="419">
        <v>0</v>
      </c>
      <c r="S90" s="419">
        <v>72</v>
      </c>
      <c r="T90" s="41">
        <f>E90*M90*O90*Q90/100000000</f>
        <v>57.222805248000014</v>
      </c>
      <c r="U90" s="41">
        <f>E90*M90*O90*(Q90-R90-S90)/100000000</f>
        <v>54.361664985600015</v>
      </c>
      <c r="V90" s="41">
        <f>E90*G90*(1-N90)*O90/100*(R90+S90)/1000000</f>
        <v>2.8666636992000001</v>
      </c>
      <c r="W90" s="41">
        <f>+'18'!K34/1000</f>
        <v>56.569000000000003</v>
      </c>
      <c r="X90" s="416">
        <f>SUM(W90:W93)/SUM(K90:K93)</f>
        <v>0.9866696260148462</v>
      </c>
      <c r="Y90" s="221">
        <v>0</v>
      </c>
      <c r="Z90" s="41">
        <v>0</v>
      </c>
      <c r="AA90" s="53">
        <f>SUM(U90:U93)-SUM(W90:W93)-SUM(Z90:Z93)-SUM(Y90:Y93)</f>
        <v>-2.2073350143999875</v>
      </c>
      <c r="AB90" s="53">
        <f>(SUM(K90:K93)-SUM(W90:W93)-SUM(Y90:Y93)-SUM(Z90:Z93)-SUM(AC90:AC93)-SUM(V90:V93))-AA90</f>
        <v>-5.5234368000007805E-3</v>
      </c>
      <c r="AC90" s="41">
        <f>K90-T90</f>
        <v>0.11046873599999429</v>
      </c>
      <c r="AD90" s="41">
        <f>+AM90+BA90</f>
        <v>20</v>
      </c>
      <c r="AE90" s="240" t="s">
        <v>447</v>
      </c>
      <c r="AF90" s="41">
        <v>20</v>
      </c>
      <c r="AG90" s="41"/>
      <c r="AH90" s="41"/>
      <c r="AI90" s="458"/>
      <c r="AJ90" s="41"/>
      <c r="AK90" s="41"/>
      <c r="AL90" s="41"/>
      <c r="AM90" s="41">
        <f>SUM(AF90:AL90)+AT90+AV90+AX90</f>
        <v>20</v>
      </c>
      <c r="AN90" s="41"/>
      <c r="AO90" s="41"/>
      <c r="AP90" s="41"/>
      <c r="AQ90" s="41"/>
      <c r="AR90" s="41">
        <f>SUM(AN90:AQ90)</f>
        <v>0</v>
      </c>
      <c r="AS90" s="41"/>
      <c r="AT90" s="41"/>
      <c r="AU90" s="41"/>
      <c r="AV90" s="41"/>
      <c r="AW90" s="41"/>
      <c r="AX90" s="41"/>
      <c r="AY90" s="41"/>
      <c r="AZ90" s="41"/>
      <c r="BA90" s="41">
        <f>+AR90+AS90+AU90+AW90+AY90+AZ90</f>
        <v>0</v>
      </c>
      <c r="BB90" s="37">
        <v>4</v>
      </c>
      <c r="BC90" s="55"/>
      <c r="BD90" s="55"/>
      <c r="BE90" s="37"/>
      <c r="BF90" s="55"/>
    </row>
    <row r="91" spans="1:58" ht="12.95" customHeight="1">
      <c r="A91" s="344"/>
      <c r="B91" s="45"/>
      <c r="C91" s="449"/>
      <c r="D91" s="45"/>
      <c r="E91" s="46"/>
      <c r="F91" s="46"/>
      <c r="G91" s="462"/>
      <c r="H91" s="48"/>
      <c r="I91" s="49"/>
      <c r="J91" s="88"/>
      <c r="K91" s="88"/>
      <c r="L91" s="39"/>
      <c r="M91" s="39"/>
      <c r="N91" s="50"/>
      <c r="O91" s="51"/>
      <c r="P91" s="52"/>
      <c r="Q91" s="51"/>
      <c r="R91" s="419"/>
      <c r="S91" s="419"/>
      <c r="T91" s="41"/>
      <c r="U91" s="41"/>
      <c r="V91" s="41"/>
      <c r="W91" s="41"/>
      <c r="X91" s="416"/>
      <c r="Y91" s="221"/>
      <c r="Z91" s="41"/>
      <c r="AA91" s="53"/>
      <c r="AB91" s="53"/>
      <c r="AC91" s="41"/>
      <c r="AD91" s="41">
        <f>+AM91+BA91</f>
        <v>23</v>
      </c>
      <c r="AE91" s="240" t="s">
        <v>684</v>
      </c>
      <c r="AF91" s="41"/>
      <c r="AG91" s="41">
        <v>23</v>
      </c>
      <c r="AH91" s="41"/>
      <c r="AI91" s="458"/>
      <c r="AJ91" s="41"/>
      <c r="AK91" s="41"/>
      <c r="AL91" s="41"/>
      <c r="AM91" s="41">
        <f>SUM(AF91:AL91)+AT91+AV91+AX91</f>
        <v>23</v>
      </c>
      <c r="AN91" s="89"/>
      <c r="AO91" s="41"/>
      <c r="AP91" s="41"/>
      <c r="AQ91" s="41"/>
      <c r="AR91" s="41">
        <f>SUM(AN91:AQ91)</f>
        <v>0</v>
      </c>
      <c r="AS91" s="41"/>
      <c r="AT91" s="41"/>
      <c r="AU91" s="41"/>
      <c r="AV91" s="41"/>
      <c r="AW91" s="41"/>
      <c r="AX91" s="41"/>
      <c r="AY91" s="41"/>
      <c r="AZ91" s="41"/>
      <c r="BA91" s="41">
        <f>+AR91+AS91+AU91+AW91+AY91+AZ91</f>
        <v>0</v>
      </c>
      <c r="BB91" s="54"/>
      <c r="BC91" s="55">
        <v>19</v>
      </c>
      <c r="BD91" s="55"/>
      <c r="BE91" s="54"/>
      <c r="BF91" s="55"/>
    </row>
    <row r="92" spans="1:58" ht="12.95" customHeight="1">
      <c r="A92" s="44"/>
      <c r="B92" s="45"/>
      <c r="C92" s="449"/>
      <c r="D92" s="45"/>
      <c r="E92" s="46"/>
      <c r="F92" s="46"/>
      <c r="G92" s="462"/>
      <c r="H92" s="48"/>
      <c r="I92" s="49"/>
      <c r="J92" s="88"/>
      <c r="K92" s="88"/>
      <c r="L92" s="39"/>
      <c r="M92" s="39"/>
      <c r="N92" s="50"/>
      <c r="O92" s="51"/>
      <c r="P92" s="52"/>
      <c r="Q92" s="51"/>
      <c r="R92" s="419"/>
      <c r="S92" s="419"/>
      <c r="T92" s="41"/>
      <c r="U92" s="41"/>
      <c r="V92" s="41"/>
      <c r="W92" s="41"/>
      <c r="X92" s="42"/>
      <c r="Y92" s="221"/>
      <c r="Z92" s="41"/>
      <c r="AA92" s="41"/>
      <c r="AB92" s="41"/>
      <c r="AC92" s="41"/>
      <c r="AD92" s="41">
        <f>+AM92+BA92</f>
        <v>29</v>
      </c>
      <c r="AE92" s="240" t="s">
        <v>685</v>
      </c>
      <c r="AF92" s="37"/>
      <c r="AG92" s="37"/>
      <c r="AH92" s="37">
        <v>29</v>
      </c>
      <c r="AI92" s="458"/>
      <c r="AJ92" s="41"/>
      <c r="AK92" s="41"/>
      <c r="AL92" s="41"/>
      <c r="AM92" s="41">
        <f>SUM(AF92:AL92)+AT92+AV92+AX92</f>
        <v>29</v>
      </c>
      <c r="AN92" s="41"/>
      <c r="AO92" s="41"/>
      <c r="AP92" s="41"/>
      <c r="AQ92" s="41"/>
      <c r="AR92" s="41">
        <f>SUM(AN92:AQ92)</f>
        <v>0</v>
      </c>
      <c r="AS92" s="41"/>
      <c r="AT92" s="41"/>
      <c r="AU92" s="41"/>
      <c r="AV92" s="41"/>
      <c r="AW92" s="41"/>
      <c r="AX92" s="41"/>
      <c r="AY92" s="41"/>
      <c r="AZ92" s="41"/>
      <c r="BA92" s="41">
        <f>+AR92+AS92+AU92+AW92+AY92+AZ92</f>
        <v>0</v>
      </c>
      <c r="BB92" s="37"/>
      <c r="BC92" s="57"/>
      <c r="BD92" s="57"/>
      <c r="BE92" s="37"/>
      <c r="BF92" s="57"/>
    </row>
    <row r="93" spans="1:58" ht="12.95" customHeight="1">
      <c r="A93" s="44"/>
      <c r="B93" s="45"/>
      <c r="C93" s="449"/>
      <c r="D93" s="45"/>
      <c r="E93" s="46"/>
      <c r="F93" s="46"/>
      <c r="G93" s="462"/>
      <c r="H93" s="48"/>
      <c r="I93" s="49"/>
      <c r="J93" s="88"/>
      <c r="K93" s="88"/>
      <c r="L93" s="39"/>
      <c r="M93" s="39"/>
      <c r="N93" s="50"/>
      <c r="O93" s="51"/>
      <c r="P93" s="52"/>
      <c r="Q93" s="51"/>
      <c r="R93" s="419"/>
      <c r="S93" s="419"/>
      <c r="T93" s="41"/>
      <c r="U93" s="41"/>
      <c r="V93" s="41"/>
      <c r="W93" s="41"/>
      <c r="X93" s="42"/>
      <c r="Y93" s="221"/>
      <c r="Z93" s="41"/>
      <c r="AA93" s="41"/>
      <c r="AB93" s="41"/>
      <c r="AC93" s="41"/>
      <c r="AD93" s="41"/>
      <c r="AE93" s="240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37"/>
      <c r="BC93" s="57"/>
      <c r="BD93" s="57"/>
      <c r="BE93" s="37"/>
      <c r="BF93" s="57"/>
    </row>
    <row r="94" spans="1:58" ht="12.75" customHeight="1">
      <c r="A94" s="344">
        <v>45888</v>
      </c>
      <c r="B94" s="45" t="s">
        <v>7</v>
      </c>
      <c r="C94" s="449">
        <f>(M94*E94*O94*Q94)/100000000</f>
        <v>57.168327064800003</v>
      </c>
      <c r="D94" s="45" t="s">
        <v>407</v>
      </c>
      <c r="E94" s="46">
        <v>10.3</v>
      </c>
      <c r="F94" s="46">
        <v>1</v>
      </c>
      <c r="G94" s="462">
        <v>1730</v>
      </c>
      <c r="H94" s="609">
        <f>+N94</f>
        <v>0.16241666666666665</v>
      </c>
      <c r="I94" s="49">
        <v>0.88</v>
      </c>
      <c r="J94" s="88">
        <f>E94*G94*(1-H94)*1440/1000000*2.77</f>
        <v>59.532430815600001</v>
      </c>
      <c r="K94" s="88">
        <f>(IF(G94&lt;L94,L94,G94)*(1-IF(H94&lt;N94,H94,N94))*E94*O94*Q94)/100000000</f>
        <v>57.168327064800003</v>
      </c>
      <c r="L94" s="39">
        <v>1730</v>
      </c>
      <c r="M94" s="39">
        <v>1449.0191666666667</v>
      </c>
      <c r="N94" s="50">
        <f>1-(M94/L94)</f>
        <v>0.16241666666666665</v>
      </c>
      <c r="O94" s="51">
        <f>+'Trim Rwd'!H74</f>
        <v>266</v>
      </c>
      <c r="P94" s="52">
        <f>O94*(Q94-R94-S94)</f>
        <v>362824</v>
      </c>
      <c r="Q94" s="51">
        <v>1440</v>
      </c>
      <c r="R94" s="419">
        <v>0</v>
      </c>
      <c r="S94" s="419">
        <f>20+26+30</f>
        <v>76</v>
      </c>
      <c r="T94" s="41">
        <f>E94*M94*O94*Q94/100000000</f>
        <v>57.168327064800003</v>
      </c>
      <c r="U94" s="41">
        <f>E94*M94*O94*(Q94-R94-S94)/100000000</f>
        <v>54.151109803046673</v>
      </c>
      <c r="V94" s="41">
        <f>E94*G94*(1-N94)*O94/100*(R94+S94)/1000000</f>
        <v>3.0172172617533333</v>
      </c>
      <c r="W94" s="41">
        <f>+'19'!K34/1000</f>
        <v>55.167999999999999</v>
      </c>
      <c r="X94" s="416">
        <f>SUM(W94:W97)/SUM(K94:K97)</f>
        <v>0.96500987229287571</v>
      </c>
      <c r="Y94" s="221">
        <v>0</v>
      </c>
      <c r="Z94" s="41">
        <f>+'19'!D34/1000</f>
        <v>1.36</v>
      </c>
      <c r="AA94" s="53">
        <f>SUM(U94:U97)-SUM(W94:W97)-SUM(Z94:Z97)-SUM(Y94:Y97)</f>
        <v>-2.3768901969533269</v>
      </c>
      <c r="AB94" s="53">
        <f>(SUM(K94:K97)-SUM(W94:W97)-SUM(Y94:Y97)-SUM(Z94:Z97)-SUM(AC94:AC97)-SUM(V94:V97))-AA94</f>
        <v>0</v>
      </c>
      <c r="AC94" s="41">
        <f>K94-T94</f>
        <v>0</v>
      </c>
      <c r="AD94" s="41">
        <f>+AM94+BA94</f>
        <v>20</v>
      </c>
      <c r="AE94" s="240" t="s">
        <v>447</v>
      </c>
      <c r="AF94" s="41">
        <v>20</v>
      </c>
      <c r="AG94" s="41"/>
      <c r="AH94" s="41"/>
      <c r="AI94" s="458"/>
      <c r="AJ94" s="41"/>
      <c r="AK94" s="41"/>
      <c r="AL94" s="41"/>
      <c r="AM94" s="41">
        <f>SUM(AF94:AL94)+AT94+AV94+AX94</f>
        <v>20</v>
      </c>
      <c r="AN94" s="41"/>
      <c r="AO94" s="41"/>
      <c r="AP94" s="41"/>
      <c r="AQ94" s="41"/>
      <c r="AR94" s="41">
        <f>SUM(AN94:AQ94)</f>
        <v>0</v>
      </c>
      <c r="AS94" s="41"/>
      <c r="AT94" s="41"/>
      <c r="AU94" s="41"/>
      <c r="AV94" s="41"/>
      <c r="AW94" s="41"/>
      <c r="AX94" s="41"/>
      <c r="AY94" s="41"/>
      <c r="AZ94" s="41"/>
      <c r="BA94" s="41">
        <f>+AR94+AS94+AU94+AW94+AY94+AZ94</f>
        <v>0</v>
      </c>
      <c r="BB94" s="37">
        <v>4</v>
      </c>
      <c r="BC94" s="55"/>
      <c r="BD94" s="55"/>
      <c r="BE94" s="37"/>
      <c r="BF94" s="55"/>
    </row>
    <row r="95" spans="1:58" ht="12.95" customHeight="1">
      <c r="A95" s="344"/>
      <c r="B95" s="45"/>
      <c r="C95" s="449"/>
      <c r="D95" s="45"/>
      <c r="E95" s="46"/>
      <c r="F95" s="46"/>
      <c r="G95" s="462"/>
      <c r="H95" s="48"/>
      <c r="I95" s="49"/>
      <c r="J95" s="88"/>
      <c r="K95" s="88"/>
      <c r="L95" s="39"/>
      <c r="M95" s="39"/>
      <c r="N95" s="50"/>
      <c r="O95" s="51"/>
      <c r="P95" s="52"/>
      <c r="Q95" s="51"/>
      <c r="R95" s="419"/>
      <c r="S95" s="419"/>
      <c r="T95" s="41"/>
      <c r="U95" s="41"/>
      <c r="V95" s="41"/>
      <c r="W95" s="41"/>
      <c r="X95" s="416"/>
      <c r="Y95" s="221"/>
      <c r="Z95" s="41"/>
      <c r="AA95" s="53"/>
      <c r="AB95" s="53"/>
      <c r="AC95" s="41"/>
      <c r="AD95" s="41">
        <f>+AM95+BA95</f>
        <v>26</v>
      </c>
      <c r="AE95" s="240" t="s">
        <v>694</v>
      </c>
      <c r="AF95" s="41"/>
      <c r="AG95" s="41">
        <v>26</v>
      </c>
      <c r="AH95" s="41"/>
      <c r="AI95" s="458"/>
      <c r="AJ95" s="41"/>
      <c r="AK95" s="41"/>
      <c r="AL95" s="41"/>
      <c r="AM95" s="41">
        <f>SUM(AF95:AL95)+AT95+AV95+AX95</f>
        <v>26</v>
      </c>
      <c r="AN95" s="89"/>
      <c r="AO95" s="41"/>
      <c r="AP95" s="41"/>
      <c r="AQ95" s="41"/>
      <c r="AR95" s="41">
        <f>SUM(AN95:AQ95)</f>
        <v>0</v>
      </c>
      <c r="AS95" s="41"/>
      <c r="AT95" s="41"/>
      <c r="AU95" s="41"/>
      <c r="AV95" s="41"/>
      <c r="AW95" s="41"/>
      <c r="AX95" s="41"/>
      <c r="AY95" s="41"/>
      <c r="AZ95" s="41"/>
      <c r="BA95" s="41">
        <f>+AR95+AS95+AU95+AW95+AY95+AZ95</f>
        <v>0</v>
      </c>
      <c r="BB95" s="54"/>
      <c r="BC95" s="55">
        <v>23</v>
      </c>
      <c r="BD95" s="55"/>
      <c r="BE95" s="54"/>
      <c r="BF95" s="55"/>
    </row>
    <row r="96" spans="1:58" ht="12.95" customHeight="1">
      <c r="A96" s="44"/>
      <c r="B96" s="45"/>
      <c r="C96" s="449"/>
      <c r="D96" s="45"/>
      <c r="E96" s="46"/>
      <c r="F96" s="46"/>
      <c r="G96" s="462"/>
      <c r="H96" s="48"/>
      <c r="I96" s="49"/>
      <c r="J96" s="88"/>
      <c r="K96" s="88"/>
      <c r="L96" s="39"/>
      <c r="M96" s="39"/>
      <c r="N96" s="50"/>
      <c r="O96" s="51"/>
      <c r="P96" s="52"/>
      <c r="Q96" s="51"/>
      <c r="R96" s="419"/>
      <c r="S96" s="419"/>
      <c r="T96" s="41"/>
      <c r="U96" s="41"/>
      <c r="V96" s="41"/>
      <c r="W96" s="41"/>
      <c r="X96" s="42"/>
      <c r="Y96" s="221"/>
      <c r="Z96" s="41"/>
      <c r="AA96" s="41"/>
      <c r="AB96" s="41"/>
      <c r="AC96" s="41"/>
      <c r="AD96" s="41">
        <f>+AM96+BA96</f>
        <v>30</v>
      </c>
      <c r="AE96" s="240" t="s">
        <v>540</v>
      </c>
      <c r="AF96" s="37"/>
      <c r="AG96" s="37"/>
      <c r="AH96" s="37">
        <v>30</v>
      </c>
      <c r="AI96" s="458"/>
      <c r="AJ96" s="41"/>
      <c r="AK96" s="41"/>
      <c r="AL96" s="41"/>
      <c r="AM96" s="41">
        <f>SUM(AF96:AL96)+AT96+AV96+AX96</f>
        <v>30</v>
      </c>
      <c r="AN96" s="41"/>
      <c r="AO96" s="41"/>
      <c r="AP96" s="41"/>
      <c r="AQ96" s="41"/>
      <c r="AR96" s="41">
        <f>SUM(AN96:AQ96)</f>
        <v>0</v>
      </c>
      <c r="AS96" s="41"/>
      <c r="AT96" s="41"/>
      <c r="AU96" s="41"/>
      <c r="AV96" s="41"/>
      <c r="AW96" s="41"/>
      <c r="AX96" s="41"/>
      <c r="AY96" s="41"/>
      <c r="AZ96" s="41"/>
      <c r="BA96" s="41">
        <f>+AR96+AS96+AU96+AW96+AY96+AZ96</f>
        <v>0</v>
      </c>
      <c r="BB96" s="37"/>
      <c r="BC96" s="57"/>
      <c r="BD96" s="57"/>
      <c r="BE96" s="37"/>
      <c r="BF96" s="57"/>
    </row>
    <row r="97" spans="1:58" ht="12.95" customHeight="1">
      <c r="A97" s="44"/>
      <c r="B97" s="45"/>
      <c r="C97" s="449"/>
      <c r="D97" s="45"/>
      <c r="E97" s="46"/>
      <c r="F97" s="46"/>
      <c r="G97" s="462"/>
      <c r="H97" s="48"/>
      <c r="I97" s="49"/>
      <c r="J97" s="88"/>
      <c r="K97" s="88"/>
      <c r="L97" s="39"/>
      <c r="M97" s="39"/>
      <c r="N97" s="50"/>
      <c r="O97" s="51"/>
      <c r="P97" s="52"/>
      <c r="Q97" s="51"/>
      <c r="R97" s="419"/>
      <c r="S97" s="419"/>
      <c r="T97" s="41"/>
      <c r="U97" s="41"/>
      <c r="V97" s="41"/>
      <c r="W97" s="41"/>
      <c r="X97" s="42"/>
      <c r="Y97" s="221"/>
      <c r="Z97" s="41"/>
      <c r="AA97" s="41"/>
      <c r="AB97" s="41"/>
      <c r="AC97" s="41"/>
      <c r="AD97" s="41"/>
      <c r="AE97" s="240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37"/>
      <c r="BC97" s="57"/>
      <c r="BD97" s="57"/>
      <c r="BE97" s="37"/>
      <c r="BF97" s="57"/>
    </row>
    <row r="98" spans="1:58" ht="12.75" customHeight="1">
      <c r="A98" s="344">
        <v>45889</v>
      </c>
      <c r="B98" s="45" t="s">
        <v>7</v>
      </c>
      <c r="C98" s="449">
        <f>(M98*E98*O98*Q98)/100000000</f>
        <v>56.151315200000006</v>
      </c>
      <c r="D98" s="45" t="s">
        <v>407</v>
      </c>
      <c r="E98" s="46">
        <v>10.3</v>
      </c>
      <c r="F98" s="46">
        <v>1</v>
      </c>
      <c r="G98" s="462">
        <v>1730</v>
      </c>
      <c r="H98" s="610">
        <v>0.2</v>
      </c>
      <c r="I98" s="49">
        <v>0.88</v>
      </c>
      <c r="J98" s="88">
        <f>E98*G98*(1-H98)*1440/1000000*2.77</f>
        <v>56.861141760000002</v>
      </c>
      <c r="K98" s="88">
        <f>(IF(G98&lt;L98,L98,G98)*(1-IF(H98&lt;N98,H98,N98))*E98*O98*Q98)/100000000</f>
        <v>56.587441920000003</v>
      </c>
      <c r="L98" s="39">
        <v>1716.6666666666667</v>
      </c>
      <c r="M98" s="39">
        <v>1373.3333333333333</v>
      </c>
      <c r="N98" s="50">
        <f>1-(M98/L98)</f>
        <v>0.20000000000000007</v>
      </c>
      <c r="O98" s="51">
        <f>+'Trim Rwd'!H77</f>
        <v>275.66666666666669</v>
      </c>
      <c r="P98" s="52">
        <f>O98*(Q98-R98-S98)</f>
        <v>369944.66666666669</v>
      </c>
      <c r="Q98" s="51">
        <v>1440</v>
      </c>
      <c r="R98" s="419">
        <v>0</v>
      </c>
      <c r="S98" s="419">
        <v>98</v>
      </c>
      <c r="T98" s="41">
        <f>E98*M98*O98*Q98/100000000</f>
        <v>56.151315200000006</v>
      </c>
      <c r="U98" s="41">
        <f>E98*M98*O98*(Q98-R98-S98)/100000000</f>
        <v>52.329906248888896</v>
      </c>
      <c r="V98" s="41">
        <f>E98*G98*(1-N98)*O98/100*(R98+S98)/1000000</f>
        <v>3.8510897973333336</v>
      </c>
      <c r="W98" s="41">
        <f>+'20'!K34/1000</f>
        <v>55.423000000000002</v>
      </c>
      <c r="X98" s="416">
        <f>SUM(W98:W101)/SUM(K98:K101)</f>
        <v>0.97942225553071971</v>
      </c>
      <c r="Y98" s="221">
        <v>0</v>
      </c>
      <c r="Z98" s="41">
        <f>+'20'!D34/1000</f>
        <v>1.28</v>
      </c>
      <c r="AA98" s="53">
        <f>SUM(U98:U101)-SUM(W98:W101)-SUM(Z98:Z101)-SUM(Y98:Y101)</f>
        <v>-4.3730937511111057</v>
      </c>
      <c r="AB98" s="53">
        <f>(SUM(K98:K101)-SUM(W98:W101)-SUM(Y98:Y101)-SUM(Z98:Z101)-SUM(AC98:AC101)-SUM(V98:V101))-AA98</f>
        <v>-2.9680846222223778E-2</v>
      </c>
      <c r="AC98" s="41">
        <f>K98-T98</f>
        <v>0.43612671999999719</v>
      </c>
      <c r="AD98" s="41">
        <f>+AM98+BA98</f>
        <v>50</v>
      </c>
      <c r="AE98" s="240" t="s">
        <v>701</v>
      </c>
      <c r="AF98" s="41">
        <v>50</v>
      </c>
      <c r="AG98" s="41"/>
      <c r="AH98" s="41"/>
      <c r="AI98" s="458"/>
      <c r="AJ98" s="41"/>
      <c r="AK98" s="41"/>
      <c r="AL98" s="41"/>
      <c r="AM98" s="41">
        <f>SUM(AF98:AL98)+AT98+AV98+AX98</f>
        <v>50</v>
      </c>
      <c r="AN98" s="41"/>
      <c r="AO98" s="41"/>
      <c r="AP98" s="41"/>
      <c r="AQ98" s="41"/>
      <c r="AR98" s="41">
        <f>SUM(AN98:AQ98)</f>
        <v>0</v>
      </c>
      <c r="AS98" s="41"/>
      <c r="AT98" s="41"/>
      <c r="AU98" s="41"/>
      <c r="AV98" s="41"/>
      <c r="AW98" s="41"/>
      <c r="AX98" s="41"/>
      <c r="AY98" s="41"/>
      <c r="AZ98" s="41"/>
      <c r="BA98" s="41">
        <f>+AR98+AS98+AU98+AW98+AY98+AZ98</f>
        <v>0</v>
      </c>
      <c r="BB98" s="37">
        <v>10</v>
      </c>
      <c r="BC98" s="55"/>
      <c r="BD98" s="55"/>
      <c r="BE98" s="37"/>
      <c r="BF98" s="55"/>
    </row>
    <row r="99" spans="1:58" ht="12.95" customHeight="1">
      <c r="A99" s="344"/>
      <c r="B99" s="45"/>
      <c r="C99" s="449"/>
      <c r="D99" s="45"/>
      <c r="E99" s="46"/>
      <c r="F99" s="46"/>
      <c r="G99" s="462"/>
      <c r="H99" s="48"/>
      <c r="I99" s="49"/>
      <c r="J99" s="88"/>
      <c r="K99" s="88"/>
      <c r="L99" s="39"/>
      <c r="M99" s="39"/>
      <c r="N99" s="50"/>
      <c r="O99" s="51"/>
      <c r="P99" s="52"/>
      <c r="Q99" s="51"/>
      <c r="R99" s="419"/>
      <c r="S99" s="419"/>
      <c r="T99" s="41"/>
      <c r="U99" s="41"/>
      <c r="V99" s="41"/>
      <c r="W99" s="41"/>
      <c r="X99" s="416"/>
      <c r="Y99" s="221"/>
      <c r="Z99" s="41"/>
      <c r="AA99" s="53"/>
      <c r="AB99" s="53"/>
      <c r="AC99" s="41"/>
      <c r="AD99" s="41">
        <f>+AM99+BA99</f>
        <v>18</v>
      </c>
      <c r="AE99" s="240" t="s">
        <v>702</v>
      </c>
      <c r="AF99" s="41"/>
      <c r="AG99" s="41">
        <v>18</v>
      </c>
      <c r="AH99" s="41"/>
      <c r="AI99" s="458"/>
      <c r="AJ99" s="41"/>
      <c r="AK99" s="41"/>
      <c r="AL99" s="41"/>
      <c r="AM99" s="41">
        <f>SUM(AF99:AL99)+AT99+AV99+AX99</f>
        <v>18</v>
      </c>
      <c r="AN99" s="89"/>
      <c r="AO99" s="41"/>
      <c r="AP99" s="41"/>
      <c r="AQ99" s="41"/>
      <c r="AR99" s="41">
        <f>SUM(AN99:AQ99)</f>
        <v>0</v>
      </c>
      <c r="AS99" s="41"/>
      <c r="AT99" s="41"/>
      <c r="AU99" s="41"/>
      <c r="AV99" s="41"/>
      <c r="AW99" s="41"/>
      <c r="AX99" s="41"/>
      <c r="AY99" s="41"/>
      <c r="AZ99" s="41"/>
      <c r="BA99" s="41">
        <f>+AR99+AS99+AU99+AW99+AY99+AZ99</f>
        <v>0</v>
      </c>
      <c r="BB99" s="54"/>
      <c r="BC99" s="55">
        <v>18</v>
      </c>
      <c r="BD99" s="55"/>
      <c r="BE99" s="54"/>
      <c r="BF99" s="55"/>
    </row>
    <row r="100" spans="1:58" ht="12.95" customHeight="1">
      <c r="A100" s="44"/>
      <c r="B100" s="45"/>
      <c r="C100" s="449"/>
      <c r="D100" s="45"/>
      <c r="E100" s="46"/>
      <c r="F100" s="46"/>
      <c r="G100" s="462"/>
      <c r="H100" s="48"/>
      <c r="I100" s="49"/>
      <c r="J100" s="88"/>
      <c r="K100" s="88"/>
      <c r="L100" s="39"/>
      <c r="M100" s="39"/>
      <c r="N100" s="50"/>
      <c r="O100" s="51"/>
      <c r="P100" s="52"/>
      <c r="Q100" s="51"/>
      <c r="R100" s="419"/>
      <c r="S100" s="419"/>
      <c r="T100" s="41"/>
      <c r="U100" s="41"/>
      <c r="V100" s="41"/>
      <c r="W100" s="41"/>
      <c r="X100" s="42"/>
      <c r="Y100" s="221"/>
      <c r="Z100" s="41"/>
      <c r="AA100" s="41"/>
      <c r="AB100" s="41"/>
      <c r="AC100" s="41"/>
      <c r="AD100" s="41">
        <f>+AM100+BA100</f>
        <v>30</v>
      </c>
      <c r="AE100" s="240" t="s">
        <v>498</v>
      </c>
      <c r="AF100" s="37"/>
      <c r="AG100" s="37"/>
      <c r="AH100" s="37">
        <v>30</v>
      </c>
      <c r="AI100" s="458"/>
      <c r="AJ100" s="41"/>
      <c r="AK100" s="41"/>
      <c r="AL100" s="41"/>
      <c r="AM100" s="41">
        <f>SUM(AF100:AL100)+AT100+AV100+AX100</f>
        <v>30</v>
      </c>
      <c r="AN100" s="41"/>
      <c r="AO100" s="41"/>
      <c r="AP100" s="41"/>
      <c r="AQ100" s="41"/>
      <c r="AR100" s="41">
        <f>SUM(AN100:AQ100)</f>
        <v>0</v>
      </c>
      <c r="AS100" s="41"/>
      <c r="AT100" s="41"/>
      <c r="AU100" s="41"/>
      <c r="AV100" s="41"/>
      <c r="AW100" s="41"/>
      <c r="AX100" s="41"/>
      <c r="AY100" s="41"/>
      <c r="AZ100" s="41"/>
      <c r="BA100" s="41">
        <f>+AR100+AS100+AU100+AW100+AY100+AZ100</f>
        <v>0</v>
      </c>
      <c r="BB100" s="37"/>
      <c r="BC100" s="57"/>
      <c r="BD100" s="57"/>
      <c r="BE100" s="37"/>
      <c r="BF100" s="57"/>
    </row>
    <row r="101" spans="1:58" ht="12.95" customHeight="1">
      <c r="A101" s="44"/>
      <c r="B101" s="45"/>
      <c r="C101" s="449"/>
      <c r="D101" s="45"/>
      <c r="E101" s="46"/>
      <c r="F101" s="46"/>
      <c r="G101" s="462"/>
      <c r="H101" s="48"/>
      <c r="I101" s="49"/>
      <c r="J101" s="88"/>
      <c r="K101" s="88"/>
      <c r="L101" s="39"/>
      <c r="M101" s="39"/>
      <c r="N101" s="50"/>
      <c r="O101" s="51"/>
      <c r="P101" s="52"/>
      <c r="Q101" s="51"/>
      <c r="R101" s="419"/>
      <c r="S101" s="419"/>
      <c r="T101" s="41"/>
      <c r="U101" s="41"/>
      <c r="V101" s="41"/>
      <c r="W101" s="41"/>
      <c r="X101" s="42"/>
      <c r="Y101" s="221"/>
      <c r="Z101" s="41"/>
      <c r="AA101" s="41"/>
      <c r="AB101" s="41"/>
      <c r="AC101" s="41"/>
      <c r="AD101" s="41"/>
      <c r="AE101" s="240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37"/>
      <c r="BC101" s="57"/>
      <c r="BD101" s="57"/>
      <c r="BE101" s="37"/>
      <c r="BF101" s="57"/>
    </row>
    <row r="102" spans="1:58" ht="12.75" customHeight="1">
      <c r="A102" s="344">
        <v>45890</v>
      </c>
      <c r="B102" s="45" t="s">
        <v>7</v>
      </c>
      <c r="C102" s="449">
        <f>(M102*E102*O102*Q102)/100000000</f>
        <v>56.203787519999999</v>
      </c>
      <c r="D102" s="45" t="s">
        <v>407</v>
      </c>
      <c r="E102" s="46">
        <v>10.3</v>
      </c>
      <c r="F102" s="46">
        <v>1</v>
      </c>
      <c r="G102" s="462">
        <v>1730</v>
      </c>
      <c r="H102" s="610">
        <v>0.2</v>
      </c>
      <c r="I102" s="49">
        <v>0.88</v>
      </c>
      <c r="J102" s="88">
        <f>E102*G102*(1-H102)*1440/1000000*2.77</f>
        <v>56.861141760000002</v>
      </c>
      <c r="K102" s="88">
        <f>(IF(G102&lt;L102,L102,G102)*(1-IF(H102&lt;N102,H102,N102))*E102*O102*Q102)/100000000</f>
        <v>56.86114176000001</v>
      </c>
      <c r="L102" s="39">
        <v>1710</v>
      </c>
      <c r="M102" s="39">
        <f>+L102-L102*0.2</f>
        <v>1368</v>
      </c>
      <c r="N102" s="50">
        <f>1-(M102/L102)</f>
        <v>0.19999999999999996</v>
      </c>
      <c r="O102" s="51">
        <f>+'Trim Rwd'!H80</f>
        <v>277</v>
      </c>
      <c r="P102" s="52">
        <f>O102*(Q102-R102-S102)</f>
        <v>378659</v>
      </c>
      <c r="Q102" s="51">
        <v>1440</v>
      </c>
      <c r="R102" s="419">
        <v>0</v>
      </c>
      <c r="S102" s="419">
        <v>73</v>
      </c>
      <c r="T102" s="41">
        <f>E102*M102*O102*Q102/100000000</f>
        <v>56.203787519999999</v>
      </c>
      <c r="U102" s="41">
        <f>E102*M102*O102*(Q102-R102-S102)/100000000</f>
        <v>53.354567736000007</v>
      </c>
      <c r="V102" s="41">
        <f>E102*G102*(1-N102)*O102/100*(R102+S102)/1000000</f>
        <v>2.882543992</v>
      </c>
      <c r="W102" s="41">
        <f>+'21'!K34/1000</f>
        <v>56.616</v>
      </c>
      <c r="X102" s="416">
        <f>SUM(W102:W105)/SUM(K102:K105)</f>
        <v>0.99568876472732981</v>
      </c>
      <c r="Y102" s="221">
        <v>0</v>
      </c>
      <c r="Z102" s="41">
        <v>0</v>
      </c>
      <c r="AA102" s="53">
        <f>SUM(U102:U105)-SUM(W102:W105)-SUM(Z102:Z105)-SUM(Y102:Y105)</f>
        <v>-3.2614322639999926</v>
      </c>
      <c r="AB102" s="53">
        <f>(SUM(K102:K105)-SUM(W102:W105)-SUM(Y102:Y105)-SUM(Z102:Z105)-SUM(AC102:AC105)-SUM(V102:V105))-AA102</f>
        <v>-3.3324208000008237E-2</v>
      </c>
      <c r="AC102" s="41">
        <f>K102-T102</f>
        <v>0.65735424000001075</v>
      </c>
      <c r="AD102" s="41">
        <f>+AM102+BA102</f>
        <v>20</v>
      </c>
      <c r="AE102" s="240" t="s">
        <v>447</v>
      </c>
      <c r="AF102" s="41">
        <v>20</v>
      </c>
      <c r="AG102" s="41"/>
      <c r="AH102" s="41"/>
      <c r="AI102" s="458"/>
      <c r="AJ102" s="41"/>
      <c r="AK102" s="41"/>
      <c r="AL102" s="41"/>
      <c r="AM102" s="41">
        <f>SUM(AF102:AL102)+AT102+AV102+AX102</f>
        <v>20</v>
      </c>
      <c r="AN102" s="41"/>
      <c r="AO102" s="41"/>
      <c r="AP102" s="41"/>
      <c r="AQ102" s="41"/>
      <c r="AR102" s="41">
        <f>SUM(AN102:AQ102)</f>
        <v>0</v>
      </c>
      <c r="AS102" s="41"/>
      <c r="AT102" s="41"/>
      <c r="AU102" s="41"/>
      <c r="AV102" s="41"/>
      <c r="AW102" s="41"/>
      <c r="AX102" s="41"/>
      <c r="AY102" s="41"/>
      <c r="AZ102" s="41"/>
      <c r="BA102" s="41">
        <f>+AR102+AS102+AU102+AW102+AY102+AZ102</f>
        <v>0</v>
      </c>
      <c r="BB102" s="37">
        <v>4</v>
      </c>
      <c r="BC102" s="55"/>
      <c r="BD102" s="55"/>
      <c r="BE102" s="37"/>
      <c r="BF102" s="55"/>
    </row>
    <row r="103" spans="1:58" ht="12.95" customHeight="1">
      <c r="A103" s="344"/>
      <c r="B103" s="45"/>
      <c r="C103" s="449"/>
      <c r="D103" s="45"/>
      <c r="E103" s="46"/>
      <c r="F103" s="46"/>
      <c r="G103" s="462"/>
      <c r="H103" s="48"/>
      <c r="I103" s="49"/>
      <c r="J103" s="88"/>
      <c r="K103" s="88"/>
      <c r="L103" s="39"/>
      <c r="M103" s="39"/>
      <c r="N103" s="50"/>
      <c r="O103" s="51"/>
      <c r="P103" s="52"/>
      <c r="Q103" s="51"/>
      <c r="R103" s="419"/>
      <c r="S103" s="419"/>
      <c r="T103" s="41"/>
      <c r="U103" s="41"/>
      <c r="V103" s="41"/>
      <c r="W103" s="41"/>
      <c r="X103" s="416"/>
      <c r="Y103" s="221"/>
      <c r="Z103" s="41"/>
      <c r="AA103" s="53"/>
      <c r="AB103" s="53"/>
      <c r="AC103" s="41"/>
      <c r="AD103" s="41">
        <f>+AM103+BA103</f>
        <v>21</v>
      </c>
      <c r="AE103" s="240" t="s">
        <v>702</v>
      </c>
      <c r="AF103" s="41"/>
      <c r="AG103" s="41">
        <v>21</v>
      </c>
      <c r="AH103" s="41"/>
      <c r="AI103" s="458"/>
      <c r="AJ103" s="41"/>
      <c r="AK103" s="41"/>
      <c r="AL103" s="41"/>
      <c r="AM103" s="41">
        <f>SUM(AF103:AL103)+AT103+AV103+AX103</f>
        <v>21</v>
      </c>
      <c r="AN103" s="89"/>
      <c r="AO103" s="41"/>
      <c r="AP103" s="41"/>
      <c r="AQ103" s="41"/>
      <c r="AR103" s="41">
        <f>SUM(AN103:AQ103)</f>
        <v>0</v>
      </c>
      <c r="AS103" s="41"/>
      <c r="AT103" s="41"/>
      <c r="AU103" s="41"/>
      <c r="AV103" s="41"/>
      <c r="AW103" s="41"/>
      <c r="AX103" s="41"/>
      <c r="AY103" s="41"/>
      <c r="AZ103" s="41"/>
      <c r="BA103" s="41">
        <f>+AR103+AS103+AU103+AW103+AY103+AZ103</f>
        <v>0</v>
      </c>
      <c r="BB103" s="54"/>
      <c r="BC103" s="55">
        <v>18</v>
      </c>
      <c r="BD103" s="55"/>
      <c r="BE103" s="54"/>
      <c r="BF103" s="55"/>
    </row>
    <row r="104" spans="1:58" ht="12.95" customHeight="1">
      <c r="A104" s="44"/>
      <c r="B104" s="45"/>
      <c r="C104" s="449"/>
      <c r="D104" s="45"/>
      <c r="E104" s="46"/>
      <c r="F104" s="46"/>
      <c r="G104" s="462"/>
      <c r="H104" s="48"/>
      <c r="I104" s="49"/>
      <c r="J104" s="88"/>
      <c r="K104" s="88"/>
      <c r="L104" s="39"/>
      <c r="M104" s="39"/>
      <c r="N104" s="50"/>
      <c r="O104" s="51"/>
      <c r="P104" s="52"/>
      <c r="Q104" s="51"/>
      <c r="R104" s="419"/>
      <c r="S104" s="419"/>
      <c r="T104" s="41"/>
      <c r="U104" s="41"/>
      <c r="V104" s="41"/>
      <c r="W104" s="41"/>
      <c r="X104" s="42"/>
      <c r="Y104" s="221"/>
      <c r="Z104" s="41"/>
      <c r="AA104" s="41"/>
      <c r="AB104" s="41"/>
      <c r="AC104" s="41"/>
      <c r="AD104" s="41">
        <f>+AM104+BA104</f>
        <v>32</v>
      </c>
      <c r="AE104" s="240" t="s">
        <v>705</v>
      </c>
      <c r="AF104" s="37"/>
      <c r="AG104" s="37"/>
      <c r="AH104" s="37">
        <v>32</v>
      </c>
      <c r="AI104" s="458"/>
      <c r="AJ104" s="41"/>
      <c r="AK104" s="41"/>
      <c r="AL104" s="41"/>
      <c r="AM104" s="41">
        <f>SUM(AF104:AL104)+AT104+AV104+AX104</f>
        <v>32</v>
      </c>
      <c r="AN104" s="41"/>
      <c r="AO104" s="41"/>
      <c r="AP104" s="41"/>
      <c r="AQ104" s="41"/>
      <c r="AR104" s="41">
        <f>SUM(AN104:AQ104)</f>
        <v>0</v>
      </c>
      <c r="AS104" s="41"/>
      <c r="AT104" s="41"/>
      <c r="AU104" s="41"/>
      <c r="AV104" s="41"/>
      <c r="AW104" s="41"/>
      <c r="AX104" s="41"/>
      <c r="AY104" s="41"/>
      <c r="AZ104" s="41"/>
      <c r="BA104" s="41">
        <f>+AR104+AS104+AU104+AW104+AY104+AZ104</f>
        <v>0</v>
      </c>
      <c r="BB104" s="37"/>
      <c r="BC104" s="57"/>
      <c r="BD104" s="57"/>
      <c r="BE104" s="37"/>
      <c r="BF104" s="57"/>
    </row>
    <row r="105" spans="1:58" ht="12.95" customHeight="1">
      <c r="A105" s="344"/>
      <c r="B105" s="45"/>
      <c r="C105" s="449"/>
      <c r="D105" s="45"/>
      <c r="E105" s="46"/>
      <c r="F105" s="46"/>
      <c r="G105" s="462"/>
      <c r="H105" s="48"/>
      <c r="I105" s="49"/>
      <c r="J105" s="88"/>
      <c r="K105" s="88"/>
      <c r="L105" s="39"/>
      <c r="M105" s="39"/>
      <c r="N105" s="50"/>
      <c r="O105" s="51"/>
      <c r="P105" s="52"/>
      <c r="Q105" s="51"/>
      <c r="R105" s="419"/>
      <c r="S105" s="419"/>
      <c r="T105" s="41"/>
      <c r="U105" s="41"/>
      <c r="V105" s="41"/>
      <c r="W105" s="41"/>
      <c r="X105" s="416"/>
      <c r="Y105" s="221"/>
      <c r="Z105" s="41"/>
      <c r="AA105" s="53"/>
      <c r="AB105" s="53"/>
      <c r="AC105" s="41"/>
      <c r="AD105" s="41"/>
      <c r="AE105" s="240"/>
      <c r="AF105" s="41"/>
      <c r="AG105" s="41"/>
      <c r="AH105" s="41"/>
      <c r="AI105" s="458"/>
      <c r="AJ105" s="41"/>
      <c r="AK105" s="41"/>
      <c r="AL105" s="41"/>
      <c r="AM105" s="41"/>
      <c r="AN105" s="89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54"/>
      <c r="BC105" s="55"/>
      <c r="BD105" s="55"/>
      <c r="BE105" s="55"/>
      <c r="BF105" s="55"/>
    </row>
    <row r="106" spans="1:58" ht="12.75" customHeight="1">
      <c r="A106" s="344">
        <v>45891</v>
      </c>
      <c r="B106" s="45" t="s">
        <v>7</v>
      </c>
      <c r="C106" s="449">
        <f>(M106*E106*O106*Q106)/100000000</f>
        <v>55.388806200000012</v>
      </c>
      <c r="D106" s="45" t="s">
        <v>407</v>
      </c>
      <c r="E106" s="46">
        <v>10.3</v>
      </c>
      <c r="F106" s="46">
        <v>1</v>
      </c>
      <c r="G106" s="462">
        <v>1730</v>
      </c>
      <c r="H106" s="610">
        <v>0.2</v>
      </c>
      <c r="I106" s="49">
        <v>0.88</v>
      </c>
      <c r="J106" s="88">
        <f>E106*G106*(1-H106)*1440/1000000*2.77</f>
        <v>56.861141760000002</v>
      </c>
      <c r="K106" s="88">
        <f>(IF(G106&lt;L106,L106,G106)*(1-IF(H106&lt;N106,H106,N106))*E106*O106*Q106)/100000000</f>
        <v>56.578888800000001</v>
      </c>
      <c r="L106" s="39">
        <v>1693.6111111111111</v>
      </c>
      <c r="M106" s="39">
        <v>1354.8888888888889</v>
      </c>
      <c r="N106" s="50">
        <f>1-(M106/L106)</f>
        <v>0.19999999999999996</v>
      </c>
      <c r="O106" s="51">
        <f>+'Trim Rwd'!H82</f>
        <v>275.625</v>
      </c>
      <c r="P106" s="52">
        <f>O106*(Q106-R106-S106)</f>
        <v>359139.375</v>
      </c>
      <c r="Q106" s="51">
        <v>1440</v>
      </c>
      <c r="R106" s="419">
        <v>0</v>
      </c>
      <c r="S106" s="419">
        <v>137</v>
      </c>
      <c r="T106" s="41">
        <f>E106*M106*O106*Q106/100000000</f>
        <v>55.388806200000012</v>
      </c>
      <c r="U106" s="41">
        <f>E106*M106*O106*(Q106-R106-S106)/100000000</f>
        <v>50.119176721250007</v>
      </c>
      <c r="V106" s="41">
        <f>E106*G106*(1-N106)*O106/100*(R106+S106)/1000000</f>
        <v>5.3828526149999991</v>
      </c>
      <c r="W106" s="41">
        <f>+'22'!K34/1000</f>
        <v>55.46</v>
      </c>
      <c r="X106" s="416">
        <f>SUM(W106:W109)/SUM(K106:K109)</f>
        <v>0.98022427050564487</v>
      </c>
      <c r="Y106" s="221">
        <v>0</v>
      </c>
      <c r="Z106" s="41">
        <v>0</v>
      </c>
      <c r="AA106" s="53">
        <f>SUM(U106:U109)-SUM(W106:W109)-SUM(Z106:Z109)-SUM(Y106:Y109)</f>
        <v>-5.3408232787499941</v>
      </c>
      <c r="AB106" s="53">
        <f>(SUM(K106:K109)-SUM(W106:W109)-SUM(Y106:Y109)-SUM(Z106:Z109)-SUM(AC106:AC109)-SUM(V106:V109))-AA106</f>
        <v>-0.11322313624999403</v>
      </c>
      <c r="AC106" s="41">
        <f>K106-T106</f>
        <v>1.1900825999999896</v>
      </c>
      <c r="AD106" s="41">
        <f>+AM106+BA106</f>
        <v>51</v>
      </c>
      <c r="AE106" s="240" t="s">
        <v>701</v>
      </c>
      <c r="AF106" s="41">
        <v>51</v>
      </c>
      <c r="AG106" s="41"/>
      <c r="AH106" s="41"/>
      <c r="AI106" s="458"/>
      <c r="AJ106" s="41"/>
      <c r="AK106" s="41"/>
      <c r="AL106" s="41"/>
      <c r="AM106" s="41">
        <f>SUM(AF106:AL106)+AT106+AV106+AX106</f>
        <v>51</v>
      </c>
      <c r="AN106" s="41"/>
      <c r="AO106" s="41"/>
      <c r="AP106" s="41"/>
      <c r="AQ106" s="41"/>
      <c r="AR106" s="41">
        <f>SUM(AN106:AQ106)</f>
        <v>0</v>
      </c>
      <c r="AS106" s="41"/>
      <c r="AT106" s="41"/>
      <c r="AU106" s="41"/>
      <c r="AV106" s="41"/>
      <c r="AW106" s="41"/>
      <c r="AX106" s="41"/>
      <c r="AY106" s="41"/>
      <c r="AZ106" s="41"/>
      <c r="BA106" s="41">
        <f>+AR106+AS106+AU106+AW106+AY106+AZ106</f>
        <v>0</v>
      </c>
      <c r="BB106" s="37">
        <v>10</v>
      </c>
      <c r="BC106" s="55"/>
      <c r="BD106" s="55"/>
      <c r="BE106" s="37"/>
      <c r="BF106" s="55"/>
    </row>
    <row r="107" spans="1:58" ht="12.95" customHeight="1">
      <c r="A107" s="344"/>
      <c r="B107" s="45"/>
      <c r="C107" s="449"/>
      <c r="D107" s="45"/>
      <c r="E107" s="46"/>
      <c r="F107" s="46"/>
      <c r="G107" s="462"/>
      <c r="H107" s="48"/>
      <c r="I107" s="49"/>
      <c r="J107" s="88"/>
      <c r="K107" s="88"/>
      <c r="L107" s="39"/>
      <c r="M107" s="39"/>
      <c r="N107" s="50"/>
      <c r="O107" s="51"/>
      <c r="P107" s="52"/>
      <c r="Q107" s="51"/>
      <c r="R107" s="419"/>
      <c r="S107" s="419"/>
      <c r="T107" s="41"/>
      <c r="U107" s="41"/>
      <c r="V107" s="41"/>
      <c r="W107" s="41"/>
      <c r="X107" s="416"/>
      <c r="Y107" s="221"/>
      <c r="Z107" s="41"/>
      <c r="AA107" s="53"/>
      <c r="AB107" s="53"/>
      <c r="AC107" s="41"/>
      <c r="AD107" s="41">
        <f>+AM107+BA107</f>
        <v>19</v>
      </c>
      <c r="AE107" s="240" t="s">
        <v>684</v>
      </c>
      <c r="AF107" s="41"/>
      <c r="AG107" s="41">
        <v>19</v>
      </c>
      <c r="AH107" s="41"/>
      <c r="AI107" s="458"/>
      <c r="AJ107" s="41"/>
      <c r="AK107" s="41"/>
      <c r="AL107" s="41"/>
      <c r="AM107" s="41">
        <f>SUM(AF107:AL107)+AT107+AV107+AX107</f>
        <v>19</v>
      </c>
      <c r="AN107" s="89"/>
      <c r="AO107" s="41"/>
      <c r="AP107" s="41"/>
      <c r="AQ107" s="41"/>
      <c r="AR107" s="41">
        <f>SUM(AN107:AQ107)</f>
        <v>0</v>
      </c>
      <c r="AS107" s="41"/>
      <c r="AT107" s="41"/>
      <c r="AU107" s="41"/>
      <c r="AV107" s="41"/>
      <c r="AW107" s="41"/>
      <c r="AX107" s="41"/>
      <c r="AY107" s="41"/>
      <c r="AZ107" s="41"/>
      <c r="BA107" s="41">
        <f>+AR107+AS107+AU107+AW107+AY107+AZ107</f>
        <v>0</v>
      </c>
      <c r="BB107" s="54"/>
      <c r="BC107" s="55">
        <v>19</v>
      </c>
      <c r="BD107" s="55"/>
      <c r="BE107" s="54"/>
      <c r="BF107" s="55"/>
    </row>
    <row r="108" spans="1:58" ht="12.95" customHeight="1">
      <c r="A108" s="44"/>
      <c r="B108" s="45"/>
      <c r="C108" s="449"/>
      <c r="D108" s="45"/>
      <c r="E108" s="46"/>
      <c r="F108" s="46"/>
      <c r="G108" s="462"/>
      <c r="H108" s="48"/>
      <c r="I108" s="49"/>
      <c r="J108" s="88"/>
      <c r="K108" s="88"/>
      <c r="L108" s="39"/>
      <c r="M108" s="39"/>
      <c r="N108" s="50"/>
      <c r="O108" s="51"/>
      <c r="P108" s="52"/>
      <c r="Q108" s="51"/>
      <c r="R108" s="419"/>
      <c r="S108" s="419"/>
      <c r="T108" s="41"/>
      <c r="U108" s="41"/>
      <c r="V108" s="41"/>
      <c r="W108" s="41"/>
      <c r="X108" s="42"/>
      <c r="Y108" s="221"/>
      <c r="Z108" s="41"/>
      <c r="AA108" s="41"/>
      <c r="AB108" s="41"/>
      <c r="AC108" s="41"/>
      <c r="AD108" s="41">
        <f>+AM108+BA108</f>
        <v>36</v>
      </c>
      <c r="AE108" s="240" t="s">
        <v>715</v>
      </c>
      <c r="AF108" s="37"/>
      <c r="AG108" s="37"/>
      <c r="AH108" s="37">
        <v>36</v>
      </c>
      <c r="AI108" s="458"/>
      <c r="AJ108" s="41"/>
      <c r="AK108" s="41"/>
      <c r="AL108" s="41"/>
      <c r="AM108" s="41">
        <f>SUM(AF108:AL108)+AT108+AV108+AX108</f>
        <v>36</v>
      </c>
      <c r="AN108" s="41"/>
      <c r="AO108" s="41"/>
      <c r="AP108" s="41"/>
      <c r="AQ108" s="41"/>
      <c r="AR108" s="41">
        <f>SUM(AN108:AQ108)</f>
        <v>0</v>
      </c>
      <c r="AS108" s="41"/>
      <c r="AT108" s="41"/>
      <c r="AU108" s="41"/>
      <c r="AV108" s="41"/>
      <c r="AW108" s="41"/>
      <c r="AX108" s="41"/>
      <c r="AY108" s="41"/>
      <c r="AZ108" s="41"/>
      <c r="BA108" s="41">
        <f>+AR108+AS108+AU108+AW108+AY108+AZ108</f>
        <v>0</v>
      </c>
      <c r="BB108" s="37"/>
      <c r="BC108" s="57"/>
      <c r="BD108" s="57"/>
      <c r="BE108" s="37"/>
      <c r="BF108" s="57"/>
    </row>
    <row r="109" spans="1:58" ht="12.95" customHeight="1">
      <c r="A109" s="344"/>
      <c r="B109" s="45"/>
      <c r="C109" s="449"/>
      <c r="D109" s="45"/>
      <c r="E109" s="46"/>
      <c r="F109" s="46"/>
      <c r="G109" s="462"/>
      <c r="H109" s="48"/>
      <c r="I109" s="49"/>
      <c r="J109" s="88"/>
      <c r="K109" s="88"/>
      <c r="L109" s="39"/>
      <c r="M109" s="39"/>
      <c r="N109" s="50"/>
      <c r="O109" s="51"/>
      <c r="P109" s="52"/>
      <c r="Q109" s="51"/>
      <c r="R109" s="419"/>
      <c r="S109" s="419"/>
      <c r="T109" s="41"/>
      <c r="U109" s="41"/>
      <c r="V109" s="41"/>
      <c r="W109" s="41"/>
      <c r="X109" s="416"/>
      <c r="Y109" s="221"/>
      <c r="Z109" s="41"/>
      <c r="AA109" s="53"/>
      <c r="AB109" s="53"/>
      <c r="AC109" s="41"/>
      <c r="AD109" s="41">
        <f>+AM109+BA109</f>
        <v>31</v>
      </c>
      <c r="AE109" s="243" t="s">
        <v>716</v>
      </c>
      <c r="AF109" s="41"/>
      <c r="AG109" s="41"/>
      <c r="AH109" s="41"/>
      <c r="AI109" s="458"/>
      <c r="AJ109" s="41">
        <v>31</v>
      </c>
      <c r="AK109" s="41"/>
      <c r="AL109" s="41"/>
      <c r="AM109" s="41">
        <f>SUM(AF109:AL109)+AT109+AV109+AX109</f>
        <v>31</v>
      </c>
      <c r="AN109" s="41"/>
      <c r="AO109" s="41"/>
      <c r="AP109" s="41"/>
      <c r="AQ109" s="41"/>
      <c r="AR109" s="41">
        <f>SUM(AN109:AQ109)</f>
        <v>0</v>
      </c>
      <c r="AS109" s="41"/>
      <c r="AT109" s="41"/>
      <c r="AU109" s="41"/>
      <c r="AV109" s="41"/>
      <c r="AW109" s="41"/>
      <c r="AX109" s="41"/>
      <c r="AY109" s="41"/>
      <c r="AZ109" s="41"/>
      <c r="BA109" s="41">
        <f>+AR109+AS109+AU109+AW109+AY109+AZ109</f>
        <v>0</v>
      </c>
      <c r="BB109" s="37"/>
      <c r="BC109" s="57"/>
      <c r="BD109" s="57"/>
      <c r="BE109" s="37"/>
      <c r="BF109" s="57"/>
    </row>
    <row r="110" spans="1:58" ht="12.95" customHeight="1">
      <c r="A110" s="44"/>
      <c r="B110" s="45"/>
      <c r="C110" s="449"/>
      <c r="D110" s="45"/>
      <c r="E110" s="46"/>
      <c r="F110" s="46"/>
      <c r="G110" s="462"/>
      <c r="H110" s="48"/>
      <c r="I110" s="49"/>
      <c r="J110" s="88"/>
      <c r="K110" s="88"/>
      <c r="L110" s="39"/>
      <c r="M110" s="39"/>
      <c r="N110" s="50"/>
      <c r="O110" s="51"/>
      <c r="P110" s="52"/>
      <c r="Q110" s="51"/>
      <c r="R110" s="419"/>
      <c r="S110" s="419"/>
      <c r="T110" s="41"/>
      <c r="U110" s="41"/>
      <c r="V110" s="41"/>
      <c r="W110" s="41"/>
      <c r="X110" s="42"/>
      <c r="Y110" s="221"/>
      <c r="Z110" s="41"/>
      <c r="AA110" s="41"/>
      <c r="AB110" s="41"/>
      <c r="AC110" s="41"/>
      <c r="AD110" s="41"/>
      <c r="AE110" s="240"/>
      <c r="AF110" s="37"/>
      <c r="AG110" s="37"/>
      <c r="AH110" s="37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37"/>
      <c r="BC110" s="57"/>
      <c r="BD110" s="55"/>
      <c r="BE110" s="55"/>
      <c r="BF110" s="55"/>
    </row>
    <row r="111" spans="1:58" ht="12.75" customHeight="1">
      <c r="A111" s="344">
        <v>45892</v>
      </c>
      <c r="B111" s="45" t="s">
        <v>7</v>
      </c>
      <c r="C111" s="449">
        <f>(M111*E111*O111*Q111)/100000000</f>
        <v>3.6431851213333339</v>
      </c>
      <c r="D111" s="45" t="s">
        <v>407</v>
      </c>
      <c r="E111" s="46">
        <v>10.3</v>
      </c>
      <c r="F111" s="46">
        <v>1</v>
      </c>
      <c r="G111" s="462">
        <v>1730</v>
      </c>
      <c r="H111" s="610">
        <v>0.2</v>
      </c>
      <c r="I111" s="49">
        <v>0.88</v>
      </c>
      <c r="J111" s="88">
        <f>E111*G111*(1-H111)*1440/1000000*2.77</f>
        <v>56.861141760000002</v>
      </c>
      <c r="K111" s="88">
        <f>(IF(G111&lt;L111,L111,G111)*(1-IF(H111&lt;N111,H111,N111))*E111*O111*Q111)/100000000</f>
        <v>3.7214625120000004</v>
      </c>
      <c r="L111" s="39">
        <v>1693.6111111111111</v>
      </c>
      <c r="M111" s="39">
        <v>1354.8888888888889</v>
      </c>
      <c r="N111" s="50">
        <f>1-(M111/L111)</f>
        <v>0.19999999999999996</v>
      </c>
      <c r="O111" s="51">
        <f>+'Trim Rwd'!H85</f>
        <v>274.8</v>
      </c>
      <c r="P111" s="52">
        <f>O111*(Q111-R111-S111)</f>
        <v>25831.200000000001</v>
      </c>
      <c r="Q111" s="51">
        <v>95</v>
      </c>
      <c r="R111" s="419">
        <v>0</v>
      </c>
      <c r="S111" s="419">
        <v>1</v>
      </c>
      <c r="T111" s="41">
        <f>E111*M111*O111*Q111/100000000</f>
        <v>3.6431851213333339</v>
      </c>
      <c r="U111" s="41">
        <f>E111*M111*O111*(Q111-R111-S111)/100000000</f>
        <v>3.6048358042666675</v>
      </c>
      <c r="V111" s="41">
        <f>E111*G111*(1-N111)*O111/100*(R111+S111)/1000000</f>
        <v>3.9173289600000001E-2</v>
      </c>
      <c r="W111" s="41">
        <f>+'23'!K17/1000</f>
        <v>8.3339999999999996</v>
      </c>
      <c r="X111" s="416">
        <f>SUM(W111:W114)/SUM(K111:K114)</f>
        <v>0.80290783777060137</v>
      </c>
      <c r="Y111" s="221">
        <v>0</v>
      </c>
      <c r="Z111" s="41">
        <v>0</v>
      </c>
      <c r="AA111" s="53">
        <f>SUM(U111:U114)-SUM(W111:W114)-SUM(Z111:Z114)-SUM(Y111:Y114)</f>
        <v>6.0535947966330834</v>
      </c>
      <c r="AB111" s="53">
        <f>(SUM(K111:K114)-SUM(W111:W114)-SUM(Y111:Y114)-SUM(Z111:Z114)-SUM(AC111:AC114)-SUM(V111:V114))-AA111</f>
        <v>-8.2397253333965637E-4</v>
      </c>
      <c r="AC111" s="41">
        <f>K111-T111</f>
        <v>7.8277390666666502E-2</v>
      </c>
      <c r="AD111" s="41">
        <f>+AM111+BA111</f>
        <v>10</v>
      </c>
      <c r="AE111" s="240" t="s">
        <v>522</v>
      </c>
      <c r="AF111" s="41">
        <v>10</v>
      </c>
      <c r="AG111" s="41"/>
      <c r="AH111" s="41"/>
      <c r="AI111" s="458"/>
      <c r="AJ111" s="41"/>
      <c r="AK111" s="41"/>
      <c r="AL111" s="41"/>
      <c r="AM111" s="41">
        <f>SUM(AF111:AL111)+AT111+AV111+AX111</f>
        <v>10</v>
      </c>
      <c r="AN111" s="41"/>
      <c r="AO111" s="41"/>
      <c r="AP111" s="41"/>
      <c r="AQ111" s="41"/>
      <c r="AR111" s="41">
        <f>SUM(AN111:AQ111)</f>
        <v>0</v>
      </c>
      <c r="AS111" s="41"/>
      <c r="AT111" s="41"/>
      <c r="AU111" s="41"/>
      <c r="AV111" s="41"/>
      <c r="AW111" s="41"/>
      <c r="AX111" s="41"/>
      <c r="AY111" s="41"/>
      <c r="AZ111" s="41"/>
      <c r="BA111" s="41">
        <f>+AR111+AS111+AU111+AW111+AY111+AZ111</f>
        <v>0</v>
      </c>
      <c r="BB111" s="37">
        <v>2</v>
      </c>
      <c r="BC111" s="55"/>
      <c r="BD111" s="55"/>
      <c r="BE111" s="37"/>
      <c r="BF111" s="55"/>
    </row>
    <row r="112" spans="1:58" ht="12.95" customHeight="1">
      <c r="A112" s="344"/>
      <c r="B112" s="45" t="s">
        <v>721</v>
      </c>
      <c r="C112" s="449">
        <f>(M112*E112*O112*Q112)/100000000</f>
        <v>48.26084235114503</v>
      </c>
      <c r="D112" s="45" t="s">
        <v>407</v>
      </c>
      <c r="E112" s="46">
        <v>13</v>
      </c>
      <c r="F112" s="46">
        <v>1</v>
      </c>
      <c r="G112" s="462">
        <v>1300</v>
      </c>
      <c r="H112" s="48">
        <v>0.2</v>
      </c>
      <c r="I112" s="49">
        <v>0.88</v>
      </c>
      <c r="J112" s="88">
        <f>E112*G112*(1-H112)*1440/1000000*2.77</f>
        <v>53.928576000000007</v>
      </c>
      <c r="K112" s="88">
        <f>(IF(G112&lt;L112,L112,G112)*(1-IF(H112&lt;N112,H112,N112))*E112*O112*Q112)/100000000</f>
        <v>48.26084235114503</v>
      </c>
      <c r="L112" s="39">
        <v>1300</v>
      </c>
      <c r="M112" s="39">
        <f>+L112-L112*0.2</f>
        <v>1040</v>
      </c>
      <c r="N112" s="50">
        <f>1-(M112/L112)</f>
        <v>0.19999999999999996</v>
      </c>
      <c r="O112" s="51">
        <f>+'Trim Rwd'!H87</f>
        <v>265.39694656488547</v>
      </c>
      <c r="P112" s="52">
        <f>O112*(Q112-R112-S112)</f>
        <v>343689.04580152669</v>
      </c>
      <c r="Q112" s="51">
        <v>1345</v>
      </c>
      <c r="R112" s="419">
        <v>0</v>
      </c>
      <c r="S112" s="419">
        <v>50</v>
      </c>
      <c r="T112" s="41">
        <f>E112*M112*O112*Q112/100000000</f>
        <v>48.26084235114503</v>
      </c>
      <c r="U112" s="41">
        <f>E112*M112*O112*(Q112-R112-S112)/100000000</f>
        <v>46.466758992366408</v>
      </c>
      <c r="V112" s="41">
        <f>E112*G112*(1-N112)*O112/100*(R112+S112)/1000000</f>
        <v>1.7940833587786256</v>
      </c>
      <c r="W112" s="41">
        <f>+'23'!K18/1000</f>
        <v>33.402999999999999</v>
      </c>
      <c r="X112" s="416"/>
      <c r="Y112" s="221"/>
      <c r="Z112" s="41">
        <f>+'23'!D34/1000</f>
        <v>2.2810000000000001</v>
      </c>
      <c r="AA112" s="53"/>
      <c r="AB112" s="53"/>
      <c r="AC112" s="41">
        <f>K112-T112</f>
        <v>0</v>
      </c>
      <c r="AD112" s="41">
        <f>+AM112+BA112</f>
        <v>9</v>
      </c>
      <c r="AE112" s="240" t="s">
        <v>722</v>
      </c>
      <c r="AF112" s="41"/>
      <c r="AG112" s="41">
        <v>9</v>
      </c>
      <c r="AH112" s="41"/>
      <c r="AI112" s="458"/>
      <c r="AJ112" s="41"/>
      <c r="AK112" s="41"/>
      <c r="AL112" s="41"/>
      <c r="AM112" s="41">
        <f>SUM(AF112:AL112)+AT112+AV112+AX112</f>
        <v>9</v>
      </c>
      <c r="AN112" s="89"/>
      <c r="AO112" s="41"/>
      <c r="AP112" s="41"/>
      <c r="AQ112" s="41"/>
      <c r="AR112" s="41">
        <f>SUM(AN112:AQ112)</f>
        <v>0</v>
      </c>
      <c r="AS112" s="41"/>
      <c r="AT112" s="41"/>
      <c r="AU112" s="41"/>
      <c r="AV112" s="41"/>
      <c r="AW112" s="41"/>
      <c r="AX112" s="41"/>
      <c r="AY112" s="41"/>
      <c r="AZ112" s="41"/>
      <c r="BA112" s="41">
        <f>+AR112+AS112+AU112+AW112+AY112+AZ112</f>
        <v>0</v>
      </c>
      <c r="BB112" s="54"/>
      <c r="BC112" s="55">
        <v>13</v>
      </c>
      <c r="BD112" s="55"/>
      <c r="BE112" s="54"/>
      <c r="BF112" s="55"/>
    </row>
    <row r="113" spans="1:58" ht="12.95" customHeight="1">
      <c r="A113" s="44"/>
      <c r="B113" s="45"/>
      <c r="C113" s="449"/>
      <c r="D113" s="45"/>
      <c r="E113" s="46"/>
      <c r="F113" s="46"/>
      <c r="G113" s="462"/>
      <c r="H113" s="48"/>
      <c r="I113" s="49"/>
      <c r="J113" s="88"/>
      <c r="K113" s="88"/>
      <c r="L113" s="39"/>
      <c r="M113" s="39"/>
      <c r="N113" s="50"/>
      <c r="O113" s="51"/>
      <c r="P113" s="52"/>
      <c r="Q113" s="51"/>
      <c r="R113" s="419"/>
      <c r="S113" s="419"/>
      <c r="T113" s="41"/>
      <c r="U113" s="41"/>
      <c r="V113" s="41"/>
      <c r="W113" s="41"/>
      <c r="X113" s="42"/>
      <c r="Y113" s="221"/>
      <c r="Z113" s="41"/>
      <c r="AA113" s="41"/>
      <c r="AB113" s="41"/>
      <c r="AC113" s="41"/>
      <c r="AD113" s="41">
        <f>+AM113+BA113</f>
        <v>22</v>
      </c>
      <c r="AE113" s="240" t="s">
        <v>540</v>
      </c>
      <c r="AF113" s="37"/>
      <c r="AG113" s="37"/>
      <c r="AH113" s="37">
        <v>22</v>
      </c>
      <c r="AI113" s="458"/>
      <c r="AJ113" s="41"/>
      <c r="AK113" s="41"/>
      <c r="AL113" s="41"/>
      <c r="AM113" s="41">
        <f>SUM(AF113:AL113)+AT113+AV113+AX113</f>
        <v>22</v>
      </c>
      <c r="AN113" s="41"/>
      <c r="AO113" s="41"/>
      <c r="AP113" s="41"/>
      <c r="AQ113" s="41"/>
      <c r="AR113" s="41">
        <f>SUM(AN113:AQ113)</f>
        <v>0</v>
      </c>
      <c r="AS113" s="41"/>
      <c r="AT113" s="41"/>
      <c r="AU113" s="41"/>
      <c r="AV113" s="41"/>
      <c r="AW113" s="41"/>
      <c r="AX113" s="41"/>
      <c r="AY113" s="41"/>
      <c r="AZ113" s="41"/>
      <c r="BA113" s="41">
        <f>+AR113+AS113+AU113+AW113+AY113+AZ113</f>
        <v>0</v>
      </c>
      <c r="BB113" s="37"/>
      <c r="BC113" s="57"/>
      <c r="BD113" s="57"/>
      <c r="BE113" s="37"/>
      <c r="BF113" s="57"/>
    </row>
    <row r="114" spans="1:58" ht="12.95" customHeight="1">
      <c r="A114" s="344"/>
      <c r="B114" s="45"/>
      <c r="C114" s="449"/>
      <c r="D114" s="45"/>
      <c r="E114" s="46"/>
      <c r="F114" s="46"/>
      <c r="G114" s="462"/>
      <c r="H114" s="48"/>
      <c r="I114" s="49"/>
      <c r="J114" s="88"/>
      <c r="K114" s="88"/>
      <c r="L114" s="39"/>
      <c r="M114" s="39"/>
      <c r="N114" s="50"/>
      <c r="O114" s="51"/>
      <c r="P114" s="52"/>
      <c r="Q114" s="51"/>
      <c r="R114" s="419"/>
      <c r="S114" s="419"/>
      <c r="T114" s="41"/>
      <c r="U114" s="41"/>
      <c r="V114" s="41"/>
      <c r="W114" s="41"/>
      <c r="X114" s="416"/>
      <c r="Y114" s="221"/>
      <c r="Z114" s="41"/>
      <c r="AA114" s="53"/>
      <c r="AB114" s="53"/>
      <c r="AC114" s="41"/>
      <c r="AD114" s="41">
        <f>+AM114+BA114</f>
        <v>10</v>
      </c>
      <c r="AE114" s="243" t="s">
        <v>541</v>
      </c>
      <c r="AF114" s="41"/>
      <c r="AG114" s="41"/>
      <c r="AH114" s="41"/>
      <c r="AI114" s="458">
        <v>10</v>
      </c>
      <c r="AJ114" s="41"/>
      <c r="AK114" s="41"/>
      <c r="AL114" s="41"/>
      <c r="AM114" s="41">
        <f>SUM(AF114:AL114)+AT114+AV114+AX114</f>
        <v>10</v>
      </c>
      <c r="AN114" s="41"/>
      <c r="AO114" s="41"/>
      <c r="AP114" s="41"/>
      <c r="AQ114" s="41"/>
      <c r="AR114" s="41">
        <f>SUM(AN114:AQ114)</f>
        <v>0</v>
      </c>
      <c r="AS114" s="41"/>
      <c r="AT114" s="41"/>
      <c r="AU114" s="41"/>
      <c r="AV114" s="41"/>
      <c r="AW114" s="41"/>
      <c r="AX114" s="41"/>
      <c r="AY114" s="41"/>
      <c r="AZ114" s="41"/>
      <c r="BA114" s="41">
        <f>+AR114+AS114+AU114+AW114+AY114+AZ114</f>
        <v>0</v>
      </c>
      <c r="BB114" s="37"/>
      <c r="BC114" s="57"/>
      <c r="BD114" s="57"/>
      <c r="BE114" s="37"/>
      <c r="BF114" s="57"/>
    </row>
    <row r="115" spans="1:58" ht="12.75" customHeight="1">
      <c r="A115" s="44"/>
      <c r="B115" s="45"/>
      <c r="C115" s="449"/>
      <c r="D115" s="45"/>
      <c r="E115" s="46"/>
      <c r="F115" s="46"/>
      <c r="G115" s="462"/>
      <c r="H115" s="48"/>
      <c r="I115" s="49"/>
      <c r="J115" s="88"/>
      <c r="K115" s="88"/>
      <c r="L115" s="39"/>
      <c r="M115" s="39"/>
      <c r="N115" s="50"/>
      <c r="O115" s="51"/>
      <c r="P115" s="52"/>
      <c r="Q115" s="51"/>
      <c r="R115" s="419"/>
      <c r="S115" s="419"/>
      <c r="T115" s="41"/>
      <c r="U115" s="41"/>
      <c r="V115" s="41"/>
      <c r="W115" s="41"/>
      <c r="X115" s="42"/>
      <c r="Y115" s="221"/>
      <c r="Z115" s="41"/>
      <c r="AA115" s="41"/>
      <c r="AB115" s="41"/>
      <c r="AC115" s="41"/>
      <c r="AD115" s="41"/>
      <c r="AE115" s="240"/>
      <c r="AF115" s="37"/>
      <c r="AG115" s="37"/>
      <c r="AH115" s="37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37"/>
      <c r="BC115" s="57"/>
      <c r="BD115" s="55"/>
      <c r="BE115" s="55"/>
      <c r="BF115" s="55"/>
    </row>
    <row r="116" spans="1:58" ht="12.75" customHeight="1">
      <c r="A116" s="344">
        <v>45893</v>
      </c>
      <c r="B116" s="45" t="s">
        <v>721</v>
      </c>
      <c r="C116" s="449">
        <f>(M116*E116*O116*Q116)/100000000</f>
        <v>51.089069886792458</v>
      </c>
      <c r="D116" s="45" t="s">
        <v>407</v>
      </c>
      <c r="E116" s="46">
        <v>13</v>
      </c>
      <c r="F116" s="46">
        <v>1</v>
      </c>
      <c r="G116" s="462">
        <v>1300</v>
      </c>
      <c r="H116" s="48">
        <v>0.2</v>
      </c>
      <c r="I116" s="49">
        <v>0.88</v>
      </c>
      <c r="J116" s="88">
        <f>E116*G116*(1-H116)*1440/1000000*2.77</f>
        <v>53.928576000000007</v>
      </c>
      <c r="K116" s="88">
        <f>(IF(G116&lt;L116,L116,G116)*(1-IF(H116&lt;N116,H116,N116))*E116*O116*Q116)/100000000</f>
        <v>51.089069886792458</v>
      </c>
      <c r="L116" s="39">
        <v>1300</v>
      </c>
      <c r="M116" s="39">
        <f>+L116-L116*0.2</f>
        <v>1040</v>
      </c>
      <c r="N116" s="50">
        <f>1-(M116/L116)</f>
        <v>0.19999999999999996</v>
      </c>
      <c r="O116" s="51">
        <f>+'Trim Rwd'!H90</f>
        <v>262.41509433962267</v>
      </c>
      <c r="P116" s="52">
        <f>O116*(Q116-R116-S116)</f>
        <v>367643.54716981138</v>
      </c>
      <c r="Q116" s="51">
        <v>1440</v>
      </c>
      <c r="R116" s="419">
        <v>0</v>
      </c>
      <c r="S116" s="419">
        <v>39</v>
      </c>
      <c r="T116" s="41">
        <f>E116*M116*O116*Q116/100000000</f>
        <v>51.089069886792458</v>
      </c>
      <c r="U116" s="41">
        <f>E116*M116*O116*(Q116-R116-S116)/100000000</f>
        <v>49.705407577358493</v>
      </c>
      <c r="V116" s="41">
        <f>E116*G116*(1-N116)*O116/100*(R116+S116)/1000000</f>
        <v>1.3836623094339624</v>
      </c>
      <c r="W116" s="41">
        <f>+'24'!K34/1000</f>
        <v>44.899000000000001</v>
      </c>
      <c r="X116" s="416">
        <f>SUM(W116:W119)/SUM(K116:K119)</f>
        <v>0.87883768679858632</v>
      </c>
      <c r="Y116" s="221">
        <v>0</v>
      </c>
      <c r="Z116" s="41">
        <f>+'24'!D34/1000</f>
        <v>1.054</v>
      </c>
      <c r="AA116" s="53">
        <f>SUM(U116:U119)-SUM(W116:W119)-SUM(Z116:Z119)-SUM(Y116:Y119)</f>
        <v>3.7524075773584915</v>
      </c>
      <c r="AB116" s="53">
        <f>(SUM(K116:K119)-SUM(W116:W119)-SUM(Y116:Y119)-SUM(Z116:Z119)-SUM(AC116:AC119)-SUM(V116:V119))-AA116</f>
        <v>3.5527136788005009E-15</v>
      </c>
      <c r="AC116" s="41">
        <f>K116-T116</f>
        <v>0</v>
      </c>
      <c r="AD116" s="41">
        <f>+AM116+BA116</f>
        <v>15</v>
      </c>
      <c r="AE116" s="240" t="s">
        <v>492</v>
      </c>
      <c r="AF116" s="41">
        <v>15</v>
      </c>
      <c r="AG116" s="41"/>
      <c r="AH116" s="41"/>
      <c r="AI116" s="458"/>
      <c r="AJ116" s="41"/>
      <c r="AK116" s="41"/>
      <c r="AL116" s="41"/>
      <c r="AM116" s="41">
        <f>SUM(AF116:AL116)+AT116+AV116+AX116</f>
        <v>15</v>
      </c>
      <c r="AN116" s="41"/>
      <c r="AO116" s="41"/>
      <c r="AP116" s="41"/>
      <c r="AQ116" s="41"/>
      <c r="AR116" s="41">
        <f>SUM(AN116:AQ116)</f>
        <v>0</v>
      </c>
      <c r="AS116" s="41"/>
      <c r="AT116" s="41"/>
      <c r="AU116" s="41"/>
      <c r="AV116" s="41"/>
      <c r="AW116" s="41"/>
      <c r="AX116" s="41"/>
      <c r="AY116" s="41"/>
      <c r="AZ116" s="41"/>
      <c r="BA116" s="41">
        <f>+AR116+AS116+AU116+AW116+AY116+AZ116</f>
        <v>0</v>
      </c>
      <c r="BB116" s="37">
        <v>3</v>
      </c>
      <c r="BC116" s="55"/>
      <c r="BD116" s="55"/>
      <c r="BE116" s="37"/>
      <c r="BF116" s="55"/>
    </row>
    <row r="117" spans="1:58" ht="12.95" customHeight="1">
      <c r="A117" s="344"/>
      <c r="B117" s="45"/>
      <c r="C117" s="449"/>
      <c r="D117" s="45"/>
      <c r="E117" s="46"/>
      <c r="F117" s="46"/>
      <c r="G117" s="462"/>
      <c r="H117" s="48"/>
      <c r="I117" s="49"/>
      <c r="J117" s="88"/>
      <c r="K117" s="88"/>
      <c r="L117" s="39"/>
      <c r="M117" s="39"/>
      <c r="N117" s="50"/>
      <c r="O117" s="51"/>
      <c r="P117" s="52"/>
      <c r="Q117" s="51"/>
      <c r="R117" s="419"/>
      <c r="S117" s="419"/>
      <c r="T117" s="41"/>
      <c r="U117" s="41"/>
      <c r="V117" s="41"/>
      <c r="W117" s="41"/>
      <c r="X117" s="416"/>
      <c r="Y117" s="221"/>
      <c r="Z117" s="41"/>
      <c r="AA117" s="53"/>
      <c r="AB117" s="53"/>
      <c r="AC117" s="41"/>
      <c r="AD117" s="41">
        <f>+AM117+BA117</f>
        <v>6</v>
      </c>
      <c r="AE117" s="240" t="s">
        <v>481</v>
      </c>
      <c r="AF117" s="41"/>
      <c r="AG117" s="41">
        <v>6</v>
      </c>
      <c r="AH117" s="41"/>
      <c r="AI117" s="458"/>
      <c r="AJ117" s="41"/>
      <c r="AK117" s="41"/>
      <c r="AL117" s="41"/>
      <c r="AM117" s="41">
        <f>SUM(AF117:AL117)+AT117+AV117+AX117</f>
        <v>6</v>
      </c>
      <c r="AN117" s="89"/>
      <c r="AO117" s="41"/>
      <c r="AP117" s="41"/>
      <c r="AQ117" s="41"/>
      <c r="AR117" s="41">
        <f>SUM(AN117:AQ117)</f>
        <v>0</v>
      </c>
      <c r="AS117" s="41"/>
      <c r="AT117" s="41"/>
      <c r="AU117" s="41"/>
      <c r="AV117" s="41"/>
      <c r="AW117" s="41"/>
      <c r="AX117" s="41"/>
      <c r="AY117" s="41"/>
      <c r="AZ117" s="41"/>
      <c r="BA117" s="41">
        <f>+AR117+AS117+AU117+AW117+AY117+AZ117</f>
        <v>0</v>
      </c>
      <c r="BB117" s="54"/>
      <c r="BC117" s="55">
        <v>3</v>
      </c>
      <c r="BD117" s="55"/>
      <c r="BE117" s="54"/>
      <c r="BF117" s="55"/>
    </row>
    <row r="118" spans="1:58" ht="12.95" customHeight="1">
      <c r="A118" s="44"/>
      <c r="B118" s="45"/>
      <c r="C118" s="449"/>
      <c r="D118" s="45"/>
      <c r="E118" s="46"/>
      <c r="F118" s="46"/>
      <c r="G118" s="462"/>
      <c r="H118" s="48"/>
      <c r="I118" s="49"/>
      <c r="J118" s="88"/>
      <c r="K118" s="88"/>
      <c r="L118" s="39"/>
      <c r="M118" s="39"/>
      <c r="N118" s="50"/>
      <c r="O118" s="51"/>
      <c r="P118" s="52"/>
      <c r="Q118" s="51"/>
      <c r="R118" s="419"/>
      <c r="S118" s="419"/>
      <c r="T118" s="41"/>
      <c r="U118" s="41"/>
      <c r="V118" s="41"/>
      <c r="W118" s="41"/>
      <c r="X118" s="42"/>
      <c r="Y118" s="221"/>
      <c r="Z118" s="41"/>
      <c r="AA118" s="41"/>
      <c r="AB118" s="41"/>
      <c r="AC118" s="41"/>
      <c r="AD118" s="41">
        <f>+AM118+BA118</f>
        <v>18</v>
      </c>
      <c r="AE118" s="240" t="s">
        <v>723</v>
      </c>
      <c r="AF118" s="37"/>
      <c r="AG118" s="37"/>
      <c r="AH118" s="37">
        <v>18</v>
      </c>
      <c r="AI118" s="458"/>
      <c r="AJ118" s="41"/>
      <c r="AK118" s="41"/>
      <c r="AL118" s="41"/>
      <c r="AM118" s="41">
        <f>SUM(AF118:AL118)+AT118+AV118+AX118</f>
        <v>18</v>
      </c>
      <c r="AN118" s="41"/>
      <c r="AO118" s="41"/>
      <c r="AP118" s="41"/>
      <c r="AQ118" s="41"/>
      <c r="AR118" s="41">
        <f>SUM(AN118:AQ118)</f>
        <v>0</v>
      </c>
      <c r="AS118" s="41"/>
      <c r="AT118" s="41"/>
      <c r="AU118" s="41"/>
      <c r="AV118" s="41"/>
      <c r="AW118" s="41"/>
      <c r="AX118" s="41"/>
      <c r="AY118" s="41"/>
      <c r="AZ118" s="41"/>
      <c r="BA118" s="41">
        <f>+AR118+AS118+AU118+AW118+AY118+AZ118</f>
        <v>0</v>
      </c>
      <c r="BB118" s="37"/>
      <c r="BC118" s="57"/>
      <c r="BD118" s="57"/>
      <c r="BE118" s="37"/>
      <c r="BF118" s="57"/>
    </row>
    <row r="119" spans="1:58" ht="12.95" customHeight="1">
      <c r="A119" s="344"/>
      <c r="B119" s="45"/>
      <c r="C119" s="449"/>
      <c r="D119" s="45"/>
      <c r="E119" s="46"/>
      <c r="F119" s="46"/>
      <c r="G119" s="462"/>
      <c r="H119" s="48"/>
      <c r="I119" s="49"/>
      <c r="J119" s="88"/>
      <c r="K119" s="88"/>
      <c r="L119" s="39"/>
      <c r="M119" s="39"/>
      <c r="N119" s="50"/>
      <c r="O119" s="51"/>
      <c r="P119" s="52"/>
      <c r="Q119" s="51"/>
      <c r="R119" s="419"/>
      <c r="S119" s="419"/>
      <c r="T119" s="41"/>
      <c r="U119" s="41"/>
      <c r="V119" s="41"/>
      <c r="W119" s="41"/>
      <c r="X119" s="416"/>
      <c r="Y119" s="221"/>
      <c r="Z119" s="41"/>
      <c r="AA119" s="53"/>
      <c r="AB119" s="53"/>
      <c r="AC119" s="41"/>
      <c r="AD119" s="41"/>
      <c r="AE119" s="243"/>
      <c r="AF119" s="41"/>
      <c r="AG119" s="41"/>
      <c r="AH119" s="41"/>
      <c r="AI119" s="458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37"/>
      <c r="BC119" s="57"/>
      <c r="BD119" s="57"/>
      <c r="BE119" s="37"/>
      <c r="BF119" s="57"/>
    </row>
    <row r="120" spans="1:58" ht="12.75" customHeight="1">
      <c r="A120" s="344">
        <v>45894</v>
      </c>
      <c r="B120" s="45" t="s">
        <v>721</v>
      </c>
      <c r="C120" s="449">
        <f>(M120*E120*O120*Q120)/100000000</f>
        <v>35.977405521126755</v>
      </c>
      <c r="D120" s="45" t="s">
        <v>407</v>
      </c>
      <c r="E120" s="46">
        <v>13</v>
      </c>
      <c r="F120" s="46">
        <v>1</v>
      </c>
      <c r="G120" s="462">
        <v>1300</v>
      </c>
      <c r="H120" s="48">
        <v>0.2</v>
      </c>
      <c r="I120" s="49">
        <v>0.88</v>
      </c>
      <c r="J120" s="88">
        <f>E120*G120*(1-H120)*1440/1000000*2.77</f>
        <v>53.928576000000007</v>
      </c>
      <c r="K120" s="88">
        <f>(IF(G120&lt;L120,L120,G120)*(1-IF(H120&lt;N120,H120,N120))*E120*O120*Q120)/100000000</f>
        <v>35.977405521126755</v>
      </c>
      <c r="L120" s="39">
        <v>1300</v>
      </c>
      <c r="M120" s="39">
        <f>+L120-L120*0.2</f>
        <v>1040</v>
      </c>
      <c r="N120" s="50">
        <f>1-(M120/L120)</f>
        <v>0.19999999999999996</v>
      </c>
      <c r="O120" s="51">
        <f>+'Trim Rwd'!H93</f>
        <v>260.88732394366195</v>
      </c>
      <c r="P120" s="52">
        <f>O120*(Q120-R120-S120)</f>
        <v>260887.32394366196</v>
      </c>
      <c r="Q120" s="51">
        <v>1020</v>
      </c>
      <c r="R120" s="419">
        <v>0</v>
      </c>
      <c r="S120" s="419">
        <v>20</v>
      </c>
      <c r="T120" s="41">
        <f>E120*M120*O120*Q120/100000000</f>
        <v>35.977405521126755</v>
      </c>
      <c r="U120" s="41">
        <f>E120*M120*O120*(Q120-R120-S120)/100000000</f>
        <v>35.271966197183097</v>
      </c>
      <c r="V120" s="41">
        <f>E120*G120*(1-N120)*O120/100*(R120+S120)/1000000</f>
        <v>0.70543932394366182</v>
      </c>
      <c r="W120" s="41">
        <f>+'25'!K18/1000</f>
        <v>35.593000000000004</v>
      </c>
      <c r="X120" s="416">
        <f>SUM(W120:W123)/SUM(K120:K123)</f>
        <v>0.77499150997452293</v>
      </c>
      <c r="Y120" s="221">
        <v>0</v>
      </c>
      <c r="Z120" s="41">
        <f>+'25'!D34/1000</f>
        <v>3.5270000000000001</v>
      </c>
      <c r="AA120" s="53">
        <f>SUM(U120:U123)-SUM(W120:W123)-SUM(Z120:Z123)-SUM(Y120:Y123)</f>
        <v>6.6132269971830917</v>
      </c>
      <c r="AB120" s="53">
        <f>(SUM(K120:K123)-SUM(W120:W123)-SUM(Y120:Y123)-SUM(Z120:Z123)-SUM(AC120:AC123)-SUM(V120:V123))-AA120</f>
        <v>0</v>
      </c>
      <c r="AC120" s="41">
        <f>K120-T120</f>
        <v>0</v>
      </c>
      <c r="AD120" s="41">
        <f>+AM120+BA120</f>
        <v>10</v>
      </c>
      <c r="AE120" s="240" t="s">
        <v>522</v>
      </c>
      <c r="AF120" s="41">
        <v>10</v>
      </c>
      <c r="AG120" s="41"/>
      <c r="AH120" s="41"/>
      <c r="AI120" s="458"/>
      <c r="AJ120" s="41"/>
      <c r="AK120" s="41"/>
      <c r="AL120" s="41"/>
      <c r="AM120" s="41">
        <f>SUM(AF120:AL120)+AT120+AV120+AX120</f>
        <v>10</v>
      </c>
      <c r="AN120" s="41"/>
      <c r="AO120" s="41"/>
      <c r="AP120" s="41"/>
      <c r="AQ120" s="41"/>
      <c r="AR120" s="41">
        <f>SUM(AN120:AQ120)</f>
        <v>0</v>
      </c>
      <c r="AS120" s="41"/>
      <c r="AT120" s="41"/>
      <c r="AU120" s="41"/>
      <c r="AV120" s="41"/>
      <c r="AW120" s="41"/>
      <c r="AX120" s="41"/>
      <c r="AY120" s="41"/>
      <c r="AZ120" s="41"/>
      <c r="BA120" s="41">
        <f>+AR120+AS120+AU120+AW120+AY120+AZ120</f>
        <v>0</v>
      </c>
      <c r="BB120" s="37">
        <v>2</v>
      </c>
      <c r="BC120" s="55"/>
      <c r="BD120" s="55"/>
      <c r="BE120" s="37"/>
      <c r="BF120" s="55"/>
    </row>
    <row r="121" spans="1:58" ht="12.95" customHeight="1">
      <c r="A121" s="344"/>
      <c r="B121" s="45" t="s">
        <v>721</v>
      </c>
      <c r="C121" s="449">
        <f>(M121*E121*O121*Q121)/100000000</f>
        <v>15.716063999999999</v>
      </c>
      <c r="D121" s="45" t="s">
        <v>407</v>
      </c>
      <c r="E121" s="46">
        <v>14</v>
      </c>
      <c r="F121" s="46">
        <v>1</v>
      </c>
      <c r="G121" s="462">
        <v>1300</v>
      </c>
      <c r="H121" s="48">
        <v>0.2</v>
      </c>
      <c r="I121" s="49">
        <v>0.88</v>
      </c>
      <c r="J121" s="88">
        <f>E121*G121*(1-H121)*1440/1000000*2.77</f>
        <v>58.076928000000002</v>
      </c>
      <c r="K121" s="88">
        <f>(IF(G121&lt;L121,L121,G121)*(1-IF(H121&lt;N121,H121,N121))*E121*O121*Q121)/100000000</f>
        <v>15.716063999999999</v>
      </c>
      <c r="L121" s="39">
        <v>1300</v>
      </c>
      <c r="M121" s="39">
        <f>+L121-L121*0.2</f>
        <v>1040</v>
      </c>
      <c r="N121" s="50">
        <f>1-(M121/L121)</f>
        <v>0.19999999999999996</v>
      </c>
      <c r="O121" s="51">
        <f>+'Trim Rwd'!H95</f>
        <v>257</v>
      </c>
      <c r="P121" s="52">
        <f>O121*(Q121-R121-S121)</f>
        <v>102543</v>
      </c>
      <c r="Q121" s="51">
        <v>420</v>
      </c>
      <c r="R121" s="419">
        <v>0</v>
      </c>
      <c r="S121" s="419">
        <v>21</v>
      </c>
      <c r="T121" s="41">
        <f>E121*M121*O121*Q121/100000000</f>
        <v>15.716063999999999</v>
      </c>
      <c r="U121" s="41">
        <f>E121*M121*O121*(Q121-R121-S121)/100000000</f>
        <v>14.930260799999999</v>
      </c>
      <c r="V121" s="41">
        <f>E121*G121*(1-N121)*O121/100*(R121+S121)/1000000</f>
        <v>0.78580319999999992</v>
      </c>
      <c r="W121" s="41">
        <f>+'25'!K19/1000</f>
        <v>4.4690000000000003</v>
      </c>
      <c r="X121" s="416"/>
      <c r="Y121" s="221"/>
      <c r="Z121" s="41"/>
      <c r="AA121" s="53"/>
      <c r="AB121" s="53"/>
      <c r="AC121" s="41">
        <f>K121-T121</f>
        <v>0</v>
      </c>
      <c r="AD121" s="41">
        <f>+AM121+BA121</f>
        <v>10</v>
      </c>
      <c r="AE121" s="240" t="s">
        <v>482</v>
      </c>
      <c r="AF121" s="41"/>
      <c r="AG121" s="41">
        <v>10</v>
      </c>
      <c r="AH121" s="41"/>
      <c r="AI121" s="458"/>
      <c r="AJ121" s="41"/>
      <c r="AK121" s="41"/>
      <c r="AL121" s="41"/>
      <c r="AM121" s="41">
        <f>SUM(AF121:AL121)+AT121+AV121+AX121</f>
        <v>10</v>
      </c>
      <c r="AN121" s="89"/>
      <c r="AO121" s="41"/>
      <c r="AP121" s="41"/>
      <c r="AQ121" s="41"/>
      <c r="AR121" s="41">
        <f>SUM(AN121:AQ121)</f>
        <v>0</v>
      </c>
      <c r="AS121" s="41"/>
      <c r="AT121" s="41"/>
      <c r="AU121" s="41"/>
      <c r="AV121" s="41"/>
      <c r="AW121" s="41"/>
      <c r="AX121" s="41"/>
      <c r="AY121" s="41"/>
      <c r="AZ121" s="41"/>
      <c r="BA121" s="41">
        <f>+AR121+AS121+AU121+AW121+AY121+AZ121</f>
        <v>0</v>
      </c>
      <c r="BB121" s="54"/>
      <c r="BC121" s="55">
        <v>6</v>
      </c>
      <c r="BD121" s="55"/>
      <c r="BE121" s="54"/>
      <c r="BF121" s="55"/>
    </row>
    <row r="122" spans="1:58" ht="12.95" customHeight="1">
      <c r="A122" s="44"/>
      <c r="B122" s="45"/>
      <c r="C122" s="449"/>
      <c r="D122" s="45"/>
      <c r="E122" s="46"/>
      <c r="F122" s="46"/>
      <c r="G122" s="462"/>
      <c r="H122" s="48"/>
      <c r="I122" s="49"/>
      <c r="J122" s="88"/>
      <c r="K122" s="88"/>
      <c r="L122" s="39"/>
      <c r="M122" s="39"/>
      <c r="N122" s="50"/>
      <c r="O122" s="51"/>
      <c r="P122" s="52"/>
      <c r="Q122" s="51"/>
      <c r="R122" s="419"/>
      <c r="S122" s="419"/>
      <c r="T122" s="41"/>
      <c r="U122" s="41"/>
      <c r="V122" s="41"/>
      <c r="W122" s="41"/>
      <c r="X122" s="42"/>
      <c r="Y122" s="221"/>
      <c r="Z122" s="41"/>
      <c r="AA122" s="41"/>
      <c r="AB122" s="41"/>
      <c r="AC122" s="41"/>
      <c r="AD122" s="41">
        <f>+AM122+BA122</f>
        <v>21</v>
      </c>
      <c r="AE122" s="240" t="s">
        <v>732</v>
      </c>
      <c r="AF122" s="37"/>
      <c r="AG122" s="37"/>
      <c r="AH122" s="37">
        <v>21</v>
      </c>
      <c r="AI122" s="458"/>
      <c r="AJ122" s="41"/>
      <c r="AK122" s="41"/>
      <c r="AL122" s="41"/>
      <c r="AM122" s="41">
        <f>SUM(AF122:AL122)+AT122+AV122+AX122</f>
        <v>21</v>
      </c>
      <c r="AN122" s="41"/>
      <c r="AO122" s="41"/>
      <c r="AP122" s="41"/>
      <c r="AQ122" s="41"/>
      <c r="AR122" s="41">
        <f>SUM(AN122:AQ122)</f>
        <v>0</v>
      </c>
      <c r="AS122" s="41"/>
      <c r="AT122" s="41"/>
      <c r="AU122" s="41"/>
      <c r="AV122" s="41"/>
      <c r="AW122" s="41"/>
      <c r="AX122" s="41"/>
      <c r="AY122" s="41"/>
      <c r="AZ122" s="41"/>
      <c r="BA122" s="41">
        <f>+AR122+AS122+AU122+AW122+AY122+AZ122</f>
        <v>0</v>
      </c>
      <c r="BB122" s="37"/>
      <c r="BC122" s="57"/>
      <c r="BD122" s="57"/>
      <c r="BE122" s="37"/>
      <c r="BF122" s="57"/>
    </row>
    <row r="123" spans="1:58" ht="12.95" customHeight="1">
      <c r="A123" s="44"/>
      <c r="B123" s="584"/>
      <c r="C123" s="449"/>
      <c r="D123" s="45"/>
      <c r="E123" s="46"/>
      <c r="F123" s="46"/>
      <c r="G123" s="47"/>
      <c r="H123" s="48"/>
      <c r="I123" s="49"/>
      <c r="J123" s="88"/>
      <c r="K123" s="88"/>
      <c r="L123" s="39"/>
      <c r="M123" s="39"/>
      <c r="N123" s="50"/>
      <c r="O123" s="51"/>
      <c r="P123" s="52"/>
      <c r="Q123" s="38"/>
      <c r="R123" s="419"/>
      <c r="S123" s="419"/>
      <c r="T123" s="41"/>
      <c r="U123" s="41"/>
      <c r="V123" s="41"/>
      <c r="W123" s="41"/>
      <c r="X123" s="42"/>
      <c r="Y123" s="42"/>
      <c r="Z123" s="41"/>
      <c r="AA123" s="53"/>
      <c r="AB123" s="53"/>
      <c r="AC123" s="41"/>
      <c r="AD123" s="41"/>
      <c r="AE123" s="243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37"/>
      <c r="BC123" s="55"/>
      <c r="BD123" s="55"/>
      <c r="BE123" s="55"/>
      <c r="BF123" s="55"/>
    </row>
    <row r="124" spans="1:58" ht="12.75" customHeight="1">
      <c r="A124" s="344">
        <v>45895</v>
      </c>
      <c r="B124" s="45" t="s">
        <v>721</v>
      </c>
      <c r="C124" s="449">
        <f>(M124*E124*O124*Q124)/100000000</f>
        <v>27.116903449999999</v>
      </c>
      <c r="D124" s="45" t="s">
        <v>407</v>
      </c>
      <c r="E124" s="46">
        <v>14</v>
      </c>
      <c r="F124" s="46">
        <v>1</v>
      </c>
      <c r="G124" s="462">
        <v>1300</v>
      </c>
      <c r="H124" s="48">
        <v>0.2</v>
      </c>
      <c r="I124" s="49">
        <v>0.88</v>
      </c>
      <c r="J124" s="88">
        <f>E124*G124*(1-H124)*1440/1000000*2.77</f>
        <v>58.076928000000002</v>
      </c>
      <c r="K124" s="88">
        <f>(IF(G124&lt;L124,L124,G124)*(1-IF(H124&lt;N124,H124,N124))*E124*O124*Q124)/100000000</f>
        <v>27.116903449999999</v>
      </c>
      <c r="L124" s="39">
        <v>1300</v>
      </c>
      <c r="M124" s="39">
        <f>+L124-L124*0.2</f>
        <v>1040</v>
      </c>
      <c r="N124" s="50">
        <f>1-(M124/L124)</f>
        <v>0.19999999999999996</v>
      </c>
      <c r="O124" s="51">
        <f>+'Trim Rwd'!H97</f>
        <v>259.390625</v>
      </c>
      <c r="P124" s="52">
        <f>O124*(Q124-R124-S124)</f>
        <v>182351.609375</v>
      </c>
      <c r="Q124" s="51">
        <v>718</v>
      </c>
      <c r="R124" s="419">
        <v>0</v>
      </c>
      <c r="S124" s="419">
        <v>15</v>
      </c>
      <c r="T124" s="41">
        <f>E124*M124*O124*Q124/100000000</f>
        <v>27.116903449999999</v>
      </c>
      <c r="U124" s="41">
        <f>E124*M124*O124*(Q124-R124-S124)/100000000</f>
        <v>26.550394324999999</v>
      </c>
      <c r="V124" s="41">
        <f>E124*G124*(1-N124)*O124/100*(R124+S124)/1000000</f>
        <v>0.56650912499999995</v>
      </c>
      <c r="W124" s="41">
        <f>+'26'!K19/1000</f>
        <v>39.264000000000003</v>
      </c>
      <c r="X124" s="416">
        <f>SUM(W124:W127)/SUM(K124:K127)</f>
        <v>0.85579198215296204</v>
      </c>
      <c r="Y124" s="221">
        <v>0</v>
      </c>
      <c r="Z124" s="41">
        <f>+('26'!D7+'26'!D16)/1000</f>
        <v>0.86</v>
      </c>
      <c r="AA124" s="53">
        <f>SUM(U124:U127)-SUM(W124:W127)-SUM(Z124:Z127)-SUM(Y124:Y127)</f>
        <v>5.521526325</v>
      </c>
      <c r="AB124" s="53">
        <f>(SUM(K124:K127)-SUM(W124:W127)-SUM(Y124:Y127)-SUM(Z124:Z127)-SUM(AC124:AC127)-SUM(V124:V127))-AA124</f>
        <v>0</v>
      </c>
      <c r="AC124" s="41">
        <f>K124-T124</f>
        <v>0</v>
      </c>
      <c r="AD124" s="41">
        <f>+AM124+BA124</f>
        <v>0</v>
      </c>
      <c r="AE124" s="240" t="s">
        <v>277</v>
      </c>
      <c r="AF124" s="41">
        <v>0</v>
      </c>
      <c r="AG124" s="41"/>
      <c r="AH124" s="41"/>
      <c r="AI124" s="458"/>
      <c r="AJ124" s="41"/>
      <c r="AK124" s="41"/>
      <c r="AL124" s="41"/>
      <c r="AM124" s="41">
        <f>SUM(AF124:AL124)+AT124+AV124+AX124</f>
        <v>0</v>
      </c>
      <c r="AN124" s="41"/>
      <c r="AO124" s="41"/>
      <c r="AP124" s="41"/>
      <c r="AQ124" s="41"/>
      <c r="AR124" s="41">
        <f>SUM(AN124:AQ124)</f>
        <v>0</v>
      </c>
      <c r="AS124" s="41"/>
      <c r="AT124" s="41"/>
      <c r="AU124" s="41"/>
      <c r="AV124" s="41"/>
      <c r="AW124" s="41"/>
      <c r="AX124" s="41"/>
      <c r="AY124" s="41"/>
      <c r="AZ124" s="41"/>
      <c r="BA124" s="41">
        <f>+AR124+AS124+AU124+AW124+AY124+AZ124</f>
        <v>0</v>
      </c>
      <c r="BB124" s="37">
        <v>0</v>
      </c>
      <c r="BC124" s="55"/>
      <c r="BD124" s="55"/>
      <c r="BE124" s="37"/>
      <c r="BF124" s="55"/>
    </row>
    <row r="125" spans="1:58" ht="12.95" customHeight="1">
      <c r="A125" s="344"/>
      <c r="B125" s="45" t="s">
        <v>721</v>
      </c>
      <c r="C125" s="449">
        <f>(M125*E125*O125*Q125)/100000000</f>
        <v>30.523271999999999</v>
      </c>
      <c r="D125" s="45" t="s">
        <v>407</v>
      </c>
      <c r="E125" s="46">
        <v>15</v>
      </c>
      <c r="F125" s="46">
        <v>1</v>
      </c>
      <c r="G125" s="462">
        <v>1300</v>
      </c>
      <c r="H125" s="48">
        <v>0.2</v>
      </c>
      <c r="I125" s="49">
        <v>0.88</v>
      </c>
      <c r="J125" s="88">
        <f>E125*G125*(1-H125)*1440/1000000*2.77</f>
        <v>62.225279999999998</v>
      </c>
      <c r="K125" s="88">
        <f>(IF(G125&lt;L125,L125,G125)*(1-IF(H125&lt;N125,H125,N125))*E125*O125*Q125)/100000000</f>
        <v>30.523271999999999</v>
      </c>
      <c r="L125" s="39">
        <v>1300</v>
      </c>
      <c r="M125" s="39">
        <f>+L125-L125*0.2</f>
        <v>1040</v>
      </c>
      <c r="N125" s="50">
        <f>1-(M125/L125)</f>
        <v>0.19999999999999996</v>
      </c>
      <c r="O125" s="51">
        <f>+'Trim Rwd'!H101</f>
        <v>271</v>
      </c>
      <c r="P125" s="52">
        <f>O125*(Q125-R125-S125)</f>
        <v>191597</v>
      </c>
      <c r="Q125" s="51">
        <v>722</v>
      </c>
      <c r="R125" s="419">
        <v>0</v>
      </c>
      <c r="S125" s="419">
        <v>15</v>
      </c>
      <c r="T125" s="41">
        <f>E125*M125*O125*Q125/100000000</f>
        <v>30.523271999999999</v>
      </c>
      <c r="U125" s="41">
        <f>E125*M125*O125*(Q125-R125-S125)/100000000</f>
        <v>29.889132</v>
      </c>
      <c r="V125" s="41">
        <f>E125*G125*(1-N125)*O125/100*(R125+S125)/1000000</f>
        <v>0.63414000000000004</v>
      </c>
      <c r="W125" s="41">
        <f>+'26'!K20/1000</f>
        <v>5.1159999999999997</v>
      </c>
      <c r="X125" s="416"/>
      <c r="Y125" s="221"/>
      <c r="Z125" s="41">
        <f>+'26'!D26/1000</f>
        <v>0.114</v>
      </c>
      <c r="AA125" s="53"/>
      <c r="AB125" s="53"/>
      <c r="AC125" s="41">
        <f>K125-T125</f>
        <v>0</v>
      </c>
      <c r="AD125" s="41">
        <f>+AM125+BA125</f>
        <v>12</v>
      </c>
      <c r="AE125" s="240" t="s">
        <v>737</v>
      </c>
      <c r="AF125" s="41"/>
      <c r="AG125" s="41">
        <v>12</v>
      </c>
      <c r="AH125" s="41"/>
      <c r="AI125" s="458"/>
      <c r="AJ125" s="41"/>
      <c r="AK125" s="41"/>
      <c r="AL125" s="41"/>
      <c r="AM125" s="41">
        <f>SUM(AF125:AL125)+AT125+AV125+AX125</f>
        <v>12</v>
      </c>
      <c r="AN125" s="89"/>
      <c r="AO125" s="41"/>
      <c r="AP125" s="41"/>
      <c r="AQ125" s="41"/>
      <c r="AR125" s="41">
        <f>SUM(AN125:AQ125)</f>
        <v>0</v>
      </c>
      <c r="AS125" s="41"/>
      <c r="AT125" s="41"/>
      <c r="AU125" s="41"/>
      <c r="AV125" s="41"/>
      <c r="AW125" s="41"/>
      <c r="AX125" s="41"/>
      <c r="AY125" s="41"/>
      <c r="AZ125" s="41"/>
      <c r="BA125" s="41">
        <f>+AR125+AS125+AU125+AW125+AY125+AZ125</f>
        <v>0</v>
      </c>
      <c r="BB125" s="54"/>
      <c r="BC125" s="55">
        <v>15</v>
      </c>
      <c r="BD125" s="55"/>
      <c r="BE125" s="54"/>
      <c r="BF125" s="55"/>
    </row>
    <row r="126" spans="1:58" ht="12.95" customHeight="1">
      <c r="A126" s="44"/>
      <c r="B126" s="45"/>
      <c r="C126" s="449"/>
      <c r="D126" s="45"/>
      <c r="E126" s="46"/>
      <c r="F126" s="46"/>
      <c r="G126" s="462"/>
      <c r="H126" s="48"/>
      <c r="I126" s="49"/>
      <c r="J126" s="88"/>
      <c r="K126" s="88"/>
      <c r="L126" s="39"/>
      <c r="M126" s="39"/>
      <c r="N126" s="50"/>
      <c r="O126" s="51"/>
      <c r="P126" s="52"/>
      <c r="Q126" s="51"/>
      <c r="R126" s="419"/>
      <c r="S126" s="419"/>
      <c r="T126" s="41"/>
      <c r="U126" s="41"/>
      <c r="V126" s="41"/>
      <c r="W126" s="41">
        <f>+'26'!K18/1000</f>
        <v>4.9480000000000004</v>
      </c>
      <c r="X126" s="42"/>
      <c r="Y126" s="221"/>
      <c r="Z126" s="41">
        <f>+'26'!D8/1000</f>
        <v>0.61599999999999999</v>
      </c>
      <c r="AA126" s="41"/>
      <c r="AB126" s="41"/>
      <c r="AC126" s="41"/>
      <c r="AD126" s="41">
        <f>+AM126+BA126</f>
        <v>18</v>
      </c>
      <c r="AE126" s="240" t="s">
        <v>738</v>
      </c>
      <c r="AF126" s="37"/>
      <c r="AG126" s="37"/>
      <c r="AH126" s="37">
        <v>18</v>
      </c>
      <c r="AI126" s="458"/>
      <c r="AJ126" s="41"/>
      <c r="AK126" s="41"/>
      <c r="AL126" s="41"/>
      <c r="AM126" s="41">
        <f>SUM(AF126:AL126)+AT126+AV126+AX126</f>
        <v>18</v>
      </c>
      <c r="AN126" s="41"/>
      <c r="AO126" s="41"/>
      <c r="AP126" s="41"/>
      <c r="AQ126" s="41"/>
      <c r="AR126" s="41">
        <f>SUM(AN126:AQ126)</f>
        <v>0</v>
      </c>
      <c r="AS126" s="41"/>
      <c r="AT126" s="41"/>
      <c r="AU126" s="41"/>
      <c r="AV126" s="41"/>
      <c r="AW126" s="41"/>
      <c r="AX126" s="41"/>
      <c r="AY126" s="41"/>
      <c r="AZ126" s="41"/>
      <c r="BA126" s="41">
        <f>+AR126+AS126+AU126+AW126+AY126+AZ126</f>
        <v>0</v>
      </c>
      <c r="BB126" s="37"/>
      <c r="BC126" s="57"/>
      <c r="BD126" s="57"/>
      <c r="BE126" s="37"/>
      <c r="BF126" s="57"/>
    </row>
    <row r="127" spans="1:58" ht="12.95" customHeight="1">
      <c r="A127" s="44"/>
      <c r="B127" s="584"/>
      <c r="C127" s="449"/>
      <c r="D127" s="45"/>
      <c r="E127" s="46"/>
      <c r="F127" s="46"/>
      <c r="G127" s="47"/>
      <c r="H127" s="48"/>
      <c r="I127" s="49"/>
      <c r="J127" s="88"/>
      <c r="K127" s="88"/>
      <c r="L127" s="39"/>
      <c r="M127" s="39"/>
      <c r="N127" s="50"/>
      <c r="O127" s="51"/>
      <c r="P127" s="52"/>
      <c r="Q127" s="38"/>
      <c r="R127" s="419"/>
      <c r="S127" s="419"/>
      <c r="T127" s="41"/>
      <c r="U127" s="41"/>
      <c r="V127" s="41"/>
      <c r="W127" s="41"/>
      <c r="X127" s="42"/>
      <c r="Y127" s="42"/>
      <c r="Z127" s="41"/>
      <c r="AA127" s="53"/>
      <c r="AB127" s="53"/>
      <c r="AC127" s="41"/>
      <c r="AD127" s="41"/>
      <c r="AE127" s="243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37"/>
      <c r="BC127" s="55"/>
      <c r="BD127" s="55"/>
      <c r="BE127" s="55"/>
      <c r="BF127" s="55"/>
    </row>
    <row r="128" spans="1:58" ht="12.75" customHeight="1">
      <c r="A128" s="344">
        <v>45896</v>
      </c>
      <c r="B128" s="45" t="s">
        <v>721</v>
      </c>
      <c r="C128" s="449">
        <f>(M128*E128*O128*Q128)/100000000</f>
        <v>60.671520000000001</v>
      </c>
      <c r="D128" s="45" t="s">
        <v>407</v>
      </c>
      <c r="E128" s="46">
        <v>15</v>
      </c>
      <c r="F128" s="46">
        <v>1</v>
      </c>
      <c r="G128" s="462">
        <v>1300</v>
      </c>
      <c r="H128" s="48">
        <v>0.2</v>
      </c>
      <c r="I128" s="49">
        <v>0.88</v>
      </c>
      <c r="J128" s="88">
        <f>E128*G128*(1-H128)*1440/1000000*2.77</f>
        <v>62.225279999999998</v>
      </c>
      <c r="K128" s="88">
        <f>(IF(G128&lt;L128,L128,G128)*(1-IF(H128&lt;N128,H128,N128))*E128*O128*Q128)/100000000</f>
        <v>60.671520000000001</v>
      </c>
      <c r="L128" s="39">
        <v>1300</v>
      </c>
      <c r="M128" s="39">
        <f>+L128-L128*0.2</f>
        <v>1040</v>
      </c>
      <c r="N128" s="50">
        <f>1-(M128/L128)</f>
        <v>0.19999999999999996</v>
      </c>
      <c r="O128" s="51">
        <f>+'Trim Rwd'!H105</f>
        <v>270.08333333333331</v>
      </c>
      <c r="P128" s="52">
        <f>O128*(Q128-R128-S128)</f>
        <v>379737.16666666663</v>
      </c>
      <c r="Q128" s="51">
        <v>1440</v>
      </c>
      <c r="R128" s="419">
        <v>0</v>
      </c>
      <c r="S128" s="419">
        <v>34</v>
      </c>
      <c r="T128" s="41">
        <f>E128*M128*O128*Q128/100000000</f>
        <v>60.671520000000001</v>
      </c>
      <c r="U128" s="41">
        <f>E128*M128*O128*(Q128-R128-S128)/100000000</f>
        <v>59.238998000000002</v>
      </c>
      <c r="V128" s="41">
        <f>E128*G128*(1-N128)*O128/100*(R128+S128)/1000000</f>
        <v>1.4325220000000001</v>
      </c>
      <c r="W128" s="41">
        <f>+'27'!K34/1000</f>
        <v>56.872999999999998</v>
      </c>
      <c r="X128" s="416">
        <f>SUM(W128:W131)/SUM(K128:K131)</f>
        <v>0.9373920416037046</v>
      </c>
      <c r="Y128" s="221">
        <v>0</v>
      </c>
      <c r="Z128" s="41">
        <f>+'27'!D34/1000</f>
        <v>1.33</v>
      </c>
      <c r="AA128" s="53">
        <f>SUM(U128:U131)-SUM(W128:W131)-SUM(Z128:Z131)-SUM(Y128:Y131)</f>
        <v>1.0359980000000046</v>
      </c>
      <c r="AB128" s="53">
        <f>(SUM(K128:K131)-SUM(W128:W131)-SUM(Y128:Y131)-SUM(Z128:Z131)-SUM(AC128:AC131)-SUM(V128:V131))-AA128</f>
        <v>0</v>
      </c>
      <c r="AC128" s="41">
        <f>K128-T128</f>
        <v>0</v>
      </c>
      <c r="AD128" s="41">
        <f>+AM128+BA128</f>
        <v>0</v>
      </c>
      <c r="AE128" s="240" t="s">
        <v>277</v>
      </c>
      <c r="AF128" s="41">
        <v>0</v>
      </c>
      <c r="AG128" s="41"/>
      <c r="AH128" s="41"/>
      <c r="AI128" s="458"/>
      <c r="AJ128" s="41"/>
      <c r="AK128" s="41"/>
      <c r="AL128" s="41"/>
      <c r="AM128" s="41">
        <f>SUM(AF128:AL128)+AT128+AV128+AX128</f>
        <v>0</v>
      </c>
      <c r="AN128" s="41"/>
      <c r="AO128" s="41"/>
      <c r="AP128" s="41"/>
      <c r="AQ128" s="41"/>
      <c r="AR128" s="41">
        <f>SUM(AN128:AQ128)</f>
        <v>0</v>
      </c>
      <c r="AS128" s="41"/>
      <c r="AT128" s="41"/>
      <c r="AU128" s="41"/>
      <c r="AV128" s="41"/>
      <c r="AW128" s="41"/>
      <c r="AX128" s="41"/>
      <c r="AY128" s="41"/>
      <c r="AZ128" s="41"/>
      <c r="BA128" s="41">
        <f>+AR128+AS128+AU128+AW128+AY128+AZ128</f>
        <v>0</v>
      </c>
      <c r="BB128" s="37">
        <v>0</v>
      </c>
      <c r="BC128" s="55"/>
      <c r="BD128" s="55"/>
      <c r="BE128" s="37"/>
      <c r="BF128" s="55"/>
    </row>
    <row r="129" spans="1:58" ht="12.95" customHeight="1">
      <c r="A129" s="344"/>
      <c r="B129" s="45"/>
      <c r="C129" s="449"/>
      <c r="D129" s="45"/>
      <c r="E129" s="46"/>
      <c r="F129" s="46"/>
      <c r="G129" s="462"/>
      <c r="H129" s="48"/>
      <c r="I129" s="49"/>
      <c r="J129" s="88"/>
      <c r="K129" s="88"/>
      <c r="L129" s="39"/>
      <c r="M129" s="39"/>
      <c r="N129" s="50"/>
      <c r="O129" s="51"/>
      <c r="P129" s="52"/>
      <c r="Q129" s="51"/>
      <c r="R129" s="419"/>
      <c r="S129" s="419"/>
      <c r="T129" s="41"/>
      <c r="U129" s="41"/>
      <c r="V129" s="41"/>
      <c r="W129" s="41"/>
      <c r="X129" s="416"/>
      <c r="Y129" s="221"/>
      <c r="Z129" s="41"/>
      <c r="AA129" s="53"/>
      <c r="AB129" s="53"/>
      <c r="AC129" s="41"/>
      <c r="AD129" s="41">
        <f>+AM129+BA129</f>
        <v>14</v>
      </c>
      <c r="AE129" s="240" t="s">
        <v>754</v>
      </c>
      <c r="AF129" s="41"/>
      <c r="AG129" s="41">
        <v>14</v>
      </c>
      <c r="AH129" s="41"/>
      <c r="AI129" s="458"/>
      <c r="AJ129" s="41"/>
      <c r="AK129" s="41"/>
      <c r="AL129" s="41"/>
      <c r="AM129" s="41">
        <f>SUM(AF129:AL129)+AT129+AV129+AX129</f>
        <v>14</v>
      </c>
      <c r="AN129" s="89"/>
      <c r="AO129" s="41"/>
      <c r="AP129" s="41"/>
      <c r="AQ129" s="41"/>
      <c r="AR129" s="41">
        <f>SUM(AN129:AQ129)</f>
        <v>0</v>
      </c>
      <c r="AS129" s="41"/>
      <c r="AT129" s="41"/>
      <c r="AU129" s="41"/>
      <c r="AV129" s="41"/>
      <c r="AW129" s="41"/>
      <c r="AX129" s="41"/>
      <c r="AY129" s="41"/>
      <c r="AZ129" s="41"/>
      <c r="BA129" s="41">
        <f>+AR129+AS129+AU129+AW129+AY129+AZ129</f>
        <v>0</v>
      </c>
      <c r="BB129" s="54"/>
      <c r="BC129" s="55">
        <v>16</v>
      </c>
      <c r="BD129" s="55"/>
      <c r="BE129" s="54"/>
      <c r="BF129" s="55"/>
    </row>
    <row r="130" spans="1:58" ht="12.95" customHeight="1">
      <c r="A130" s="44"/>
      <c r="B130" s="45"/>
      <c r="C130" s="449"/>
      <c r="D130" s="45"/>
      <c r="E130" s="46"/>
      <c r="F130" s="46"/>
      <c r="G130" s="462"/>
      <c r="H130" s="48"/>
      <c r="I130" s="49"/>
      <c r="J130" s="88"/>
      <c r="K130" s="88"/>
      <c r="L130" s="39"/>
      <c r="M130" s="39"/>
      <c r="N130" s="50"/>
      <c r="O130" s="51"/>
      <c r="P130" s="52"/>
      <c r="Q130" s="51"/>
      <c r="R130" s="419"/>
      <c r="S130" s="419"/>
      <c r="T130" s="41"/>
      <c r="U130" s="41"/>
      <c r="V130" s="41"/>
      <c r="W130" s="41"/>
      <c r="X130" s="42"/>
      <c r="Y130" s="221"/>
      <c r="Z130" s="41"/>
      <c r="AA130" s="41"/>
      <c r="AB130" s="41"/>
      <c r="AC130" s="41"/>
      <c r="AD130" s="41">
        <f>+AM130+BA130</f>
        <v>20</v>
      </c>
      <c r="AE130" s="240" t="s">
        <v>732</v>
      </c>
      <c r="AF130" s="37"/>
      <c r="AG130" s="37"/>
      <c r="AH130" s="37">
        <v>20</v>
      </c>
      <c r="AI130" s="458"/>
      <c r="AJ130" s="41"/>
      <c r="AK130" s="41"/>
      <c r="AL130" s="41"/>
      <c r="AM130" s="41">
        <f>SUM(AF130:AL130)+AT130+AV130+AX130</f>
        <v>20</v>
      </c>
      <c r="AN130" s="41"/>
      <c r="AO130" s="41"/>
      <c r="AP130" s="41"/>
      <c r="AQ130" s="41"/>
      <c r="AR130" s="41">
        <f>SUM(AN130:AQ130)</f>
        <v>0</v>
      </c>
      <c r="AS130" s="41"/>
      <c r="AT130" s="41"/>
      <c r="AU130" s="41"/>
      <c r="AV130" s="41"/>
      <c r="AW130" s="41"/>
      <c r="AX130" s="41"/>
      <c r="AY130" s="41"/>
      <c r="AZ130" s="41"/>
      <c r="BA130" s="41">
        <f>+AR130+AS130+AU130+AW130+AY130+AZ130</f>
        <v>0</v>
      </c>
      <c r="BB130" s="37"/>
      <c r="BC130" s="57"/>
      <c r="BD130" s="57"/>
      <c r="BE130" s="37"/>
      <c r="BF130" s="57"/>
    </row>
    <row r="131" spans="1:58" ht="12.95" customHeight="1">
      <c r="A131" s="44"/>
      <c r="B131" s="584"/>
      <c r="C131" s="449"/>
      <c r="D131" s="45"/>
      <c r="E131" s="46"/>
      <c r="F131" s="46"/>
      <c r="G131" s="47"/>
      <c r="H131" s="48"/>
      <c r="I131" s="49"/>
      <c r="J131" s="88"/>
      <c r="K131" s="88"/>
      <c r="L131" s="39"/>
      <c r="M131" s="39"/>
      <c r="N131" s="50"/>
      <c r="O131" s="51"/>
      <c r="P131" s="52"/>
      <c r="Q131" s="38"/>
      <c r="R131" s="419"/>
      <c r="S131" s="419"/>
      <c r="T131" s="41"/>
      <c r="U131" s="41"/>
      <c r="V131" s="41"/>
      <c r="W131" s="41"/>
      <c r="X131" s="42"/>
      <c r="Y131" s="42"/>
      <c r="Z131" s="41"/>
      <c r="AA131" s="53"/>
      <c r="AB131" s="53"/>
      <c r="AC131" s="41"/>
      <c r="AD131" s="41"/>
      <c r="AE131" s="243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37"/>
      <c r="BC131" s="55"/>
      <c r="BD131" s="55"/>
      <c r="BE131" s="55"/>
      <c r="BF131" s="55"/>
    </row>
    <row r="132" spans="1:58" ht="12.75" customHeight="1">
      <c r="A132" s="344">
        <v>45897</v>
      </c>
      <c r="B132" s="45" t="s">
        <v>721</v>
      </c>
      <c r="C132" s="449">
        <f>(M132*E132*O132*Q132)/100000000</f>
        <v>23.967279401069522</v>
      </c>
      <c r="D132" s="45" t="s">
        <v>407</v>
      </c>
      <c r="E132" s="46">
        <v>15</v>
      </c>
      <c r="F132" s="46">
        <v>1</v>
      </c>
      <c r="G132" s="462">
        <v>1300</v>
      </c>
      <c r="H132" s="48">
        <v>0.2</v>
      </c>
      <c r="I132" s="49">
        <v>0.88</v>
      </c>
      <c r="J132" s="88">
        <f>E132*G132*(1-H132)*1440/1000000*2.77</f>
        <v>62.225279999999998</v>
      </c>
      <c r="K132" s="88">
        <f>(IF(G132&lt;L132,L132,G132)*(1-IF(H132&lt;N132,H132,N132))*E132*O132*Q132)/100000000</f>
        <v>23.967279401069522</v>
      </c>
      <c r="L132" s="39">
        <v>1300</v>
      </c>
      <c r="M132" s="39">
        <f>+L132-L132*0.2</f>
        <v>1040</v>
      </c>
      <c r="N132" s="50">
        <f>1-(M132/L132)</f>
        <v>0.19999999999999996</v>
      </c>
      <c r="O132" s="51">
        <f>+'Trim Rwd'!H109</f>
        <v>270.48663101604279</v>
      </c>
      <c r="P132" s="52">
        <f>O132*(Q132-R132-S132)</f>
        <v>150931.54010695187</v>
      </c>
      <c r="Q132" s="51">
        <v>568</v>
      </c>
      <c r="R132" s="419">
        <v>0</v>
      </c>
      <c r="S132" s="419">
        <v>10</v>
      </c>
      <c r="T132" s="41">
        <f>E132*M132*O132*Q132/100000000</f>
        <v>23.967279401069522</v>
      </c>
      <c r="U132" s="41">
        <f>E132*M132*O132*(Q132-R132-S132)/100000000</f>
        <v>23.545320256684494</v>
      </c>
      <c r="V132" s="41">
        <f>E132*G132*(1-N132)*O132/100*(R132+S132)/1000000</f>
        <v>0.42195914438502674</v>
      </c>
      <c r="W132" s="41">
        <f>+'28'!K20/1000</f>
        <v>46.872</v>
      </c>
      <c r="X132" s="416">
        <f>SUM(W132:W135)/SUM(K132:K135)</f>
        <v>0.94632378930109229</v>
      </c>
      <c r="Y132" s="221">
        <v>0</v>
      </c>
      <c r="Z132" s="41">
        <f>+('28'!D7+'28'!D16+'28'!D25)/1000</f>
        <v>1.2450000000000001</v>
      </c>
      <c r="AA132" s="53">
        <f>SUM(U132:U135)-SUM(W132:W135)-SUM(Z132:Z135)-SUM(Y132:Y135)</f>
        <v>-0.85969974331551513</v>
      </c>
      <c r="AB132" s="53">
        <f>(SUM(K132:K135)-SUM(W132:W135)-SUM(Y132:Y135)-SUM(Z132:Z135)-SUM(AC132:AC135)-SUM(V132:V135))-AA132</f>
        <v>-1.8524999999992353E-2</v>
      </c>
      <c r="AC132" s="41">
        <f>K132-T132</f>
        <v>0</v>
      </c>
      <c r="AD132" s="41">
        <f>+AM132+BA132</f>
        <v>0</v>
      </c>
      <c r="AE132" s="240" t="s">
        <v>277</v>
      </c>
      <c r="AF132" s="41">
        <v>0</v>
      </c>
      <c r="AG132" s="41"/>
      <c r="AH132" s="41"/>
      <c r="AI132" s="458"/>
      <c r="AJ132" s="41"/>
      <c r="AK132" s="41"/>
      <c r="AL132" s="41"/>
      <c r="AM132" s="41">
        <f>SUM(AF132:AL132)+AT132+AV132+AX132</f>
        <v>0</v>
      </c>
      <c r="AN132" s="41"/>
      <c r="AO132" s="41"/>
      <c r="AP132" s="41"/>
      <c r="AQ132" s="41"/>
      <c r="AR132" s="41">
        <f>SUM(AN132:AQ132)</f>
        <v>0</v>
      </c>
      <c r="AS132" s="41"/>
      <c r="AT132" s="41"/>
      <c r="AU132" s="41"/>
      <c r="AV132" s="41"/>
      <c r="AW132" s="41"/>
      <c r="AX132" s="41"/>
      <c r="AY132" s="41"/>
      <c r="AZ132" s="41"/>
      <c r="BA132" s="41">
        <f>+AR132+AS132+AU132+AW132+AY132+AZ132</f>
        <v>0</v>
      </c>
      <c r="BB132" s="37">
        <v>0</v>
      </c>
      <c r="BC132" s="55"/>
      <c r="BD132" s="55"/>
      <c r="BE132" s="37"/>
      <c r="BF132" s="55"/>
    </row>
    <row r="133" spans="1:58" ht="12.95" customHeight="1">
      <c r="A133" s="344"/>
      <c r="B133" s="45" t="s">
        <v>721</v>
      </c>
      <c r="C133" s="449">
        <f>(M133*E133*O133*Q133)/100000000</f>
        <v>7.2867600000000001</v>
      </c>
      <c r="D133" s="45" t="s">
        <v>407</v>
      </c>
      <c r="E133" s="46">
        <v>15</v>
      </c>
      <c r="F133" s="46">
        <v>1</v>
      </c>
      <c r="G133" s="462">
        <v>1300</v>
      </c>
      <c r="H133" s="48">
        <v>0.2</v>
      </c>
      <c r="I133" s="49">
        <v>0.88</v>
      </c>
      <c r="J133" s="88">
        <f>E133*G133*(1-H133)*1440/1000000*2.77</f>
        <v>62.225279999999998</v>
      </c>
      <c r="K133" s="88">
        <f>(IF(G133&lt;L133,L133,G133)*(1-IF(H133&lt;N133,H133,N133))*E133*O133*Q133)/100000000</f>
        <v>7.2867600000000001</v>
      </c>
      <c r="L133" s="39">
        <v>1300</v>
      </c>
      <c r="M133" s="39">
        <f>+L133-L133*0.2</f>
        <v>1040</v>
      </c>
      <c r="N133" s="50">
        <f>1-(M133/L133)</f>
        <v>0.19999999999999996</v>
      </c>
      <c r="O133" s="51">
        <f>+'Trim Rwd'!H111</f>
        <v>270</v>
      </c>
      <c r="P133" s="52">
        <f>O133*(Q133-R133-S133)</f>
        <v>44010</v>
      </c>
      <c r="Q133" s="51">
        <v>173</v>
      </c>
      <c r="R133" s="419">
        <v>0</v>
      </c>
      <c r="S133" s="419">
        <v>10</v>
      </c>
      <c r="T133" s="41">
        <f>E133*M133*O133*Q133/100000000</f>
        <v>7.2867600000000001</v>
      </c>
      <c r="U133" s="41">
        <f>E133*M133*O133*(Q133-R133-S133)/100000000</f>
        <v>6.8655600000000003</v>
      </c>
      <c r="V133" s="41">
        <f>E133*G133*(1-N133)*O133/100*(R133+S133)/1000000</f>
        <v>0.42120000000000002</v>
      </c>
      <c r="W133" s="41">
        <f>+'28'!K21/1000</f>
        <v>0</v>
      </c>
      <c r="X133" s="416"/>
      <c r="Y133" s="221"/>
      <c r="Z133" s="41">
        <v>0</v>
      </c>
      <c r="AA133" s="53"/>
      <c r="AB133" s="53"/>
      <c r="AC133" s="41">
        <f>K133-T133</f>
        <v>0</v>
      </c>
      <c r="AD133" s="41">
        <f>+AM133+BA133</f>
        <v>13</v>
      </c>
      <c r="AE133" s="240" t="s">
        <v>737</v>
      </c>
      <c r="AF133" s="41"/>
      <c r="AG133" s="41">
        <v>13</v>
      </c>
      <c r="AH133" s="41"/>
      <c r="AI133" s="458"/>
      <c r="AJ133" s="41"/>
      <c r="AK133" s="41"/>
      <c r="AL133" s="41"/>
      <c r="AM133" s="41">
        <f>SUM(AF133:AL133)+AT133+AV133+AX133</f>
        <v>13</v>
      </c>
      <c r="AN133" s="89"/>
      <c r="AO133" s="41"/>
      <c r="AP133" s="41"/>
      <c r="AQ133" s="41"/>
      <c r="AR133" s="41">
        <f>SUM(AN133:AQ133)</f>
        <v>0</v>
      </c>
      <c r="AS133" s="41"/>
      <c r="AT133" s="41"/>
      <c r="AU133" s="41"/>
      <c r="AV133" s="41"/>
      <c r="AW133" s="41"/>
      <c r="AX133" s="41"/>
      <c r="AY133" s="41"/>
      <c r="AZ133" s="41"/>
      <c r="BA133" s="41">
        <f>+AR133+AS133+AU133+AW133+AY133+AZ133</f>
        <v>0</v>
      </c>
      <c r="BB133" s="54"/>
      <c r="BC133" s="55">
        <v>15</v>
      </c>
      <c r="BD133" s="55"/>
      <c r="BE133" s="54"/>
      <c r="BF133" s="55"/>
    </row>
    <row r="134" spans="1:58" ht="12.95" customHeight="1">
      <c r="A134" s="44"/>
      <c r="B134" s="45" t="s">
        <v>7</v>
      </c>
      <c r="C134" s="449">
        <f>(M134*E134*O134*Q134)/100000000</f>
        <v>28.487745</v>
      </c>
      <c r="D134" s="45" t="s">
        <v>407</v>
      </c>
      <c r="E134" s="46">
        <v>12.5</v>
      </c>
      <c r="F134" s="46">
        <v>1</v>
      </c>
      <c r="G134" s="462">
        <v>1700</v>
      </c>
      <c r="H134" s="604">
        <f>+N134</f>
        <v>0.24</v>
      </c>
      <c r="I134" s="49">
        <v>0.88</v>
      </c>
      <c r="J134" s="88">
        <f>E134*G134*(1-H134)*1440/1000000*2.77</f>
        <v>64.419120000000007</v>
      </c>
      <c r="K134" s="88">
        <f>(IF(G134&lt;L134,L134,G134)*(1-IF(H134&lt;N134,H134,N134))*E134*O134*Q134)/100000000</f>
        <v>29.351009999999999</v>
      </c>
      <c r="L134" s="39">
        <v>1650</v>
      </c>
      <c r="M134" s="39">
        <f>+L134-L134*0.24</f>
        <v>1254</v>
      </c>
      <c r="N134" s="50">
        <f>1-(M134/L134)</f>
        <v>0.24</v>
      </c>
      <c r="O134" s="51">
        <f>+'Trim Rwd'!H112</f>
        <v>260</v>
      </c>
      <c r="P134" s="52">
        <f>O134*(Q134-R134-S134)</f>
        <v>177840</v>
      </c>
      <c r="Q134" s="51">
        <v>699</v>
      </c>
      <c r="R134" s="419">
        <v>0</v>
      </c>
      <c r="S134" s="419">
        <v>15</v>
      </c>
      <c r="T134" s="41">
        <f>E134*M134*O134*Q134/100000000</f>
        <v>28.487745</v>
      </c>
      <c r="U134" s="41">
        <f>E134*M134*O134*(Q134-R134-S134)/100000000</f>
        <v>27.87642</v>
      </c>
      <c r="V134" s="41">
        <f>E134*G134*(1-N134)*O134/100*(R134+S134)/1000000</f>
        <v>0.62985000000000002</v>
      </c>
      <c r="W134" s="41">
        <f>+'28'!K22/1000</f>
        <v>10.48</v>
      </c>
      <c r="X134" s="42"/>
      <c r="Y134" s="221"/>
      <c r="Z134" s="41">
        <f>+'28'!D26/1000</f>
        <v>0.55000000000000004</v>
      </c>
      <c r="AA134" s="41"/>
      <c r="AB134" s="41"/>
      <c r="AC134" s="41">
        <f>K134-T134</f>
        <v>0.86326499999999839</v>
      </c>
      <c r="AD134" s="41">
        <f>+AM134+BA134</f>
        <v>22</v>
      </c>
      <c r="AE134" s="240" t="s">
        <v>765</v>
      </c>
      <c r="AF134" s="37"/>
      <c r="AG134" s="37"/>
      <c r="AH134" s="37">
        <v>22</v>
      </c>
      <c r="AI134" s="458"/>
      <c r="AJ134" s="41"/>
      <c r="AK134" s="41"/>
      <c r="AL134" s="41"/>
      <c r="AM134" s="41">
        <f>SUM(AF134:AL134)+AT134+AV134+AX134</f>
        <v>22</v>
      </c>
      <c r="AN134" s="41"/>
      <c r="AO134" s="41"/>
      <c r="AP134" s="41"/>
      <c r="AQ134" s="41"/>
      <c r="AR134" s="41">
        <f>SUM(AN134:AQ134)</f>
        <v>0</v>
      </c>
      <c r="AS134" s="41"/>
      <c r="AT134" s="41"/>
      <c r="AU134" s="41"/>
      <c r="AV134" s="41"/>
      <c r="AW134" s="41"/>
      <c r="AX134" s="41"/>
      <c r="AY134" s="41"/>
      <c r="AZ134" s="41"/>
      <c r="BA134" s="41">
        <f>+AR134+AS134+AU134+AW134+AY134+AZ134</f>
        <v>0</v>
      </c>
      <c r="BB134" s="37"/>
      <c r="BC134" s="57"/>
      <c r="BD134" s="57"/>
      <c r="BE134" s="37"/>
      <c r="BF134" s="57"/>
    </row>
    <row r="135" spans="1:58" ht="12.95" customHeight="1">
      <c r="A135" s="44"/>
      <c r="B135" s="584"/>
      <c r="C135" s="449"/>
      <c r="D135" s="45"/>
      <c r="E135" s="46"/>
      <c r="F135" s="46"/>
      <c r="G135" s="47"/>
      <c r="H135" s="48"/>
      <c r="I135" s="49"/>
      <c r="J135" s="88"/>
      <c r="K135" s="88"/>
      <c r="L135" s="39"/>
      <c r="M135" s="39"/>
      <c r="N135" s="50"/>
      <c r="O135" s="51"/>
      <c r="P135" s="52"/>
      <c r="Q135" s="38"/>
      <c r="R135" s="419"/>
      <c r="S135" s="419"/>
      <c r="T135" s="41"/>
      <c r="U135" s="41"/>
      <c r="V135" s="41"/>
      <c r="W135" s="41"/>
      <c r="X135" s="42"/>
      <c r="Y135" s="42"/>
      <c r="Z135" s="41"/>
      <c r="AA135" s="53"/>
      <c r="AB135" s="53"/>
      <c r="AC135" s="41"/>
      <c r="AD135" s="41"/>
      <c r="AE135" s="243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37"/>
      <c r="BC135" s="55"/>
      <c r="BD135" s="55"/>
      <c r="BE135" s="55"/>
      <c r="BF135" s="55"/>
    </row>
    <row r="136" spans="1:58" ht="12.75" customHeight="1">
      <c r="A136" s="344">
        <v>45898</v>
      </c>
      <c r="B136" s="45" t="s">
        <v>7</v>
      </c>
      <c r="C136" s="449">
        <f>(M136*E136*O136*Q136)/100000000</f>
        <v>42.792749999999998</v>
      </c>
      <c r="D136" s="45" t="s">
        <v>407</v>
      </c>
      <c r="E136" s="46">
        <v>12.5</v>
      </c>
      <c r="F136" s="46">
        <v>1</v>
      </c>
      <c r="G136" s="462">
        <v>1700</v>
      </c>
      <c r="H136" s="604">
        <f>+N136</f>
        <v>0.24</v>
      </c>
      <c r="I136" s="49">
        <v>0.88</v>
      </c>
      <c r="J136" s="88">
        <f>E136*G136*(1-H136)*1440/1000000*2.77</f>
        <v>64.419120000000007</v>
      </c>
      <c r="K136" s="88">
        <f>(IF(G136&lt;L136,L136,G136)*(1-IF(H136&lt;N136,H136,N136))*E136*O136*Q136)/100000000</f>
        <v>44.089500000000001</v>
      </c>
      <c r="L136" s="39">
        <v>1650</v>
      </c>
      <c r="M136" s="39">
        <f>+L136-L136*0.24</f>
        <v>1254</v>
      </c>
      <c r="N136" s="50">
        <f>1-(M136/L136)</f>
        <v>0.24</v>
      </c>
      <c r="O136" s="51">
        <f>+'Trim Rwd'!H114</f>
        <v>260</v>
      </c>
      <c r="P136" s="52">
        <f>O136*(Q136-R136-S136)</f>
        <v>259740</v>
      </c>
      <c r="Q136" s="51">
        <v>1050</v>
      </c>
      <c r="R136" s="419">
        <v>0</v>
      </c>
      <c r="S136" s="419">
        <f>10+16+25</f>
        <v>51</v>
      </c>
      <c r="T136" s="41">
        <f>E136*M136*O136*Q136/100000000</f>
        <v>42.792749999999998</v>
      </c>
      <c r="U136" s="41">
        <f>E136*M136*O136*(Q136-R136-S136)/100000000</f>
        <v>40.714244999999998</v>
      </c>
      <c r="V136" s="41">
        <f>E136*G136*(1-N136)*O136/100*(R136+S136)/1000000</f>
        <v>2.1414900000000001</v>
      </c>
      <c r="W136" s="41">
        <f>+'29'!K22/1000</f>
        <v>48.052999999999997</v>
      </c>
      <c r="X136" s="416">
        <f>SUM(W136:W139)/SUM(K136:K139)</f>
        <v>1.3003677406153011</v>
      </c>
      <c r="Y136" s="221">
        <v>0</v>
      </c>
      <c r="Z136" s="41">
        <f>+'29'!D7/1000</f>
        <v>1.1220000000000001</v>
      </c>
      <c r="AA136" s="53">
        <f>SUM(U136:U139)-SUM(W136:W139)-SUM(Z136:Z139)-SUM(Y136:Y139)</f>
        <v>-23.806694879999988</v>
      </c>
      <c r="AB136" s="53">
        <f>(SUM(K136:K139)-SUM(W136:W139)-SUM(Y136:Y139)-SUM(Z136:Z139)-SUM(AC136:AC139)-SUM(V136:V139))-AA136</f>
        <v>-7.7935656000004627E-2</v>
      </c>
      <c r="AC136" s="41">
        <f>K136-T136</f>
        <v>1.296750000000003</v>
      </c>
      <c r="AD136" s="41">
        <f>+AM136+BA136</f>
        <v>10</v>
      </c>
      <c r="AE136" s="240" t="s">
        <v>522</v>
      </c>
      <c r="AF136" s="41">
        <v>10</v>
      </c>
      <c r="AG136" s="41"/>
      <c r="AH136" s="41"/>
      <c r="AI136" s="458"/>
      <c r="AJ136" s="41"/>
      <c r="AK136" s="41"/>
      <c r="AL136" s="41"/>
      <c r="AM136" s="41">
        <f>SUM(AF136:AL136)+AT136+AV136+AX136</f>
        <v>10</v>
      </c>
      <c r="AN136" s="41"/>
      <c r="AO136" s="41"/>
      <c r="AP136" s="41"/>
      <c r="AQ136" s="41"/>
      <c r="AR136" s="41">
        <f>SUM(AN136:AQ136)</f>
        <v>0</v>
      </c>
      <c r="AS136" s="41"/>
      <c r="AT136" s="41"/>
      <c r="AU136" s="41"/>
      <c r="AV136" s="41"/>
      <c r="AW136" s="41"/>
      <c r="AX136" s="41"/>
      <c r="AY136" s="41"/>
      <c r="AZ136" s="41"/>
      <c r="BA136" s="41">
        <f>+AR136+AS136+AU136+AW136+AY136+AZ136</f>
        <v>0</v>
      </c>
      <c r="BB136" s="37">
        <v>2</v>
      </c>
      <c r="BC136" s="55"/>
      <c r="BD136" s="55"/>
      <c r="BE136" s="37"/>
      <c r="BF136" s="55"/>
    </row>
    <row r="137" spans="1:58" ht="12.95" customHeight="1">
      <c r="A137" s="344"/>
      <c r="B137" s="45" t="s">
        <v>7</v>
      </c>
      <c r="C137" s="449">
        <f>(M137*E137*O137*Q137)/100000000</f>
        <v>15.032417400000002</v>
      </c>
      <c r="D137" s="45" t="s">
        <v>407</v>
      </c>
      <c r="E137" s="46">
        <v>10.3</v>
      </c>
      <c r="F137" s="46">
        <v>1</v>
      </c>
      <c r="G137" s="462">
        <v>1730</v>
      </c>
      <c r="H137" s="48">
        <v>0.16</v>
      </c>
      <c r="I137" s="49">
        <v>0.88</v>
      </c>
      <c r="J137" s="88">
        <f>E137*G137*(1-H137)*1440/1000000*2.77</f>
        <v>59.704198847999997</v>
      </c>
      <c r="K137" s="88">
        <f>(IF(G137&lt;L137,L137,G137)*(1-IF(H137&lt;N137,H137,N137))*E137*O137*Q137)/100000000</f>
        <v>15.761261879999999</v>
      </c>
      <c r="L137" s="39">
        <v>1650</v>
      </c>
      <c r="M137" s="39">
        <f>+L137-L137*0.16</f>
        <v>1386</v>
      </c>
      <c r="N137" s="50">
        <f>1-(M137/L137)</f>
        <v>0.16000000000000003</v>
      </c>
      <c r="O137" s="51">
        <f>+'Trim Rwd'!H115</f>
        <v>270</v>
      </c>
      <c r="P137" s="52">
        <f>O137*(Q137-R137-S137)</f>
        <v>103140</v>
      </c>
      <c r="Q137" s="51">
        <v>390</v>
      </c>
      <c r="R137" s="419">
        <v>0</v>
      </c>
      <c r="S137" s="419">
        <v>8</v>
      </c>
      <c r="T137" s="41">
        <f>E137*M137*O137*Q137/100000000</f>
        <v>15.032417400000002</v>
      </c>
      <c r="U137" s="41">
        <f>E137*M137*O137*(Q137-R137-S137)/100000000</f>
        <v>14.724060120000003</v>
      </c>
      <c r="V137" s="41">
        <f>E137*G137*(1-N137)*O137/100*(R137+S137)/1000000</f>
        <v>0.32330793599999996</v>
      </c>
      <c r="W137" s="41">
        <f>+'29'!K17/1000</f>
        <v>14.753</v>
      </c>
      <c r="X137" s="416"/>
      <c r="Y137" s="221"/>
      <c r="Z137" s="41">
        <v>0</v>
      </c>
      <c r="AA137" s="53"/>
      <c r="AB137" s="53"/>
      <c r="AC137" s="41">
        <f>K137-T137</f>
        <v>0.72884447999999757</v>
      </c>
      <c r="AD137" s="41">
        <f>+AM137+BA137</f>
        <v>16</v>
      </c>
      <c r="AE137" s="240" t="s">
        <v>779</v>
      </c>
      <c r="AF137" s="41"/>
      <c r="AG137" s="41">
        <v>16</v>
      </c>
      <c r="AH137" s="41"/>
      <c r="AI137" s="458"/>
      <c r="AJ137" s="41"/>
      <c r="AK137" s="41"/>
      <c r="AL137" s="41"/>
      <c r="AM137" s="41">
        <f>SUM(AF137:AL137)+AT137+AV137+AX137</f>
        <v>16</v>
      </c>
      <c r="AN137" s="89"/>
      <c r="AO137" s="41"/>
      <c r="AP137" s="41"/>
      <c r="AQ137" s="41"/>
      <c r="AR137" s="41">
        <f>SUM(AN137:AQ137)</f>
        <v>0</v>
      </c>
      <c r="AS137" s="41"/>
      <c r="AT137" s="41"/>
      <c r="AU137" s="41"/>
      <c r="AV137" s="41"/>
      <c r="AW137" s="41"/>
      <c r="AX137" s="41"/>
      <c r="AY137" s="41"/>
      <c r="AZ137" s="41"/>
      <c r="BA137" s="41">
        <f>+AR137+AS137+AU137+AW137+AY137+AZ137</f>
        <v>0</v>
      </c>
      <c r="BB137" s="54"/>
      <c r="BC137" s="55">
        <v>12</v>
      </c>
      <c r="BD137" s="55"/>
      <c r="BE137" s="54"/>
      <c r="BF137" s="55"/>
    </row>
    <row r="138" spans="1:58" ht="12.95" customHeight="1">
      <c r="A138" s="44"/>
      <c r="B138" s="45"/>
      <c r="C138" s="449"/>
      <c r="D138" s="45"/>
      <c r="E138" s="46"/>
      <c r="F138" s="46"/>
      <c r="G138" s="462"/>
      <c r="H138" s="48"/>
      <c r="I138" s="49"/>
      <c r="J138" s="88"/>
      <c r="K138" s="88"/>
      <c r="L138" s="39"/>
      <c r="M138" s="39"/>
      <c r="N138" s="50"/>
      <c r="O138" s="51"/>
      <c r="P138" s="52"/>
      <c r="Q138" s="51"/>
      <c r="R138" s="419"/>
      <c r="S138" s="419"/>
      <c r="T138" s="41"/>
      <c r="U138" s="41"/>
      <c r="V138" s="41"/>
      <c r="W138" s="41">
        <f>+'29'!K20/1000</f>
        <v>3.996</v>
      </c>
      <c r="X138" s="42"/>
      <c r="Y138" s="221"/>
      <c r="Z138" s="41">
        <f>+'29'!D8/1000</f>
        <v>0.111</v>
      </c>
      <c r="AA138" s="41"/>
      <c r="AB138" s="41"/>
      <c r="AC138" s="41"/>
      <c r="AD138" s="41">
        <f>+AM138+BA138</f>
        <v>25</v>
      </c>
      <c r="AE138" s="240" t="s">
        <v>581</v>
      </c>
      <c r="AF138" s="37"/>
      <c r="AG138" s="37"/>
      <c r="AH138" s="37">
        <v>25</v>
      </c>
      <c r="AI138" s="458"/>
      <c r="AJ138" s="41"/>
      <c r="AK138" s="41"/>
      <c r="AL138" s="41"/>
      <c r="AM138" s="41">
        <f>SUM(AF138:AL138)+AT138+AV138+AX138</f>
        <v>25</v>
      </c>
      <c r="AN138" s="41"/>
      <c r="AO138" s="41"/>
      <c r="AP138" s="41"/>
      <c r="AQ138" s="41"/>
      <c r="AR138" s="41">
        <f>SUM(AN138:AQ138)</f>
        <v>0</v>
      </c>
      <c r="AS138" s="41"/>
      <c r="AT138" s="41"/>
      <c r="AU138" s="41"/>
      <c r="AV138" s="41"/>
      <c r="AW138" s="41"/>
      <c r="AX138" s="41"/>
      <c r="AY138" s="41"/>
      <c r="AZ138" s="41"/>
      <c r="BA138" s="41">
        <f>+AR138+AS138+AU138+AW138+AY138+AZ138</f>
        <v>0</v>
      </c>
      <c r="BB138" s="37"/>
      <c r="BC138" s="57"/>
      <c r="BD138" s="57"/>
      <c r="BE138" s="37"/>
      <c r="BF138" s="57"/>
    </row>
    <row r="139" spans="1:58" ht="12.95" customHeight="1">
      <c r="A139" s="44"/>
      <c r="B139" s="584"/>
      <c r="C139" s="449"/>
      <c r="D139" s="45"/>
      <c r="E139" s="46"/>
      <c r="F139" s="46"/>
      <c r="G139" s="47"/>
      <c r="H139" s="48"/>
      <c r="I139" s="49"/>
      <c r="J139" s="88"/>
      <c r="K139" s="88"/>
      <c r="L139" s="39"/>
      <c r="M139" s="39"/>
      <c r="N139" s="50"/>
      <c r="O139" s="51"/>
      <c r="P139" s="52"/>
      <c r="Q139" s="38"/>
      <c r="R139" s="419"/>
      <c r="S139" s="419"/>
      <c r="T139" s="41"/>
      <c r="U139" s="41"/>
      <c r="V139" s="41"/>
      <c r="W139" s="41">
        <f>+'29'!K21/1000</f>
        <v>11.026</v>
      </c>
      <c r="X139" s="42"/>
      <c r="Y139" s="42"/>
      <c r="Z139" s="41">
        <f>+('29'!D9+'29'!D17)/1000</f>
        <v>0.184</v>
      </c>
      <c r="AA139" s="53"/>
      <c r="AB139" s="53"/>
      <c r="AC139" s="41"/>
      <c r="AD139" s="41">
        <f>+AM139+BA139</f>
        <v>8</v>
      </c>
      <c r="AE139" s="243" t="s">
        <v>541</v>
      </c>
      <c r="AF139" s="37"/>
      <c r="AG139" s="37"/>
      <c r="AH139" s="37"/>
      <c r="AI139" s="458">
        <v>8</v>
      </c>
      <c r="AJ139" s="41"/>
      <c r="AK139" s="41"/>
      <c r="AL139" s="41"/>
      <c r="AM139" s="41">
        <f>SUM(AF139:AL139)+AT139+AV139+AX139</f>
        <v>8</v>
      </c>
      <c r="AN139" s="41"/>
      <c r="AO139" s="41"/>
      <c r="AP139" s="41"/>
      <c r="AQ139" s="41"/>
      <c r="AR139" s="41">
        <f>SUM(AN139:AQ139)</f>
        <v>0</v>
      </c>
      <c r="AS139" s="41"/>
      <c r="AT139" s="41"/>
      <c r="AU139" s="41"/>
      <c r="AV139" s="41"/>
      <c r="AW139" s="41"/>
      <c r="AX139" s="41"/>
      <c r="AY139" s="41"/>
      <c r="AZ139" s="41"/>
      <c r="BA139" s="41">
        <f>+AR139+AS139+AU139+AW139+AY139+AZ139</f>
        <v>0</v>
      </c>
      <c r="BB139" s="37"/>
      <c r="BC139" s="57"/>
      <c r="BD139" s="57"/>
      <c r="BE139" s="37"/>
      <c r="BF139" s="57"/>
    </row>
    <row r="140" spans="1:58" ht="12.95" customHeight="1">
      <c r="A140" s="44"/>
      <c r="B140" s="584"/>
      <c r="C140" s="449"/>
      <c r="D140" s="45"/>
      <c r="E140" s="257"/>
      <c r="F140" s="46"/>
      <c r="G140" s="47"/>
      <c r="H140" s="48"/>
      <c r="I140" s="49"/>
      <c r="J140" s="88"/>
      <c r="K140" s="88"/>
      <c r="L140" s="39"/>
      <c r="M140" s="39"/>
      <c r="N140" s="50"/>
      <c r="O140" s="51"/>
      <c r="P140" s="52"/>
      <c r="Q140" s="349"/>
      <c r="R140" s="54"/>
      <c r="S140" s="54"/>
      <c r="T140" s="41"/>
      <c r="U140" s="41"/>
      <c r="V140" s="41"/>
      <c r="W140" s="37"/>
      <c r="X140" s="42"/>
      <c r="Y140" s="42"/>
      <c r="Z140" s="37"/>
      <c r="AA140" s="53"/>
      <c r="AB140" s="53"/>
      <c r="AC140" s="41"/>
      <c r="AD140" s="41"/>
      <c r="AE140" s="22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37"/>
      <c r="BC140" s="55"/>
      <c r="BD140" s="55"/>
      <c r="BE140" s="55"/>
      <c r="BF140" s="55"/>
    </row>
    <row r="141" spans="1:58" ht="12.75" customHeight="1">
      <c r="A141" s="344">
        <v>45899</v>
      </c>
      <c r="B141" s="45" t="s">
        <v>7</v>
      </c>
      <c r="C141" s="449">
        <f>(M141*E141*O141*Q141)/100000000</f>
        <v>55.824852464639996</v>
      </c>
      <c r="D141" s="45" t="s">
        <v>407</v>
      </c>
      <c r="E141" s="46">
        <v>10.3</v>
      </c>
      <c r="F141" s="46">
        <v>1</v>
      </c>
      <c r="G141" s="462">
        <v>1730</v>
      </c>
      <c r="H141" s="48">
        <v>0.16</v>
      </c>
      <c r="I141" s="49">
        <v>0.88</v>
      </c>
      <c r="J141" s="88">
        <f>E141*G141*(1-H141)*1440/1000000*2.77</f>
        <v>59.704198847999997</v>
      </c>
      <c r="K141" s="88">
        <f>(IF(G141&lt;L141,L141,G141)*(1-IF(H141&lt;N141,H141,N141))*E141*O141*Q141)/100000000</f>
        <v>57.807458956799991</v>
      </c>
      <c r="L141" s="39">
        <v>1670.6666666666667</v>
      </c>
      <c r="M141" s="39">
        <v>1403.36</v>
      </c>
      <c r="N141" s="50">
        <f>1-(M141/L141)</f>
        <v>0.16000000000000014</v>
      </c>
      <c r="O141" s="51">
        <f>+'Trim Rwd'!H119</f>
        <v>268.2</v>
      </c>
      <c r="P141" s="52">
        <f>O141*(Q141-R141-S141)</f>
        <v>377089.2</v>
      </c>
      <c r="Q141" s="51">
        <v>1440</v>
      </c>
      <c r="R141" s="419">
        <v>0</v>
      </c>
      <c r="S141" s="419">
        <v>34</v>
      </c>
      <c r="T141" s="41">
        <f>E141*M141*O141*Q141/100000000</f>
        <v>55.824852464639996</v>
      </c>
      <c r="U141" s="41">
        <f>E141*M141*O141*(Q141-R141-S141)/100000000</f>
        <v>54.506765670336002</v>
      </c>
      <c r="V141" s="41">
        <f>E141*G141*(1-N141)*O141/100*(R141+S141)/1000000</f>
        <v>1.3648983364799996</v>
      </c>
      <c r="W141" s="41">
        <f>+'30'!K17/1000</f>
        <v>54.697000000000003</v>
      </c>
      <c r="X141" s="416">
        <f>SUM(W141:W144)/SUM(K141:K144)</f>
        <v>1.0587561035287552</v>
      </c>
      <c r="Y141" s="221">
        <v>0</v>
      </c>
      <c r="Z141" s="41">
        <v>0</v>
      </c>
      <c r="AA141" s="53">
        <f>SUM(U141:U144)-SUM(W141:W144)-SUM(Z141:Z144)-SUM(Y141:Y144)</f>
        <v>-6.9372343296639993</v>
      </c>
      <c r="AB141" s="53">
        <f>(SUM(K141:K144)-SUM(W141:W144)-SUM(Y141:Y144)-SUM(Z141:Z144)-SUM(AC141:AC144)-SUM(V141:V144))-AA141</f>
        <v>-4.6811542176005361E-2</v>
      </c>
      <c r="AC141" s="41">
        <f>K141-T141</f>
        <v>1.9826064921599951</v>
      </c>
      <c r="AD141" s="41">
        <f>+AM141+BA141</f>
        <v>0</v>
      </c>
      <c r="AE141" s="240" t="s">
        <v>277</v>
      </c>
      <c r="AF141" s="41">
        <v>0</v>
      </c>
      <c r="AG141" s="41"/>
      <c r="AH141" s="41"/>
      <c r="AI141" s="458"/>
      <c r="AJ141" s="41"/>
      <c r="AK141" s="41"/>
      <c r="AL141" s="41"/>
      <c r="AM141" s="41">
        <f>SUM(AF141:AL141)+AT141+AV141+AX141</f>
        <v>0</v>
      </c>
      <c r="AN141" s="41"/>
      <c r="AO141" s="41"/>
      <c r="AP141" s="41"/>
      <c r="AQ141" s="41"/>
      <c r="AR141" s="41">
        <f>SUM(AN141:AQ141)</f>
        <v>0</v>
      </c>
      <c r="AS141" s="41"/>
      <c r="AT141" s="41"/>
      <c r="AU141" s="41"/>
      <c r="AV141" s="41"/>
      <c r="AW141" s="41"/>
      <c r="AX141" s="41"/>
      <c r="AY141" s="41"/>
      <c r="AZ141" s="41"/>
      <c r="BA141" s="41">
        <f>+AR141+AS141+AU141+AW141+AY141+AZ141</f>
        <v>0</v>
      </c>
      <c r="BB141" s="37">
        <v>0</v>
      </c>
      <c r="BC141" s="55"/>
      <c r="BD141" s="55"/>
      <c r="BE141" s="37"/>
      <c r="BF141" s="55"/>
    </row>
    <row r="142" spans="1:58" ht="12.95" customHeight="1">
      <c r="A142" s="344"/>
      <c r="B142" s="45"/>
      <c r="C142" s="449"/>
      <c r="D142" s="45"/>
      <c r="E142" s="46"/>
      <c r="F142" s="46"/>
      <c r="G142" s="462"/>
      <c r="H142" s="48"/>
      <c r="I142" s="49"/>
      <c r="J142" s="88"/>
      <c r="K142" s="88"/>
      <c r="L142" s="39"/>
      <c r="M142" s="39"/>
      <c r="N142" s="50"/>
      <c r="O142" s="51"/>
      <c r="P142" s="52"/>
      <c r="Q142" s="51"/>
      <c r="R142" s="419"/>
      <c r="S142" s="419"/>
      <c r="T142" s="41"/>
      <c r="U142" s="41"/>
      <c r="V142" s="41"/>
      <c r="W142" s="41">
        <f>+'30'!K22/1000</f>
        <v>6.5069999999999997</v>
      </c>
      <c r="X142" s="416"/>
      <c r="Y142" s="221"/>
      <c r="Z142" s="41">
        <f>+'30'!D8/1000</f>
        <v>0.24</v>
      </c>
      <c r="AA142" s="53"/>
      <c r="AB142" s="53"/>
      <c r="AC142" s="41"/>
      <c r="AD142" s="41">
        <f>+AM142+BA142</f>
        <v>10</v>
      </c>
      <c r="AE142" s="240" t="s">
        <v>702</v>
      </c>
      <c r="AF142" s="41"/>
      <c r="AG142" s="41">
        <v>10</v>
      </c>
      <c r="AH142" s="41"/>
      <c r="AI142" s="458"/>
      <c r="AJ142" s="41"/>
      <c r="AK142" s="41"/>
      <c r="AL142" s="41"/>
      <c r="AM142" s="41">
        <f>SUM(AF142:AL142)+AT142+AV142+AX142</f>
        <v>10</v>
      </c>
      <c r="AN142" s="89"/>
      <c r="AO142" s="41"/>
      <c r="AP142" s="41"/>
      <c r="AQ142" s="41"/>
      <c r="AR142" s="41">
        <f>SUM(AN142:AQ142)</f>
        <v>0</v>
      </c>
      <c r="AS142" s="41"/>
      <c r="AT142" s="41"/>
      <c r="AU142" s="41"/>
      <c r="AV142" s="41"/>
      <c r="AW142" s="41"/>
      <c r="AX142" s="41"/>
      <c r="AY142" s="41"/>
      <c r="AZ142" s="41"/>
      <c r="BA142" s="41">
        <f>+AR142+AS142+AU142+AW142+AY142+AZ142</f>
        <v>0</v>
      </c>
      <c r="BB142" s="54"/>
      <c r="BC142" s="55">
        <v>18</v>
      </c>
      <c r="BD142" s="55"/>
      <c r="BE142" s="54"/>
      <c r="BF142" s="55"/>
    </row>
    <row r="143" spans="1:58" ht="12.95" customHeight="1">
      <c r="A143" s="44"/>
      <c r="B143" s="45"/>
      <c r="C143" s="449"/>
      <c r="D143" s="45"/>
      <c r="E143" s="46"/>
      <c r="F143" s="46"/>
      <c r="G143" s="462"/>
      <c r="H143" s="48"/>
      <c r="I143" s="49"/>
      <c r="J143" s="88"/>
      <c r="K143" s="88"/>
      <c r="L143" s="39"/>
      <c r="M143" s="39"/>
      <c r="N143" s="50"/>
      <c r="O143" s="51"/>
      <c r="P143" s="52"/>
      <c r="Q143" s="51"/>
      <c r="R143" s="419"/>
      <c r="S143" s="419"/>
      <c r="T143" s="41"/>
      <c r="U143" s="41"/>
      <c r="V143" s="41"/>
      <c r="W143" s="41"/>
      <c r="X143" s="42"/>
      <c r="Y143" s="221"/>
      <c r="Z143" s="41"/>
      <c r="AA143" s="41"/>
      <c r="AB143" s="41"/>
      <c r="AC143" s="41"/>
      <c r="AD143" s="41">
        <f>+AM143+BA143</f>
        <v>10</v>
      </c>
      <c r="AE143" s="240" t="s">
        <v>723</v>
      </c>
      <c r="AF143" s="37"/>
      <c r="AG143" s="37"/>
      <c r="AH143" s="37">
        <v>10</v>
      </c>
      <c r="AI143" s="458"/>
      <c r="AJ143" s="41"/>
      <c r="AK143" s="41"/>
      <c r="AL143" s="41"/>
      <c r="AM143" s="41">
        <f>SUM(AF143:AL143)+AT143+AV143+AX143</f>
        <v>10</v>
      </c>
      <c r="AN143" s="41"/>
      <c r="AO143" s="41"/>
      <c r="AP143" s="41"/>
      <c r="AQ143" s="41"/>
      <c r="AR143" s="41">
        <f>SUM(AN143:AQ143)</f>
        <v>0</v>
      </c>
      <c r="AS143" s="41"/>
      <c r="AT143" s="41"/>
      <c r="AU143" s="41"/>
      <c r="AV143" s="41"/>
      <c r="AW143" s="41"/>
      <c r="AX143" s="41"/>
      <c r="AY143" s="41"/>
      <c r="AZ143" s="41"/>
      <c r="BA143" s="41">
        <f>+AR143+AS143+AU143+AW143+AY143+AZ143</f>
        <v>0</v>
      </c>
      <c r="BB143" s="37"/>
      <c r="BC143" s="57"/>
      <c r="BD143" s="57"/>
      <c r="BE143" s="37"/>
      <c r="BF143" s="57"/>
    </row>
    <row r="144" spans="1:58" ht="12.95" customHeight="1">
      <c r="A144" s="44"/>
      <c r="B144" s="584"/>
      <c r="C144" s="449"/>
      <c r="D144" s="45"/>
      <c r="E144" s="257"/>
      <c r="F144" s="46"/>
      <c r="G144" s="47"/>
      <c r="H144" s="48"/>
      <c r="I144" s="49"/>
      <c r="J144" s="88"/>
      <c r="K144" s="88"/>
      <c r="L144" s="39"/>
      <c r="M144" s="39"/>
      <c r="N144" s="50"/>
      <c r="O144" s="51"/>
      <c r="P144" s="52"/>
      <c r="Q144" s="349"/>
      <c r="R144" s="54"/>
      <c r="S144" s="54"/>
      <c r="T144" s="41"/>
      <c r="U144" s="41"/>
      <c r="V144" s="41"/>
      <c r="W144" s="37"/>
      <c r="X144" s="42"/>
      <c r="Y144" s="42"/>
      <c r="Z144" s="37"/>
      <c r="AA144" s="53"/>
      <c r="AB144" s="53"/>
      <c r="AC144" s="41"/>
      <c r="AD144" s="41"/>
      <c r="AE144" s="22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37"/>
      <c r="BC144" s="55"/>
      <c r="BD144" s="55"/>
      <c r="BE144" s="55"/>
      <c r="BF144" s="55"/>
    </row>
    <row r="145" spans="1:58" ht="12.75" customHeight="1">
      <c r="A145" s="344">
        <v>45900</v>
      </c>
      <c r="B145" s="45" t="s">
        <v>7</v>
      </c>
      <c r="C145" s="449">
        <f>(M145*E145*O145*Q145)/100000000</f>
        <v>38.581729997023253</v>
      </c>
      <c r="D145" s="45" t="s">
        <v>407</v>
      </c>
      <c r="E145" s="46">
        <v>10.3</v>
      </c>
      <c r="F145" s="46">
        <v>1</v>
      </c>
      <c r="G145" s="462">
        <v>1730</v>
      </c>
      <c r="H145" s="48">
        <v>0.16</v>
      </c>
      <c r="I145" s="49">
        <v>0.88</v>
      </c>
      <c r="J145" s="88">
        <f>E145*G145*(1-H145)*1440/1000000*2.77</f>
        <v>59.704198847999997</v>
      </c>
      <c r="K145" s="88">
        <f>(IF(G145&lt;L145,L145,G145)*(1-IF(H145&lt;N145,H145,N145))*E145*O145*Q145)/100000000</f>
        <v>39.729995770744182</v>
      </c>
      <c r="L145" s="39">
        <v>1680</v>
      </c>
      <c r="M145" s="39">
        <f>+L145-L145*0.16</f>
        <v>1411.2</v>
      </c>
      <c r="N145" s="50">
        <f>1-(M145/L145)</f>
        <v>0.15999999999999992</v>
      </c>
      <c r="O145" s="51">
        <f>+'Trim Rwd'!H123</f>
        <v>266.76744186046511</v>
      </c>
      <c r="P145" s="52">
        <f>O145*(Q145-R145-S145)</f>
        <v>262765.93023255811</v>
      </c>
      <c r="Q145" s="51">
        <v>995</v>
      </c>
      <c r="R145" s="419">
        <v>0</v>
      </c>
      <c r="S145" s="419">
        <v>10</v>
      </c>
      <c r="T145" s="41">
        <f>E145*M145*O145*Q145/100000000</f>
        <v>38.581729997023253</v>
      </c>
      <c r="U145" s="41">
        <f>E145*M145*O145*(Q145-R145-S145)/100000000</f>
        <v>38.19397391665116</v>
      </c>
      <c r="V145" s="41">
        <f>E145*G145*(1-N145)*O145/100*(R145+S145)/1000000</f>
        <v>0.39929643990697677</v>
      </c>
      <c r="W145" s="41">
        <f>+'31'!K17/1000</f>
        <v>44.966000000000001</v>
      </c>
      <c r="X145" s="416">
        <f>SUM(W145:W148)/SUM(K145:K148)</f>
        <v>0.81840225842820513</v>
      </c>
      <c r="Y145" s="221">
        <f>+SUM(RBP!$AG$3:$AG$4)</f>
        <v>14.096</v>
      </c>
      <c r="Z145" s="41">
        <v>0</v>
      </c>
      <c r="AA145" s="53">
        <f>SUM(U145:U148)-SUM(W145:W148)-SUM(Z145:Z148)-SUM(Y145:Y148)</f>
        <v>-5.5653172833488433</v>
      </c>
      <c r="AB145" s="53">
        <f>(SUM(K145:K148)-SUM(W145:W148)-SUM(Y145:Y148)-SUM(Z145:Z148)-SUM(AC145:AC148)-SUM(V145:V148))-AA145</f>
        <v>-1.6647559534886724E-2</v>
      </c>
      <c r="AC145" s="41">
        <f>K145-T145</f>
        <v>1.1482657737209294</v>
      </c>
      <c r="AD145" s="41">
        <f>+AM145+BA145</f>
        <v>0</v>
      </c>
      <c r="AE145" s="240" t="s">
        <v>277</v>
      </c>
      <c r="AF145" s="41">
        <v>0</v>
      </c>
      <c r="AG145" s="41"/>
      <c r="AH145" s="41"/>
      <c r="AI145" s="458"/>
      <c r="AJ145" s="41"/>
      <c r="AK145" s="41"/>
      <c r="AL145" s="41"/>
      <c r="AM145" s="41">
        <f>SUM(AF145:AL145)+AT145+AV145+AX145</f>
        <v>0</v>
      </c>
      <c r="AN145" s="41"/>
      <c r="AO145" s="41"/>
      <c r="AP145" s="41"/>
      <c r="AQ145" s="41"/>
      <c r="AR145" s="41">
        <f>SUM(AN145:AQ145)</f>
        <v>0</v>
      </c>
      <c r="AS145" s="41"/>
      <c r="AT145" s="41"/>
      <c r="AU145" s="41"/>
      <c r="AV145" s="41"/>
      <c r="AW145" s="41"/>
      <c r="AX145" s="41"/>
      <c r="AY145" s="41"/>
      <c r="AZ145" s="41"/>
      <c r="BA145" s="41">
        <f>+AR145+AS145+AU145+AW145+AY145+AZ145</f>
        <v>0</v>
      </c>
      <c r="BB145" s="37">
        <v>0</v>
      </c>
      <c r="BC145" s="55"/>
      <c r="BD145" s="55"/>
      <c r="BE145" s="37"/>
      <c r="BF145" s="55"/>
    </row>
    <row r="146" spans="1:58" ht="12.95" customHeight="1">
      <c r="A146" s="344"/>
      <c r="B146" s="45" t="s">
        <v>7</v>
      </c>
      <c r="C146" s="449">
        <f>(M146*E146*O146*Q146)/100000000</f>
        <v>19.090713600000001</v>
      </c>
      <c r="D146" s="45" t="s">
        <v>407</v>
      </c>
      <c r="E146" s="46">
        <v>12</v>
      </c>
      <c r="F146" s="46">
        <v>1</v>
      </c>
      <c r="G146" s="462">
        <v>1700</v>
      </c>
      <c r="H146" s="48">
        <v>0.2</v>
      </c>
      <c r="I146" s="49">
        <v>0.88</v>
      </c>
      <c r="J146" s="88">
        <f>E146*G146*(1-H146)*1440/1000000*2.77</f>
        <v>65.097216000000003</v>
      </c>
      <c r="K146" s="88">
        <f>(IF(G146&lt;L146,L146,G146)*(1-IF(H146&lt;N146,H146,N146))*E146*O146*Q146)/100000000</f>
        <v>19.317983999999999</v>
      </c>
      <c r="L146" s="39">
        <v>1680</v>
      </c>
      <c r="M146" s="39">
        <f>+L146-L146*0.2</f>
        <v>1344</v>
      </c>
      <c r="N146" s="50">
        <f>1-(M146/L146)</f>
        <v>0.19999999999999996</v>
      </c>
      <c r="O146" s="51">
        <f>+'Trim Rwd'!H125</f>
        <v>266</v>
      </c>
      <c r="P146" s="52">
        <f>O146*(Q146-R146-S146)</f>
        <v>115710</v>
      </c>
      <c r="Q146" s="51">
        <v>445</v>
      </c>
      <c r="R146" s="419">
        <v>0</v>
      </c>
      <c r="S146" s="419">
        <v>10</v>
      </c>
      <c r="T146" s="41">
        <f>E146*M146*O146*Q146/100000000</f>
        <v>19.090713600000001</v>
      </c>
      <c r="U146" s="41">
        <f>E146*M146*O146*(Q146-R146-S146)/100000000</f>
        <v>18.6617088</v>
      </c>
      <c r="V146" s="41">
        <f>E146*G146*(1-N146)*O146/100*(R146+S146)/1000000</f>
        <v>0.434112</v>
      </c>
      <c r="W146" s="41">
        <f>+'31'!K23/1000</f>
        <v>3.359</v>
      </c>
      <c r="X146" s="416"/>
      <c r="Y146" s="221"/>
      <c r="Z146" s="41">
        <v>0</v>
      </c>
      <c r="AA146" s="53"/>
      <c r="AB146" s="53"/>
      <c r="AC146" s="41">
        <f>K146-T146</f>
        <v>0.22727039999999832</v>
      </c>
      <c r="AD146" s="41">
        <f>+AM146+BA146</f>
        <v>14</v>
      </c>
      <c r="AE146" s="240" t="s">
        <v>722</v>
      </c>
      <c r="AF146" s="41"/>
      <c r="AG146" s="41">
        <v>14</v>
      </c>
      <c r="AH146" s="41"/>
      <c r="AI146" s="458"/>
      <c r="AJ146" s="41"/>
      <c r="AK146" s="41"/>
      <c r="AL146" s="41"/>
      <c r="AM146" s="41">
        <f>SUM(AF146:AL146)+AT146+AV146+AX146</f>
        <v>14</v>
      </c>
      <c r="AN146" s="89"/>
      <c r="AO146" s="41"/>
      <c r="AP146" s="41"/>
      <c r="AQ146" s="41"/>
      <c r="AR146" s="41">
        <f>SUM(AN146:AQ146)</f>
        <v>0</v>
      </c>
      <c r="AS146" s="41"/>
      <c r="AT146" s="41"/>
      <c r="AU146" s="41"/>
      <c r="AV146" s="41"/>
      <c r="AW146" s="41"/>
      <c r="AX146" s="41"/>
      <c r="AY146" s="41"/>
      <c r="AZ146" s="41"/>
      <c r="BA146" s="41">
        <f>+AR146+AS146+AU146+AW146+AY146+AZ146</f>
        <v>0</v>
      </c>
      <c r="BB146" s="54"/>
      <c r="BC146" s="55">
        <v>13</v>
      </c>
      <c r="BD146" s="55"/>
      <c r="BE146" s="54"/>
      <c r="BF146" s="55"/>
    </row>
    <row r="147" spans="1:58" ht="12.95" customHeight="1">
      <c r="A147" s="44"/>
      <c r="B147" s="45"/>
      <c r="C147" s="449"/>
      <c r="D147" s="45"/>
      <c r="E147" s="46"/>
      <c r="F147" s="46"/>
      <c r="G147" s="462"/>
      <c r="H147" s="48"/>
      <c r="I147" s="49"/>
      <c r="J147" s="88"/>
      <c r="K147" s="88"/>
      <c r="L147" s="39"/>
      <c r="M147" s="39"/>
      <c r="N147" s="50"/>
      <c r="O147" s="51"/>
      <c r="P147" s="52"/>
      <c r="Q147" s="51"/>
      <c r="R147" s="419"/>
      <c r="S147" s="419"/>
      <c r="T147" s="41"/>
      <c r="U147" s="41"/>
      <c r="V147" s="41"/>
      <c r="W147" s="41"/>
      <c r="X147" s="42"/>
      <c r="Y147" s="221"/>
      <c r="Z147" s="41"/>
      <c r="AA147" s="41"/>
      <c r="AB147" s="41"/>
      <c r="AC147" s="41"/>
      <c r="AD147" s="41">
        <f>+AM147+BA147</f>
        <v>20</v>
      </c>
      <c r="AE147" s="240" t="s">
        <v>685</v>
      </c>
      <c r="AF147" s="37"/>
      <c r="AG147" s="37"/>
      <c r="AH147" s="37">
        <v>20</v>
      </c>
      <c r="AI147" s="458"/>
      <c r="AJ147" s="41"/>
      <c r="AK147" s="41"/>
      <c r="AL147" s="41"/>
      <c r="AM147" s="41">
        <f>SUM(AF147:AL147)+AT147+AV147+AX147</f>
        <v>20</v>
      </c>
      <c r="AN147" s="41"/>
      <c r="AO147" s="41"/>
      <c r="AP147" s="41"/>
      <c r="AQ147" s="41"/>
      <c r="AR147" s="41">
        <f>SUM(AN147:AQ147)</f>
        <v>0</v>
      </c>
      <c r="AS147" s="41"/>
      <c r="AT147" s="41"/>
      <c r="AU147" s="41"/>
      <c r="AV147" s="41"/>
      <c r="AW147" s="41"/>
      <c r="AX147" s="41"/>
      <c r="AY147" s="41"/>
      <c r="AZ147" s="41"/>
      <c r="BA147" s="41">
        <f>+AR147+AS147+AU147+AW147+AY147+AZ147</f>
        <v>0</v>
      </c>
      <c r="BB147" s="37"/>
      <c r="BC147" s="57"/>
      <c r="BD147" s="57"/>
      <c r="BE147" s="37"/>
      <c r="BF147" s="57"/>
    </row>
    <row r="148" spans="1:58" ht="12.95" customHeight="1">
      <c r="A148" s="44"/>
      <c r="B148" s="584"/>
      <c r="C148" s="449"/>
      <c r="D148" s="45"/>
      <c r="E148" s="257"/>
      <c r="F148" s="46"/>
      <c r="G148" s="47"/>
      <c r="H148" s="48"/>
      <c r="I148" s="49"/>
      <c r="J148" s="88"/>
      <c r="K148" s="88"/>
      <c r="L148" s="39"/>
      <c r="M148" s="39"/>
      <c r="N148" s="50"/>
      <c r="O148" s="51"/>
      <c r="P148" s="52"/>
      <c r="Q148" s="349"/>
      <c r="R148" s="54"/>
      <c r="S148" s="54"/>
      <c r="T148" s="41"/>
      <c r="U148" s="41"/>
      <c r="V148" s="41"/>
      <c r="W148" s="37"/>
      <c r="X148" s="42"/>
      <c r="Y148" s="42"/>
      <c r="Z148" s="37"/>
      <c r="AA148" s="53"/>
      <c r="AB148" s="53"/>
      <c r="AC148" s="41"/>
      <c r="AD148" s="41"/>
      <c r="AE148" s="22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37"/>
      <c r="BC148" s="55"/>
      <c r="BD148" s="55"/>
      <c r="BE148" s="55"/>
      <c r="BF148" s="55"/>
    </row>
    <row r="149" spans="1:58">
      <c r="R149" s="420"/>
      <c r="S149" s="420"/>
      <c r="AA149" s="258">
        <f>U149-W149-Z149</f>
        <v>0</v>
      </c>
      <c r="AB149" s="258"/>
      <c r="AC149" s="259">
        <f>K149-T149</f>
        <v>0</v>
      </c>
      <c r="AD149" s="41"/>
      <c r="AF149" s="56"/>
      <c r="AG149" s="56"/>
      <c r="AH149" s="56"/>
      <c r="AI149" s="56"/>
      <c r="AJ149" s="56"/>
      <c r="AK149" s="56"/>
      <c r="AL149" s="56"/>
      <c r="AM149" s="41">
        <f t="shared" ref="AM149" si="0">SUM(AF149:AL149)</f>
        <v>0</v>
      </c>
      <c r="AN149" s="56"/>
      <c r="AO149" s="56"/>
      <c r="AP149" s="56"/>
      <c r="AQ149" s="56"/>
      <c r="AR149" s="41">
        <f t="shared" ref="AR149" si="1">SUM(AN149:AQ149)</f>
        <v>0</v>
      </c>
      <c r="AS149" s="56"/>
      <c r="AT149" s="56"/>
      <c r="AU149" s="56"/>
      <c r="AV149" s="56"/>
      <c r="AW149" s="56"/>
      <c r="AX149" s="56"/>
      <c r="AY149" s="56"/>
      <c r="AZ149" s="56"/>
      <c r="BA149" s="41"/>
      <c r="BB149" s="69"/>
      <c r="BC149" s="69"/>
      <c r="BD149" s="55"/>
      <c r="BE149" s="55"/>
      <c r="BF149" s="55"/>
    </row>
    <row r="150" spans="1:58" s="29" customFormat="1" ht="12.95" customHeight="1">
      <c r="A150" s="62"/>
      <c r="B150" s="63"/>
      <c r="C150" s="450">
        <f>SUM(C6:C148)</f>
        <v>2005.3370647202476</v>
      </c>
      <c r="D150" s="63"/>
      <c r="E150" s="64"/>
      <c r="F150" s="64"/>
      <c r="G150" s="65"/>
      <c r="H150" s="65"/>
      <c r="I150" s="66">
        <v>0.85</v>
      </c>
      <c r="J150" s="88"/>
      <c r="K150" s="90">
        <f>SUM(K6:K148)</f>
        <v>2072.6177201757914</v>
      </c>
      <c r="L150" s="68"/>
      <c r="M150" s="68"/>
      <c r="N150" s="69"/>
      <c r="O150" s="70">
        <f>P150/(Q150-R150-S150)</f>
        <v>267.12615626106486</v>
      </c>
      <c r="P150" s="67">
        <f>SUM(P6:P148)</f>
        <v>11141831.977649016</v>
      </c>
      <c r="Q150" s="351">
        <f>SUM(Q6:Q149)</f>
        <v>44640</v>
      </c>
      <c r="R150" s="67">
        <f t="shared" ref="R150:W150" si="2">SUM(R6:R148)</f>
        <v>1195</v>
      </c>
      <c r="S150" s="67">
        <f t="shared" si="2"/>
        <v>1735</v>
      </c>
      <c r="T150" s="67">
        <f t="shared" si="2"/>
        <v>2005.3370647202476</v>
      </c>
      <c r="U150" s="67">
        <f t="shared" si="2"/>
        <v>1889.6182204943232</v>
      </c>
      <c r="V150" s="376">
        <f t="shared" si="2"/>
        <v>133.81028779635099</v>
      </c>
      <c r="W150" s="461">
        <f t="shared" si="2"/>
        <v>1865.5170000000003</v>
      </c>
      <c r="X150" s="380">
        <f>W150/K150</f>
        <v>0.90007770455700553</v>
      </c>
      <c r="Y150" s="377">
        <f>SUM(Y6:Y148)</f>
        <v>14.096</v>
      </c>
      <c r="Z150" s="461">
        <f>SUM(Z6:Z148)</f>
        <v>33.051000000000002</v>
      </c>
      <c r="AA150" s="67">
        <f>SUM(AA6:AA148)</f>
        <v>-23.045779505677341</v>
      </c>
      <c r="AB150" s="67">
        <f>SUM(AB6:AB148)</f>
        <v>-17.970591930426465</v>
      </c>
      <c r="AC150" s="67">
        <f>SUM(AC6:AC148)</f>
        <v>67.159803815544208</v>
      </c>
      <c r="AD150" s="41">
        <f>SUM(AD6:AD149)</f>
        <v>2930</v>
      </c>
      <c r="AE150" s="71"/>
      <c r="AF150" s="67">
        <f t="shared" ref="AF150:BF150" si="3">SUM(AF6:AF149)</f>
        <v>441</v>
      </c>
      <c r="AG150" s="67">
        <f t="shared" si="3"/>
        <v>306</v>
      </c>
      <c r="AH150" s="67">
        <f t="shared" si="3"/>
        <v>703</v>
      </c>
      <c r="AI150" s="67">
        <f t="shared" si="3"/>
        <v>101</v>
      </c>
      <c r="AJ150" s="67">
        <f t="shared" si="3"/>
        <v>70</v>
      </c>
      <c r="AK150" s="67">
        <f t="shared" si="3"/>
        <v>114</v>
      </c>
      <c r="AL150" s="67">
        <f t="shared" si="3"/>
        <v>0</v>
      </c>
      <c r="AM150" s="67">
        <f t="shared" si="3"/>
        <v>1735</v>
      </c>
      <c r="AN150" s="56">
        <f t="shared" si="3"/>
        <v>0</v>
      </c>
      <c r="AO150" s="56">
        <f t="shared" si="3"/>
        <v>0</v>
      </c>
      <c r="AP150" s="56">
        <f t="shared" si="3"/>
        <v>105</v>
      </c>
      <c r="AQ150" s="56">
        <f t="shared" si="3"/>
        <v>0</v>
      </c>
      <c r="AR150" s="67">
        <f t="shared" si="3"/>
        <v>105</v>
      </c>
      <c r="AS150" s="67">
        <f t="shared" si="3"/>
        <v>1090</v>
      </c>
      <c r="AT150" s="67">
        <f t="shared" si="3"/>
        <v>0</v>
      </c>
      <c r="AU150" s="67">
        <f t="shared" si="3"/>
        <v>0</v>
      </c>
      <c r="AV150" s="67">
        <f t="shared" si="3"/>
        <v>0</v>
      </c>
      <c r="AW150" s="67">
        <f t="shared" si="3"/>
        <v>0</v>
      </c>
      <c r="AX150" s="67">
        <f t="shared" si="3"/>
        <v>0</v>
      </c>
      <c r="AY150" s="67">
        <f t="shared" si="3"/>
        <v>0</v>
      </c>
      <c r="AZ150" s="67">
        <f t="shared" si="3"/>
        <v>0</v>
      </c>
      <c r="BA150" s="67">
        <f t="shared" si="3"/>
        <v>1195</v>
      </c>
      <c r="BB150" s="56">
        <f t="shared" si="3"/>
        <v>82</v>
      </c>
      <c r="BC150" s="56">
        <f t="shared" si="3"/>
        <v>282</v>
      </c>
      <c r="BD150" s="56">
        <f t="shared" si="3"/>
        <v>0</v>
      </c>
      <c r="BE150" s="56">
        <f t="shared" si="3"/>
        <v>0</v>
      </c>
      <c r="BF150" s="56">
        <f t="shared" si="3"/>
        <v>0</v>
      </c>
    </row>
    <row r="151" spans="1:58" s="29" customFormat="1" ht="12.95" customHeight="1">
      <c r="A151" s="62"/>
      <c r="B151" s="63"/>
      <c r="C151" s="63"/>
      <c r="D151" s="63"/>
      <c r="E151" s="64"/>
      <c r="F151" s="64"/>
      <c r="G151" s="65"/>
      <c r="H151" s="65"/>
      <c r="I151" s="65"/>
      <c r="J151" s="91"/>
      <c r="K151" s="91"/>
      <c r="L151" s="68"/>
      <c r="M151" s="68"/>
      <c r="N151" s="69"/>
      <c r="O151" s="904"/>
      <c r="P151" s="905"/>
      <c r="Q151" s="65">
        <f>31*1440-Q150</f>
        <v>0</v>
      </c>
      <c r="R151" s="72">
        <f>R150/Q150</f>
        <v>2.6769713261648745E-2</v>
      </c>
      <c r="S151" s="72">
        <f>S150/Q150</f>
        <v>3.8866487455197135E-2</v>
      </c>
      <c r="T151" s="362"/>
      <c r="U151" s="362"/>
      <c r="V151" s="364">
        <f>V150/K150</f>
        <v>6.4561007316391042E-2</v>
      </c>
      <c r="W151" s="381" t="s">
        <v>173</v>
      </c>
      <c r="X151" s="382">
        <v>0.85</v>
      </c>
      <c r="Y151" s="378">
        <f>Y150/K150</f>
        <v>6.8010612197238344E-3</v>
      </c>
      <c r="Z151" s="73">
        <f>Z150/K150</f>
        <v>1.5946500735889078E-2</v>
      </c>
      <c r="AA151" s="73">
        <f>AA150/K150</f>
        <v>-1.1119165527409795E-2</v>
      </c>
      <c r="AB151" s="73">
        <f>AB150/K150</f>
        <v>-8.6704806947719565E-3</v>
      </c>
      <c r="AC151" s="96">
        <f>AC150/K150</f>
        <v>3.2403372393172425E-2</v>
      </c>
      <c r="AD151" s="365"/>
      <c r="AE151" s="43"/>
      <c r="AF151" s="73">
        <f>AF150/$AD$150*$V$151</f>
        <v>9.7172028076888909E-3</v>
      </c>
      <c r="AG151" s="73">
        <f>AG150/$AD$150*$V$151</f>
        <v>6.7425488869678023E-3</v>
      </c>
      <c r="AH151" s="73">
        <f>AH150/$AD$150*$V$151</f>
        <v>1.5490234861236485E-2</v>
      </c>
      <c r="AI151" s="73">
        <f>AI150/$AD$150*$V$151</f>
        <v>2.2254818221691111E-3</v>
      </c>
      <c r="AJ151" s="73">
        <f t="shared" ref="AJ151:BA151" si="4">AJ150/$AD$150*$V$151</f>
        <v>1.5424131440776017E-3</v>
      </c>
      <c r="AK151" s="73">
        <f t="shared" si="4"/>
        <v>2.5119299774978084E-3</v>
      </c>
      <c r="AL151" s="73">
        <f t="shared" si="4"/>
        <v>0</v>
      </c>
      <c r="AM151" s="73">
        <f t="shared" si="4"/>
        <v>3.8229811499637702E-2</v>
      </c>
      <c r="AN151" s="73">
        <f t="shared" si="4"/>
        <v>0</v>
      </c>
      <c r="AO151" s="73">
        <f t="shared" si="4"/>
        <v>0</v>
      </c>
      <c r="AP151" s="73">
        <f t="shared" si="4"/>
        <v>2.3136197161164026E-3</v>
      </c>
      <c r="AQ151" s="73">
        <f t="shared" si="4"/>
        <v>0</v>
      </c>
      <c r="AR151" s="73">
        <f t="shared" si="4"/>
        <v>2.3136197161164026E-3</v>
      </c>
      <c r="AS151" s="73">
        <f t="shared" si="4"/>
        <v>2.4017576100636939E-2</v>
      </c>
      <c r="AT151" s="73">
        <f t="shared" si="4"/>
        <v>0</v>
      </c>
      <c r="AU151" s="73">
        <f t="shared" si="4"/>
        <v>0</v>
      </c>
      <c r="AV151" s="73">
        <f>AV150/$AD$150*$V$151</f>
        <v>0</v>
      </c>
      <c r="AW151" s="73">
        <f>AW150/$AD$150*$V$151</f>
        <v>0</v>
      </c>
      <c r="AX151" s="73">
        <f>AX150/$AD$150*$V$151</f>
        <v>0</v>
      </c>
      <c r="AY151" s="73">
        <f>AY150/$AD$150*$V$151</f>
        <v>0</v>
      </c>
      <c r="AZ151" s="73">
        <f>AZ150/$AD$150*$V$151</f>
        <v>0</v>
      </c>
      <c r="BA151" s="73">
        <f t="shared" si="4"/>
        <v>2.6331195816753344E-2</v>
      </c>
      <c r="BB151" s="38" t="s">
        <v>172</v>
      </c>
      <c r="BC151" s="38" t="s">
        <v>172</v>
      </c>
      <c r="BD151" s="38" t="s">
        <v>415</v>
      </c>
      <c r="BE151" s="38" t="s">
        <v>415</v>
      </c>
      <c r="BF151" s="38" t="s">
        <v>415</v>
      </c>
    </row>
    <row r="152" spans="1:58" ht="12.95" customHeight="1">
      <c r="A152" s="62"/>
      <c r="B152" s="63"/>
      <c r="C152" s="63"/>
      <c r="D152" s="63"/>
      <c r="E152" s="64"/>
      <c r="F152" s="64"/>
      <c r="G152" s="38"/>
      <c r="H152" s="38"/>
      <c r="I152" s="38"/>
      <c r="J152" s="88"/>
      <c r="K152" s="88"/>
      <c r="L152" s="39"/>
      <c r="M152" s="39"/>
      <c r="N152" s="37"/>
      <c r="O152" s="40"/>
      <c r="P152" s="32"/>
      <c r="Q152" s="38"/>
      <c r="R152" s="95">
        <f>R150-(BA150)</f>
        <v>0</v>
      </c>
      <c r="S152" s="95">
        <f>+S150-AM150</f>
        <v>0</v>
      </c>
      <c r="T152" s="37"/>
      <c r="U152" s="37"/>
      <c r="V152" s="37"/>
      <c r="W152" s="41">
        <f>+W150-'31'!$M$34/1000</f>
        <v>0</v>
      </c>
      <c r="X152" s="379"/>
      <c r="Y152" s="74">
        <f>+Y150-SUM(RBP!AG3:AG4)</f>
        <v>0</v>
      </c>
      <c r="Z152" s="41">
        <f>+Z150-'31'!J56/1000</f>
        <v>0</v>
      </c>
      <c r="AA152" s="37"/>
      <c r="AB152" s="37"/>
      <c r="AC152" s="37"/>
      <c r="AD152" s="37"/>
      <c r="AE152" s="43"/>
      <c r="AF152" s="352"/>
      <c r="AG152" s="352"/>
      <c r="AH152" s="352"/>
      <c r="AI152" s="352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582"/>
      <c r="AY152" s="83"/>
      <c r="AZ152" s="83"/>
      <c r="BA152" s="83"/>
      <c r="BB152" s="93">
        <f>BB150/($Q$150/1440)/2</f>
        <v>1.3225806451612903</v>
      </c>
      <c r="BC152" s="93">
        <f>BC150/($Q$150/1440)/2</f>
        <v>4.5483870967741939</v>
      </c>
      <c r="BD152" s="93">
        <f>BD150/($Q$150/1440)</f>
        <v>0</v>
      </c>
      <c r="BE152" s="93">
        <f>BE150/($Q$150/1440)</f>
        <v>0</v>
      </c>
      <c r="BF152" s="93">
        <f>BF150/($Q$150/1440)</f>
        <v>0</v>
      </c>
    </row>
    <row r="153" spans="1:58">
      <c r="A153" s="75"/>
      <c r="B153" s="76"/>
      <c r="C153" s="76"/>
      <c r="D153" s="76"/>
      <c r="E153" s="77"/>
      <c r="F153" s="77"/>
      <c r="G153" s="78"/>
      <c r="H153" s="78"/>
      <c r="I153" s="78"/>
      <c r="J153" s="92"/>
      <c r="K153" s="92"/>
      <c r="O153" s="79"/>
      <c r="P153" s="80"/>
      <c r="Q153" s="78"/>
      <c r="R153" s="59"/>
      <c r="S153" s="59"/>
      <c r="U153" s="81"/>
      <c r="V153" s="81"/>
      <c r="W153" s="82" t="s">
        <v>120</v>
      </c>
      <c r="X153" s="94">
        <f>W150/U150</f>
        <v>0.98724545506974526</v>
      </c>
      <c r="Y153" s="94"/>
      <c r="Z153" s="59"/>
      <c r="AD153" s="89"/>
      <c r="AE153" s="84"/>
      <c r="AF153" s="85"/>
      <c r="AG153" s="85"/>
      <c r="AH153" s="85"/>
      <c r="AI153" s="85"/>
      <c r="AJ153" s="85"/>
      <c r="AK153" s="85"/>
      <c r="AL153" s="85"/>
      <c r="AM153" s="85"/>
      <c r="AN153" s="83"/>
      <c r="AO153" s="83"/>
      <c r="AP153" s="83"/>
      <c r="AQ153" s="83"/>
      <c r="AR153" s="83"/>
      <c r="AS153" s="85"/>
      <c r="AT153" s="85"/>
      <c r="AU153" s="85"/>
      <c r="AV153" s="85"/>
      <c r="AW153" s="85"/>
      <c r="AX153" s="85"/>
      <c r="AY153" s="85"/>
      <c r="AZ153" s="85"/>
      <c r="BA153" s="83"/>
      <c r="BB153" s="29"/>
      <c r="BC153" s="83"/>
      <c r="BD153" s="83"/>
      <c r="BE153" s="29"/>
      <c r="BF153" s="83"/>
    </row>
    <row r="154" spans="1:58">
      <c r="A154" s="75"/>
      <c r="B154" s="76"/>
      <c r="C154" s="76"/>
      <c r="D154" s="76"/>
      <c r="E154" s="77"/>
      <c r="F154" s="77"/>
      <c r="G154" s="78"/>
      <c r="H154" s="78"/>
      <c r="I154" s="78"/>
      <c r="J154" s="92"/>
      <c r="K154" s="92"/>
      <c r="O154" s="79"/>
      <c r="P154" s="80"/>
      <c r="Q154" s="78"/>
      <c r="R154" s="59"/>
      <c r="S154" s="59"/>
      <c r="U154" s="81"/>
      <c r="V154" s="81"/>
      <c r="W154" s="82"/>
      <c r="X154" s="83"/>
      <c r="Y154" s="83"/>
      <c r="Z154" s="59"/>
      <c r="AA154" s="99"/>
      <c r="AB154" s="99"/>
      <c r="AD154" s="89"/>
      <c r="AE154" s="84"/>
      <c r="AF154" s="85"/>
      <c r="AG154" s="85"/>
      <c r="AH154" s="85"/>
      <c r="AI154" s="85"/>
      <c r="AJ154" s="85"/>
      <c r="AK154" s="85"/>
      <c r="AL154" s="85"/>
      <c r="AM154" s="85"/>
      <c r="AN154" s="85"/>
      <c r="AO154" s="83"/>
      <c r="AP154" s="83"/>
      <c r="AQ154" s="83"/>
      <c r="AR154" s="85"/>
      <c r="AS154" s="83"/>
      <c r="AT154" s="83"/>
      <c r="AU154" s="83"/>
      <c r="AV154" s="83"/>
      <c r="AW154" s="83"/>
      <c r="AX154" s="83"/>
      <c r="AY154" s="83"/>
      <c r="AZ154" s="83"/>
      <c r="BA154" s="83"/>
      <c r="BB154" s="29"/>
      <c r="BC154" s="83"/>
      <c r="BD154" s="83"/>
      <c r="BE154" s="29"/>
      <c r="BF154" s="83"/>
    </row>
    <row r="155" spans="1:58">
      <c r="A155" s="75"/>
      <c r="B155" s="76"/>
      <c r="C155" s="76"/>
      <c r="D155" s="76"/>
      <c r="E155" s="77"/>
      <c r="F155" s="77"/>
      <c r="G155" s="78"/>
      <c r="H155" s="78"/>
      <c r="I155" s="78"/>
      <c r="J155" s="92"/>
      <c r="K155" s="92"/>
      <c r="O155" s="79"/>
      <c r="P155" s="80"/>
      <c r="Q155" s="78"/>
      <c r="R155" s="363"/>
      <c r="S155" s="59"/>
      <c r="U155" s="81"/>
      <c r="V155" s="81"/>
      <c r="W155" s="82" t="s">
        <v>143</v>
      </c>
      <c r="X155" s="352">
        <f>+W150+Y150</f>
        <v>1879.6130000000003</v>
      </c>
      <c r="Y155" s="83"/>
      <c r="Z155" s="59"/>
      <c r="AD155" s="89"/>
      <c r="AE155" s="84"/>
      <c r="AF155" s="89"/>
      <c r="AG155" s="89"/>
      <c r="AH155" s="89"/>
      <c r="AI155" s="89"/>
      <c r="AJ155" s="83"/>
      <c r="AK155" s="83"/>
      <c r="AL155" s="83"/>
      <c r="AM155" s="85"/>
      <c r="AN155" s="83"/>
      <c r="AO155" s="83"/>
      <c r="AP155" s="83"/>
      <c r="AQ155" s="83"/>
      <c r="AR155" s="85"/>
      <c r="AS155" s="83"/>
      <c r="AT155" s="83"/>
      <c r="AU155" s="83"/>
      <c r="AV155" s="83"/>
      <c r="AW155" s="83"/>
      <c r="AX155" s="83"/>
      <c r="AY155" s="83"/>
      <c r="AZ155" s="83"/>
      <c r="BA155" s="83"/>
      <c r="BB155" s="29"/>
      <c r="BC155" s="83"/>
      <c r="BD155" s="83"/>
      <c r="BE155" s="29"/>
      <c r="BF155" s="83"/>
    </row>
    <row r="156" spans="1:58">
      <c r="A156" s="75"/>
      <c r="C156" s="76" t="s">
        <v>232</v>
      </c>
      <c r="D156" s="76"/>
      <c r="E156" s="77"/>
      <c r="F156" s="77"/>
      <c r="G156" s="78"/>
      <c r="H156" s="78"/>
      <c r="I156" s="78"/>
      <c r="J156" s="92"/>
      <c r="K156" s="92"/>
      <c r="O156" s="79"/>
      <c r="P156" s="80"/>
      <c r="Q156" s="78"/>
      <c r="R156" s="363"/>
      <c r="S156" s="59"/>
      <c r="U156" s="81"/>
      <c r="V156" s="374"/>
      <c r="W156" s="375"/>
      <c r="X156" s="368"/>
      <c r="Y156" s="375"/>
      <c r="Z156" s="368"/>
      <c r="AD156" s="361"/>
      <c r="AE156" s="84"/>
      <c r="AF156" s="361"/>
      <c r="AG156" s="361"/>
      <c r="AH156" s="361"/>
      <c r="AI156" s="361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29"/>
      <c r="BC156" s="83"/>
      <c r="BD156" s="83"/>
      <c r="BE156" s="29"/>
      <c r="BF156" s="83"/>
    </row>
    <row r="157" spans="1:58">
      <c r="A157" s="75"/>
      <c r="B157" s="76"/>
      <c r="C157" s="76" t="s">
        <v>235</v>
      </c>
      <c r="D157" s="76"/>
      <c r="E157" s="77"/>
      <c r="F157" s="77"/>
      <c r="G157" s="78"/>
      <c r="H157" s="78"/>
      <c r="I157" s="78"/>
      <c r="J157" s="92"/>
      <c r="K157" s="92"/>
      <c r="O157" s="79"/>
      <c r="P157" s="80"/>
      <c r="Q157" s="78"/>
      <c r="R157" s="363"/>
      <c r="S157" s="59"/>
      <c r="V157" s="366"/>
      <c r="W157" s="367" t="s">
        <v>230</v>
      </c>
      <c r="X157" s="366"/>
      <c r="Y157" s="366"/>
      <c r="Z157" s="368"/>
      <c r="AE157" s="84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29"/>
      <c r="BE157" s="29"/>
    </row>
    <row r="158" spans="1:58">
      <c r="A158" s="75"/>
      <c r="B158" s="76"/>
      <c r="C158" s="76"/>
      <c r="D158" s="76"/>
      <c r="E158" s="77"/>
      <c r="F158" s="77"/>
      <c r="G158" s="78"/>
      <c r="H158" s="78"/>
      <c r="I158" s="78"/>
      <c r="J158" s="92"/>
      <c r="K158" s="92"/>
      <c r="O158" s="79"/>
      <c r="P158" s="80"/>
      <c r="Q158" s="78"/>
      <c r="R158" s="363"/>
      <c r="S158" s="59"/>
      <c r="V158" s="366"/>
      <c r="W158" s="369" t="s">
        <v>329</v>
      </c>
      <c r="X158" s="373">
        <f>Y151</f>
        <v>6.8010612197238344E-3</v>
      </c>
      <c r="Y158" s="370"/>
      <c r="Z158" s="368"/>
      <c r="AE158" s="84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29"/>
      <c r="BE158" s="29"/>
    </row>
    <row r="159" spans="1:58">
      <c r="R159" s="99"/>
      <c r="V159" s="366"/>
      <c r="W159" s="369" t="s">
        <v>152</v>
      </c>
      <c r="X159" s="372">
        <f>Z151</f>
        <v>1.5946500735889078E-2</v>
      </c>
      <c r="Y159" s="371"/>
      <c r="Z159" s="366"/>
    </row>
    <row r="160" spans="1:58">
      <c r="R160" s="99"/>
      <c r="V160" s="366"/>
      <c r="W160" s="369" t="s">
        <v>153</v>
      </c>
      <c r="X160" s="372">
        <f>AC151</f>
        <v>3.2403372393172425E-2</v>
      </c>
      <c r="Y160" s="372"/>
      <c r="Z160" s="366"/>
    </row>
    <row r="161" spans="18:26">
      <c r="R161" s="99"/>
      <c r="V161" s="366"/>
      <c r="W161" s="369" t="s">
        <v>154</v>
      </c>
      <c r="X161" s="372">
        <f>AA151</f>
        <v>-1.1119165527409795E-2</v>
      </c>
      <c r="Y161" s="371"/>
      <c r="Z161" s="366"/>
    </row>
    <row r="162" spans="18:26">
      <c r="V162" s="366"/>
      <c r="W162" s="369" t="s">
        <v>170</v>
      </c>
      <c r="X162" s="372">
        <f>AB151</f>
        <v>-8.6704806947719565E-3</v>
      </c>
      <c r="Y162" s="371" t="s">
        <v>168</v>
      </c>
      <c r="Z162" s="366"/>
    </row>
    <row r="163" spans="18:26">
      <c r="V163" s="366"/>
      <c r="W163" s="369" t="s">
        <v>206</v>
      </c>
      <c r="X163" s="372">
        <f>AF151</f>
        <v>9.7172028076888909E-3</v>
      </c>
      <c r="Y163" s="371"/>
      <c r="Z163" s="366"/>
    </row>
    <row r="164" spans="18:26">
      <c r="V164" s="366"/>
      <c r="W164" s="369" t="s">
        <v>207</v>
      </c>
      <c r="X164" s="372">
        <f>+AG151</f>
        <v>6.7425488869678023E-3</v>
      </c>
      <c r="Y164" s="371"/>
      <c r="Z164" s="366"/>
    </row>
    <row r="165" spans="18:26">
      <c r="V165" s="366"/>
      <c r="W165" s="369" t="s">
        <v>208</v>
      </c>
      <c r="X165" s="372">
        <f>+AH151</f>
        <v>1.5490234861236485E-2</v>
      </c>
      <c r="Y165" s="371"/>
      <c r="Z165" s="366"/>
    </row>
    <row r="166" spans="18:26">
      <c r="V166" s="366"/>
      <c r="W166" s="369" t="s">
        <v>209</v>
      </c>
      <c r="X166" s="372">
        <f>+AI151</f>
        <v>2.2254818221691111E-3</v>
      </c>
      <c r="Y166" s="371"/>
      <c r="Z166" s="366"/>
    </row>
    <row r="167" spans="18:26">
      <c r="V167" s="366"/>
      <c r="W167" s="369" t="s">
        <v>161</v>
      </c>
      <c r="X167" s="372">
        <f>+AJ151</f>
        <v>1.5424131440776017E-3</v>
      </c>
      <c r="Y167" s="371"/>
      <c r="Z167" s="366"/>
    </row>
    <row r="168" spans="18:26">
      <c r="V168" s="366"/>
      <c r="W168" s="369" t="s">
        <v>163</v>
      </c>
      <c r="X168" s="372">
        <f>+AK151</f>
        <v>2.5119299774978084E-3</v>
      </c>
      <c r="Y168" s="371"/>
      <c r="Z168" s="366"/>
    </row>
    <row r="169" spans="18:26">
      <c r="V169" s="366"/>
      <c r="W169" s="369" t="s">
        <v>162</v>
      </c>
      <c r="X169" s="372">
        <f>+AL151</f>
        <v>0</v>
      </c>
      <c r="Y169" s="371"/>
      <c r="Z169" s="366"/>
    </row>
    <row r="170" spans="18:26">
      <c r="V170" s="366"/>
      <c r="W170" s="369" t="s">
        <v>155</v>
      </c>
      <c r="X170" s="372">
        <f>+AN151</f>
        <v>0</v>
      </c>
      <c r="Y170" s="371"/>
      <c r="Z170" s="366"/>
    </row>
    <row r="171" spans="18:26">
      <c r="V171" s="366"/>
      <c r="W171" s="369" t="s">
        <v>165</v>
      </c>
      <c r="X171" s="372">
        <f>+AO151</f>
        <v>0</v>
      </c>
      <c r="Y171" s="371"/>
      <c r="Z171" s="366"/>
    </row>
    <row r="172" spans="18:26">
      <c r="V172" s="366"/>
      <c r="W172" s="369" t="s">
        <v>156</v>
      </c>
      <c r="X172" s="372">
        <f>+AP151</f>
        <v>2.3136197161164026E-3</v>
      </c>
      <c r="Y172" s="371"/>
      <c r="Z172" s="366"/>
    </row>
    <row r="173" spans="18:26">
      <c r="V173" s="366"/>
      <c r="W173" s="369" t="s">
        <v>164</v>
      </c>
      <c r="X173" s="372">
        <f>+AQ151</f>
        <v>0</v>
      </c>
      <c r="Y173" s="371"/>
      <c r="Z173" s="366"/>
    </row>
    <row r="174" spans="18:26">
      <c r="V174" s="366"/>
      <c r="W174" s="369" t="s">
        <v>167</v>
      </c>
      <c r="X174" s="372">
        <f>+AS151</f>
        <v>2.4017576100636939E-2</v>
      </c>
      <c r="Y174" s="371"/>
      <c r="Z174" s="366"/>
    </row>
    <row r="175" spans="18:26">
      <c r="V175" s="366"/>
      <c r="W175" s="369" t="s">
        <v>330</v>
      </c>
      <c r="X175" s="372">
        <f>+AT151</f>
        <v>0</v>
      </c>
      <c r="Y175" s="371"/>
      <c r="Z175" s="366"/>
    </row>
    <row r="176" spans="18:26">
      <c r="V176" s="366"/>
      <c r="W176" s="369" t="s">
        <v>247</v>
      </c>
      <c r="X176" s="372">
        <f>+AU151</f>
        <v>0</v>
      </c>
      <c r="Y176" s="371"/>
      <c r="Z176" s="366"/>
    </row>
    <row r="177" spans="22:26">
      <c r="V177" s="366"/>
      <c r="W177" s="369" t="s">
        <v>335</v>
      </c>
      <c r="X177" s="372">
        <f>AV151</f>
        <v>0</v>
      </c>
      <c r="Y177" s="371"/>
      <c r="Z177" s="366"/>
    </row>
    <row r="178" spans="22:26">
      <c r="V178" s="366"/>
      <c r="W178" s="369" t="s">
        <v>336</v>
      </c>
      <c r="X178" s="372">
        <f>AW151</f>
        <v>0</v>
      </c>
      <c r="Y178" s="371"/>
      <c r="Z178" s="366"/>
    </row>
    <row r="179" spans="22:26">
      <c r="V179" s="366"/>
      <c r="W179" s="366" t="s">
        <v>166</v>
      </c>
      <c r="X179" s="372">
        <f>AX151+AY151</f>
        <v>0</v>
      </c>
      <c r="Y179" s="372"/>
      <c r="Z179" s="366"/>
    </row>
    <row r="180" spans="22:26">
      <c r="V180" s="366"/>
      <c r="W180" s="366" t="s">
        <v>334</v>
      </c>
      <c r="X180" s="372">
        <f>AZ151</f>
        <v>0</v>
      </c>
      <c r="Y180" s="366"/>
      <c r="Z180" s="366"/>
    </row>
    <row r="181" spans="22:26">
      <c r="V181" s="366"/>
      <c r="W181" s="366"/>
      <c r="X181" s="530">
        <f>SUM(X158:X180)</f>
        <v>9.9922295442994635E-2</v>
      </c>
      <c r="Y181" s="366"/>
      <c r="Z181" s="366"/>
    </row>
    <row r="183" spans="22:26">
      <c r="X183" s="99">
        <f>+X181+X150</f>
        <v>1.0000000000000002</v>
      </c>
    </row>
  </sheetData>
  <mergeCells count="50">
    <mergeCell ref="X3:X5"/>
    <mergeCell ref="G3:K4"/>
    <mergeCell ref="L3:N4"/>
    <mergeCell ref="O3:O5"/>
    <mergeCell ref="P3:P5"/>
    <mergeCell ref="Q3:Q5"/>
    <mergeCell ref="R3:R5"/>
    <mergeCell ref="T3:T5"/>
    <mergeCell ref="U3:U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M3:AM5"/>
    <mergeCell ref="AN3:AR3"/>
    <mergeCell ref="AS3:AS5"/>
    <mergeCell ref="AF4:AH4"/>
    <mergeCell ref="AI4:AI5"/>
    <mergeCell ref="AJ4:AJ5"/>
    <mergeCell ref="AK4:AK5"/>
    <mergeCell ref="AQ4:AQ5"/>
    <mergeCell ref="O151:P151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</mergeCells>
  <conditionalFormatting sqref="C151 C149 B149:B151">
    <cfRule type="cellIs" dxfId="4791" priority="11350" stopIfTrue="1" operator="equal">
      <formula>"Napkin Hs"</formula>
    </cfRule>
  </conditionalFormatting>
  <conditionalFormatting sqref="C151 C149 B149:B151">
    <cfRule type="cellIs" dxfId="4790" priority="11349" stopIfTrue="1" operator="equal">
      <formula>"Towel"</formula>
    </cfRule>
  </conditionalFormatting>
  <conditionalFormatting sqref="C53">
    <cfRule type="cellIs" dxfId="4789" priority="9973" stopIfTrue="1" operator="equal">
      <formula>"Towel"</formula>
    </cfRule>
    <cfRule type="cellIs" dxfId="4788" priority="9974" stopIfTrue="1" operator="equal">
      <formula>"Napkin Hs"</formula>
    </cfRule>
  </conditionalFormatting>
  <conditionalFormatting sqref="B53:C53">
    <cfRule type="cellIs" dxfId="4787" priority="9971" stopIfTrue="1" operator="equal">
      <formula>"Towel"</formula>
    </cfRule>
    <cfRule type="cellIs" dxfId="4786" priority="9972" stopIfTrue="1" operator="equal">
      <formula>"Napkin Hs"</formula>
    </cfRule>
  </conditionalFormatting>
  <conditionalFormatting sqref="C53">
    <cfRule type="cellIs" dxfId="4785" priority="9969" stopIfTrue="1" operator="equal">
      <formula>"Towel"</formula>
    </cfRule>
    <cfRule type="cellIs" dxfId="4784" priority="9970" stopIfTrue="1" operator="equal">
      <formula>"Napkin Hs"</formula>
    </cfRule>
  </conditionalFormatting>
  <conditionalFormatting sqref="C53">
    <cfRule type="cellIs" dxfId="4783" priority="9961" stopIfTrue="1" operator="equal">
      <formula>"Towel"</formula>
    </cfRule>
    <cfRule type="cellIs" dxfId="4782" priority="9962" stopIfTrue="1" operator="equal">
      <formula>"Napkin Hs"</formula>
    </cfRule>
  </conditionalFormatting>
  <conditionalFormatting sqref="B53:C53">
    <cfRule type="cellIs" dxfId="4781" priority="10055" stopIfTrue="1" operator="equal">
      <formula>"Towel"</formula>
    </cfRule>
    <cfRule type="cellIs" dxfId="4780" priority="10056" stopIfTrue="1" operator="equal">
      <formula>"Napkin Hs"</formula>
    </cfRule>
  </conditionalFormatting>
  <conditionalFormatting sqref="C53">
    <cfRule type="cellIs" dxfId="4779" priority="10051" stopIfTrue="1" operator="equal">
      <formula>"Towel"</formula>
    </cfRule>
    <cfRule type="cellIs" dxfId="4778" priority="10052" stopIfTrue="1" operator="equal">
      <formula>"Napkin Hs"</formula>
    </cfRule>
  </conditionalFormatting>
  <conditionalFormatting sqref="C53">
    <cfRule type="cellIs" dxfId="4777" priority="10053" stopIfTrue="1" operator="equal">
      <formula>"Towel"</formula>
    </cfRule>
    <cfRule type="cellIs" dxfId="4776" priority="10054" stopIfTrue="1" operator="equal">
      <formula>"Napkin Hs"</formula>
    </cfRule>
  </conditionalFormatting>
  <conditionalFormatting sqref="B53:C53">
    <cfRule type="cellIs" dxfId="4775" priority="10002" stopIfTrue="1" operator="equal">
      <formula>"Napkin Hs"</formula>
    </cfRule>
  </conditionalFormatting>
  <conditionalFormatting sqref="B53:C53">
    <cfRule type="cellIs" dxfId="4774" priority="10001" stopIfTrue="1" operator="equal">
      <formula>"Towel"</formula>
    </cfRule>
  </conditionalFormatting>
  <conditionalFormatting sqref="C53">
    <cfRule type="cellIs" dxfId="4773" priority="10000" stopIfTrue="1" operator="equal">
      <formula>"Napkin Hs"</formula>
    </cfRule>
  </conditionalFormatting>
  <conditionalFormatting sqref="C53">
    <cfRule type="cellIs" dxfId="4772" priority="9999" stopIfTrue="1" operator="equal">
      <formula>"Towel"</formula>
    </cfRule>
  </conditionalFormatting>
  <conditionalFormatting sqref="C53">
    <cfRule type="cellIs" dxfId="4771" priority="9997" stopIfTrue="1" operator="equal">
      <formula>"Towel"</formula>
    </cfRule>
    <cfRule type="cellIs" dxfId="4770" priority="9998" stopIfTrue="1" operator="equal">
      <formula>"Napkin Hs"</formula>
    </cfRule>
  </conditionalFormatting>
  <conditionalFormatting sqref="B53:C53">
    <cfRule type="cellIs" dxfId="4769" priority="9995" stopIfTrue="1" operator="equal">
      <formula>"Towel"</formula>
    </cfRule>
    <cfRule type="cellIs" dxfId="4768" priority="9996" stopIfTrue="1" operator="equal">
      <formula>"Napkin Hs"</formula>
    </cfRule>
  </conditionalFormatting>
  <conditionalFormatting sqref="C53">
    <cfRule type="cellIs" dxfId="4767" priority="9993" stopIfTrue="1" operator="equal">
      <formula>"Towel"</formula>
    </cfRule>
    <cfRule type="cellIs" dxfId="4766" priority="9994" stopIfTrue="1" operator="equal">
      <formula>"Napkin Hs"</formula>
    </cfRule>
  </conditionalFormatting>
  <conditionalFormatting sqref="C53">
    <cfRule type="cellIs" dxfId="4765" priority="9991" stopIfTrue="1" operator="equal">
      <formula>"Towel"</formula>
    </cfRule>
    <cfRule type="cellIs" dxfId="4764" priority="9992" stopIfTrue="1" operator="equal">
      <formula>"Napkin Hs"</formula>
    </cfRule>
  </conditionalFormatting>
  <conditionalFormatting sqref="B53:C53">
    <cfRule type="cellIs" dxfId="4763" priority="9989" stopIfTrue="1" operator="equal">
      <formula>"Towel"</formula>
    </cfRule>
    <cfRule type="cellIs" dxfId="4762" priority="9990" stopIfTrue="1" operator="equal">
      <formula>"Napkin Hs"</formula>
    </cfRule>
  </conditionalFormatting>
  <conditionalFormatting sqref="C53">
    <cfRule type="cellIs" dxfId="4761" priority="9987" stopIfTrue="1" operator="equal">
      <formula>"Towel"</formula>
    </cfRule>
    <cfRule type="cellIs" dxfId="4760" priority="9988" stopIfTrue="1" operator="equal">
      <formula>"Napkin Hs"</formula>
    </cfRule>
  </conditionalFormatting>
  <conditionalFormatting sqref="C53">
    <cfRule type="cellIs" dxfId="4759" priority="9985" stopIfTrue="1" operator="equal">
      <formula>"Towel"</formula>
    </cfRule>
    <cfRule type="cellIs" dxfId="4758" priority="9986" stopIfTrue="1" operator="equal">
      <formula>"Napkin Hs"</formula>
    </cfRule>
  </conditionalFormatting>
  <conditionalFormatting sqref="B53:C53">
    <cfRule type="cellIs" dxfId="4757" priority="9983" stopIfTrue="1" operator="equal">
      <formula>"Towel"</formula>
    </cfRule>
    <cfRule type="cellIs" dxfId="4756" priority="9984" stopIfTrue="1" operator="equal">
      <formula>"Napkin Hs"</formula>
    </cfRule>
  </conditionalFormatting>
  <conditionalFormatting sqref="C53">
    <cfRule type="cellIs" dxfId="4755" priority="9981" stopIfTrue="1" operator="equal">
      <formula>"Towel"</formula>
    </cfRule>
    <cfRule type="cellIs" dxfId="4754" priority="9982" stopIfTrue="1" operator="equal">
      <formula>"Napkin Hs"</formula>
    </cfRule>
  </conditionalFormatting>
  <conditionalFormatting sqref="C53">
    <cfRule type="cellIs" dxfId="4753" priority="9979" stopIfTrue="1" operator="equal">
      <formula>"Towel"</formula>
    </cfRule>
    <cfRule type="cellIs" dxfId="4752" priority="9980" stopIfTrue="1" operator="equal">
      <formula>"Napkin Hs"</formula>
    </cfRule>
  </conditionalFormatting>
  <conditionalFormatting sqref="B53:C53">
    <cfRule type="cellIs" dxfId="4751" priority="9977" stopIfTrue="1" operator="equal">
      <formula>"Towel"</formula>
    </cfRule>
    <cfRule type="cellIs" dxfId="4750" priority="9978" stopIfTrue="1" operator="equal">
      <formula>"Napkin Hs"</formula>
    </cfRule>
  </conditionalFormatting>
  <conditionalFormatting sqref="C53">
    <cfRule type="cellIs" dxfId="4749" priority="9975" stopIfTrue="1" operator="equal">
      <formula>"Towel"</formula>
    </cfRule>
    <cfRule type="cellIs" dxfId="4748" priority="9976" stopIfTrue="1" operator="equal">
      <formula>"Napkin Hs"</formula>
    </cfRule>
  </conditionalFormatting>
  <conditionalFormatting sqref="C53">
    <cfRule type="cellIs" dxfId="4747" priority="9967" stopIfTrue="1" operator="equal">
      <formula>"Towel"</formula>
    </cfRule>
    <cfRule type="cellIs" dxfId="4746" priority="9968" stopIfTrue="1" operator="equal">
      <formula>"Napkin Hs"</formula>
    </cfRule>
  </conditionalFormatting>
  <conditionalFormatting sqref="B53:C53">
    <cfRule type="cellIs" dxfId="4745" priority="9966" stopIfTrue="1" operator="equal">
      <formula>"Napkin Hs"</formula>
    </cfRule>
  </conditionalFormatting>
  <conditionalFormatting sqref="B53:C53">
    <cfRule type="cellIs" dxfId="4744" priority="9965" stopIfTrue="1" operator="equal">
      <formula>"Towel"</formula>
    </cfRule>
  </conditionalFormatting>
  <conditionalFormatting sqref="C53">
    <cfRule type="cellIs" dxfId="4743" priority="9964" stopIfTrue="1" operator="equal">
      <formula>"Napkin Hs"</formula>
    </cfRule>
  </conditionalFormatting>
  <conditionalFormatting sqref="C53">
    <cfRule type="cellIs" dxfId="4742" priority="9963" stopIfTrue="1" operator="equal">
      <formula>"Towel"</formula>
    </cfRule>
  </conditionalFormatting>
  <conditionalFormatting sqref="B59:C59">
    <cfRule type="cellIs" dxfId="4741" priority="9911" stopIfTrue="1" operator="equal">
      <formula>"Towel"</formula>
    </cfRule>
    <cfRule type="cellIs" dxfId="4740" priority="9912" stopIfTrue="1" operator="equal">
      <formula>"Napkin Hs"</formula>
    </cfRule>
  </conditionalFormatting>
  <conditionalFormatting sqref="C59">
    <cfRule type="cellIs" dxfId="4739" priority="9905" stopIfTrue="1" operator="equal">
      <formula>"Towel"</formula>
    </cfRule>
    <cfRule type="cellIs" dxfId="4738" priority="9906" stopIfTrue="1" operator="equal">
      <formula>"Napkin Hs"</formula>
    </cfRule>
  </conditionalFormatting>
  <conditionalFormatting sqref="C59">
    <cfRule type="cellIs" dxfId="4737" priority="9909" stopIfTrue="1" operator="equal">
      <formula>"Towel"</formula>
    </cfRule>
    <cfRule type="cellIs" dxfId="4736" priority="9910" stopIfTrue="1" operator="equal">
      <formula>"Napkin Hs"</formula>
    </cfRule>
  </conditionalFormatting>
  <conditionalFormatting sqref="B59:C59">
    <cfRule type="cellIs" dxfId="4735" priority="9901" stopIfTrue="1" operator="equal">
      <formula>"Towel"</formula>
    </cfRule>
    <cfRule type="cellIs" dxfId="4734" priority="9902" stopIfTrue="1" operator="equal">
      <formula>"Napkin Hs"</formula>
    </cfRule>
  </conditionalFormatting>
  <conditionalFormatting sqref="C59">
    <cfRule type="cellIs" dxfId="4733" priority="9895" stopIfTrue="1" operator="equal">
      <formula>"Towel"</formula>
    </cfRule>
    <cfRule type="cellIs" dxfId="4732" priority="9896" stopIfTrue="1" operator="equal">
      <formula>"Napkin Hs"</formula>
    </cfRule>
  </conditionalFormatting>
  <conditionalFormatting sqref="C59">
    <cfRule type="cellIs" dxfId="4731" priority="9899" stopIfTrue="1" operator="equal">
      <formula>"Towel"</formula>
    </cfRule>
    <cfRule type="cellIs" dxfId="4730" priority="9900" stopIfTrue="1" operator="equal">
      <formula>"Napkin Hs"</formula>
    </cfRule>
  </conditionalFormatting>
  <conditionalFormatting sqref="B59:C59">
    <cfRule type="cellIs" dxfId="4729" priority="9891" stopIfTrue="1" operator="equal">
      <formula>"Towel"</formula>
    </cfRule>
    <cfRule type="cellIs" dxfId="4728" priority="9892" stopIfTrue="1" operator="equal">
      <formula>"Napkin Hs"</formula>
    </cfRule>
  </conditionalFormatting>
  <conditionalFormatting sqref="C59">
    <cfRule type="cellIs" dxfId="4727" priority="9885" stopIfTrue="1" operator="equal">
      <formula>"Towel"</formula>
    </cfRule>
    <cfRule type="cellIs" dxfId="4726" priority="9886" stopIfTrue="1" operator="equal">
      <formula>"Napkin Hs"</formula>
    </cfRule>
  </conditionalFormatting>
  <conditionalFormatting sqref="C59">
    <cfRule type="cellIs" dxfId="4725" priority="9889" stopIfTrue="1" operator="equal">
      <formula>"Towel"</formula>
    </cfRule>
    <cfRule type="cellIs" dxfId="4724" priority="9890" stopIfTrue="1" operator="equal">
      <formula>"Napkin Hs"</formula>
    </cfRule>
  </conditionalFormatting>
  <conditionalFormatting sqref="B59:C59">
    <cfRule type="cellIs" dxfId="4723" priority="9877" stopIfTrue="1" operator="equal">
      <formula>"Towel"</formula>
    </cfRule>
    <cfRule type="cellIs" dxfId="4722" priority="9878" stopIfTrue="1" operator="equal">
      <formula>"Napkin Hs"</formula>
    </cfRule>
  </conditionalFormatting>
  <conditionalFormatting sqref="C59">
    <cfRule type="cellIs" dxfId="4721" priority="9875" stopIfTrue="1" operator="equal">
      <formula>"Towel"</formula>
    </cfRule>
    <cfRule type="cellIs" dxfId="4720" priority="9876" stopIfTrue="1" operator="equal">
      <formula>"Napkin Hs"</formula>
    </cfRule>
  </conditionalFormatting>
  <conditionalFormatting sqref="C59">
    <cfRule type="cellIs" dxfId="4719" priority="9873" stopIfTrue="1" operator="equal">
      <formula>"Towel"</formula>
    </cfRule>
    <cfRule type="cellIs" dxfId="4718" priority="9874" stopIfTrue="1" operator="equal">
      <formula>"Napkin Hs"</formula>
    </cfRule>
  </conditionalFormatting>
  <conditionalFormatting sqref="B59:C59">
    <cfRule type="cellIs" dxfId="4717" priority="9872" stopIfTrue="1" operator="equal">
      <formula>"Napkin Hs"</formula>
    </cfRule>
  </conditionalFormatting>
  <conditionalFormatting sqref="B59:C59">
    <cfRule type="cellIs" dxfId="4716" priority="9871" stopIfTrue="1" operator="equal">
      <formula>"Towel"</formula>
    </cfRule>
  </conditionalFormatting>
  <conditionalFormatting sqref="C59">
    <cfRule type="cellIs" dxfId="4715" priority="9870" stopIfTrue="1" operator="equal">
      <formula>"Napkin Hs"</formula>
    </cfRule>
  </conditionalFormatting>
  <conditionalFormatting sqref="C59">
    <cfRule type="cellIs" dxfId="4714" priority="9869" stopIfTrue="1" operator="equal">
      <formula>"Towel"</formula>
    </cfRule>
  </conditionalFormatting>
  <conditionalFormatting sqref="C59">
    <cfRule type="cellIs" dxfId="4713" priority="9865" stopIfTrue="1" operator="equal">
      <formula>"Towel"</formula>
    </cfRule>
    <cfRule type="cellIs" dxfId="4712" priority="9866" stopIfTrue="1" operator="equal">
      <formula>"Napkin Hs"</formula>
    </cfRule>
  </conditionalFormatting>
  <conditionalFormatting sqref="C59">
    <cfRule type="cellIs" dxfId="4711" priority="9861" stopIfTrue="1" operator="equal">
      <formula>"Towel"</formula>
    </cfRule>
    <cfRule type="cellIs" dxfId="4710" priority="9862" stopIfTrue="1" operator="equal">
      <formula>"Napkin Hs"</formula>
    </cfRule>
  </conditionalFormatting>
  <conditionalFormatting sqref="B65:C65">
    <cfRule type="cellIs" dxfId="4709" priority="9749" stopIfTrue="1" operator="equal">
      <formula>"Towel"</formula>
    </cfRule>
    <cfRule type="cellIs" dxfId="4708" priority="9750" stopIfTrue="1" operator="equal">
      <formula>"Napkin Hs"</formula>
    </cfRule>
  </conditionalFormatting>
  <conditionalFormatting sqref="C65">
    <cfRule type="cellIs" dxfId="4707" priority="9743" stopIfTrue="1" operator="equal">
      <formula>"Towel"</formula>
    </cfRule>
    <cfRule type="cellIs" dxfId="4706" priority="9744" stopIfTrue="1" operator="equal">
      <formula>"Napkin Hs"</formula>
    </cfRule>
  </conditionalFormatting>
  <conditionalFormatting sqref="C65">
    <cfRule type="cellIs" dxfId="4705" priority="9747" stopIfTrue="1" operator="equal">
      <formula>"Towel"</formula>
    </cfRule>
    <cfRule type="cellIs" dxfId="4704" priority="9748" stopIfTrue="1" operator="equal">
      <formula>"Napkin Hs"</formula>
    </cfRule>
  </conditionalFormatting>
  <conditionalFormatting sqref="B65:C65">
    <cfRule type="cellIs" dxfId="4703" priority="9739" stopIfTrue="1" operator="equal">
      <formula>"Towel"</formula>
    </cfRule>
    <cfRule type="cellIs" dxfId="4702" priority="9740" stopIfTrue="1" operator="equal">
      <formula>"Napkin Hs"</formula>
    </cfRule>
  </conditionalFormatting>
  <conditionalFormatting sqref="C65">
    <cfRule type="cellIs" dxfId="4701" priority="9735" stopIfTrue="1" operator="equal">
      <formula>"Towel"</formula>
    </cfRule>
    <cfRule type="cellIs" dxfId="4700" priority="9736" stopIfTrue="1" operator="equal">
      <formula>"Napkin Hs"</formula>
    </cfRule>
  </conditionalFormatting>
  <conditionalFormatting sqref="C65">
    <cfRule type="cellIs" dxfId="4699" priority="9737" stopIfTrue="1" operator="equal">
      <formula>"Towel"</formula>
    </cfRule>
    <cfRule type="cellIs" dxfId="4698" priority="9738" stopIfTrue="1" operator="equal">
      <formula>"Napkin Hs"</formula>
    </cfRule>
  </conditionalFormatting>
  <conditionalFormatting sqref="B65:C65">
    <cfRule type="cellIs" dxfId="4697" priority="9733" stopIfTrue="1" operator="equal">
      <formula>"Towel"</formula>
    </cfRule>
    <cfRule type="cellIs" dxfId="4696" priority="9734" stopIfTrue="1" operator="equal">
      <formula>"Napkin Hs"</formula>
    </cfRule>
  </conditionalFormatting>
  <conditionalFormatting sqref="C65">
    <cfRule type="cellIs" dxfId="4695" priority="9731" stopIfTrue="1" operator="equal">
      <formula>"Towel"</formula>
    </cfRule>
    <cfRule type="cellIs" dxfId="4694" priority="9732" stopIfTrue="1" operator="equal">
      <formula>"Napkin Hs"</formula>
    </cfRule>
  </conditionalFormatting>
  <conditionalFormatting sqref="C65">
    <cfRule type="cellIs" dxfId="4693" priority="9729" stopIfTrue="1" operator="equal">
      <formula>"Towel"</formula>
    </cfRule>
    <cfRule type="cellIs" dxfId="4692" priority="9730" stopIfTrue="1" operator="equal">
      <formula>"Napkin Hs"</formula>
    </cfRule>
  </conditionalFormatting>
  <conditionalFormatting sqref="B65:C65">
    <cfRule type="cellIs" dxfId="4691" priority="9727" stopIfTrue="1" operator="equal">
      <formula>"Towel"</formula>
    </cfRule>
    <cfRule type="cellIs" dxfId="4690" priority="9728" stopIfTrue="1" operator="equal">
      <formula>"Napkin Hs"</formula>
    </cfRule>
  </conditionalFormatting>
  <conditionalFormatting sqref="C65">
    <cfRule type="cellIs" dxfId="4689" priority="9725" stopIfTrue="1" operator="equal">
      <formula>"Towel"</formula>
    </cfRule>
    <cfRule type="cellIs" dxfId="4688" priority="9726" stopIfTrue="1" operator="equal">
      <formula>"Napkin Hs"</formula>
    </cfRule>
  </conditionalFormatting>
  <conditionalFormatting sqref="C65">
    <cfRule type="cellIs" dxfId="4687" priority="9723" stopIfTrue="1" operator="equal">
      <formula>"Towel"</formula>
    </cfRule>
    <cfRule type="cellIs" dxfId="4686" priority="9724" stopIfTrue="1" operator="equal">
      <formula>"Napkin Hs"</formula>
    </cfRule>
  </conditionalFormatting>
  <conditionalFormatting sqref="B65:C65">
    <cfRule type="cellIs" dxfId="4685" priority="9721" stopIfTrue="1" operator="equal">
      <formula>"Towel"</formula>
    </cfRule>
    <cfRule type="cellIs" dxfId="4684" priority="9722" stopIfTrue="1" operator="equal">
      <formula>"Napkin Hs"</formula>
    </cfRule>
  </conditionalFormatting>
  <conditionalFormatting sqref="C65">
    <cfRule type="cellIs" dxfId="4683" priority="9719" stopIfTrue="1" operator="equal">
      <formula>"Towel"</formula>
    </cfRule>
    <cfRule type="cellIs" dxfId="4682" priority="9720" stopIfTrue="1" operator="equal">
      <formula>"Napkin Hs"</formula>
    </cfRule>
  </conditionalFormatting>
  <conditionalFormatting sqref="C65">
    <cfRule type="cellIs" dxfId="4681" priority="9717" stopIfTrue="1" operator="equal">
      <formula>"Towel"</formula>
    </cfRule>
    <cfRule type="cellIs" dxfId="4680" priority="9718" stopIfTrue="1" operator="equal">
      <formula>"Napkin Hs"</formula>
    </cfRule>
  </conditionalFormatting>
  <conditionalFormatting sqref="B65:C65">
    <cfRule type="cellIs" dxfId="4679" priority="9716" stopIfTrue="1" operator="equal">
      <formula>"Napkin Hs"</formula>
    </cfRule>
  </conditionalFormatting>
  <conditionalFormatting sqref="B65:C65">
    <cfRule type="cellIs" dxfId="4678" priority="9715" stopIfTrue="1" operator="equal">
      <formula>"Towel"</formula>
    </cfRule>
  </conditionalFormatting>
  <conditionalFormatting sqref="C65">
    <cfRule type="cellIs" dxfId="4677" priority="9714" stopIfTrue="1" operator="equal">
      <formula>"Napkin Hs"</formula>
    </cfRule>
  </conditionalFormatting>
  <conditionalFormatting sqref="C65">
    <cfRule type="cellIs" dxfId="4676" priority="9711" stopIfTrue="1" operator="equal">
      <formula>"Towel"</formula>
    </cfRule>
    <cfRule type="cellIs" dxfId="4675" priority="9712" stopIfTrue="1" operator="equal">
      <formula>"Napkin Hs"</formula>
    </cfRule>
  </conditionalFormatting>
  <conditionalFormatting sqref="C65">
    <cfRule type="cellIs" dxfId="4674" priority="9713" stopIfTrue="1" operator="equal">
      <formula>"Towel"</formula>
    </cfRule>
  </conditionalFormatting>
  <conditionalFormatting sqref="B6:C6 B8:C9">
    <cfRule type="cellIs" dxfId="4673" priority="6638" stopIfTrue="1" operator="equal">
      <formula>"Napkin Hs"</formula>
    </cfRule>
  </conditionalFormatting>
  <conditionalFormatting sqref="B6:C6 B8:C9">
    <cfRule type="cellIs" dxfId="4672" priority="6637" stopIfTrue="1" operator="equal">
      <formula>"Towel"</formula>
    </cfRule>
  </conditionalFormatting>
  <conditionalFormatting sqref="C6 C8:C9">
    <cfRule type="cellIs" dxfId="4671" priority="6636" stopIfTrue="1" operator="equal">
      <formula>"Napkin Hs"</formula>
    </cfRule>
  </conditionalFormatting>
  <conditionalFormatting sqref="C6 C8:C9">
    <cfRule type="cellIs" dxfId="4670" priority="6627" stopIfTrue="1" operator="equal">
      <formula>"Towel"</formula>
    </cfRule>
    <cfRule type="cellIs" dxfId="4669" priority="6628" stopIfTrue="1" operator="equal">
      <formula>"Napkin Hs"</formula>
    </cfRule>
  </conditionalFormatting>
  <conditionalFormatting sqref="C6 C8:C9">
    <cfRule type="cellIs" dxfId="4668" priority="6635" stopIfTrue="1" operator="equal">
      <formula>"Towel"</formula>
    </cfRule>
  </conditionalFormatting>
  <conditionalFormatting sqref="B10:C10">
    <cfRule type="cellIs" dxfId="4667" priority="6626" stopIfTrue="1" operator="equal">
      <formula>"Napkin Hs"</formula>
    </cfRule>
  </conditionalFormatting>
  <conditionalFormatting sqref="B10:C10">
    <cfRule type="cellIs" dxfId="4666" priority="6625" stopIfTrue="1" operator="equal">
      <formula>"Towel"</formula>
    </cfRule>
  </conditionalFormatting>
  <conditionalFormatting sqref="C10">
    <cfRule type="cellIs" dxfId="4665" priority="6624" stopIfTrue="1" operator="equal">
      <formula>"Napkin Hs"</formula>
    </cfRule>
  </conditionalFormatting>
  <conditionalFormatting sqref="C10">
    <cfRule type="cellIs" dxfId="4664" priority="6621" stopIfTrue="1" operator="equal">
      <formula>"Towel"</formula>
    </cfRule>
    <cfRule type="cellIs" dxfId="4663" priority="6622" stopIfTrue="1" operator="equal">
      <formula>"Napkin Hs"</formula>
    </cfRule>
  </conditionalFormatting>
  <conditionalFormatting sqref="C10">
    <cfRule type="cellIs" dxfId="4662" priority="6623" stopIfTrue="1" operator="equal">
      <formula>"Towel"</formula>
    </cfRule>
  </conditionalFormatting>
  <conditionalFormatting sqref="B7:C7">
    <cfRule type="cellIs" dxfId="4661" priority="6620" stopIfTrue="1" operator="equal">
      <formula>"Napkin Hs"</formula>
    </cfRule>
  </conditionalFormatting>
  <conditionalFormatting sqref="B7:C7">
    <cfRule type="cellIs" dxfId="4660" priority="6619" stopIfTrue="1" operator="equal">
      <formula>"Towel"</formula>
    </cfRule>
  </conditionalFormatting>
  <conditionalFormatting sqref="C7">
    <cfRule type="cellIs" dxfId="4659" priority="6618" stopIfTrue="1" operator="equal">
      <formula>"Napkin Hs"</formula>
    </cfRule>
  </conditionalFormatting>
  <conditionalFormatting sqref="C7">
    <cfRule type="cellIs" dxfId="4658" priority="6615" stopIfTrue="1" operator="equal">
      <formula>"Towel"</formula>
    </cfRule>
    <cfRule type="cellIs" dxfId="4657" priority="6616" stopIfTrue="1" operator="equal">
      <formula>"Napkin Hs"</formula>
    </cfRule>
  </conditionalFormatting>
  <conditionalFormatting sqref="C7">
    <cfRule type="cellIs" dxfId="4656" priority="6617" stopIfTrue="1" operator="equal">
      <formula>"Towel"</formula>
    </cfRule>
  </conditionalFormatting>
  <conditionalFormatting sqref="B15:C15">
    <cfRule type="cellIs" dxfId="4655" priority="6595" stopIfTrue="1" operator="equal">
      <formula>"Towel"</formula>
    </cfRule>
    <cfRule type="cellIs" dxfId="4654" priority="6596" stopIfTrue="1" operator="equal">
      <formula>"Napkin Hs"</formula>
    </cfRule>
  </conditionalFormatting>
  <conditionalFormatting sqref="C15">
    <cfRule type="cellIs" dxfId="4653" priority="6593" stopIfTrue="1" operator="equal">
      <formula>"Towel"</formula>
    </cfRule>
    <cfRule type="cellIs" dxfId="4652" priority="6594" stopIfTrue="1" operator="equal">
      <formula>"Napkin Hs"</formula>
    </cfRule>
  </conditionalFormatting>
  <conditionalFormatting sqref="C15">
    <cfRule type="cellIs" dxfId="4651" priority="6591" stopIfTrue="1" operator="equal">
      <formula>"Towel"</formula>
    </cfRule>
    <cfRule type="cellIs" dxfId="4650" priority="6592" stopIfTrue="1" operator="equal">
      <formula>"Napkin Hs"</formula>
    </cfRule>
  </conditionalFormatting>
  <conditionalFormatting sqref="B16:C16">
    <cfRule type="cellIs" dxfId="4649" priority="6590" stopIfTrue="1" operator="equal">
      <formula>"Napkin Hs"</formula>
    </cfRule>
  </conditionalFormatting>
  <conditionalFormatting sqref="B16:C16">
    <cfRule type="cellIs" dxfId="4648" priority="6589" stopIfTrue="1" operator="equal">
      <formula>"Towel"</formula>
    </cfRule>
  </conditionalFormatting>
  <conditionalFormatting sqref="C16">
    <cfRule type="cellIs" dxfId="4647" priority="6588" stopIfTrue="1" operator="equal">
      <formula>"Napkin Hs"</formula>
    </cfRule>
  </conditionalFormatting>
  <conditionalFormatting sqref="C16">
    <cfRule type="cellIs" dxfId="4646" priority="6585" stopIfTrue="1" operator="equal">
      <formula>"Towel"</formula>
    </cfRule>
    <cfRule type="cellIs" dxfId="4645" priority="6586" stopIfTrue="1" operator="equal">
      <formula>"Napkin Hs"</formula>
    </cfRule>
  </conditionalFormatting>
  <conditionalFormatting sqref="C16">
    <cfRule type="cellIs" dxfId="4644" priority="6587" stopIfTrue="1" operator="equal">
      <formula>"Towel"</formula>
    </cfRule>
  </conditionalFormatting>
  <conditionalFormatting sqref="B20:C20">
    <cfRule type="cellIs" dxfId="4643" priority="6584" stopIfTrue="1" operator="equal">
      <formula>"Napkin Hs"</formula>
    </cfRule>
  </conditionalFormatting>
  <conditionalFormatting sqref="B20:C20">
    <cfRule type="cellIs" dxfId="4642" priority="6583" stopIfTrue="1" operator="equal">
      <formula>"Towel"</formula>
    </cfRule>
  </conditionalFormatting>
  <conditionalFormatting sqref="C20">
    <cfRule type="cellIs" dxfId="4641" priority="6582" stopIfTrue="1" operator="equal">
      <formula>"Napkin Hs"</formula>
    </cfRule>
  </conditionalFormatting>
  <conditionalFormatting sqref="C20">
    <cfRule type="cellIs" dxfId="4640" priority="6579" stopIfTrue="1" operator="equal">
      <formula>"Towel"</formula>
    </cfRule>
    <cfRule type="cellIs" dxfId="4639" priority="6580" stopIfTrue="1" operator="equal">
      <formula>"Napkin Hs"</formula>
    </cfRule>
  </conditionalFormatting>
  <conditionalFormatting sqref="C20">
    <cfRule type="cellIs" dxfId="4638" priority="6581" stopIfTrue="1" operator="equal">
      <formula>"Towel"</formula>
    </cfRule>
  </conditionalFormatting>
  <conditionalFormatting sqref="B11:C11 B13:C14">
    <cfRule type="cellIs" dxfId="4637" priority="6578" stopIfTrue="1" operator="equal">
      <formula>"Napkin Hs"</formula>
    </cfRule>
  </conditionalFormatting>
  <conditionalFormatting sqref="B11:C11 B13:C14">
    <cfRule type="cellIs" dxfId="4636" priority="6577" stopIfTrue="1" operator="equal">
      <formula>"Towel"</formula>
    </cfRule>
  </conditionalFormatting>
  <conditionalFormatting sqref="C11 C13:C14">
    <cfRule type="cellIs" dxfId="4635" priority="6576" stopIfTrue="1" operator="equal">
      <formula>"Napkin Hs"</formula>
    </cfRule>
  </conditionalFormatting>
  <conditionalFormatting sqref="C11 C13:C14">
    <cfRule type="cellIs" dxfId="4634" priority="6573" stopIfTrue="1" operator="equal">
      <formula>"Towel"</formula>
    </cfRule>
    <cfRule type="cellIs" dxfId="4633" priority="6574" stopIfTrue="1" operator="equal">
      <formula>"Napkin Hs"</formula>
    </cfRule>
  </conditionalFormatting>
  <conditionalFormatting sqref="C11 C13:C14">
    <cfRule type="cellIs" dxfId="4632" priority="6575" stopIfTrue="1" operator="equal">
      <formula>"Towel"</formula>
    </cfRule>
  </conditionalFormatting>
  <conditionalFormatting sqref="B12:C12">
    <cfRule type="cellIs" dxfId="4631" priority="6572" stopIfTrue="1" operator="equal">
      <formula>"Napkin Hs"</formula>
    </cfRule>
  </conditionalFormatting>
  <conditionalFormatting sqref="B12:C12">
    <cfRule type="cellIs" dxfId="4630" priority="6571" stopIfTrue="1" operator="equal">
      <formula>"Towel"</formula>
    </cfRule>
  </conditionalFormatting>
  <conditionalFormatting sqref="C12">
    <cfRule type="cellIs" dxfId="4629" priority="6570" stopIfTrue="1" operator="equal">
      <formula>"Napkin Hs"</formula>
    </cfRule>
  </conditionalFormatting>
  <conditionalFormatting sqref="C12">
    <cfRule type="cellIs" dxfId="4628" priority="6567" stopIfTrue="1" operator="equal">
      <formula>"Towel"</formula>
    </cfRule>
    <cfRule type="cellIs" dxfId="4627" priority="6568" stopIfTrue="1" operator="equal">
      <formula>"Napkin Hs"</formula>
    </cfRule>
  </conditionalFormatting>
  <conditionalFormatting sqref="C12">
    <cfRule type="cellIs" dxfId="4626" priority="6569" stopIfTrue="1" operator="equal">
      <formula>"Towel"</formula>
    </cfRule>
  </conditionalFormatting>
  <conditionalFormatting sqref="B17:C17 B19:C19">
    <cfRule type="cellIs" dxfId="4625" priority="6566" stopIfTrue="1" operator="equal">
      <formula>"Napkin Hs"</formula>
    </cfRule>
  </conditionalFormatting>
  <conditionalFormatting sqref="B17:C17 B19:C19">
    <cfRule type="cellIs" dxfId="4624" priority="6565" stopIfTrue="1" operator="equal">
      <formula>"Towel"</formula>
    </cfRule>
  </conditionalFormatting>
  <conditionalFormatting sqref="C17 C19">
    <cfRule type="cellIs" dxfId="4623" priority="6564" stopIfTrue="1" operator="equal">
      <formula>"Napkin Hs"</formula>
    </cfRule>
  </conditionalFormatting>
  <conditionalFormatting sqref="C17 C19">
    <cfRule type="cellIs" dxfId="4622" priority="6561" stopIfTrue="1" operator="equal">
      <formula>"Towel"</formula>
    </cfRule>
    <cfRule type="cellIs" dxfId="4621" priority="6562" stopIfTrue="1" operator="equal">
      <formula>"Napkin Hs"</formula>
    </cfRule>
  </conditionalFormatting>
  <conditionalFormatting sqref="C17 C19">
    <cfRule type="cellIs" dxfId="4620" priority="6563" stopIfTrue="1" operator="equal">
      <formula>"Towel"</formula>
    </cfRule>
  </conditionalFormatting>
  <conditionalFormatting sqref="B18:C18">
    <cfRule type="cellIs" dxfId="4619" priority="6560" stopIfTrue="1" operator="equal">
      <formula>"Napkin Hs"</formula>
    </cfRule>
  </conditionalFormatting>
  <conditionalFormatting sqref="B18:C18">
    <cfRule type="cellIs" dxfId="4618" priority="6559" stopIfTrue="1" operator="equal">
      <formula>"Towel"</formula>
    </cfRule>
  </conditionalFormatting>
  <conditionalFormatting sqref="C18">
    <cfRule type="cellIs" dxfId="4617" priority="6558" stopIfTrue="1" operator="equal">
      <formula>"Napkin Hs"</formula>
    </cfRule>
  </conditionalFormatting>
  <conditionalFormatting sqref="C18">
    <cfRule type="cellIs" dxfId="4616" priority="6555" stopIfTrue="1" operator="equal">
      <formula>"Towel"</formula>
    </cfRule>
    <cfRule type="cellIs" dxfId="4615" priority="6556" stopIfTrue="1" operator="equal">
      <formula>"Napkin Hs"</formula>
    </cfRule>
  </conditionalFormatting>
  <conditionalFormatting sqref="C18">
    <cfRule type="cellIs" dxfId="4614" priority="6557" stopIfTrue="1" operator="equal">
      <formula>"Towel"</formula>
    </cfRule>
  </conditionalFormatting>
  <conditionalFormatting sqref="B24:C24">
    <cfRule type="cellIs" dxfId="4613" priority="6536" stopIfTrue="1" operator="equal">
      <formula>"Napkin Hs"</formula>
    </cfRule>
  </conditionalFormatting>
  <conditionalFormatting sqref="B24:C24">
    <cfRule type="cellIs" dxfId="4612" priority="6535" stopIfTrue="1" operator="equal">
      <formula>"Towel"</formula>
    </cfRule>
  </conditionalFormatting>
  <conditionalFormatting sqref="C24">
    <cfRule type="cellIs" dxfId="4611" priority="6534" stopIfTrue="1" operator="equal">
      <formula>"Napkin Hs"</formula>
    </cfRule>
  </conditionalFormatting>
  <conditionalFormatting sqref="C24">
    <cfRule type="cellIs" dxfId="4610" priority="6531" stopIfTrue="1" operator="equal">
      <formula>"Towel"</formula>
    </cfRule>
    <cfRule type="cellIs" dxfId="4609" priority="6532" stopIfTrue="1" operator="equal">
      <formula>"Napkin Hs"</formula>
    </cfRule>
  </conditionalFormatting>
  <conditionalFormatting sqref="C24">
    <cfRule type="cellIs" dxfId="4608" priority="6533" stopIfTrue="1" operator="equal">
      <formula>"Towel"</formula>
    </cfRule>
  </conditionalFormatting>
  <conditionalFormatting sqref="B23:C23">
    <cfRule type="cellIs" dxfId="4607" priority="6530" stopIfTrue="1" operator="equal">
      <formula>"Napkin Hs"</formula>
    </cfRule>
  </conditionalFormatting>
  <conditionalFormatting sqref="B23:C23">
    <cfRule type="cellIs" dxfId="4606" priority="6529" stopIfTrue="1" operator="equal">
      <formula>"Towel"</formula>
    </cfRule>
  </conditionalFormatting>
  <conditionalFormatting sqref="C23">
    <cfRule type="cellIs" dxfId="4605" priority="6528" stopIfTrue="1" operator="equal">
      <formula>"Napkin Hs"</formula>
    </cfRule>
  </conditionalFormatting>
  <conditionalFormatting sqref="C23">
    <cfRule type="cellIs" dxfId="4604" priority="6525" stopIfTrue="1" operator="equal">
      <formula>"Towel"</formula>
    </cfRule>
    <cfRule type="cellIs" dxfId="4603" priority="6526" stopIfTrue="1" operator="equal">
      <formula>"Napkin Hs"</formula>
    </cfRule>
  </conditionalFormatting>
  <conditionalFormatting sqref="C23">
    <cfRule type="cellIs" dxfId="4602" priority="6527" stopIfTrue="1" operator="equal">
      <formula>"Towel"</formula>
    </cfRule>
  </conditionalFormatting>
  <conditionalFormatting sqref="B22:C22">
    <cfRule type="cellIs" dxfId="4601" priority="6524" stopIfTrue="1" operator="equal">
      <formula>"Napkin Hs"</formula>
    </cfRule>
  </conditionalFormatting>
  <conditionalFormatting sqref="B22:C22">
    <cfRule type="cellIs" dxfId="4600" priority="6523" stopIfTrue="1" operator="equal">
      <formula>"Towel"</formula>
    </cfRule>
  </conditionalFormatting>
  <conditionalFormatting sqref="C22">
    <cfRule type="cellIs" dxfId="4599" priority="6522" stopIfTrue="1" operator="equal">
      <formula>"Napkin Hs"</formula>
    </cfRule>
  </conditionalFormatting>
  <conditionalFormatting sqref="C22">
    <cfRule type="cellIs" dxfId="4598" priority="6519" stopIfTrue="1" operator="equal">
      <formula>"Towel"</formula>
    </cfRule>
    <cfRule type="cellIs" dxfId="4597" priority="6520" stopIfTrue="1" operator="equal">
      <formula>"Napkin Hs"</formula>
    </cfRule>
  </conditionalFormatting>
  <conditionalFormatting sqref="C22">
    <cfRule type="cellIs" dxfId="4596" priority="6521" stopIfTrue="1" operator="equal">
      <formula>"Towel"</formula>
    </cfRule>
  </conditionalFormatting>
  <conditionalFormatting sqref="B21:C21">
    <cfRule type="cellIs" dxfId="4595" priority="6518" stopIfTrue="1" operator="equal">
      <formula>"Napkin Hs"</formula>
    </cfRule>
  </conditionalFormatting>
  <conditionalFormatting sqref="B21:C21">
    <cfRule type="cellIs" dxfId="4594" priority="6517" stopIfTrue="1" operator="equal">
      <formula>"Towel"</formula>
    </cfRule>
  </conditionalFormatting>
  <conditionalFormatting sqref="C21">
    <cfRule type="cellIs" dxfId="4593" priority="6516" stopIfTrue="1" operator="equal">
      <formula>"Napkin Hs"</formula>
    </cfRule>
  </conditionalFormatting>
  <conditionalFormatting sqref="C21">
    <cfRule type="cellIs" dxfId="4592" priority="6513" stopIfTrue="1" operator="equal">
      <formula>"Towel"</formula>
    </cfRule>
    <cfRule type="cellIs" dxfId="4591" priority="6514" stopIfTrue="1" operator="equal">
      <formula>"Napkin Hs"</formula>
    </cfRule>
  </conditionalFormatting>
  <conditionalFormatting sqref="C21">
    <cfRule type="cellIs" dxfId="4590" priority="6515" stopIfTrue="1" operator="equal">
      <formula>"Towel"</formula>
    </cfRule>
  </conditionalFormatting>
  <conditionalFormatting sqref="B29:C29">
    <cfRule type="cellIs" dxfId="4589" priority="6512" stopIfTrue="1" operator="equal">
      <formula>"Napkin Hs"</formula>
    </cfRule>
  </conditionalFormatting>
  <conditionalFormatting sqref="B29:C29">
    <cfRule type="cellIs" dxfId="4588" priority="6511" stopIfTrue="1" operator="equal">
      <formula>"Towel"</formula>
    </cfRule>
  </conditionalFormatting>
  <conditionalFormatting sqref="C29">
    <cfRule type="cellIs" dxfId="4587" priority="6510" stopIfTrue="1" operator="equal">
      <formula>"Napkin Hs"</formula>
    </cfRule>
  </conditionalFormatting>
  <conditionalFormatting sqref="C29">
    <cfRule type="cellIs" dxfId="4586" priority="6507" stopIfTrue="1" operator="equal">
      <formula>"Towel"</formula>
    </cfRule>
    <cfRule type="cellIs" dxfId="4585" priority="6508" stopIfTrue="1" operator="equal">
      <formula>"Napkin Hs"</formula>
    </cfRule>
  </conditionalFormatting>
  <conditionalFormatting sqref="C29">
    <cfRule type="cellIs" dxfId="4584" priority="6509" stopIfTrue="1" operator="equal">
      <formula>"Towel"</formula>
    </cfRule>
  </conditionalFormatting>
  <conditionalFormatting sqref="B29:C29">
    <cfRule type="cellIs" dxfId="4583" priority="6506" stopIfTrue="1" operator="equal">
      <formula>"Napkin Hs"</formula>
    </cfRule>
  </conditionalFormatting>
  <conditionalFormatting sqref="B29:C29">
    <cfRule type="cellIs" dxfId="4582" priority="6505" stopIfTrue="1" operator="equal">
      <formula>"Towel"</formula>
    </cfRule>
  </conditionalFormatting>
  <conditionalFormatting sqref="C29">
    <cfRule type="cellIs" dxfId="4581" priority="6504" stopIfTrue="1" operator="equal">
      <formula>"Napkin Hs"</formula>
    </cfRule>
  </conditionalFormatting>
  <conditionalFormatting sqref="C29">
    <cfRule type="cellIs" dxfId="4580" priority="6503" stopIfTrue="1" operator="equal">
      <formula>"Towel"</formula>
    </cfRule>
  </conditionalFormatting>
  <conditionalFormatting sqref="C29">
    <cfRule type="cellIs" dxfId="4579" priority="6501" stopIfTrue="1" operator="equal">
      <formula>"Towel"</formula>
    </cfRule>
    <cfRule type="cellIs" dxfId="4578" priority="6502" stopIfTrue="1" operator="equal">
      <formula>"Napkin Hs"</formula>
    </cfRule>
  </conditionalFormatting>
  <conditionalFormatting sqref="B28:C28">
    <cfRule type="cellIs" dxfId="4577" priority="6488" stopIfTrue="1" operator="equal">
      <formula>"Napkin Hs"</formula>
    </cfRule>
  </conditionalFormatting>
  <conditionalFormatting sqref="B28:C28">
    <cfRule type="cellIs" dxfId="4576" priority="6487" stopIfTrue="1" operator="equal">
      <formula>"Towel"</formula>
    </cfRule>
  </conditionalFormatting>
  <conditionalFormatting sqref="C28">
    <cfRule type="cellIs" dxfId="4575" priority="6486" stopIfTrue="1" operator="equal">
      <formula>"Napkin Hs"</formula>
    </cfRule>
  </conditionalFormatting>
  <conditionalFormatting sqref="C28">
    <cfRule type="cellIs" dxfId="4574" priority="6483" stopIfTrue="1" operator="equal">
      <formula>"Towel"</formula>
    </cfRule>
    <cfRule type="cellIs" dxfId="4573" priority="6484" stopIfTrue="1" operator="equal">
      <formula>"Napkin Hs"</formula>
    </cfRule>
  </conditionalFormatting>
  <conditionalFormatting sqref="C28">
    <cfRule type="cellIs" dxfId="4572" priority="6485" stopIfTrue="1" operator="equal">
      <formula>"Towel"</formula>
    </cfRule>
  </conditionalFormatting>
  <conditionalFormatting sqref="B26:B27">
    <cfRule type="cellIs" dxfId="4571" priority="6482" stopIfTrue="1" operator="equal">
      <formula>"Napkin Hs"</formula>
    </cfRule>
  </conditionalFormatting>
  <conditionalFormatting sqref="B26:B27">
    <cfRule type="cellIs" dxfId="4570" priority="6481" stopIfTrue="1" operator="equal">
      <formula>"Towel"</formula>
    </cfRule>
  </conditionalFormatting>
  <conditionalFormatting sqref="B25:C25">
    <cfRule type="cellIs" dxfId="4569" priority="6480" stopIfTrue="1" operator="equal">
      <formula>"Napkin Hs"</formula>
    </cfRule>
  </conditionalFormatting>
  <conditionalFormatting sqref="B25:C25">
    <cfRule type="cellIs" dxfId="4568" priority="6479" stopIfTrue="1" operator="equal">
      <formula>"Towel"</formula>
    </cfRule>
  </conditionalFormatting>
  <conditionalFormatting sqref="C25">
    <cfRule type="cellIs" dxfId="4567" priority="6478" stopIfTrue="1" operator="equal">
      <formula>"Napkin Hs"</formula>
    </cfRule>
  </conditionalFormatting>
  <conditionalFormatting sqref="C25">
    <cfRule type="cellIs" dxfId="4566" priority="6475" stopIfTrue="1" operator="equal">
      <formula>"Towel"</formula>
    </cfRule>
    <cfRule type="cellIs" dxfId="4565" priority="6476" stopIfTrue="1" operator="equal">
      <formula>"Napkin Hs"</formula>
    </cfRule>
  </conditionalFormatting>
  <conditionalFormatting sqref="C25">
    <cfRule type="cellIs" dxfId="4564" priority="6477" stopIfTrue="1" operator="equal">
      <formula>"Towel"</formula>
    </cfRule>
  </conditionalFormatting>
  <conditionalFormatting sqref="C26:C27">
    <cfRule type="cellIs" dxfId="4563" priority="6474" stopIfTrue="1" operator="equal">
      <formula>"Napkin Hs"</formula>
    </cfRule>
  </conditionalFormatting>
  <conditionalFormatting sqref="C26:C27">
    <cfRule type="cellIs" dxfId="4562" priority="6473" stopIfTrue="1" operator="equal">
      <formula>"Towel"</formula>
    </cfRule>
  </conditionalFormatting>
  <conditionalFormatting sqref="C26:C27">
    <cfRule type="cellIs" dxfId="4561" priority="6472" stopIfTrue="1" operator="equal">
      <formula>"Napkin Hs"</formula>
    </cfRule>
  </conditionalFormatting>
  <conditionalFormatting sqref="C26:C27">
    <cfRule type="cellIs" dxfId="4560" priority="6469" stopIfTrue="1" operator="equal">
      <formula>"Towel"</formula>
    </cfRule>
    <cfRule type="cellIs" dxfId="4559" priority="6470" stopIfTrue="1" operator="equal">
      <formula>"Napkin Hs"</formula>
    </cfRule>
  </conditionalFormatting>
  <conditionalFormatting sqref="C26:C27">
    <cfRule type="cellIs" dxfId="4558" priority="6471" stopIfTrue="1" operator="equal">
      <formula>"Towel"</formula>
    </cfRule>
  </conditionalFormatting>
  <conditionalFormatting sqref="B33:C33">
    <cfRule type="cellIs" dxfId="4557" priority="6422" stopIfTrue="1" operator="equal">
      <formula>"Napkin Hs"</formula>
    </cfRule>
  </conditionalFormatting>
  <conditionalFormatting sqref="B33:C33">
    <cfRule type="cellIs" dxfId="4556" priority="6421" stopIfTrue="1" operator="equal">
      <formula>"Towel"</formula>
    </cfRule>
  </conditionalFormatting>
  <conditionalFormatting sqref="C33">
    <cfRule type="cellIs" dxfId="4555" priority="6420" stopIfTrue="1" operator="equal">
      <formula>"Napkin Hs"</formula>
    </cfRule>
  </conditionalFormatting>
  <conditionalFormatting sqref="C33">
    <cfRule type="cellIs" dxfId="4554" priority="6417" stopIfTrue="1" operator="equal">
      <formula>"Towel"</formula>
    </cfRule>
    <cfRule type="cellIs" dxfId="4553" priority="6418" stopIfTrue="1" operator="equal">
      <formula>"Napkin Hs"</formula>
    </cfRule>
  </conditionalFormatting>
  <conditionalFormatting sqref="C33">
    <cfRule type="cellIs" dxfId="4552" priority="6419" stopIfTrue="1" operator="equal">
      <formula>"Towel"</formula>
    </cfRule>
  </conditionalFormatting>
  <conditionalFormatting sqref="B33:C33">
    <cfRule type="cellIs" dxfId="4551" priority="6416" stopIfTrue="1" operator="equal">
      <formula>"Napkin Hs"</formula>
    </cfRule>
  </conditionalFormatting>
  <conditionalFormatting sqref="B33:C33">
    <cfRule type="cellIs" dxfId="4550" priority="6415" stopIfTrue="1" operator="equal">
      <formula>"Towel"</formula>
    </cfRule>
  </conditionalFormatting>
  <conditionalFormatting sqref="C33">
    <cfRule type="cellIs" dxfId="4549" priority="6414" stopIfTrue="1" operator="equal">
      <formula>"Napkin Hs"</formula>
    </cfRule>
  </conditionalFormatting>
  <conditionalFormatting sqref="C33">
    <cfRule type="cellIs" dxfId="4548" priority="6411" stopIfTrue="1" operator="equal">
      <formula>"Towel"</formula>
    </cfRule>
    <cfRule type="cellIs" dxfId="4547" priority="6412" stopIfTrue="1" operator="equal">
      <formula>"Napkin Hs"</formula>
    </cfRule>
  </conditionalFormatting>
  <conditionalFormatting sqref="C33">
    <cfRule type="cellIs" dxfId="4546" priority="6413" stopIfTrue="1" operator="equal">
      <formula>"Towel"</formula>
    </cfRule>
  </conditionalFormatting>
  <conditionalFormatting sqref="B31:B32">
    <cfRule type="cellIs" dxfId="4545" priority="6410" stopIfTrue="1" operator="equal">
      <formula>"Napkin Hs"</formula>
    </cfRule>
  </conditionalFormatting>
  <conditionalFormatting sqref="B31:B32">
    <cfRule type="cellIs" dxfId="4544" priority="6409" stopIfTrue="1" operator="equal">
      <formula>"Towel"</formula>
    </cfRule>
  </conditionalFormatting>
  <conditionalFormatting sqref="C31:C32">
    <cfRule type="cellIs" dxfId="4543" priority="6408" stopIfTrue="1" operator="equal">
      <formula>"Napkin Hs"</formula>
    </cfRule>
  </conditionalFormatting>
  <conditionalFormatting sqref="C31:C32">
    <cfRule type="cellIs" dxfId="4542" priority="6407" stopIfTrue="1" operator="equal">
      <formula>"Towel"</formula>
    </cfRule>
  </conditionalFormatting>
  <conditionalFormatting sqref="C31:C32">
    <cfRule type="cellIs" dxfId="4541" priority="6406" stopIfTrue="1" operator="equal">
      <formula>"Napkin Hs"</formula>
    </cfRule>
  </conditionalFormatting>
  <conditionalFormatting sqref="C31:C32">
    <cfRule type="cellIs" dxfId="4540" priority="6403" stopIfTrue="1" operator="equal">
      <formula>"Towel"</formula>
    </cfRule>
    <cfRule type="cellIs" dxfId="4539" priority="6404" stopIfTrue="1" operator="equal">
      <formula>"Napkin Hs"</formula>
    </cfRule>
  </conditionalFormatting>
  <conditionalFormatting sqref="C31:C32">
    <cfRule type="cellIs" dxfId="4538" priority="6405" stopIfTrue="1" operator="equal">
      <formula>"Towel"</formula>
    </cfRule>
  </conditionalFormatting>
  <conditionalFormatting sqref="B30">
    <cfRule type="cellIs" dxfId="4537" priority="6402" stopIfTrue="1" operator="equal">
      <formula>"Napkin Hs"</formula>
    </cfRule>
  </conditionalFormatting>
  <conditionalFormatting sqref="B30">
    <cfRule type="cellIs" dxfId="4536" priority="6401" stopIfTrue="1" operator="equal">
      <formula>"Towel"</formula>
    </cfRule>
  </conditionalFormatting>
  <conditionalFormatting sqref="C30">
    <cfRule type="cellIs" dxfId="4535" priority="6400" stopIfTrue="1" operator="equal">
      <formula>"Napkin Hs"</formula>
    </cfRule>
  </conditionalFormatting>
  <conditionalFormatting sqref="C30">
    <cfRule type="cellIs" dxfId="4534" priority="6399" stopIfTrue="1" operator="equal">
      <formula>"Towel"</formula>
    </cfRule>
  </conditionalFormatting>
  <conditionalFormatting sqref="C30">
    <cfRule type="cellIs" dxfId="4533" priority="6398" stopIfTrue="1" operator="equal">
      <formula>"Napkin Hs"</formula>
    </cfRule>
  </conditionalFormatting>
  <conditionalFormatting sqref="C30">
    <cfRule type="cellIs" dxfId="4532" priority="6395" stopIfTrue="1" operator="equal">
      <formula>"Towel"</formula>
    </cfRule>
    <cfRule type="cellIs" dxfId="4531" priority="6396" stopIfTrue="1" operator="equal">
      <formula>"Napkin Hs"</formula>
    </cfRule>
  </conditionalFormatting>
  <conditionalFormatting sqref="C30">
    <cfRule type="cellIs" dxfId="4530" priority="6397" stopIfTrue="1" operator="equal">
      <formula>"Towel"</formula>
    </cfRule>
  </conditionalFormatting>
  <conditionalFormatting sqref="B39:C39">
    <cfRule type="cellIs" dxfId="4529" priority="6304" stopIfTrue="1" operator="equal">
      <formula>"Napkin Hs"</formula>
    </cfRule>
  </conditionalFormatting>
  <conditionalFormatting sqref="B39:C39">
    <cfRule type="cellIs" dxfId="4528" priority="6303" stopIfTrue="1" operator="equal">
      <formula>"Towel"</formula>
    </cfRule>
  </conditionalFormatting>
  <conditionalFormatting sqref="B38:C38">
    <cfRule type="cellIs" dxfId="4527" priority="6299" stopIfTrue="1" operator="equal">
      <formula>"Towel"</formula>
    </cfRule>
    <cfRule type="cellIs" dxfId="4526" priority="6300" stopIfTrue="1" operator="equal">
      <formula>"Napkin Hs"</formula>
    </cfRule>
  </conditionalFormatting>
  <conditionalFormatting sqref="C38">
    <cfRule type="cellIs" dxfId="4525" priority="6289" stopIfTrue="1" operator="equal">
      <formula>"Towel"</formula>
    </cfRule>
    <cfRule type="cellIs" dxfId="4524" priority="6290" stopIfTrue="1" operator="equal">
      <formula>"Napkin Hs"</formula>
    </cfRule>
  </conditionalFormatting>
  <conditionalFormatting sqref="C38">
    <cfRule type="cellIs" dxfId="4523" priority="6281" stopIfTrue="1" operator="equal">
      <formula>"Towel"</formula>
    </cfRule>
    <cfRule type="cellIs" dxfId="4522" priority="6282" stopIfTrue="1" operator="equal">
      <formula>"Napkin Hs"</formula>
    </cfRule>
  </conditionalFormatting>
  <conditionalFormatting sqref="C39">
    <cfRule type="cellIs" dxfId="4521" priority="6302" stopIfTrue="1" operator="equal">
      <formula>"Napkin Hs"</formula>
    </cfRule>
  </conditionalFormatting>
  <conditionalFormatting sqref="C39">
    <cfRule type="cellIs" dxfId="4520" priority="6301" stopIfTrue="1" operator="equal">
      <formula>"Towel"</formula>
    </cfRule>
  </conditionalFormatting>
  <conditionalFormatting sqref="C38:C39">
    <cfRule type="cellIs" dxfId="4519" priority="6297" stopIfTrue="1" operator="equal">
      <formula>"Towel"</formula>
    </cfRule>
    <cfRule type="cellIs" dxfId="4518" priority="6298" stopIfTrue="1" operator="equal">
      <formula>"Napkin Hs"</formula>
    </cfRule>
  </conditionalFormatting>
  <conditionalFormatting sqref="C38">
    <cfRule type="cellIs" dxfId="4517" priority="6295" stopIfTrue="1" operator="equal">
      <formula>"Towel"</formula>
    </cfRule>
    <cfRule type="cellIs" dxfId="4516" priority="6296" stopIfTrue="1" operator="equal">
      <formula>"Napkin Hs"</formula>
    </cfRule>
  </conditionalFormatting>
  <conditionalFormatting sqref="B39:C39">
    <cfRule type="cellIs" dxfId="4515" priority="6279" stopIfTrue="1" operator="equal">
      <formula>"Towel"</formula>
    </cfRule>
    <cfRule type="cellIs" dxfId="4514" priority="6280" stopIfTrue="1" operator="equal">
      <formula>"Napkin Hs"</formula>
    </cfRule>
  </conditionalFormatting>
  <conditionalFormatting sqref="B38:C38">
    <cfRule type="cellIs" dxfId="4513" priority="6294" stopIfTrue="1" operator="equal">
      <formula>"Napkin Hs"</formula>
    </cfRule>
  </conditionalFormatting>
  <conditionalFormatting sqref="B38:C38">
    <cfRule type="cellIs" dxfId="4512" priority="6293" stopIfTrue="1" operator="equal">
      <formula>"Towel"</formula>
    </cfRule>
  </conditionalFormatting>
  <conditionalFormatting sqref="B39:C39">
    <cfRule type="cellIs" dxfId="4511" priority="6287" stopIfTrue="1" operator="equal">
      <formula>"Towel"</formula>
    </cfRule>
    <cfRule type="cellIs" dxfId="4510" priority="6288" stopIfTrue="1" operator="equal">
      <formula>"Napkin Hs"</formula>
    </cfRule>
  </conditionalFormatting>
  <conditionalFormatting sqref="C38">
    <cfRule type="cellIs" dxfId="4509" priority="6292" stopIfTrue="1" operator="equal">
      <formula>"Napkin Hs"</formula>
    </cfRule>
  </conditionalFormatting>
  <conditionalFormatting sqref="C38">
    <cfRule type="cellIs" dxfId="4508" priority="6291" stopIfTrue="1" operator="equal">
      <formula>"Towel"</formula>
    </cfRule>
  </conditionalFormatting>
  <conditionalFormatting sqref="C39">
    <cfRule type="cellIs" dxfId="4507" priority="6285" stopIfTrue="1" operator="equal">
      <formula>"Towel"</formula>
    </cfRule>
    <cfRule type="cellIs" dxfId="4506" priority="6286" stopIfTrue="1" operator="equal">
      <formula>"Napkin Hs"</formula>
    </cfRule>
  </conditionalFormatting>
  <conditionalFormatting sqref="C39">
    <cfRule type="cellIs" dxfId="4505" priority="6283" stopIfTrue="1" operator="equal">
      <formula>"Towel"</formula>
    </cfRule>
    <cfRule type="cellIs" dxfId="4504" priority="6284" stopIfTrue="1" operator="equal">
      <formula>"Napkin Hs"</formula>
    </cfRule>
  </conditionalFormatting>
  <conditionalFormatting sqref="C39">
    <cfRule type="cellIs" dxfId="4503" priority="6277" stopIfTrue="1" operator="equal">
      <formula>"Towel"</formula>
    </cfRule>
    <cfRule type="cellIs" dxfId="4502" priority="6278" stopIfTrue="1" operator="equal">
      <formula>"Napkin Hs"</formula>
    </cfRule>
  </conditionalFormatting>
  <conditionalFormatting sqref="C39">
    <cfRule type="cellIs" dxfId="4501" priority="6275" stopIfTrue="1" operator="equal">
      <formula>"Towel"</formula>
    </cfRule>
    <cfRule type="cellIs" dxfId="4500" priority="6276" stopIfTrue="1" operator="equal">
      <formula>"Napkin Hs"</formula>
    </cfRule>
  </conditionalFormatting>
  <conditionalFormatting sqref="B39:C39">
    <cfRule type="cellIs" dxfId="4499" priority="6273" stopIfTrue="1" operator="equal">
      <formula>"Towel"</formula>
    </cfRule>
    <cfRule type="cellIs" dxfId="4498" priority="6274" stopIfTrue="1" operator="equal">
      <formula>"Napkin Hs"</formula>
    </cfRule>
  </conditionalFormatting>
  <conditionalFormatting sqref="C39">
    <cfRule type="cellIs" dxfId="4497" priority="6271" stopIfTrue="1" operator="equal">
      <formula>"Towel"</formula>
    </cfRule>
    <cfRule type="cellIs" dxfId="4496" priority="6272" stopIfTrue="1" operator="equal">
      <formula>"Napkin Hs"</formula>
    </cfRule>
  </conditionalFormatting>
  <conditionalFormatting sqref="C39">
    <cfRule type="cellIs" dxfId="4495" priority="6269" stopIfTrue="1" operator="equal">
      <formula>"Towel"</formula>
    </cfRule>
    <cfRule type="cellIs" dxfId="4494" priority="6270" stopIfTrue="1" operator="equal">
      <formula>"Napkin Hs"</formula>
    </cfRule>
  </conditionalFormatting>
  <conditionalFormatting sqref="B39:C39">
    <cfRule type="cellIs" dxfId="4493" priority="6267" stopIfTrue="1" operator="equal">
      <formula>"Towel"</formula>
    </cfRule>
    <cfRule type="cellIs" dxfId="4492" priority="6268" stopIfTrue="1" operator="equal">
      <formula>"Napkin Hs"</formula>
    </cfRule>
  </conditionalFormatting>
  <conditionalFormatting sqref="C39">
    <cfRule type="cellIs" dxfId="4491" priority="6265" stopIfTrue="1" operator="equal">
      <formula>"Towel"</formula>
    </cfRule>
    <cfRule type="cellIs" dxfId="4490" priority="6266" stopIfTrue="1" operator="equal">
      <formula>"Napkin Hs"</formula>
    </cfRule>
  </conditionalFormatting>
  <conditionalFormatting sqref="C39">
    <cfRule type="cellIs" dxfId="4489" priority="6263" stopIfTrue="1" operator="equal">
      <formula>"Towel"</formula>
    </cfRule>
    <cfRule type="cellIs" dxfId="4488" priority="6264" stopIfTrue="1" operator="equal">
      <formula>"Napkin Hs"</formula>
    </cfRule>
  </conditionalFormatting>
  <conditionalFormatting sqref="B39:C39">
    <cfRule type="cellIs" dxfId="4487" priority="6261" stopIfTrue="1" operator="equal">
      <formula>"Towel"</formula>
    </cfRule>
    <cfRule type="cellIs" dxfId="4486" priority="6262" stopIfTrue="1" operator="equal">
      <formula>"Napkin Hs"</formula>
    </cfRule>
  </conditionalFormatting>
  <conditionalFormatting sqref="C39">
    <cfRule type="cellIs" dxfId="4485" priority="6259" stopIfTrue="1" operator="equal">
      <formula>"Towel"</formula>
    </cfRule>
    <cfRule type="cellIs" dxfId="4484" priority="6260" stopIfTrue="1" operator="equal">
      <formula>"Napkin Hs"</formula>
    </cfRule>
  </conditionalFormatting>
  <conditionalFormatting sqref="C39">
    <cfRule type="cellIs" dxfId="4483" priority="6257" stopIfTrue="1" operator="equal">
      <formula>"Towel"</formula>
    </cfRule>
    <cfRule type="cellIs" dxfId="4482" priority="6258" stopIfTrue="1" operator="equal">
      <formula>"Napkin Hs"</formula>
    </cfRule>
  </conditionalFormatting>
  <conditionalFormatting sqref="B39:C39">
    <cfRule type="cellIs" dxfId="4481" priority="6256" stopIfTrue="1" operator="equal">
      <formula>"Napkin Hs"</formula>
    </cfRule>
  </conditionalFormatting>
  <conditionalFormatting sqref="B39:C39">
    <cfRule type="cellIs" dxfId="4480" priority="6255" stopIfTrue="1" operator="equal">
      <formula>"Towel"</formula>
    </cfRule>
  </conditionalFormatting>
  <conditionalFormatting sqref="C39">
    <cfRule type="cellIs" dxfId="4479" priority="6254" stopIfTrue="1" operator="equal">
      <formula>"Napkin Hs"</formula>
    </cfRule>
  </conditionalFormatting>
  <conditionalFormatting sqref="C39">
    <cfRule type="cellIs" dxfId="4478" priority="6251" stopIfTrue="1" operator="equal">
      <formula>"Towel"</formula>
    </cfRule>
    <cfRule type="cellIs" dxfId="4477" priority="6252" stopIfTrue="1" operator="equal">
      <formula>"Napkin Hs"</formula>
    </cfRule>
  </conditionalFormatting>
  <conditionalFormatting sqref="C39">
    <cfRule type="cellIs" dxfId="4476" priority="6253" stopIfTrue="1" operator="equal">
      <formula>"Towel"</formula>
    </cfRule>
  </conditionalFormatting>
  <conditionalFormatting sqref="B37:C37">
    <cfRule type="cellIs" dxfId="4475" priority="6208" stopIfTrue="1" operator="equal">
      <formula>"Napkin Hs"</formula>
    </cfRule>
  </conditionalFormatting>
  <conditionalFormatting sqref="B37:C37">
    <cfRule type="cellIs" dxfId="4474" priority="6207" stopIfTrue="1" operator="equal">
      <formula>"Towel"</formula>
    </cfRule>
  </conditionalFormatting>
  <conditionalFormatting sqref="C37">
    <cfRule type="cellIs" dxfId="4473" priority="6206" stopIfTrue="1" operator="equal">
      <formula>"Napkin Hs"</formula>
    </cfRule>
  </conditionalFormatting>
  <conditionalFormatting sqref="C37">
    <cfRule type="cellIs" dxfId="4472" priority="6203" stopIfTrue="1" operator="equal">
      <formula>"Towel"</formula>
    </cfRule>
    <cfRule type="cellIs" dxfId="4471" priority="6204" stopIfTrue="1" operator="equal">
      <formula>"Napkin Hs"</formula>
    </cfRule>
  </conditionalFormatting>
  <conditionalFormatting sqref="C37">
    <cfRule type="cellIs" dxfId="4470" priority="6205" stopIfTrue="1" operator="equal">
      <formula>"Towel"</formula>
    </cfRule>
  </conditionalFormatting>
  <conditionalFormatting sqref="B37:C37">
    <cfRule type="cellIs" dxfId="4469" priority="6202" stopIfTrue="1" operator="equal">
      <formula>"Napkin Hs"</formula>
    </cfRule>
  </conditionalFormatting>
  <conditionalFormatting sqref="B37:C37">
    <cfRule type="cellIs" dxfId="4468" priority="6201" stopIfTrue="1" operator="equal">
      <formula>"Towel"</formula>
    </cfRule>
  </conditionalFormatting>
  <conditionalFormatting sqref="C37">
    <cfRule type="cellIs" dxfId="4467" priority="6200" stopIfTrue="1" operator="equal">
      <formula>"Napkin Hs"</formula>
    </cfRule>
  </conditionalFormatting>
  <conditionalFormatting sqref="C37">
    <cfRule type="cellIs" dxfId="4466" priority="6197" stopIfTrue="1" operator="equal">
      <formula>"Towel"</formula>
    </cfRule>
    <cfRule type="cellIs" dxfId="4465" priority="6198" stopIfTrue="1" operator="equal">
      <formula>"Napkin Hs"</formula>
    </cfRule>
  </conditionalFormatting>
  <conditionalFormatting sqref="C37">
    <cfRule type="cellIs" dxfId="4464" priority="6199" stopIfTrue="1" operator="equal">
      <formula>"Towel"</formula>
    </cfRule>
  </conditionalFormatting>
  <conditionalFormatting sqref="B36">
    <cfRule type="cellIs" dxfId="4463" priority="6196" stopIfTrue="1" operator="equal">
      <formula>"Napkin Hs"</formula>
    </cfRule>
  </conditionalFormatting>
  <conditionalFormatting sqref="B36">
    <cfRule type="cellIs" dxfId="4462" priority="6195" stopIfTrue="1" operator="equal">
      <formula>"Towel"</formula>
    </cfRule>
  </conditionalFormatting>
  <conditionalFormatting sqref="C36">
    <cfRule type="cellIs" dxfId="4461" priority="6194" stopIfTrue="1" operator="equal">
      <formula>"Napkin Hs"</formula>
    </cfRule>
  </conditionalFormatting>
  <conditionalFormatting sqref="C36">
    <cfRule type="cellIs" dxfId="4460" priority="6193" stopIfTrue="1" operator="equal">
      <formula>"Towel"</formula>
    </cfRule>
  </conditionalFormatting>
  <conditionalFormatting sqref="C36">
    <cfRule type="cellIs" dxfId="4459" priority="6192" stopIfTrue="1" operator="equal">
      <formula>"Napkin Hs"</formula>
    </cfRule>
  </conditionalFormatting>
  <conditionalFormatting sqref="C36">
    <cfRule type="cellIs" dxfId="4458" priority="6189" stopIfTrue="1" operator="equal">
      <formula>"Towel"</formula>
    </cfRule>
    <cfRule type="cellIs" dxfId="4457" priority="6190" stopIfTrue="1" operator="equal">
      <formula>"Napkin Hs"</formula>
    </cfRule>
  </conditionalFormatting>
  <conditionalFormatting sqref="C36">
    <cfRule type="cellIs" dxfId="4456" priority="6191" stopIfTrue="1" operator="equal">
      <formula>"Towel"</formula>
    </cfRule>
  </conditionalFormatting>
  <conditionalFormatting sqref="B34">
    <cfRule type="cellIs" dxfId="4455" priority="6188" stopIfTrue="1" operator="equal">
      <formula>"Napkin Hs"</formula>
    </cfRule>
  </conditionalFormatting>
  <conditionalFormatting sqref="B34">
    <cfRule type="cellIs" dxfId="4454" priority="6187" stopIfTrue="1" operator="equal">
      <formula>"Towel"</formula>
    </cfRule>
  </conditionalFormatting>
  <conditionalFormatting sqref="C34">
    <cfRule type="cellIs" dxfId="4453" priority="6186" stopIfTrue="1" operator="equal">
      <formula>"Napkin Hs"</formula>
    </cfRule>
  </conditionalFormatting>
  <conditionalFormatting sqref="C34">
    <cfRule type="cellIs" dxfId="4452" priority="6185" stopIfTrue="1" operator="equal">
      <formula>"Towel"</formula>
    </cfRule>
  </conditionalFormatting>
  <conditionalFormatting sqref="C34">
    <cfRule type="cellIs" dxfId="4451" priority="6184" stopIfTrue="1" operator="equal">
      <formula>"Napkin Hs"</formula>
    </cfRule>
  </conditionalFormatting>
  <conditionalFormatting sqref="C34">
    <cfRule type="cellIs" dxfId="4450" priority="6181" stopIfTrue="1" operator="equal">
      <formula>"Towel"</formula>
    </cfRule>
    <cfRule type="cellIs" dxfId="4449" priority="6182" stopIfTrue="1" operator="equal">
      <formula>"Napkin Hs"</formula>
    </cfRule>
  </conditionalFormatting>
  <conditionalFormatting sqref="C34">
    <cfRule type="cellIs" dxfId="4448" priority="6183" stopIfTrue="1" operator="equal">
      <formula>"Towel"</formula>
    </cfRule>
  </conditionalFormatting>
  <conditionalFormatting sqref="B35">
    <cfRule type="cellIs" dxfId="4447" priority="6180" stopIfTrue="1" operator="equal">
      <formula>"Napkin Hs"</formula>
    </cfRule>
  </conditionalFormatting>
  <conditionalFormatting sqref="B35">
    <cfRule type="cellIs" dxfId="4446" priority="6179" stopIfTrue="1" operator="equal">
      <formula>"Towel"</formula>
    </cfRule>
  </conditionalFormatting>
  <conditionalFormatting sqref="C35">
    <cfRule type="cellIs" dxfId="4445" priority="6178" stopIfTrue="1" operator="equal">
      <formula>"Napkin Hs"</formula>
    </cfRule>
  </conditionalFormatting>
  <conditionalFormatting sqref="C35">
    <cfRule type="cellIs" dxfId="4444" priority="6177" stopIfTrue="1" operator="equal">
      <formula>"Towel"</formula>
    </cfRule>
  </conditionalFormatting>
  <conditionalFormatting sqref="C35">
    <cfRule type="cellIs" dxfId="4443" priority="6176" stopIfTrue="1" operator="equal">
      <formula>"Napkin Hs"</formula>
    </cfRule>
  </conditionalFormatting>
  <conditionalFormatting sqref="C35">
    <cfRule type="cellIs" dxfId="4442" priority="6173" stopIfTrue="1" operator="equal">
      <formula>"Towel"</formula>
    </cfRule>
    <cfRule type="cellIs" dxfId="4441" priority="6174" stopIfTrue="1" operator="equal">
      <formula>"Napkin Hs"</formula>
    </cfRule>
  </conditionalFormatting>
  <conditionalFormatting sqref="C35">
    <cfRule type="cellIs" dxfId="4440" priority="6175" stopIfTrue="1" operator="equal">
      <formula>"Towel"</formula>
    </cfRule>
  </conditionalFormatting>
  <conditionalFormatting sqref="B43:C43">
    <cfRule type="cellIs" dxfId="4439" priority="6108" stopIfTrue="1" operator="equal">
      <formula>"Napkin Hs"</formula>
    </cfRule>
  </conditionalFormatting>
  <conditionalFormatting sqref="B43:C43">
    <cfRule type="cellIs" dxfId="4438" priority="6107" stopIfTrue="1" operator="equal">
      <formula>"Towel"</formula>
    </cfRule>
  </conditionalFormatting>
  <conditionalFormatting sqref="C43">
    <cfRule type="cellIs" dxfId="4437" priority="6106" stopIfTrue="1" operator="equal">
      <formula>"Napkin Hs"</formula>
    </cfRule>
  </conditionalFormatting>
  <conditionalFormatting sqref="C43">
    <cfRule type="cellIs" dxfId="4436" priority="6105" stopIfTrue="1" operator="equal">
      <formula>"Towel"</formula>
    </cfRule>
  </conditionalFormatting>
  <conditionalFormatting sqref="C43">
    <cfRule type="cellIs" dxfId="4435" priority="6103" stopIfTrue="1" operator="equal">
      <formula>"Towel"</formula>
    </cfRule>
    <cfRule type="cellIs" dxfId="4434" priority="6104" stopIfTrue="1" operator="equal">
      <formula>"Napkin Hs"</formula>
    </cfRule>
  </conditionalFormatting>
  <conditionalFormatting sqref="B43:C43">
    <cfRule type="cellIs" dxfId="4433" priority="6101" stopIfTrue="1" operator="equal">
      <formula>"Towel"</formula>
    </cfRule>
    <cfRule type="cellIs" dxfId="4432" priority="6102" stopIfTrue="1" operator="equal">
      <formula>"Napkin Hs"</formula>
    </cfRule>
  </conditionalFormatting>
  <conditionalFormatting sqref="C43">
    <cfRule type="cellIs" dxfId="4431" priority="6099" stopIfTrue="1" operator="equal">
      <formula>"Towel"</formula>
    </cfRule>
    <cfRule type="cellIs" dxfId="4430" priority="6100" stopIfTrue="1" operator="equal">
      <formula>"Napkin Hs"</formula>
    </cfRule>
  </conditionalFormatting>
  <conditionalFormatting sqref="C43">
    <cfRule type="cellIs" dxfId="4429" priority="6097" stopIfTrue="1" operator="equal">
      <formula>"Towel"</formula>
    </cfRule>
    <cfRule type="cellIs" dxfId="4428" priority="6098" stopIfTrue="1" operator="equal">
      <formula>"Napkin Hs"</formula>
    </cfRule>
  </conditionalFormatting>
  <conditionalFormatting sqref="B43:C43">
    <cfRule type="cellIs" dxfId="4427" priority="6095" stopIfTrue="1" operator="equal">
      <formula>"Towel"</formula>
    </cfRule>
    <cfRule type="cellIs" dxfId="4426" priority="6096" stopIfTrue="1" operator="equal">
      <formula>"Napkin Hs"</formula>
    </cfRule>
  </conditionalFormatting>
  <conditionalFormatting sqref="C43">
    <cfRule type="cellIs" dxfId="4425" priority="6093" stopIfTrue="1" operator="equal">
      <formula>"Towel"</formula>
    </cfRule>
    <cfRule type="cellIs" dxfId="4424" priority="6094" stopIfTrue="1" operator="equal">
      <formula>"Napkin Hs"</formula>
    </cfRule>
  </conditionalFormatting>
  <conditionalFormatting sqref="C43">
    <cfRule type="cellIs" dxfId="4423" priority="6091" stopIfTrue="1" operator="equal">
      <formula>"Towel"</formula>
    </cfRule>
    <cfRule type="cellIs" dxfId="4422" priority="6092" stopIfTrue="1" operator="equal">
      <formula>"Napkin Hs"</formula>
    </cfRule>
  </conditionalFormatting>
  <conditionalFormatting sqref="B43:C43">
    <cfRule type="cellIs" dxfId="4421" priority="6089" stopIfTrue="1" operator="equal">
      <formula>"Towel"</formula>
    </cfRule>
    <cfRule type="cellIs" dxfId="4420" priority="6090" stopIfTrue="1" operator="equal">
      <formula>"Napkin Hs"</formula>
    </cfRule>
  </conditionalFormatting>
  <conditionalFormatting sqref="C43">
    <cfRule type="cellIs" dxfId="4419" priority="6087" stopIfTrue="1" operator="equal">
      <formula>"Towel"</formula>
    </cfRule>
    <cfRule type="cellIs" dxfId="4418" priority="6088" stopIfTrue="1" operator="equal">
      <formula>"Napkin Hs"</formula>
    </cfRule>
  </conditionalFormatting>
  <conditionalFormatting sqref="C43">
    <cfRule type="cellIs" dxfId="4417" priority="6085" stopIfTrue="1" operator="equal">
      <formula>"Towel"</formula>
    </cfRule>
    <cfRule type="cellIs" dxfId="4416" priority="6086" stopIfTrue="1" operator="equal">
      <formula>"Napkin Hs"</formula>
    </cfRule>
  </conditionalFormatting>
  <conditionalFormatting sqref="B43:C43">
    <cfRule type="cellIs" dxfId="4415" priority="6083" stopIfTrue="1" operator="equal">
      <formula>"Towel"</formula>
    </cfRule>
    <cfRule type="cellIs" dxfId="4414" priority="6084" stopIfTrue="1" operator="equal">
      <formula>"Napkin Hs"</formula>
    </cfRule>
  </conditionalFormatting>
  <conditionalFormatting sqref="C43">
    <cfRule type="cellIs" dxfId="4413" priority="6081" stopIfTrue="1" operator="equal">
      <formula>"Towel"</formula>
    </cfRule>
    <cfRule type="cellIs" dxfId="4412" priority="6082" stopIfTrue="1" operator="equal">
      <formula>"Napkin Hs"</formula>
    </cfRule>
  </conditionalFormatting>
  <conditionalFormatting sqref="C43">
    <cfRule type="cellIs" dxfId="4411" priority="6079" stopIfTrue="1" operator="equal">
      <formula>"Towel"</formula>
    </cfRule>
    <cfRule type="cellIs" dxfId="4410" priority="6080" stopIfTrue="1" operator="equal">
      <formula>"Napkin Hs"</formula>
    </cfRule>
  </conditionalFormatting>
  <conditionalFormatting sqref="B43:C43">
    <cfRule type="cellIs" dxfId="4409" priority="6077" stopIfTrue="1" operator="equal">
      <formula>"Towel"</formula>
    </cfRule>
    <cfRule type="cellIs" dxfId="4408" priority="6078" stopIfTrue="1" operator="equal">
      <formula>"Napkin Hs"</formula>
    </cfRule>
  </conditionalFormatting>
  <conditionalFormatting sqref="C43">
    <cfRule type="cellIs" dxfId="4407" priority="6075" stopIfTrue="1" operator="equal">
      <formula>"Towel"</formula>
    </cfRule>
    <cfRule type="cellIs" dxfId="4406" priority="6076" stopIfTrue="1" operator="equal">
      <formula>"Napkin Hs"</formula>
    </cfRule>
  </conditionalFormatting>
  <conditionalFormatting sqref="C43">
    <cfRule type="cellIs" dxfId="4405" priority="6073" stopIfTrue="1" operator="equal">
      <formula>"Towel"</formula>
    </cfRule>
    <cfRule type="cellIs" dxfId="4404" priority="6074" stopIfTrue="1" operator="equal">
      <formula>"Napkin Hs"</formula>
    </cfRule>
  </conditionalFormatting>
  <conditionalFormatting sqref="B43:C43">
    <cfRule type="cellIs" dxfId="4403" priority="6072" stopIfTrue="1" operator="equal">
      <formula>"Napkin Hs"</formula>
    </cfRule>
  </conditionalFormatting>
  <conditionalFormatting sqref="B43:C43">
    <cfRule type="cellIs" dxfId="4402" priority="6071" stopIfTrue="1" operator="equal">
      <formula>"Towel"</formula>
    </cfRule>
  </conditionalFormatting>
  <conditionalFormatting sqref="C43">
    <cfRule type="cellIs" dxfId="4401" priority="6070" stopIfTrue="1" operator="equal">
      <formula>"Napkin Hs"</formula>
    </cfRule>
  </conditionalFormatting>
  <conditionalFormatting sqref="C43">
    <cfRule type="cellIs" dxfId="4400" priority="6067" stopIfTrue="1" operator="equal">
      <formula>"Towel"</formula>
    </cfRule>
    <cfRule type="cellIs" dxfId="4399" priority="6068" stopIfTrue="1" operator="equal">
      <formula>"Napkin Hs"</formula>
    </cfRule>
  </conditionalFormatting>
  <conditionalFormatting sqref="C43">
    <cfRule type="cellIs" dxfId="4398" priority="6069" stopIfTrue="1" operator="equal">
      <formula>"Towel"</formula>
    </cfRule>
  </conditionalFormatting>
  <conditionalFormatting sqref="B41:B42">
    <cfRule type="cellIs" dxfId="4397" priority="6018" stopIfTrue="1" operator="equal">
      <formula>"Napkin Hs"</formula>
    </cfRule>
  </conditionalFormatting>
  <conditionalFormatting sqref="B41:B42">
    <cfRule type="cellIs" dxfId="4396" priority="6017" stopIfTrue="1" operator="equal">
      <formula>"Towel"</formula>
    </cfRule>
  </conditionalFormatting>
  <conditionalFormatting sqref="C41:C42">
    <cfRule type="cellIs" dxfId="4395" priority="6016" stopIfTrue="1" operator="equal">
      <formula>"Napkin Hs"</formula>
    </cfRule>
  </conditionalFormatting>
  <conditionalFormatting sqref="C41:C42">
    <cfRule type="cellIs" dxfId="4394" priority="6015" stopIfTrue="1" operator="equal">
      <formula>"Towel"</formula>
    </cfRule>
  </conditionalFormatting>
  <conditionalFormatting sqref="C41:C42">
    <cfRule type="cellIs" dxfId="4393" priority="6014" stopIfTrue="1" operator="equal">
      <formula>"Napkin Hs"</formula>
    </cfRule>
  </conditionalFormatting>
  <conditionalFormatting sqref="C41:C42">
    <cfRule type="cellIs" dxfId="4392" priority="6011" stopIfTrue="1" operator="equal">
      <formula>"Towel"</formula>
    </cfRule>
    <cfRule type="cellIs" dxfId="4391" priority="6012" stopIfTrue="1" operator="equal">
      <formula>"Napkin Hs"</formula>
    </cfRule>
  </conditionalFormatting>
  <conditionalFormatting sqref="C41:C42">
    <cfRule type="cellIs" dxfId="4390" priority="6013" stopIfTrue="1" operator="equal">
      <formula>"Towel"</formula>
    </cfRule>
  </conditionalFormatting>
  <conditionalFormatting sqref="B40">
    <cfRule type="cellIs" dxfId="4389" priority="6010" stopIfTrue="1" operator="equal">
      <formula>"Napkin Hs"</formula>
    </cfRule>
  </conditionalFormatting>
  <conditionalFormatting sqref="B40">
    <cfRule type="cellIs" dxfId="4388" priority="6009" stopIfTrue="1" operator="equal">
      <formula>"Towel"</formula>
    </cfRule>
  </conditionalFormatting>
  <conditionalFormatting sqref="C40">
    <cfRule type="cellIs" dxfId="4387" priority="6008" stopIfTrue="1" operator="equal">
      <formula>"Napkin Hs"</formula>
    </cfRule>
  </conditionalFormatting>
  <conditionalFormatting sqref="C40">
    <cfRule type="cellIs" dxfId="4386" priority="6007" stopIfTrue="1" operator="equal">
      <formula>"Towel"</formula>
    </cfRule>
  </conditionalFormatting>
  <conditionalFormatting sqref="C40">
    <cfRule type="cellIs" dxfId="4385" priority="6006" stopIfTrue="1" operator="equal">
      <formula>"Napkin Hs"</formula>
    </cfRule>
  </conditionalFormatting>
  <conditionalFormatting sqref="C40">
    <cfRule type="cellIs" dxfId="4384" priority="6003" stopIfTrue="1" operator="equal">
      <formula>"Towel"</formula>
    </cfRule>
    <cfRule type="cellIs" dxfId="4383" priority="6004" stopIfTrue="1" operator="equal">
      <formula>"Napkin Hs"</formula>
    </cfRule>
  </conditionalFormatting>
  <conditionalFormatting sqref="C40">
    <cfRule type="cellIs" dxfId="4382" priority="6005" stopIfTrue="1" operator="equal">
      <formula>"Towel"</formula>
    </cfRule>
  </conditionalFormatting>
  <conditionalFormatting sqref="B48:C48">
    <cfRule type="cellIs" dxfId="4381" priority="6001" stopIfTrue="1" operator="equal">
      <formula>"Towel"</formula>
    </cfRule>
    <cfRule type="cellIs" dxfId="4380" priority="6002" stopIfTrue="1" operator="equal">
      <formula>"Napkin Hs"</formula>
    </cfRule>
  </conditionalFormatting>
  <conditionalFormatting sqref="C48">
    <cfRule type="cellIs" dxfId="4379" priority="5997" stopIfTrue="1" operator="equal">
      <formula>"Towel"</formula>
    </cfRule>
    <cfRule type="cellIs" dxfId="4378" priority="5998" stopIfTrue="1" operator="equal">
      <formula>"Napkin Hs"</formula>
    </cfRule>
  </conditionalFormatting>
  <conditionalFormatting sqref="C48">
    <cfRule type="cellIs" dxfId="4377" priority="5999" stopIfTrue="1" operator="equal">
      <formula>"Towel"</formula>
    </cfRule>
    <cfRule type="cellIs" dxfId="4376" priority="6000" stopIfTrue="1" operator="equal">
      <formula>"Napkin Hs"</formula>
    </cfRule>
  </conditionalFormatting>
  <conditionalFormatting sqref="B48:C48">
    <cfRule type="cellIs" dxfId="4375" priority="5996" stopIfTrue="1" operator="equal">
      <formula>"Napkin Hs"</formula>
    </cfRule>
  </conditionalFormatting>
  <conditionalFormatting sqref="B48:C48">
    <cfRule type="cellIs" dxfId="4374" priority="5995" stopIfTrue="1" operator="equal">
      <formula>"Towel"</formula>
    </cfRule>
  </conditionalFormatting>
  <conditionalFormatting sqref="C48">
    <cfRule type="cellIs" dxfId="4373" priority="5994" stopIfTrue="1" operator="equal">
      <formula>"Napkin Hs"</formula>
    </cfRule>
  </conditionalFormatting>
  <conditionalFormatting sqref="C48">
    <cfRule type="cellIs" dxfId="4372" priority="5993" stopIfTrue="1" operator="equal">
      <formula>"Towel"</formula>
    </cfRule>
  </conditionalFormatting>
  <conditionalFormatting sqref="C48">
    <cfRule type="cellIs" dxfId="4371" priority="5991" stopIfTrue="1" operator="equal">
      <formula>"Towel"</formula>
    </cfRule>
    <cfRule type="cellIs" dxfId="4370" priority="5992" stopIfTrue="1" operator="equal">
      <formula>"Napkin Hs"</formula>
    </cfRule>
  </conditionalFormatting>
  <conditionalFormatting sqref="B48:C48">
    <cfRule type="cellIs" dxfId="4369" priority="5989" stopIfTrue="1" operator="equal">
      <formula>"Towel"</formula>
    </cfRule>
    <cfRule type="cellIs" dxfId="4368" priority="5990" stopIfTrue="1" operator="equal">
      <formula>"Napkin Hs"</formula>
    </cfRule>
  </conditionalFormatting>
  <conditionalFormatting sqref="C48">
    <cfRule type="cellIs" dxfId="4367" priority="5987" stopIfTrue="1" operator="equal">
      <formula>"Towel"</formula>
    </cfRule>
    <cfRule type="cellIs" dxfId="4366" priority="5988" stopIfTrue="1" operator="equal">
      <formula>"Napkin Hs"</formula>
    </cfRule>
  </conditionalFormatting>
  <conditionalFormatting sqref="C48">
    <cfRule type="cellIs" dxfId="4365" priority="5985" stopIfTrue="1" operator="equal">
      <formula>"Towel"</formula>
    </cfRule>
    <cfRule type="cellIs" dxfId="4364" priority="5986" stopIfTrue="1" operator="equal">
      <formula>"Napkin Hs"</formula>
    </cfRule>
  </conditionalFormatting>
  <conditionalFormatting sqref="B48:C48">
    <cfRule type="cellIs" dxfId="4363" priority="5983" stopIfTrue="1" operator="equal">
      <formula>"Towel"</formula>
    </cfRule>
    <cfRule type="cellIs" dxfId="4362" priority="5984" stopIfTrue="1" operator="equal">
      <formula>"Napkin Hs"</formula>
    </cfRule>
  </conditionalFormatting>
  <conditionalFormatting sqref="C48">
    <cfRule type="cellIs" dxfId="4361" priority="5981" stopIfTrue="1" operator="equal">
      <formula>"Towel"</formula>
    </cfRule>
    <cfRule type="cellIs" dxfId="4360" priority="5982" stopIfTrue="1" operator="equal">
      <formula>"Napkin Hs"</formula>
    </cfRule>
  </conditionalFormatting>
  <conditionalFormatting sqref="C48">
    <cfRule type="cellIs" dxfId="4359" priority="5979" stopIfTrue="1" operator="equal">
      <formula>"Towel"</formula>
    </cfRule>
    <cfRule type="cellIs" dxfId="4358" priority="5980" stopIfTrue="1" operator="equal">
      <formula>"Napkin Hs"</formula>
    </cfRule>
  </conditionalFormatting>
  <conditionalFormatting sqref="B48:C48">
    <cfRule type="cellIs" dxfId="4357" priority="5977" stopIfTrue="1" operator="equal">
      <formula>"Towel"</formula>
    </cfRule>
    <cfRule type="cellIs" dxfId="4356" priority="5978" stopIfTrue="1" operator="equal">
      <formula>"Napkin Hs"</formula>
    </cfRule>
  </conditionalFormatting>
  <conditionalFormatting sqref="C48">
    <cfRule type="cellIs" dxfId="4355" priority="5975" stopIfTrue="1" operator="equal">
      <formula>"Towel"</formula>
    </cfRule>
    <cfRule type="cellIs" dxfId="4354" priority="5976" stopIfTrue="1" operator="equal">
      <formula>"Napkin Hs"</formula>
    </cfRule>
  </conditionalFormatting>
  <conditionalFormatting sqref="C48">
    <cfRule type="cellIs" dxfId="4353" priority="5973" stopIfTrue="1" operator="equal">
      <formula>"Towel"</formula>
    </cfRule>
    <cfRule type="cellIs" dxfId="4352" priority="5974" stopIfTrue="1" operator="equal">
      <formula>"Napkin Hs"</formula>
    </cfRule>
  </conditionalFormatting>
  <conditionalFormatting sqref="B48:C48">
    <cfRule type="cellIs" dxfId="4351" priority="5971" stopIfTrue="1" operator="equal">
      <formula>"Towel"</formula>
    </cfRule>
    <cfRule type="cellIs" dxfId="4350" priority="5972" stopIfTrue="1" operator="equal">
      <formula>"Napkin Hs"</formula>
    </cfRule>
  </conditionalFormatting>
  <conditionalFormatting sqref="C48">
    <cfRule type="cellIs" dxfId="4349" priority="5969" stopIfTrue="1" operator="equal">
      <formula>"Towel"</formula>
    </cfRule>
    <cfRule type="cellIs" dxfId="4348" priority="5970" stopIfTrue="1" operator="equal">
      <formula>"Napkin Hs"</formula>
    </cfRule>
  </conditionalFormatting>
  <conditionalFormatting sqref="C48">
    <cfRule type="cellIs" dxfId="4347" priority="5967" stopIfTrue="1" operator="equal">
      <formula>"Towel"</formula>
    </cfRule>
    <cfRule type="cellIs" dxfId="4346" priority="5968" stopIfTrue="1" operator="equal">
      <formula>"Napkin Hs"</formula>
    </cfRule>
  </conditionalFormatting>
  <conditionalFormatting sqref="B48:C48">
    <cfRule type="cellIs" dxfId="4345" priority="5965" stopIfTrue="1" operator="equal">
      <formula>"Towel"</formula>
    </cfRule>
    <cfRule type="cellIs" dxfId="4344" priority="5966" stopIfTrue="1" operator="equal">
      <formula>"Napkin Hs"</formula>
    </cfRule>
  </conditionalFormatting>
  <conditionalFormatting sqref="C48">
    <cfRule type="cellIs" dxfId="4343" priority="5963" stopIfTrue="1" operator="equal">
      <formula>"Towel"</formula>
    </cfRule>
    <cfRule type="cellIs" dxfId="4342" priority="5964" stopIfTrue="1" operator="equal">
      <formula>"Napkin Hs"</formula>
    </cfRule>
  </conditionalFormatting>
  <conditionalFormatting sqref="C48">
    <cfRule type="cellIs" dxfId="4341" priority="5961" stopIfTrue="1" operator="equal">
      <formula>"Towel"</formula>
    </cfRule>
    <cfRule type="cellIs" dxfId="4340" priority="5962" stopIfTrue="1" operator="equal">
      <formula>"Napkin Hs"</formula>
    </cfRule>
  </conditionalFormatting>
  <conditionalFormatting sqref="B48:C48">
    <cfRule type="cellIs" dxfId="4339" priority="5960" stopIfTrue="1" operator="equal">
      <formula>"Napkin Hs"</formula>
    </cfRule>
  </conditionalFormatting>
  <conditionalFormatting sqref="B48:C48">
    <cfRule type="cellIs" dxfId="4338" priority="5959" stopIfTrue="1" operator="equal">
      <formula>"Towel"</formula>
    </cfRule>
  </conditionalFormatting>
  <conditionalFormatting sqref="C48">
    <cfRule type="cellIs" dxfId="4337" priority="5958" stopIfTrue="1" operator="equal">
      <formula>"Napkin Hs"</formula>
    </cfRule>
  </conditionalFormatting>
  <conditionalFormatting sqref="C48">
    <cfRule type="cellIs" dxfId="4336" priority="5955" stopIfTrue="1" operator="equal">
      <formula>"Towel"</formula>
    </cfRule>
    <cfRule type="cellIs" dxfId="4335" priority="5956" stopIfTrue="1" operator="equal">
      <formula>"Napkin Hs"</formula>
    </cfRule>
  </conditionalFormatting>
  <conditionalFormatting sqref="C48">
    <cfRule type="cellIs" dxfId="4334" priority="5957" stopIfTrue="1" operator="equal">
      <formula>"Towel"</formula>
    </cfRule>
  </conditionalFormatting>
  <conditionalFormatting sqref="B46:B47">
    <cfRule type="cellIs" dxfId="4333" priority="5954" stopIfTrue="1" operator="equal">
      <formula>"Napkin Hs"</formula>
    </cfRule>
  </conditionalFormatting>
  <conditionalFormatting sqref="B46:B47">
    <cfRule type="cellIs" dxfId="4332" priority="5953" stopIfTrue="1" operator="equal">
      <formula>"Towel"</formula>
    </cfRule>
  </conditionalFormatting>
  <conditionalFormatting sqref="C46:C47">
    <cfRule type="cellIs" dxfId="4331" priority="5952" stopIfTrue="1" operator="equal">
      <formula>"Napkin Hs"</formula>
    </cfRule>
  </conditionalFormatting>
  <conditionalFormatting sqref="C46:C47">
    <cfRule type="cellIs" dxfId="4330" priority="5951" stopIfTrue="1" operator="equal">
      <formula>"Towel"</formula>
    </cfRule>
  </conditionalFormatting>
  <conditionalFormatting sqref="C46:C47">
    <cfRule type="cellIs" dxfId="4329" priority="5950" stopIfTrue="1" operator="equal">
      <formula>"Napkin Hs"</formula>
    </cfRule>
  </conditionalFormatting>
  <conditionalFormatting sqref="C46:C47">
    <cfRule type="cellIs" dxfId="4328" priority="5947" stopIfTrue="1" operator="equal">
      <formula>"Towel"</formula>
    </cfRule>
    <cfRule type="cellIs" dxfId="4327" priority="5948" stopIfTrue="1" operator="equal">
      <formula>"Napkin Hs"</formula>
    </cfRule>
  </conditionalFormatting>
  <conditionalFormatting sqref="C46:C47">
    <cfRule type="cellIs" dxfId="4326" priority="5949" stopIfTrue="1" operator="equal">
      <formula>"Towel"</formula>
    </cfRule>
  </conditionalFormatting>
  <conditionalFormatting sqref="B44:B45">
    <cfRule type="cellIs" dxfId="4325" priority="5946" stopIfTrue="1" operator="equal">
      <formula>"Napkin Hs"</formula>
    </cfRule>
  </conditionalFormatting>
  <conditionalFormatting sqref="B44:B45">
    <cfRule type="cellIs" dxfId="4324" priority="5945" stopIfTrue="1" operator="equal">
      <formula>"Towel"</formula>
    </cfRule>
  </conditionalFormatting>
  <conditionalFormatting sqref="C44:C45">
    <cfRule type="cellIs" dxfId="4323" priority="5944" stopIfTrue="1" operator="equal">
      <formula>"Napkin Hs"</formula>
    </cfRule>
  </conditionalFormatting>
  <conditionalFormatting sqref="C44:C45">
    <cfRule type="cellIs" dxfId="4322" priority="5943" stopIfTrue="1" operator="equal">
      <formula>"Towel"</formula>
    </cfRule>
  </conditionalFormatting>
  <conditionalFormatting sqref="C44:C45">
    <cfRule type="cellIs" dxfId="4321" priority="5942" stopIfTrue="1" operator="equal">
      <formula>"Napkin Hs"</formula>
    </cfRule>
  </conditionalFormatting>
  <conditionalFormatting sqref="C44:C45">
    <cfRule type="cellIs" dxfId="4320" priority="5939" stopIfTrue="1" operator="equal">
      <formula>"Towel"</formula>
    </cfRule>
    <cfRule type="cellIs" dxfId="4319" priority="5940" stopIfTrue="1" operator="equal">
      <formula>"Napkin Hs"</formula>
    </cfRule>
  </conditionalFormatting>
  <conditionalFormatting sqref="C44:C45">
    <cfRule type="cellIs" dxfId="4318" priority="5941" stopIfTrue="1" operator="equal">
      <formula>"Towel"</formula>
    </cfRule>
  </conditionalFormatting>
  <conditionalFormatting sqref="B51:B52">
    <cfRule type="cellIs" dxfId="4317" priority="5938" stopIfTrue="1" operator="equal">
      <formula>"Napkin Hs"</formula>
    </cfRule>
  </conditionalFormatting>
  <conditionalFormatting sqref="B51:B52">
    <cfRule type="cellIs" dxfId="4316" priority="5937" stopIfTrue="1" operator="equal">
      <formula>"Towel"</formula>
    </cfRule>
  </conditionalFormatting>
  <conditionalFormatting sqref="C51:C52">
    <cfRule type="cellIs" dxfId="4315" priority="5936" stopIfTrue="1" operator="equal">
      <formula>"Napkin Hs"</formula>
    </cfRule>
  </conditionalFormatting>
  <conditionalFormatting sqref="C51:C52">
    <cfRule type="cellIs" dxfId="4314" priority="5935" stopIfTrue="1" operator="equal">
      <formula>"Towel"</formula>
    </cfRule>
  </conditionalFormatting>
  <conditionalFormatting sqref="C51:C52">
    <cfRule type="cellIs" dxfId="4313" priority="5934" stopIfTrue="1" operator="equal">
      <formula>"Napkin Hs"</formula>
    </cfRule>
  </conditionalFormatting>
  <conditionalFormatting sqref="C51:C52">
    <cfRule type="cellIs" dxfId="4312" priority="5931" stopIfTrue="1" operator="equal">
      <formula>"Towel"</formula>
    </cfRule>
    <cfRule type="cellIs" dxfId="4311" priority="5932" stopIfTrue="1" operator="equal">
      <formula>"Napkin Hs"</formula>
    </cfRule>
  </conditionalFormatting>
  <conditionalFormatting sqref="C51:C52">
    <cfRule type="cellIs" dxfId="4310" priority="5933" stopIfTrue="1" operator="equal">
      <formula>"Towel"</formula>
    </cfRule>
  </conditionalFormatting>
  <conditionalFormatting sqref="B50">
    <cfRule type="cellIs" dxfId="4309" priority="5930" stopIfTrue="1" operator="equal">
      <formula>"Napkin Hs"</formula>
    </cfRule>
  </conditionalFormatting>
  <conditionalFormatting sqref="B50">
    <cfRule type="cellIs" dxfId="4308" priority="5929" stopIfTrue="1" operator="equal">
      <formula>"Towel"</formula>
    </cfRule>
  </conditionalFormatting>
  <conditionalFormatting sqref="C50">
    <cfRule type="cellIs" dxfId="4307" priority="5928" stopIfTrue="1" operator="equal">
      <formula>"Napkin Hs"</formula>
    </cfRule>
  </conditionalFormatting>
  <conditionalFormatting sqref="C50">
    <cfRule type="cellIs" dxfId="4306" priority="5927" stopIfTrue="1" operator="equal">
      <formula>"Towel"</formula>
    </cfRule>
  </conditionalFormatting>
  <conditionalFormatting sqref="C50">
    <cfRule type="cellIs" dxfId="4305" priority="5926" stopIfTrue="1" operator="equal">
      <formula>"Napkin Hs"</formula>
    </cfRule>
  </conditionalFormatting>
  <conditionalFormatting sqref="C50">
    <cfRule type="cellIs" dxfId="4304" priority="5923" stopIfTrue="1" operator="equal">
      <formula>"Towel"</formula>
    </cfRule>
    <cfRule type="cellIs" dxfId="4303" priority="5924" stopIfTrue="1" operator="equal">
      <formula>"Napkin Hs"</formula>
    </cfRule>
  </conditionalFormatting>
  <conditionalFormatting sqref="C50">
    <cfRule type="cellIs" dxfId="4302" priority="5925" stopIfTrue="1" operator="equal">
      <formula>"Towel"</formula>
    </cfRule>
  </conditionalFormatting>
  <conditionalFormatting sqref="B49">
    <cfRule type="cellIs" dxfId="4301" priority="5922" stopIfTrue="1" operator="equal">
      <formula>"Napkin Hs"</formula>
    </cfRule>
  </conditionalFormatting>
  <conditionalFormatting sqref="B49">
    <cfRule type="cellIs" dxfId="4300" priority="5921" stopIfTrue="1" operator="equal">
      <formula>"Towel"</formula>
    </cfRule>
  </conditionalFormatting>
  <conditionalFormatting sqref="C49">
    <cfRule type="cellIs" dxfId="4299" priority="5920" stopIfTrue="1" operator="equal">
      <formula>"Napkin Hs"</formula>
    </cfRule>
  </conditionalFormatting>
  <conditionalFormatting sqref="C49">
    <cfRule type="cellIs" dxfId="4298" priority="5919" stopIfTrue="1" operator="equal">
      <formula>"Towel"</formula>
    </cfRule>
  </conditionalFormatting>
  <conditionalFormatting sqref="C49">
    <cfRule type="cellIs" dxfId="4297" priority="5918" stopIfTrue="1" operator="equal">
      <formula>"Napkin Hs"</formula>
    </cfRule>
  </conditionalFormatting>
  <conditionalFormatting sqref="C49">
    <cfRule type="cellIs" dxfId="4296" priority="5915" stopIfTrue="1" operator="equal">
      <formula>"Towel"</formula>
    </cfRule>
    <cfRule type="cellIs" dxfId="4295" priority="5916" stopIfTrue="1" operator="equal">
      <formula>"Napkin Hs"</formula>
    </cfRule>
  </conditionalFormatting>
  <conditionalFormatting sqref="C49">
    <cfRule type="cellIs" dxfId="4294" priority="5917" stopIfTrue="1" operator="equal">
      <formula>"Towel"</formula>
    </cfRule>
  </conditionalFormatting>
  <conditionalFormatting sqref="B58:C58">
    <cfRule type="cellIs" dxfId="4293" priority="5913" stopIfTrue="1" operator="equal">
      <formula>"Towel"</formula>
    </cfRule>
    <cfRule type="cellIs" dxfId="4292" priority="5914" stopIfTrue="1" operator="equal">
      <formula>"Napkin Hs"</formula>
    </cfRule>
  </conditionalFormatting>
  <conditionalFormatting sqref="C58">
    <cfRule type="cellIs" dxfId="4291" priority="5909" stopIfTrue="1" operator="equal">
      <formula>"Towel"</formula>
    </cfRule>
    <cfRule type="cellIs" dxfId="4290" priority="5910" stopIfTrue="1" operator="equal">
      <formula>"Napkin Hs"</formula>
    </cfRule>
  </conditionalFormatting>
  <conditionalFormatting sqref="C58">
    <cfRule type="cellIs" dxfId="4289" priority="5911" stopIfTrue="1" operator="equal">
      <formula>"Towel"</formula>
    </cfRule>
    <cfRule type="cellIs" dxfId="4288" priority="5912" stopIfTrue="1" operator="equal">
      <formula>"Napkin Hs"</formula>
    </cfRule>
  </conditionalFormatting>
  <conditionalFormatting sqref="B58:C58">
    <cfRule type="cellIs" dxfId="4287" priority="5907" stopIfTrue="1" operator="equal">
      <formula>"Towel"</formula>
    </cfRule>
    <cfRule type="cellIs" dxfId="4286" priority="5908" stopIfTrue="1" operator="equal">
      <formula>"Napkin Hs"</formula>
    </cfRule>
  </conditionalFormatting>
  <conditionalFormatting sqref="C58">
    <cfRule type="cellIs" dxfId="4285" priority="5903" stopIfTrue="1" operator="equal">
      <formula>"Towel"</formula>
    </cfRule>
    <cfRule type="cellIs" dxfId="4284" priority="5904" stopIfTrue="1" operator="equal">
      <formula>"Napkin Hs"</formula>
    </cfRule>
  </conditionalFormatting>
  <conditionalFormatting sqref="C58">
    <cfRule type="cellIs" dxfId="4283" priority="5905" stopIfTrue="1" operator="equal">
      <formula>"Towel"</formula>
    </cfRule>
    <cfRule type="cellIs" dxfId="4282" priority="5906" stopIfTrue="1" operator="equal">
      <formula>"Napkin Hs"</formula>
    </cfRule>
  </conditionalFormatting>
  <conditionalFormatting sqref="B58:C58">
    <cfRule type="cellIs" dxfId="4281" priority="5901" stopIfTrue="1" operator="equal">
      <formula>"Towel"</formula>
    </cfRule>
    <cfRule type="cellIs" dxfId="4280" priority="5902" stopIfTrue="1" operator="equal">
      <formula>"Napkin Hs"</formula>
    </cfRule>
  </conditionalFormatting>
  <conditionalFormatting sqref="C58">
    <cfRule type="cellIs" dxfId="4279" priority="5899" stopIfTrue="1" operator="equal">
      <formula>"Towel"</formula>
    </cfRule>
    <cfRule type="cellIs" dxfId="4278" priority="5900" stopIfTrue="1" operator="equal">
      <formula>"Napkin Hs"</formula>
    </cfRule>
  </conditionalFormatting>
  <conditionalFormatting sqref="C58">
    <cfRule type="cellIs" dxfId="4277" priority="5897" stopIfTrue="1" operator="equal">
      <formula>"Towel"</formula>
    </cfRule>
    <cfRule type="cellIs" dxfId="4276" priority="5898" stopIfTrue="1" operator="equal">
      <formula>"Napkin Hs"</formula>
    </cfRule>
  </conditionalFormatting>
  <conditionalFormatting sqref="B58:C58">
    <cfRule type="cellIs" dxfId="4275" priority="5895" stopIfTrue="1" operator="equal">
      <formula>"Towel"</formula>
    </cfRule>
    <cfRule type="cellIs" dxfId="4274" priority="5896" stopIfTrue="1" operator="equal">
      <formula>"Napkin Hs"</formula>
    </cfRule>
  </conditionalFormatting>
  <conditionalFormatting sqref="C58">
    <cfRule type="cellIs" dxfId="4273" priority="5893" stopIfTrue="1" operator="equal">
      <formula>"Towel"</formula>
    </cfRule>
    <cfRule type="cellIs" dxfId="4272" priority="5894" stopIfTrue="1" operator="equal">
      <formula>"Napkin Hs"</formula>
    </cfRule>
  </conditionalFormatting>
  <conditionalFormatting sqref="C58">
    <cfRule type="cellIs" dxfId="4271" priority="5891" stopIfTrue="1" operator="equal">
      <formula>"Towel"</formula>
    </cfRule>
    <cfRule type="cellIs" dxfId="4270" priority="5892" stopIfTrue="1" operator="equal">
      <formula>"Napkin Hs"</formula>
    </cfRule>
  </conditionalFormatting>
  <conditionalFormatting sqref="B58:C58">
    <cfRule type="cellIs" dxfId="4269" priority="5889" stopIfTrue="1" operator="equal">
      <formula>"Towel"</formula>
    </cfRule>
    <cfRule type="cellIs" dxfId="4268" priority="5890" stopIfTrue="1" operator="equal">
      <formula>"Napkin Hs"</formula>
    </cfRule>
  </conditionalFormatting>
  <conditionalFormatting sqref="C58">
    <cfRule type="cellIs" dxfId="4267" priority="5887" stopIfTrue="1" operator="equal">
      <formula>"Towel"</formula>
    </cfRule>
    <cfRule type="cellIs" dxfId="4266" priority="5888" stopIfTrue="1" operator="equal">
      <formula>"Napkin Hs"</formula>
    </cfRule>
  </conditionalFormatting>
  <conditionalFormatting sqref="C58">
    <cfRule type="cellIs" dxfId="4265" priority="5885" stopIfTrue="1" operator="equal">
      <formula>"Towel"</formula>
    </cfRule>
    <cfRule type="cellIs" dxfId="4264" priority="5886" stopIfTrue="1" operator="equal">
      <formula>"Napkin Hs"</formula>
    </cfRule>
  </conditionalFormatting>
  <conditionalFormatting sqref="B58:C58">
    <cfRule type="cellIs" dxfId="4263" priority="5884" stopIfTrue="1" operator="equal">
      <formula>"Napkin Hs"</formula>
    </cfRule>
  </conditionalFormatting>
  <conditionalFormatting sqref="B58:C58">
    <cfRule type="cellIs" dxfId="4262" priority="5883" stopIfTrue="1" operator="equal">
      <formula>"Towel"</formula>
    </cfRule>
  </conditionalFormatting>
  <conditionalFormatting sqref="C58">
    <cfRule type="cellIs" dxfId="4261" priority="5882" stopIfTrue="1" operator="equal">
      <formula>"Napkin Hs"</formula>
    </cfRule>
  </conditionalFormatting>
  <conditionalFormatting sqref="C58">
    <cfRule type="cellIs" dxfId="4260" priority="5879" stopIfTrue="1" operator="equal">
      <formula>"Towel"</formula>
    </cfRule>
    <cfRule type="cellIs" dxfId="4259" priority="5880" stopIfTrue="1" operator="equal">
      <formula>"Napkin Hs"</formula>
    </cfRule>
  </conditionalFormatting>
  <conditionalFormatting sqref="C58">
    <cfRule type="cellIs" dxfId="4258" priority="5881" stopIfTrue="1" operator="equal">
      <formula>"Towel"</formula>
    </cfRule>
  </conditionalFormatting>
  <conditionalFormatting sqref="B57">
    <cfRule type="cellIs" dxfId="4257" priority="5878" stopIfTrue="1" operator="equal">
      <formula>"Napkin Hs"</formula>
    </cfRule>
  </conditionalFormatting>
  <conditionalFormatting sqref="B57">
    <cfRule type="cellIs" dxfId="4256" priority="5877" stopIfTrue="1" operator="equal">
      <formula>"Towel"</formula>
    </cfRule>
  </conditionalFormatting>
  <conditionalFormatting sqref="C57">
    <cfRule type="cellIs" dxfId="4255" priority="5876" stopIfTrue="1" operator="equal">
      <formula>"Napkin Hs"</formula>
    </cfRule>
  </conditionalFormatting>
  <conditionalFormatting sqref="C57">
    <cfRule type="cellIs" dxfId="4254" priority="5875" stopIfTrue="1" operator="equal">
      <formula>"Towel"</formula>
    </cfRule>
  </conditionalFormatting>
  <conditionalFormatting sqref="C57">
    <cfRule type="cellIs" dxfId="4253" priority="5874" stopIfTrue="1" operator="equal">
      <formula>"Napkin Hs"</formula>
    </cfRule>
  </conditionalFormatting>
  <conditionalFormatting sqref="C57">
    <cfRule type="cellIs" dxfId="4252" priority="5871" stopIfTrue="1" operator="equal">
      <formula>"Towel"</formula>
    </cfRule>
    <cfRule type="cellIs" dxfId="4251" priority="5872" stopIfTrue="1" operator="equal">
      <formula>"Napkin Hs"</formula>
    </cfRule>
  </conditionalFormatting>
  <conditionalFormatting sqref="C57">
    <cfRule type="cellIs" dxfId="4250" priority="5873" stopIfTrue="1" operator="equal">
      <formula>"Towel"</formula>
    </cfRule>
  </conditionalFormatting>
  <conditionalFormatting sqref="B54">
    <cfRule type="cellIs" dxfId="4249" priority="5870" stopIfTrue="1" operator="equal">
      <formula>"Napkin Hs"</formula>
    </cfRule>
  </conditionalFormatting>
  <conditionalFormatting sqref="B54">
    <cfRule type="cellIs" dxfId="4248" priority="5869" stopIfTrue="1" operator="equal">
      <formula>"Towel"</formula>
    </cfRule>
  </conditionalFormatting>
  <conditionalFormatting sqref="C54">
    <cfRule type="cellIs" dxfId="4247" priority="5868" stopIfTrue="1" operator="equal">
      <formula>"Napkin Hs"</formula>
    </cfRule>
  </conditionalFormatting>
  <conditionalFormatting sqref="C54">
    <cfRule type="cellIs" dxfId="4246" priority="5867" stopIfTrue="1" operator="equal">
      <formula>"Towel"</formula>
    </cfRule>
  </conditionalFormatting>
  <conditionalFormatting sqref="C54">
    <cfRule type="cellIs" dxfId="4245" priority="5866" stopIfTrue="1" operator="equal">
      <formula>"Napkin Hs"</formula>
    </cfRule>
  </conditionalFormatting>
  <conditionalFormatting sqref="C54">
    <cfRule type="cellIs" dxfId="4244" priority="5863" stopIfTrue="1" operator="equal">
      <formula>"Towel"</formula>
    </cfRule>
    <cfRule type="cellIs" dxfId="4243" priority="5864" stopIfTrue="1" operator="equal">
      <formula>"Napkin Hs"</formula>
    </cfRule>
  </conditionalFormatting>
  <conditionalFormatting sqref="C54">
    <cfRule type="cellIs" dxfId="4242" priority="5865" stopIfTrue="1" operator="equal">
      <formula>"Towel"</formula>
    </cfRule>
  </conditionalFormatting>
  <conditionalFormatting sqref="B55:B56">
    <cfRule type="cellIs" dxfId="4241" priority="5862" stopIfTrue="1" operator="equal">
      <formula>"Napkin Hs"</formula>
    </cfRule>
  </conditionalFormatting>
  <conditionalFormatting sqref="B55:B56">
    <cfRule type="cellIs" dxfId="4240" priority="5861" stopIfTrue="1" operator="equal">
      <formula>"Towel"</formula>
    </cfRule>
  </conditionalFormatting>
  <conditionalFormatting sqref="C55:C56">
    <cfRule type="cellIs" dxfId="4239" priority="5860" stopIfTrue="1" operator="equal">
      <formula>"Napkin Hs"</formula>
    </cfRule>
  </conditionalFormatting>
  <conditionalFormatting sqref="C55:C56">
    <cfRule type="cellIs" dxfId="4238" priority="5859" stopIfTrue="1" operator="equal">
      <formula>"Towel"</formula>
    </cfRule>
  </conditionalFormatting>
  <conditionalFormatting sqref="C55:C56">
    <cfRule type="cellIs" dxfId="4237" priority="5858" stopIfTrue="1" operator="equal">
      <formula>"Napkin Hs"</formula>
    </cfRule>
  </conditionalFormatting>
  <conditionalFormatting sqref="C55:C56">
    <cfRule type="cellIs" dxfId="4236" priority="5855" stopIfTrue="1" operator="equal">
      <formula>"Towel"</formula>
    </cfRule>
    <cfRule type="cellIs" dxfId="4235" priority="5856" stopIfTrue="1" operator="equal">
      <formula>"Napkin Hs"</formula>
    </cfRule>
  </conditionalFormatting>
  <conditionalFormatting sqref="C55:C56">
    <cfRule type="cellIs" dxfId="4234" priority="5857" stopIfTrue="1" operator="equal">
      <formula>"Towel"</formula>
    </cfRule>
  </conditionalFormatting>
  <conditionalFormatting sqref="B64:C64">
    <cfRule type="cellIs" dxfId="4233" priority="5853" stopIfTrue="1" operator="equal">
      <formula>"Towel"</formula>
    </cfRule>
    <cfRule type="cellIs" dxfId="4232" priority="5854" stopIfTrue="1" operator="equal">
      <formula>"Napkin Hs"</formula>
    </cfRule>
  </conditionalFormatting>
  <conditionalFormatting sqref="C64">
    <cfRule type="cellIs" dxfId="4231" priority="5849" stopIfTrue="1" operator="equal">
      <formula>"Towel"</formula>
    </cfRule>
    <cfRule type="cellIs" dxfId="4230" priority="5850" stopIfTrue="1" operator="equal">
      <formula>"Napkin Hs"</formula>
    </cfRule>
  </conditionalFormatting>
  <conditionalFormatting sqref="C64">
    <cfRule type="cellIs" dxfId="4229" priority="5851" stopIfTrue="1" operator="equal">
      <formula>"Towel"</formula>
    </cfRule>
    <cfRule type="cellIs" dxfId="4228" priority="5852" stopIfTrue="1" operator="equal">
      <formula>"Napkin Hs"</formula>
    </cfRule>
  </conditionalFormatting>
  <conditionalFormatting sqref="B64:C64">
    <cfRule type="cellIs" dxfId="4227" priority="5847" stopIfTrue="1" operator="equal">
      <formula>"Towel"</formula>
    </cfRule>
    <cfRule type="cellIs" dxfId="4226" priority="5848" stopIfTrue="1" operator="equal">
      <formula>"Napkin Hs"</formula>
    </cfRule>
  </conditionalFormatting>
  <conditionalFormatting sqref="C64">
    <cfRule type="cellIs" dxfId="4225" priority="5843" stopIfTrue="1" operator="equal">
      <formula>"Towel"</formula>
    </cfRule>
    <cfRule type="cellIs" dxfId="4224" priority="5844" stopIfTrue="1" operator="equal">
      <formula>"Napkin Hs"</formula>
    </cfRule>
  </conditionalFormatting>
  <conditionalFormatting sqref="C64">
    <cfRule type="cellIs" dxfId="4223" priority="5845" stopIfTrue="1" operator="equal">
      <formula>"Towel"</formula>
    </cfRule>
    <cfRule type="cellIs" dxfId="4222" priority="5846" stopIfTrue="1" operator="equal">
      <formula>"Napkin Hs"</formula>
    </cfRule>
  </conditionalFormatting>
  <conditionalFormatting sqref="B64:C64">
    <cfRule type="cellIs" dxfId="4221" priority="5841" stopIfTrue="1" operator="equal">
      <formula>"Towel"</formula>
    </cfRule>
    <cfRule type="cellIs" dxfId="4220" priority="5842" stopIfTrue="1" operator="equal">
      <formula>"Napkin Hs"</formula>
    </cfRule>
  </conditionalFormatting>
  <conditionalFormatting sqref="C64">
    <cfRule type="cellIs" dxfId="4219" priority="5839" stopIfTrue="1" operator="equal">
      <formula>"Towel"</formula>
    </cfRule>
    <cfRule type="cellIs" dxfId="4218" priority="5840" stopIfTrue="1" operator="equal">
      <formula>"Napkin Hs"</formula>
    </cfRule>
  </conditionalFormatting>
  <conditionalFormatting sqref="C64">
    <cfRule type="cellIs" dxfId="4217" priority="5837" stopIfTrue="1" operator="equal">
      <formula>"Towel"</formula>
    </cfRule>
    <cfRule type="cellIs" dxfId="4216" priority="5838" stopIfTrue="1" operator="equal">
      <formula>"Napkin Hs"</formula>
    </cfRule>
  </conditionalFormatting>
  <conditionalFormatting sqref="B64:C64">
    <cfRule type="cellIs" dxfId="4215" priority="5835" stopIfTrue="1" operator="equal">
      <formula>"Towel"</formula>
    </cfRule>
    <cfRule type="cellIs" dxfId="4214" priority="5836" stopIfTrue="1" operator="equal">
      <formula>"Napkin Hs"</formula>
    </cfRule>
  </conditionalFormatting>
  <conditionalFormatting sqref="C64">
    <cfRule type="cellIs" dxfId="4213" priority="5833" stopIfTrue="1" operator="equal">
      <formula>"Towel"</formula>
    </cfRule>
    <cfRule type="cellIs" dxfId="4212" priority="5834" stopIfTrue="1" operator="equal">
      <formula>"Napkin Hs"</formula>
    </cfRule>
  </conditionalFormatting>
  <conditionalFormatting sqref="C64">
    <cfRule type="cellIs" dxfId="4211" priority="5831" stopIfTrue="1" operator="equal">
      <formula>"Towel"</formula>
    </cfRule>
    <cfRule type="cellIs" dxfId="4210" priority="5832" stopIfTrue="1" operator="equal">
      <formula>"Napkin Hs"</formula>
    </cfRule>
  </conditionalFormatting>
  <conditionalFormatting sqref="B64:C64">
    <cfRule type="cellIs" dxfId="4209" priority="5829" stopIfTrue="1" operator="equal">
      <formula>"Towel"</formula>
    </cfRule>
    <cfRule type="cellIs" dxfId="4208" priority="5830" stopIfTrue="1" operator="equal">
      <formula>"Napkin Hs"</formula>
    </cfRule>
  </conditionalFormatting>
  <conditionalFormatting sqref="C64">
    <cfRule type="cellIs" dxfId="4207" priority="5827" stopIfTrue="1" operator="equal">
      <formula>"Towel"</formula>
    </cfRule>
    <cfRule type="cellIs" dxfId="4206" priority="5828" stopIfTrue="1" operator="equal">
      <formula>"Napkin Hs"</formula>
    </cfRule>
  </conditionalFormatting>
  <conditionalFormatting sqref="C64">
    <cfRule type="cellIs" dxfId="4205" priority="5825" stopIfTrue="1" operator="equal">
      <formula>"Towel"</formula>
    </cfRule>
    <cfRule type="cellIs" dxfId="4204" priority="5826" stopIfTrue="1" operator="equal">
      <formula>"Napkin Hs"</formula>
    </cfRule>
  </conditionalFormatting>
  <conditionalFormatting sqref="B64:C64">
    <cfRule type="cellIs" dxfId="4203" priority="5824" stopIfTrue="1" operator="equal">
      <formula>"Napkin Hs"</formula>
    </cfRule>
  </conditionalFormatting>
  <conditionalFormatting sqref="B64:C64">
    <cfRule type="cellIs" dxfId="4202" priority="5823" stopIfTrue="1" operator="equal">
      <formula>"Towel"</formula>
    </cfRule>
  </conditionalFormatting>
  <conditionalFormatting sqref="C64">
    <cfRule type="cellIs" dxfId="4201" priority="5822" stopIfTrue="1" operator="equal">
      <formula>"Napkin Hs"</formula>
    </cfRule>
  </conditionalFormatting>
  <conditionalFormatting sqref="C64">
    <cfRule type="cellIs" dxfId="4200" priority="5819" stopIfTrue="1" operator="equal">
      <formula>"Towel"</formula>
    </cfRule>
    <cfRule type="cellIs" dxfId="4199" priority="5820" stopIfTrue="1" operator="equal">
      <formula>"Napkin Hs"</formula>
    </cfRule>
  </conditionalFormatting>
  <conditionalFormatting sqref="C64">
    <cfRule type="cellIs" dxfId="4198" priority="5821" stopIfTrue="1" operator="equal">
      <formula>"Towel"</formula>
    </cfRule>
  </conditionalFormatting>
  <conditionalFormatting sqref="B63">
    <cfRule type="cellIs" dxfId="4197" priority="5818" stopIfTrue="1" operator="equal">
      <formula>"Napkin Hs"</formula>
    </cfRule>
  </conditionalFormatting>
  <conditionalFormatting sqref="B63">
    <cfRule type="cellIs" dxfId="4196" priority="5817" stopIfTrue="1" operator="equal">
      <formula>"Towel"</formula>
    </cfRule>
  </conditionalFormatting>
  <conditionalFormatting sqref="C63">
    <cfRule type="cellIs" dxfId="4195" priority="5816" stopIfTrue="1" operator="equal">
      <formula>"Napkin Hs"</formula>
    </cfRule>
  </conditionalFormatting>
  <conditionalFormatting sqref="C63">
    <cfRule type="cellIs" dxfId="4194" priority="5815" stopIfTrue="1" operator="equal">
      <formula>"Towel"</formula>
    </cfRule>
  </conditionalFormatting>
  <conditionalFormatting sqref="C63">
    <cfRule type="cellIs" dxfId="4193" priority="5814" stopIfTrue="1" operator="equal">
      <formula>"Napkin Hs"</formula>
    </cfRule>
  </conditionalFormatting>
  <conditionalFormatting sqref="C63">
    <cfRule type="cellIs" dxfId="4192" priority="5811" stopIfTrue="1" operator="equal">
      <formula>"Towel"</formula>
    </cfRule>
    <cfRule type="cellIs" dxfId="4191" priority="5812" stopIfTrue="1" operator="equal">
      <formula>"Napkin Hs"</formula>
    </cfRule>
  </conditionalFormatting>
  <conditionalFormatting sqref="C63">
    <cfRule type="cellIs" dxfId="4190" priority="5813" stopIfTrue="1" operator="equal">
      <formula>"Towel"</formula>
    </cfRule>
  </conditionalFormatting>
  <conditionalFormatting sqref="B61:B62">
    <cfRule type="cellIs" dxfId="4189" priority="5810" stopIfTrue="1" operator="equal">
      <formula>"Napkin Hs"</formula>
    </cfRule>
  </conditionalFormatting>
  <conditionalFormatting sqref="B61:B62">
    <cfRule type="cellIs" dxfId="4188" priority="5809" stopIfTrue="1" operator="equal">
      <formula>"Towel"</formula>
    </cfRule>
  </conditionalFormatting>
  <conditionalFormatting sqref="C61:C62">
    <cfRule type="cellIs" dxfId="4187" priority="5808" stopIfTrue="1" operator="equal">
      <formula>"Napkin Hs"</formula>
    </cfRule>
  </conditionalFormatting>
  <conditionalFormatting sqref="C61:C62">
    <cfRule type="cellIs" dxfId="4186" priority="5807" stopIfTrue="1" operator="equal">
      <formula>"Towel"</formula>
    </cfRule>
  </conditionalFormatting>
  <conditionalFormatting sqref="C61:C62">
    <cfRule type="cellIs" dxfId="4185" priority="5806" stopIfTrue="1" operator="equal">
      <formula>"Napkin Hs"</formula>
    </cfRule>
  </conditionalFormatting>
  <conditionalFormatting sqref="C61:C62">
    <cfRule type="cellIs" dxfId="4184" priority="5803" stopIfTrue="1" operator="equal">
      <formula>"Towel"</formula>
    </cfRule>
    <cfRule type="cellIs" dxfId="4183" priority="5804" stopIfTrue="1" operator="equal">
      <formula>"Napkin Hs"</formula>
    </cfRule>
  </conditionalFormatting>
  <conditionalFormatting sqref="C61:C62">
    <cfRule type="cellIs" dxfId="4182" priority="5805" stopIfTrue="1" operator="equal">
      <formula>"Towel"</formula>
    </cfRule>
  </conditionalFormatting>
  <conditionalFormatting sqref="B61">
    <cfRule type="cellIs" dxfId="4181" priority="5802" stopIfTrue="1" operator="equal">
      <formula>"Napkin Hs"</formula>
    </cfRule>
  </conditionalFormatting>
  <conditionalFormatting sqref="B61">
    <cfRule type="cellIs" dxfId="4180" priority="5801" stopIfTrue="1" operator="equal">
      <formula>"Towel"</formula>
    </cfRule>
  </conditionalFormatting>
  <conditionalFormatting sqref="C61">
    <cfRule type="cellIs" dxfId="4179" priority="5800" stopIfTrue="1" operator="equal">
      <formula>"Napkin Hs"</formula>
    </cfRule>
  </conditionalFormatting>
  <conditionalFormatting sqref="C61">
    <cfRule type="cellIs" dxfId="4178" priority="5799" stopIfTrue="1" operator="equal">
      <formula>"Towel"</formula>
    </cfRule>
  </conditionalFormatting>
  <conditionalFormatting sqref="C61">
    <cfRule type="cellIs" dxfId="4177" priority="5798" stopIfTrue="1" operator="equal">
      <formula>"Napkin Hs"</formula>
    </cfRule>
  </conditionalFormatting>
  <conditionalFormatting sqref="C61">
    <cfRule type="cellIs" dxfId="4176" priority="5795" stopIfTrue="1" operator="equal">
      <formula>"Towel"</formula>
    </cfRule>
    <cfRule type="cellIs" dxfId="4175" priority="5796" stopIfTrue="1" operator="equal">
      <formula>"Napkin Hs"</formula>
    </cfRule>
  </conditionalFormatting>
  <conditionalFormatting sqref="C61">
    <cfRule type="cellIs" dxfId="4174" priority="5797" stopIfTrue="1" operator="equal">
      <formula>"Towel"</formula>
    </cfRule>
  </conditionalFormatting>
  <conditionalFormatting sqref="B60">
    <cfRule type="cellIs" dxfId="4173" priority="5794" stopIfTrue="1" operator="equal">
      <formula>"Napkin Hs"</formula>
    </cfRule>
  </conditionalFormatting>
  <conditionalFormatting sqref="B60">
    <cfRule type="cellIs" dxfId="4172" priority="5793" stopIfTrue="1" operator="equal">
      <formula>"Towel"</formula>
    </cfRule>
  </conditionalFormatting>
  <conditionalFormatting sqref="C60">
    <cfRule type="cellIs" dxfId="4171" priority="5792" stopIfTrue="1" operator="equal">
      <formula>"Napkin Hs"</formula>
    </cfRule>
  </conditionalFormatting>
  <conditionalFormatting sqref="C60">
    <cfRule type="cellIs" dxfId="4170" priority="5791" stopIfTrue="1" operator="equal">
      <formula>"Towel"</formula>
    </cfRule>
  </conditionalFormatting>
  <conditionalFormatting sqref="C60">
    <cfRule type="cellIs" dxfId="4169" priority="5790" stopIfTrue="1" operator="equal">
      <formula>"Napkin Hs"</formula>
    </cfRule>
  </conditionalFormatting>
  <conditionalFormatting sqref="C60">
    <cfRule type="cellIs" dxfId="4168" priority="5787" stopIfTrue="1" operator="equal">
      <formula>"Towel"</formula>
    </cfRule>
    <cfRule type="cellIs" dxfId="4167" priority="5788" stopIfTrue="1" operator="equal">
      <formula>"Napkin Hs"</formula>
    </cfRule>
  </conditionalFormatting>
  <conditionalFormatting sqref="C60">
    <cfRule type="cellIs" dxfId="4166" priority="5789" stopIfTrue="1" operator="equal">
      <formula>"Towel"</formula>
    </cfRule>
  </conditionalFormatting>
  <conditionalFormatting sqref="B70:C70">
    <cfRule type="cellIs" dxfId="4165" priority="5779" stopIfTrue="1" operator="equal">
      <formula>"Towel"</formula>
    </cfRule>
    <cfRule type="cellIs" dxfId="4164" priority="5780" stopIfTrue="1" operator="equal">
      <formula>"Napkin Hs"</formula>
    </cfRule>
  </conditionalFormatting>
  <conditionalFormatting sqref="C70">
    <cfRule type="cellIs" dxfId="4163" priority="5775" stopIfTrue="1" operator="equal">
      <formula>"Towel"</formula>
    </cfRule>
    <cfRule type="cellIs" dxfId="4162" priority="5776" stopIfTrue="1" operator="equal">
      <formula>"Napkin Hs"</formula>
    </cfRule>
  </conditionalFormatting>
  <conditionalFormatting sqref="C70">
    <cfRule type="cellIs" dxfId="4161" priority="5777" stopIfTrue="1" operator="equal">
      <formula>"Towel"</formula>
    </cfRule>
    <cfRule type="cellIs" dxfId="4160" priority="5778" stopIfTrue="1" operator="equal">
      <formula>"Napkin Hs"</formula>
    </cfRule>
  </conditionalFormatting>
  <conditionalFormatting sqref="B70:C70">
    <cfRule type="cellIs" dxfId="4159" priority="5773" stopIfTrue="1" operator="equal">
      <formula>"Towel"</formula>
    </cfRule>
    <cfRule type="cellIs" dxfId="4158" priority="5774" stopIfTrue="1" operator="equal">
      <formula>"Napkin Hs"</formula>
    </cfRule>
  </conditionalFormatting>
  <conditionalFormatting sqref="C70">
    <cfRule type="cellIs" dxfId="4157" priority="5769" stopIfTrue="1" operator="equal">
      <formula>"Towel"</formula>
    </cfRule>
    <cfRule type="cellIs" dxfId="4156" priority="5770" stopIfTrue="1" operator="equal">
      <formula>"Napkin Hs"</formula>
    </cfRule>
  </conditionalFormatting>
  <conditionalFormatting sqref="C70">
    <cfRule type="cellIs" dxfId="4155" priority="5771" stopIfTrue="1" operator="equal">
      <formula>"Towel"</formula>
    </cfRule>
    <cfRule type="cellIs" dxfId="4154" priority="5772" stopIfTrue="1" operator="equal">
      <formula>"Napkin Hs"</formula>
    </cfRule>
  </conditionalFormatting>
  <conditionalFormatting sqref="B70:C70">
    <cfRule type="cellIs" dxfId="4153" priority="5767" stopIfTrue="1" operator="equal">
      <formula>"Towel"</formula>
    </cfRule>
    <cfRule type="cellIs" dxfId="4152" priority="5768" stopIfTrue="1" operator="equal">
      <formula>"Napkin Hs"</formula>
    </cfRule>
  </conditionalFormatting>
  <conditionalFormatting sqref="C70">
    <cfRule type="cellIs" dxfId="4151" priority="5765" stopIfTrue="1" operator="equal">
      <formula>"Towel"</formula>
    </cfRule>
    <cfRule type="cellIs" dxfId="4150" priority="5766" stopIfTrue="1" operator="equal">
      <formula>"Napkin Hs"</formula>
    </cfRule>
  </conditionalFormatting>
  <conditionalFormatting sqref="C70">
    <cfRule type="cellIs" dxfId="4149" priority="5763" stopIfTrue="1" operator="equal">
      <formula>"Towel"</formula>
    </cfRule>
    <cfRule type="cellIs" dxfId="4148" priority="5764" stopIfTrue="1" operator="equal">
      <formula>"Napkin Hs"</formula>
    </cfRule>
  </conditionalFormatting>
  <conditionalFormatting sqref="B70:C70">
    <cfRule type="cellIs" dxfId="4147" priority="5761" stopIfTrue="1" operator="equal">
      <formula>"Towel"</formula>
    </cfRule>
    <cfRule type="cellIs" dxfId="4146" priority="5762" stopIfTrue="1" operator="equal">
      <formula>"Napkin Hs"</formula>
    </cfRule>
  </conditionalFormatting>
  <conditionalFormatting sqref="C70">
    <cfRule type="cellIs" dxfId="4145" priority="5759" stopIfTrue="1" operator="equal">
      <formula>"Towel"</formula>
    </cfRule>
    <cfRule type="cellIs" dxfId="4144" priority="5760" stopIfTrue="1" operator="equal">
      <formula>"Napkin Hs"</formula>
    </cfRule>
  </conditionalFormatting>
  <conditionalFormatting sqref="C70">
    <cfRule type="cellIs" dxfId="4143" priority="5757" stopIfTrue="1" operator="equal">
      <formula>"Towel"</formula>
    </cfRule>
    <cfRule type="cellIs" dxfId="4142" priority="5758" stopIfTrue="1" operator="equal">
      <formula>"Napkin Hs"</formula>
    </cfRule>
  </conditionalFormatting>
  <conditionalFormatting sqref="B70:C70">
    <cfRule type="cellIs" dxfId="4141" priority="5755" stopIfTrue="1" operator="equal">
      <formula>"Towel"</formula>
    </cfRule>
    <cfRule type="cellIs" dxfId="4140" priority="5756" stopIfTrue="1" operator="equal">
      <formula>"Napkin Hs"</formula>
    </cfRule>
  </conditionalFormatting>
  <conditionalFormatting sqref="C70">
    <cfRule type="cellIs" dxfId="4139" priority="5753" stopIfTrue="1" operator="equal">
      <formula>"Towel"</formula>
    </cfRule>
    <cfRule type="cellIs" dxfId="4138" priority="5754" stopIfTrue="1" operator="equal">
      <formula>"Napkin Hs"</formula>
    </cfRule>
  </conditionalFormatting>
  <conditionalFormatting sqref="C70">
    <cfRule type="cellIs" dxfId="4137" priority="5751" stopIfTrue="1" operator="equal">
      <formula>"Towel"</formula>
    </cfRule>
    <cfRule type="cellIs" dxfId="4136" priority="5752" stopIfTrue="1" operator="equal">
      <formula>"Napkin Hs"</formula>
    </cfRule>
  </conditionalFormatting>
  <conditionalFormatting sqref="B70:C70">
    <cfRule type="cellIs" dxfId="4135" priority="5750" stopIfTrue="1" operator="equal">
      <formula>"Napkin Hs"</formula>
    </cfRule>
  </conditionalFormatting>
  <conditionalFormatting sqref="B70:C70">
    <cfRule type="cellIs" dxfId="4134" priority="5749" stopIfTrue="1" operator="equal">
      <formula>"Towel"</formula>
    </cfRule>
  </conditionalFormatting>
  <conditionalFormatting sqref="C70">
    <cfRule type="cellIs" dxfId="4133" priority="5748" stopIfTrue="1" operator="equal">
      <formula>"Napkin Hs"</formula>
    </cfRule>
  </conditionalFormatting>
  <conditionalFormatting sqref="C70">
    <cfRule type="cellIs" dxfId="4132" priority="5745" stopIfTrue="1" operator="equal">
      <formula>"Towel"</formula>
    </cfRule>
    <cfRule type="cellIs" dxfId="4131" priority="5746" stopIfTrue="1" operator="equal">
      <formula>"Napkin Hs"</formula>
    </cfRule>
  </conditionalFormatting>
  <conditionalFormatting sqref="C70">
    <cfRule type="cellIs" dxfId="4130" priority="5747" stopIfTrue="1" operator="equal">
      <formula>"Towel"</formula>
    </cfRule>
  </conditionalFormatting>
  <conditionalFormatting sqref="B69">
    <cfRule type="cellIs" dxfId="4129" priority="5744" stopIfTrue="1" operator="equal">
      <formula>"Napkin Hs"</formula>
    </cfRule>
  </conditionalFormatting>
  <conditionalFormatting sqref="B69">
    <cfRule type="cellIs" dxfId="4128" priority="5743" stopIfTrue="1" operator="equal">
      <formula>"Towel"</formula>
    </cfRule>
  </conditionalFormatting>
  <conditionalFormatting sqref="C69">
    <cfRule type="cellIs" dxfId="4127" priority="5742" stopIfTrue="1" operator="equal">
      <formula>"Napkin Hs"</formula>
    </cfRule>
  </conditionalFormatting>
  <conditionalFormatting sqref="C69">
    <cfRule type="cellIs" dxfId="4126" priority="5741" stopIfTrue="1" operator="equal">
      <formula>"Towel"</formula>
    </cfRule>
  </conditionalFormatting>
  <conditionalFormatting sqref="C69">
    <cfRule type="cellIs" dxfId="4125" priority="5740" stopIfTrue="1" operator="equal">
      <formula>"Napkin Hs"</formula>
    </cfRule>
  </conditionalFormatting>
  <conditionalFormatting sqref="C69">
    <cfRule type="cellIs" dxfId="4124" priority="5737" stopIfTrue="1" operator="equal">
      <formula>"Towel"</formula>
    </cfRule>
    <cfRule type="cellIs" dxfId="4123" priority="5738" stopIfTrue="1" operator="equal">
      <formula>"Napkin Hs"</formula>
    </cfRule>
  </conditionalFormatting>
  <conditionalFormatting sqref="C69">
    <cfRule type="cellIs" dxfId="4122" priority="5739" stopIfTrue="1" operator="equal">
      <formula>"Towel"</formula>
    </cfRule>
  </conditionalFormatting>
  <conditionalFormatting sqref="B66">
    <cfRule type="cellIs" dxfId="4121" priority="5736" stopIfTrue="1" operator="equal">
      <formula>"Napkin Hs"</formula>
    </cfRule>
  </conditionalFormatting>
  <conditionalFormatting sqref="B66">
    <cfRule type="cellIs" dxfId="4120" priority="5735" stopIfTrue="1" operator="equal">
      <formula>"Towel"</formula>
    </cfRule>
  </conditionalFormatting>
  <conditionalFormatting sqref="C66">
    <cfRule type="cellIs" dxfId="4119" priority="5734" stopIfTrue="1" operator="equal">
      <formula>"Napkin Hs"</formula>
    </cfRule>
  </conditionalFormatting>
  <conditionalFormatting sqref="C66">
    <cfRule type="cellIs" dxfId="4118" priority="5733" stopIfTrue="1" operator="equal">
      <formula>"Towel"</formula>
    </cfRule>
  </conditionalFormatting>
  <conditionalFormatting sqref="C66">
    <cfRule type="cellIs" dxfId="4117" priority="5732" stopIfTrue="1" operator="equal">
      <formula>"Napkin Hs"</formula>
    </cfRule>
  </conditionalFormatting>
  <conditionalFormatting sqref="C66">
    <cfRule type="cellIs" dxfId="4116" priority="5729" stopIfTrue="1" operator="equal">
      <formula>"Towel"</formula>
    </cfRule>
    <cfRule type="cellIs" dxfId="4115" priority="5730" stopIfTrue="1" operator="equal">
      <formula>"Napkin Hs"</formula>
    </cfRule>
  </conditionalFormatting>
  <conditionalFormatting sqref="C66">
    <cfRule type="cellIs" dxfId="4114" priority="5731" stopIfTrue="1" operator="equal">
      <formula>"Towel"</formula>
    </cfRule>
  </conditionalFormatting>
  <conditionalFormatting sqref="B67">
    <cfRule type="cellIs" dxfId="4113" priority="5728" stopIfTrue="1" operator="equal">
      <formula>"Napkin Hs"</formula>
    </cfRule>
  </conditionalFormatting>
  <conditionalFormatting sqref="B67">
    <cfRule type="cellIs" dxfId="4112" priority="5727" stopIfTrue="1" operator="equal">
      <formula>"Towel"</formula>
    </cfRule>
  </conditionalFormatting>
  <conditionalFormatting sqref="C67">
    <cfRule type="cellIs" dxfId="4111" priority="5726" stopIfTrue="1" operator="equal">
      <formula>"Napkin Hs"</formula>
    </cfRule>
  </conditionalFormatting>
  <conditionalFormatting sqref="C67">
    <cfRule type="cellIs" dxfId="4110" priority="5725" stopIfTrue="1" operator="equal">
      <formula>"Towel"</formula>
    </cfRule>
  </conditionalFormatting>
  <conditionalFormatting sqref="C67">
    <cfRule type="cellIs" dxfId="4109" priority="5724" stopIfTrue="1" operator="equal">
      <formula>"Napkin Hs"</formula>
    </cfRule>
  </conditionalFormatting>
  <conditionalFormatting sqref="C67">
    <cfRule type="cellIs" dxfId="4108" priority="5721" stopIfTrue="1" operator="equal">
      <formula>"Towel"</formula>
    </cfRule>
    <cfRule type="cellIs" dxfId="4107" priority="5722" stopIfTrue="1" operator="equal">
      <formula>"Napkin Hs"</formula>
    </cfRule>
  </conditionalFormatting>
  <conditionalFormatting sqref="C67">
    <cfRule type="cellIs" dxfId="4106" priority="5723" stopIfTrue="1" operator="equal">
      <formula>"Towel"</formula>
    </cfRule>
  </conditionalFormatting>
  <conditionalFormatting sqref="B68">
    <cfRule type="cellIs" dxfId="4105" priority="5720" stopIfTrue="1" operator="equal">
      <formula>"Napkin Hs"</formula>
    </cfRule>
  </conditionalFormatting>
  <conditionalFormatting sqref="B68">
    <cfRule type="cellIs" dxfId="4104" priority="5719" stopIfTrue="1" operator="equal">
      <formula>"Towel"</formula>
    </cfRule>
  </conditionalFormatting>
  <conditionalFormatting sqref="C68">
    <cfRule type="cellIs" dxfId="4103" priority="5718" stopIfTrue="1" operator="equal">
      <formula>"Napkin Hs"</formula>
    </cfRule>
  </conditionalFormatting>
  <conditionalFormatting sqref="C68">
    <cfRule type="cellIs" dxfId="4102" priority="5717" stopIfTrue="1" operator="equal">
      <formula>"Towel"</formula>
    </cfRule>
  </conditionalFormatting>
  <conditionalFormatting sqref="C68">
    <cfRule type="cellIs" dxfId="4101" priority="5716" stopIfTrue="1" operator="equal">
      <formula>"Napkin Hs"</formula>
    </cfRule>
  </conditionalFormatting>
  <conditionalFormatting sqref="C68">
    <cfRule type="cellIs" dxfId="4100" priority="5713" stopIfTrue="1" operator="equal">
      <formula>"Towel"</formula>
    </cfRule>
    <cfRule type="cellIs" dxfId="4099" priority="5714" stopIfTrue="1" operator="equal">
      <formula>"Napkin Hs"</formula>
    </cfRule>
  </conditionalFormatting>
  <conditionalFormatting sqref="C68">
    <cfRule type="cellIs" dxfId="4098" priority="5715" stopIfTrue="1" operator="equal">
      <formula>"Towel"</formula>
    </cfRule>
  </conditionalFormatting>
  <conditionalFormatting sqref="B74:C74">
    <cfRule type="cellIs" dxfId="4097" priority="5705" stopIfTrue="1" operator="equal">
      <formula>"Towel"</formula>
    </cfRule>
    <cfRule type="cellIs" dxfId="4096" priority="5706" stopIfTrue="1" operator="equal">
      <formula>"Napkin Hs"</formula>
    </cfRule>
  </conditionalFormatting>
  <conditionalFormatting sqref="C74">
    <cfRule type="cellIs" dxfId="4095" priority="5701" stopIfTrue="1" operator="equal">
      <formula>"Towel"</formula>
    </cfRule>
    <cfRule type="cellIs" dxfId="4094" priority="5702" stopIfTrue="1" operator="equal">
      <formula>"Napkin Hs"</formula>
    </cfRule>
  </conditionalFormatting>
  <conditionalFormatting sqref="C74">
    <cfRule type="cellIs" dxfId="4093" priority="5703" stopIfTrue="1" operator="equal">
      <formula>"Towel"</formula>
    </cfRule>
    <cfRule type="cellIs" dxfId="4092" priority="5704" stopIfTrue="1" operator="equal">
      <formula>"Napkin Hs"</formula>
    </cfRule>
  </conditionalFormatting>
  <conditionalFormatting sqref="B74:C74">
    <cfRule type="cellIs" dxfId="4091" priority="5699" stopIfTrue="1" operator="equal">
      <formula>"Towel"</formula>
    </cfRule>
    <cfRule type="cellIs" dxfId="4090" priority="5700" stopIfTrue="1" operator="equal">
      <formula>"Napkin Hs"</formula>
    </cfRule>
  </conditionalFormatting>
  <conditionalFormatting sqref="C74">
    <cfRule type="cellIs" dxfId="4089" priority="5695" stopIfTrue="1" operator="equal">
      <formula>"Towel"</formula>
    </cfRule>
    <cfRule type="cellIs" dxfId="4088" priority="5696" stopIfTrue="1" operator="equal">
      <formula>"Napkin Hs"</formula>
    </cfRule>
  </conditionalFormatting>
  <conditionalFormatting sqref="C74">
    <cfRule type="cellIs" dxfId="4087" priority="5697" stopIfTrue="1" operator="equal">
      <formula>"Towel"</formula>
    </cfRule>
    <cfRule type="cellIs" dxfId="4086" priority="5698" stopIfTrue="1" operator="equal">
      <formula>"Napkin Hs"</formula>
    </cfRule>
  </conditionalFormatting>
  <conditionalFormatting sqref="B74:C74">
    <cfRule type="cellIs" dxfId="4085" priority="5693" stopIfTrue="1" operator="equal">
      <formula>"Towel"</formula>
    </cfRule>
    <cfRule type="cellIs" dxfId="4084" priority="5694" stopIfTrue="1" operator="equal">
      <formula>"Napkin Hs"</formula>
    </cfRule>
  </conditionalFormatting>
  <conditionalFormatting sqref="C74">
    <cfRule type="cellIs" dxfId="4083" priority="5691" stopIfTrue="1" operator="equal">
      <formula>"Towel"</formula>
    </cfRule>
    <cfRule type="cellIs" dxfId="4082" priority="5692" stopIfTrue="1" operator="equal">
      <formula>"Napkin Hs"</formula>
    </cfRule>
  </conditionalFormatting>
  <conditionalFormatting sqref="C74">
    <cfRule type="cellIs" dxfId="4081" priority="5689" stopIfTrue="1" operator="equal">
      <formula>"Towel"</formula>
    </cfRule>
    <cfRule type="cellIs" dxfId="4080" priority="5690" stopIfTrue="1" operator="equal">
      <formula>"Napkin Hs"</formula>
    </cfRule>
  </conditionalFormatting>
  <conditionalFormatting sqref="B74:C74">
    <cfRule type="cellIs" dxfId="4079" priority="5687" stopIfTrue="1" operator="equal">
      <formula>"Towel"</formula>
    </cfRule>
    <cfRule type="cellIs" dxfId="4078" priority="5688" stopIfTrue="1" operator="equal">
      <formula>"Napkin Hs"</formula>
    </cfRule>
  </conditionalFormatting>
  <conditionalFormatting sqref="C74">
    <cfRule type="cellIs" dxfId="4077" priority="5685" stopIfTrue="1" operator="equal">
      <formula>"Towel"</formula>
    </cfRule>
    <cfRule type="cellIs" dxfId="4076" priority="5686" stopIfTrue="1" operator="equal">
      <formula>"Napkin Hs"</formula>
    </cfRule>
  </conditionalFormatting>
  <conditionalFormatting sqref="C74">
    <cfRule type="cellIs" dxfId="4075" priority="5683" stopIfTrue="1" operator="equal">
      <formula>"Towel"</formula>
    </cfRule>
    <cfRule type="cellIs" dxfId="4074" priority="5684" stopIfTrue="1" operator="equal">
      <formula>"Napkin Hs"</formula>
    </cfRule>
  </conditionalFormatting>
  <conditionalFormatting sqref="B74:C74">
    <cfRule type="cellIs" dxfId="4073" priority="5681" stopIfTrue="1" operator="equal">
      <formula>"Towel"</formula>
    </cfRule>
    <cfRule type="cellIs" dxfId="4072" priority="5682" stopIfTrue="1" operator="equal">
      <formula>"Napkin Hs"</formula>
    </cfRule>
  </conditionalFormatting>
  <conditionalFormatting sqref="C74">
    <cfRule type="cellIs" dxfId="4071" priority="5679" stopIfTrue="1" operator="equal">
      <formula>"Towel"</formula>
    </cfRule>
    <cfRule type="cellIs" dxfId="4070" priority="5680" stopIfTrue="1" operator="equal">
      <formula>"Napkin Hs"</formula>
    </cfRule>
  </conditionalFormatting>
  <conditionalFormatting sqref="C74">
    <cfRule type="cellIs" dxfId="4069" priority="5677" stopIfTrue="1" operator="equal">
      <formula>"Towel"</formula>
    </cfRule>
    <cfRule type="cellIs" dxfId="4068" priority="5678" stopIfTrue="1" operator="equal">
      <formula>"Napkin Hs"</formula>
    </cfRule>
  </conditionalFormatting>
  <conditionalFormatting sqref="B74:C74">
    <cfRule type="cellIs" dxfId="4067" priority="5676" stopIfTrue="1" operator="equal">
      <formula>"Napkin Hs"</formula>
    </cfRule>
  </conditionalFormatting>
  <conditionalFormatting sqref="B74:C74">
    <cfRule type="cellIs" dxfId="4066" priority="5675" stopIfTrue="1" operator="equal">
      <formula>"Towel"</formula>
    </cfRule>
  </conditionalFormatting>
  <conditionalFormatting sqref="C74">
    <cfRule type="cellIs" dxfId="4065" priority="5674" stopIfTrue="1" operator="equal">
      <formula>"Napkin Hs"</formula>
    </cfRule>
  </conditionalFormatting>
  <conditionalFormatting sqref="C74">
    <cfRule type="cellIs" dxfId="4064" priority="5671" stopIfTrue="1" operator="equal">
      <formula>"Towel"</formula>
    </cfRule>
    <cfRule type="cellIs" dxfId="4063" priority="5672" stopIfTrue="1" operator="equal">
      <formula>"Napkin Hs"</formula>
    </cfRule>
  </conditionalFormatting>
  <conditionalFormatting sqref="C74">
    <cfRule type="cellIs" dxfId="4062" priority="5673" stopIfTrue="1" operator="equal">
      <formula>"Towel"</formula>
    </cfRule>
  </conditionalFormatting>
  <conditionalFormatting sqref="B73">
    <cfRule type="cellIs" dxfId="4061" priority="5538" stopIfTrue="1" operator="equal">
      <formula>"Napkin Hs"</formula>
    </cfRule>
  </conditionalFormatting>
  <conditionalFormatting sqref="B73">
    <cfRule type="cellIs" dxfId="4060" priority="5537" stopIfTrue="1" operator="equal">
      <formula>"Towel"</formula>
    </cfRule>
  </conditionalFormatting>
  <conditionalFormatting sqref="C73">
    <cfRule type="cellIs" dxfId="4059" priority="5536" stopIfTrue="1" operator="equal">
      <formula>"Napkin Hs"</formula>
    </cfRule>
  </conditionalFormatting>
  <conditionalFormatting sqref="C73">
    <cfRule type="cellIs" dxfId="4058" priority="5535" stopIfTrue="1" operator="equal">
      <formula>"Towel"</formula>
    </cfRule>
  </conditionalFormatting>
  <conditionalFormatting sqref="C73">
    <cfRule type="cellIs" dxfId="4057" priority="5534" stopIfTrue="1" operator="equal">
      <formula>"Napkin Hs"</formula>
    </cfRule>
  </conditionalFormatting>
  <conditionalFormatting sqref="C73">
    <cfRule type="cellIs" dxfId="4056" priority="5531" stopIfTrue="1" operator="equal">
      <formula>"Towel"</formula>
    </cfRule>
    <cfRule type="cellIs" dxfId="4055" priority="5532" stopIfTrue="1" operator="equal">
      <formula>"Napkin Hs"</formula>
    </cfRule>
  </conditionalFormatting>
  <conditionalFormatting sqref="C73">
    <cfRule type="cellIs" dxfId="4054" priority="5533" stopIfTrue="1" operator="equal">
      <formula>"Towel"</formula>
    </cfRule>
  </conditionalFormatting>
  <conditionalFormatting sqref="B71">
    <cfRule type="cellIs" dxfId="4053" priority="5530" stopIfTrue="1" operator="equal">
      <formula>"Napkin Hs"</formula>
    </cfRule>
  </conditionalFormatting>
  <conditionalFormatting sqref="B71">
    <cfRule type="cellIs" dxfId="4052" priority="5529" stopIfTrue="1" operator="equal">
      <formula>"Towel"</formula>
    </cfRule>
  </conditionalFormatting>
  <conditionalFormatting sqref="C71">
    <cfRule type="cellIs" dxfId="4051" priority="5528" stopIfTrue="1" operator="equal">
      <formula>"Napkin Hs"</formula>
    </cfRule>
  </conditionalFormatting>
  <conditionalFormatting sqref="C71">
    <cfRule type="cellIs" dxfId="4050" priority="5527" stopIfTrue="1" operator="equal">
      <formula>"Towel"</formula>
    </cfRule>
  </conditionalFormatting>
  <conditionalFormatting sqref="C71">
    <cfRule type="cellIs" dxfId="4049" priority="5526" stopIfTrue="1" operator="equal">
      <formula>"Napkin Hs"</formula>
    </cfRule>
  </conditionalFormatting>
  <conditionalFormatting sqref="C71">
    <cfRule type="cellIs" dxfId="4048" priority="5523" stopIfTrue="1" operator="equal">
      <formula>"Towel"</formula>
    </cfRule>
    <cfRule type="cellIs" dxfId="4047" priority="5524" stopIfTrue="1" operator="equal">
      <formula>"Napkin Hs"</formula>
    </cfRule>
  </conditionalFormatting>
  <conditionalFormatting sqref="C71">
    <cfRule type="cellIs" dxfId="4046" priority="5525" stopIfTrue="1" operator="equal">
      <formula>"Towel"</formula>
    </cfRule>
  </conditionalFormatting>
  <conditionalFormatting sqref="B72">
    <cfRule type="cellIs" dxfId="4045" priority="5522" stopIfTrue="1" operator="equal">
      <formula>"Napkin Hs"</formula>
    </cfRule>
  </conditionalFormatting>
  <conditionalFormatting sqref="B72">
    <cfRule type="cellIs" dxfId="4044" priority="5521" stopIfTrue="1" operator="equal">
      <formula>"Towel"</formula>
    </cfRule>
  </conditionalFormatting>
  <conditionalFormatting sqref="C72">
    <cfRule type="cellIs" dxfId="4043" priority="5520" stopIfTrue="1" operator="equal">
      <formula>"Napkin Hs"</formula>
    </cfRule>
  </conditionalFormatting>
  <conditionalFormatting sqref="C72">
    <cfRule type="cellIs" dxfId="4042" priority="5519" stopIfTrue="1" operator="equal">
      <formula>"Towel"</formula>
    </cfRule>
  </conditionalFormatting>
  <conditionalFormatting sqref="C72">
    <cfRule type="cellIs" dxfId="4041" priority="5518" stopIfTrue="1" operator="equal">
      <formula>"Napkin Hs"</formula>
    </cfRule>
  </conditionalFormatting>
  <conditionalFormatting sqref="C72">
    <cfRule type="cellIs" dxfId="4040" priority="5515" stopIfTrue="1" operator="equal">
      <formula>"Towel"</formula>
    </cfRule>
    <cfRule type="cellIs" dxfId="4039" priority="5516" stopIfTrue="1" operator="equal">
      <formula>"Napkin Hs"</formula>
    </cfRule>
  </conditionalFormatting>
  <conditionalFormatting sqref="C72">
    <cfRule type="cellIs" dxfId="4038" priority="5517" stopIfTrue="1" operator="equal">
      <formula>"Towel"</formula>
    </cfRule>
  </conditionalFormatting>
  <conditionalFormatting sqref="B79:C79">
    <cfRule type="cellIs" dxfId="4037" priority="5513" stopIfTrue="1" operator="equal">
      <formula>"Towel"</formula>
    </cfRule>
    <cfRule type="cellIs" dxfId="4036" priority="5514" stopIfTrue="1" operator="equal">
      <formula>"Napkin Hs"</formula>
    </cfRule>
  </conditionalFormatting>
  <conditionalFormatting sqref="C79">
    <cfRule type="cellIs" dxfId="4035" priority="5509" stopIfTrue="1" operator="equal">
      <formula>"Towel"</formula>
    </cfRule>
    <cfRule type="cellIs" dxfId="4034" priority="5510" stopIfTrue="1" operator="equal">
      <formula>"Napkin Hs"</formula>
    </cfRule>
  </conditionalFormatting>
  <conditionalFormatting sqref="C79">
    <cfRule type="cellIs" dxfId="4033" priority="5511" stopIfTrue="1" operator="equal">
      <formula>"Towel"</formula>
    </cfRule>
    <cfRule type="cellIs" dxfId="4032" priority="5512" stopIfTrue="1" operator="equal">
      <formula>"Napkin Hs"</formula>
    </cfRule>
  </conditionalFormatting>
  <conditionalFormatting sqref="B78:C78">
    <cfRule type="cellIs" dxfId="4031" priority="5411" stopIfTrue="1" operator="equal">
      <formula>"Towel"</formula>
    </cfRule>
    <cfRule type="cellIs" dxfId="4030" priority="5412" stopIfTrue="1" operator="equal">
      <formula>"Napkin Hs"</formula>
    </cfRule>
  </conditionalFormatting>
  <conditionalFormatting sqref="C78">
    <cfRule type="cellIs" dxfId="4029" priority="5407" stopIfTrue="1" operator="equal">
      <formula>"Towel"</formula>
    </cfRule>
    <cfRule type="cellIs" dxfId="4028" priority="5408" stopIfTrue="1" operator="equal">
      <formula>"Napkin Hs"</formula>
    </cfRule>
  </conditionalFormatting>
  <conditionalFormatting sqref="C78">
    <cfRule type="cellIs" dxfId="4027" priority="5409" stopIfTrue="1" operator="equal">
      <formula>"Towel"</formula>
    </cfRule>
    <cfRule type="cellIs" dxfId="4026" priority="5410" stopIfTrue="1" operator="equal">
      <formula>"Napkin Hs"</formula>
    </cfRule>
  </conditionalFormatting>
  <conditionalFormatting sqref="B78:C78">
    <cfRule type="cellIs" dxfId="4025" priority="5405" stopIfTrue="1" operator="equal">
      <formula>"Towel"</formula>
    </cfRule>
    <cfRule type="cellIs" dxfId="4024" priority="5406" stopIfTrue="1" operator="equal">
      <formula>"Napkin Hs"</formula>
    </cfRule>
  </conditionalFormatting>
  <conditionalFormatting sqref="C78">
    <cfRule type="cellIs" dxfId="4023" priority="5401" stopIfTrue="1" operator="equal">
      <formula>"Towel"</formula>
    </cfRule>
    <cfRule type="cellIs" dxfId="4022" priority="5402" stopIfTrue="1" operator="equal">
      <formula>"Napkin Hs"</formula>
    </cfRule>
  </conditionalFormatting>
  <conditionalFormatting sqref="C78">
    <cfRule type="cellIs" dxfId="4021" priority="5403" stopIfTrue="1" operator="equal">
      <formula>"Towel"</formula>
    </cfRule>
    <cfRule type="cellIs" dxfId="4020" priority="5404" stopIfTrue="1" operator="equal">
      <formula>"Napkin Hs"</formula>
    </cfRule>
  </conditionalFormatting>
  <conditionalFormatting sqref="B78:C78">
    <cfRule type="cellIs" dxfId="4019" priority="5399" stopIfTrue="1" operator="equal">
      <formula>"Towel"</formula>
    </cfRule>
    <cfRule type="cellIs" dxfId="4018" priority="5400" stopIfTrue="1" operator="equal">
      <formula>"Napkin Hs"</formula>
    </cfRule>
  </conditionalFormatting>
  <conditionalFormatting sqref="C78">
    <cfRule type="cellIs" dxfId="4017" priority="5397" stopIfTrue="1" operator="equal">
      <formula>"Towel"</formula>
    </cfRule>
    <cfRule type="cellIs" dxfId="4016" priority="5398" stopIfTrue="1" operator="equal">
      <formula>"Napkin Hs"</formula>
    </cfRule>
  </conditionalFormatting>
  <conditionalFormatting sqref="C78">
    <cfRule type="cellIs" dxfId="4015" priority="5395" stopIfTrue="1" operator="equal">
      <formula>"Towel"</formula>
    </cfRule>
    <cfRule type="cellIs" dxfId="4014" priority="5396" stopIfTrue="1" operator="equal">
      <formula>"Napkin Hs"</formula>
    </cfRule>
  </conditionalFormatting>
  <conditionalFormatting sqref="B78:C78">
    <cfRule type="cellIs" dxfId="4013" priority="5393" stopIfTrue="1" operator="equal">
      <formula>"Towel"</formula>
    </cfRule>
    <cfRule type="cellIs" dxfId="4012" priority="5394" stopIfTrue="1" operator="equal">
      <formula>"Napkin Hs"</formula>
    </cfRule>
  </conditionalFormatting>
  <conditionalFormatting sqref="C78">
    <cfRule type="cellIs" dxfId="4011" priority="5391" stopIfTrue="1" operator="equal">
      <formula>"Towel"</formula>
    </cfRule>
    <cfRule type="cellIs" dxfId="4010" priority="5392" stopIfTrue="1" operator="equal">
      <formula>"Napkin Hs"</formula>
    </cfRule>
  </conditionalFormatting>
  <conditionalFormatting sqref="C78">
    <cfRule type="cellIs" dxfId="4009" priority="5389" stopIfTrue="1" operator="equal">
      <formula>"Towel"</formula>
    </cfRule>
    <cfRule type="cellIs" dxfId="4008" priority="5390" stopIfTrue="1" operator="equal">
      <formula>"Napkin Hs"</formula>
    </cfRule>
  </conditionalFormatting>
  <conditionalFormatting sqref="B78:C78">
    <cfRule type="cellIs" dxfId="4007" priority="5387" stopIfTrue="1" operator="equal">
      <formula>"Towel"</formula>
    </cfRule>
    <cfRule type="cellIs" dxfId="4006" priority="5388" stopIfTrue="1" operator="equal">
      <formula>"Napkin Hs"</formula>
    </cfRule>
  </conditionalFormatting>
  <conditionalFormatting sqref="C78">
    <cfRule type="cellIs" dxfId="4005" priority="5385" stopIfTrue="1" operator="equal">
      <formula>"Towel"</formula>
    </cfRule>
    <cfRule type="cellIs" dxfId="4004" priority="5386" stopIfTrue="1" operator="equal">
      <formula>"Napkin Hs"</formula>
    </cfRule>
  </conditionalFormatting>
  <conditionalFormatting sqref="C78">
    <cfRule type="cellIs" dxfId="4003" priority="5383" stopIfTrue="1" operator="equal">
      <formula>"Towel"</formula>
    </cfRule>
    <cfRule type="cellIs" dxfId="4002" priority="5384" stopIfTrue="1" operator="equal">
      <formula>"Napkin Hs"</formula>
    </cfRule>
  </conditionalFormatting>
  <conditionalFormatting sqref="B78:C78">
    <cfRule type="cellIs" dxfId="4001" priority="5382" stopIfTrue="1" operator="equal">
      <formula>"Napkin Hs"</formula>
    </cfRule>
  </conditionalFormatting>
  <conditionalFormatting sqref="B78:C78">
    <cfRule type="cellIs" dxfId="4000" priority="5381" stopIfTrue="1" operator="equal">
      <formula>"Towel"</formula>
    </cfRule>
  </conditionalFormatting>
  <conditionalFormatting sqref="C78">
    <cfRule type="cellIs" dxfId="3999" priority="5380" stopIfTrue="1" operator="equal">
      <formula>"Napkin Hs"</formula>
    </cfRule>
  </conditionalFormatting>
  <conditionalFormatting sqref="C78">
    <cfRule type="cellIs" dxfId="3998" priority="5377" stopIfTrue="1" operator="equal">
      <formula>"Towel"</formula>
    </cfRule>
    <cfRule type="cellIs" dxfId="3997" priority="5378" stopIfTrue="1" operator="equal">
      <formula>"Napkin Hs"</formula>
    </cfRule>
  </conditionalFormatting>
  <conditionalFormatting sqref="C78">
    <cfRule type="cellIs" dxfId="3996" priority="5379" stopIfTrue="1" operator="equal">
      <formula>"Towel"</formula>
    </cfRule>
  </conditionalFormatting>
  <conditionalFormatting sqref="B77">
    <cfRule type="cellIs" dxfId="3995" priority="5376" stopIfTrue="1" operator="equal">
      <formula>"Napkin Hs"</formula>
    </cfRule>
  </conditionalFormatting>
  <conditionalFormatting sqref="B77">
    <cfRule type="cellIs" dxfId="3994" priority="5375" stopIfTrue="1" operator="equal">
      <formula>"Towel"</formula>
    </cfRule>
  </conditionalFormatting>
  <conditionalFormatting sqref="C77">
    <cfRule type="cellIs" dxfId="3993" priority="5374" stopIfTrue="1" operator="equal">
      <formula>"Napkin Hs"</formula>
    </cfRule>
  </conditionalFormatting>
  <conditionalFormatting sqref="C77">
    <cfRule type="cellIs" dxfId="3992" priority="5373" stopIfTrue="1" operator="equal">
      <formula>"Towel"</formula>
    </cfRule>
  </conditionalFormatting>
  <conditionalFormatting sqref="C77">
    <cfRule type="cellIs" dxfId="3991" priority="5372" stopIfTrue="1" operator="equal">
      <formula>"Napkin Hs"</formula>
    </cfRule>
  </conditionalFormatting>
  <conditionalFormatting sqref="C77">
    <cfRule type="cellIs" dxfId="3990" priority="5369" stopIfTrue="1" operator="equal">
      <formula>"Towel"</formula>
    </cfRule>
    <cfRule type="cellIs" dxfId="3989" priority="5370" stopIfTrue="1" operator="equal">
      <formula>"Napkin Hs"</formula>
    </cfRule>
  </conditionalFormatting>
  <conditionalFormatting sqref="C77">
    <cfRule type="cellIs" dxfId="3988" priority="5371" stopIfTrue="1" operator="equal">
      <formula>"Towel"</formula>
    </cfRule>
  </conditionalFormatting>
  <conditionalFormatting sqref="B76">
    <cfRule type="cellIs" dxfId="3987" priority="5368" stopIfTrue="1" operator="equal">
      <formula>"Napkin Hs"</formula>
    </cfRule>
  </conditionalFormatting>
  <conditionalFormatting sqref="B76">
    <cfRule type="cellIs" dxfId="3986" priority="5367" stopIfTrue="1" operator="equal">
      <formula>"Towel"</formula>
    </cfRule>
  </conditionalFormatting>
  <conditionalFormatting sqref="C76">
    <cfRule type="cellIs" dxfId="3985" priority="5366" stopIfTrue="1" operator="equal">
      <formula>"Napkin Hs"</formula>
    </cfRule>
  </conditionalFormatting>
  <conditionalFormatting sqref="C76">
    <cfRule type="cellIs" dxfId="3984" priority="5365" stopIfTrue="1" operator="equal">
      <formula>"Towel"</formula>
    </cfRule>
  </conditionalFormatting>
  <conditionalFormatting sqref="C76">
    <cfRule type="cellIs" dxfId="3983" priority="5364" stopIfTrue="1" operator="equal">
      <formula>"Napkin Hs"</formula>
    </cfRule>
  </conditionalFormatting>
  <conditionalFormatting sqref="C76">
    <cfRule type="cellIs" dxfId="3982" priority="5361" stopIfTrue="1" operator="equal">
      <formula>"Towel"</formula>
    </cfRule>
    <cfRule type="cellIs" dxfId="3981" priority="5362" stopIfTrue="1" operator="equal">
      <formula>"Napkin Hs"</formula>
    </cfRule>
  </conditionalFormatting>
  <conditionalFormatting sqref="C76">
    <cfRule type="cellIs" dxfId="3980" priority="5363" stopIfTrue="1" operator="equal">
      <formula>"Towel"</formula>
    </cfRule>
  </conditionalFormatting>
  <conditionalFormatting sqref="B75">
    <cfRule type="cellIs" dxfId="3979" priority="5360" stopIfTrue="1" operator="equal">
      <formula>"Napkin Hs"</formula>
    </cfRule>
  </conditionalFormatting>
  <conditionalFormatting sqref="B75">
    <cfRule type="cellIs" dxfId="3978" priority="5359" stopIfTrue="1" operator="equal">
      <formula>"Towel"</formula>
    </cfRule>
  </conditionalFormatting>
  <conditionalFormatting sqref="C75">
    <cfRule type="cellIs" dxfId="3977" priority="5358" stopIfTrue="1" operator="equal">
      <formula>"Napkin Hs"</formula>
    </cfRule>
  </conditionalFormatting>
  <conditionalFormatting sqref="C75">
    <cfRule type="cellIs" dxfId="3976" priority="5357" stopIfTrue="1" operator="equal">
      <formula>"Towel"</formula>
    </cfRule>
  </conditionalFormatting>
  <conditionalFormatting sqref="C75">
    <cfRule type="cellIs" dxfId="3975" priority="5356" stopIfTrue="1" operator="equal">
      <formula>"Napkin Hs"</formula>
    </cfRule>
  </conditionalFormatting>
  <conditionalFormatting sqref="C75">
    <cfRule type="cellIs" dxfId="3974" priority="5353" stopIfTrue="1" operator="equal">
      <formula>"Towel"</formula>
    </cfRule>
    <cfRule type="cellIs" dxfId="3973" priority="5354" stopIfTrue="1" operator="equal">
      <formula>"Napkin Hs"</formula>
    </cfRule>
  </conditionalFormatting>
  <conditionalFormatting sqref="C75">
    <cfRule type="cellIs" dxfId="3972" priority="5355" stopIfTrue="1" operator="equal">
      <formula>"Towel"</formula>
    </cfRule>
  </conditionalFormatting>
  <conditionalFormatting sqref="B83:C83">
    <cfRule type="cellIs" dxfId="3971" priority="5351" stopIfTrue="1" operator="equal">
      <formula>"Towel"</formula>
    </cfRule>
    <cfRule type="cellIs" dxfId="3970" priority="5352" stopIfTrue="1" operator="equal">
      <formula>"Napkin Hs"</formula>
    </cfRule>
  </conditionalFormatting>
  <conditionalFormatting sqref="C83">
    <cfRule type="cellIs" dxfId="3969" priority="5349" stopIfTrue="1" operator="equal">
      <formula>"Towel"</formula>
    </cfRule>
    <cfRule type="cellIs" dxfId="3968" priority="5350" stopIfTrue="1" operator="equal">
      <formula>"Napkin Hs"</formula>
    </cfRule>
  </conditionalFormatting>
  <conditionalFormatting sqref="C83">
    <cfRule type="cellIs" dxfId="3967" priority="5347" stopIfTrue="1" operator="equal">
      <formula>"Towel"</formula>
    </cfRule>
    <cfRule type="cellIs" dxfId="3966" priority="5348" stopIfTrue="1" operator="equal">
      <formula>"Napkin Hs"</formula>
    </cfRule>
  </conditionalFormatting>
  <conditionalFormatting sqref="B88:C88">
    <cfRule type="cellIs" dxfId="3965" priority="5345" stopIfTrue="1" operator="equal">
      <formula>"Towel"</formula>
    </cfRule>
    <cfRule type="cellIs" dxfId="3964" priority="5346" stopIfTrue="1" operator="equal">
      <formula>"Napkin Hs"</formula>
    </cfRule>
  </conditionalFormatting>
  <conditionalFormatting sqref="C88">
    <cfRule type="cellIs" dxfId="3963" priority="5343" stopIfTrue="1" operator="equal">
      <formula>"Towel"</formula>
    </cfRule>
    <cfRule type="cellIs" dxfId="3962" priority="5344" stopIfTrue="1" operator="equal">
      <formula>"Napkin Hs"</formula>
    </cfRule>
  </conditionalFormatting>
  <conditionalFormatting sqref="C88">
    <cfRule type="cellIs" dxfId="3961" priority="5341" stopIfTrue="1" operator="equal">
      <formula>"Towel"</formula>
    </cfRule>
    <cfRule type="cellIs" dxfId="3960" priority="5342" stopIfTrue="1" operator="equal">
      <formula>"Napkin Hs"</formula>
    </cfRule>
  </conditionalFormatting>
  <conditionalFormatting sqref="B89:C89">
    <cfRule type="cellIs" dxfId="3959" priority="5297" stopIfTrue="1" operator="equal">
      <formula>"Towel"</formula>
    </cfRule>
    <cfRule type="cellIs" dxfId="3958" priority="5298" stopIfTrue="1" operator="equal">
      <formula>"Napkin Hs"</formula>
    </cfRule>
  </conditionalFormatting>
  <conditionalFormatting sqref="C89">
    <cfRule type="cellIs" dxfId="3957" priority="5293" stopIfTrue="1" operator="equal">
      <formula>"Towel"</formula>
    </cfRule>
    <cfRule type="cellIs" dxfId="3956" priority="5294" stopIfTrue="1" operator="equal">
      <formula>"Napkin Hs"</formula>
    </cfRule>
  </conditionalFormatting>
  <conditionalFormatting sqref="C89">
    <cfRule type="cellIs" dxfId="3955" priority="5295" stopIfTrue="1" operator="equal">
      <formula>"Towel"</formula>
    </cfRule>
    <cfRule type="cellIs" dxfId="3954" priority="5296" stopIfTrue="1" operator="equal">
      <formula>"Napkin Hs"</formula>
    </cfRule>
  </conditionalFormatting>
  <conditionalFormatting sqref="B89:C89">
    <cfRule type="cellIs" dxfId="3953" priority="5292" stopIfTrue="1" operator="equal">
      <formula>"Napkin Hs"</formula>
    </cfRule>
  </conditionalFormatting>
  <conditionalFormatting sqref="B89:C89">
    <cfRule type="cellIs" dxfId="3952" priority="5291" stopIfTrue="1" operator="equal">
      <formula>"Towel"</formula>
    </cfRule>
  </conditionalFormatting>
  <conditionalFormatting sqref="C89">
    <cfRule type="cellIs" dxfId="3951" priority="5290" stopIfTrue="1" operator="equal">
      <formula>"Napkin Hs"</formula>
    </cfRule>
  </conditionalFormatting>
  <conditionalFormatting sqref="C89">
    <cfRule type="cellIs" dxfId="3950" priority="5289" stopIfTrue="1" operator="equal">
      <formula>"Towel"</formula>
    </cfRule>
  </conditionalFormatting>
  <conditionalFormatting sqref="C89">
    <cfRule type="cellIs" dxfId="3949" priority="5287" stopIfTrue="1" operator="equal">
      <formula>"Towel"</formula>
    </cfRule>
    <cfRule type="cellIs" dxfId="3948" priority="5288" stopIfTrue="1" operator="equal">
      <formula>"Napkin Hs"</formula>
    </cfRule>
  </conditionalFormatting>
  <conditionalFormatting sqref="B89:C89">
    <cfRule type="cellIs" dxfId="3947" priority="5285" stopIfTrue="1" operator="equal">
      <formula>"Towel"</formula>
    </cfRule>
    <cfRule type="cellIs" dxfId="3946" priority="5286" stopIfTrue="1" operator="equal">
      <formula>"Napkin Hs"</formula>
    </cfRule>
  </conditionalFormatting>
  <conditionalFormatting sqref="C89">
    <cfRule type="cellIs" dxfId="3945" priority="5283" stopIfTrue="1" operator="equal">
      <formula>"Towel"</formula>
    </cfRule>
    <cfRule type="cellIs" dxfId="3944" priority="5284" stopIfTrue="1" operator="equal">
      <formula>"Napkin Hs"</formula>
    </cfRule>
  </conditionalFormatting>
  <conditionalFormatting sqref="C89">
    <cfRule type="cellIs" dxfId="3943" priority="5281" stopIfTrue="1" operator="equal">
      <formula>"Towel"</formula>
    </cfRule>
    <cfRule type="cellIs" dxfId="3942" priority="5282" stopIfTrue="1" operator="equal">
      <formula>"Napkin Hs"</formula>
    </cfRule>
  </conditionalFormatting>
  <conditionalFormatting sqref="B89:C89">
    <cfRule type="cellIs" dxfId="3941" priority="5279" stopIfTrue="1" operator="equal">
      <formula>"Towel"</formula>
    </cfRule>
    <cfRule type="cellIs" dxfId="3940" priority="5280" stopIfTrue="1" operator="equal">
      <formula>"Napkin Hs"</formula>
    </cfRule>
  </conditionalFormatting>
  <conditionalFormatting sqref="C89">
    <cfRule type="cellIs" dxfId="3939" priority="5277" stopIfTrue="1" operator="equal">
      <formula>"Towel"</formula>
    </cfRule>
    <cfRule type="cellIs" dxfId="3938" priority="5278" stopIfTrue="1" operator="equal">
      <formula>"Napkin Hs"</formula>
    </cfRule>
  </conditionalFormatting>
  <conditionalFormatting sqref="C89">
    <cfRule type="cellIs" dxfId="3937" priority="5275" stopIfTrue="1" operator="equal">
      <formula>"Towel"</formula>
    </cfRule>
    <cfRule type="cellIs" dxfId="3936" priority="5276" stopIfTrue="1" operator="equal">
      <formula>"Napkin Hs"</formula>
    </cfRule>
  </conditionalFormatting>
  <conditionalFormatting sqref="B89:C89">
    <cfRule type="cellIs" dxfId="3935" priority="5273" stopIfTrue="1" operator="equal">
      <formula>"Towel"</formula>
    </cfRule>
    <cfRule type="cellIs" dxfId="3934" priority="5274" stopIfTrue="1" operator="equal">
      <formula>"Napkin Hs"</formula>
    </cfRule>
  </conditionalFormatting>
  <conditionalFormatting sqref="C89">
    <cfRule type="cellIs" dxfId="3933" priority="5271" stopIfTrue="1" operator="equal">
      <formula>"Towel"</formula>
    </cfRule>
    <cfRule type="cellIs" dxfId="3932" priority="5272" stopIfTrue="1" operator="equal">
      <formula>"Napkin Hs"</formula>
    </cfRule>
  </conditionalFormatting>
  <conditionalFormatting sqref="C89">
    <cfRule type="cellIs" dxfId="3931" priority="5269" stopIfTrue="1" operator="equal">
      <formula>"Towel"</formula>
    </cfRule>
    <cfRule type="cellIs" dxfId="3930" priority="5270" stopIfTrue="1" operator="equal">
      <formula>"Napkin Hs"</formula>
    </cfRule>
  </conditionalFormatting>
  <conditionalFormatting sqref="B89:C89">
    <cfRule type="cellIs" dxfId="3929" priority="5267" stopIfTrue="1" operator="equal">
      <formula>"Towel"</formula>
    </cfRule>
    <cfRule type="cellIs" dxfId="3928" priority="5268" stopIfTrue="1" operator="equal">
      <formula>"Napkin Hs"</formula>
    </cfRule>
  </conditionalFormatting>
  <conditionalFormatting sqref="C89">
    <cfRule type="cellIs" dxfId="3927" priority="5265" stopIfTrue="1" operator="equal">
      <formula>"Towel"</formula>
    </cfRule>
    <cfRule type="cellIs" dxfId="3926" priority="5266" stopIfTrue="1" operator="equal">
      <formula>"Napkin Hs"</formula>
    </cfRule>
  </conditionalFormatting>
  <conditionalFormatting sqref="C89">
    <cfRule type="cellIs" dxfId="3925" priority="5263" stopIfTrue="1" operator="equal">
      <formula>"Towel"</formula>
    </cfRule>
    <cfRule type="cellIs" dxfId="3924" priority="5264" stopIfTrue="1" operator="equal">
      <formula>"Napkin Hs"</formula>
    </cfRule>
  </conditionalFormatting>
  <conditionalFormatting sqref="B89:C89">
    <cfRule type="cellIs" dxfId="3923" priority="5261" stopIfTrue="1" operator="equal">
      <formula>"Towel"</formula>
    </cfRule>
    <cfRule type="cellIs" dxfId="3922" priority="5262" stopIfTrue="1" operator="equal">
      <formula>"Napkin Hs"</formula>
    </cfRule>
  </conditionalFormatting>
  <conditionalFormatting sqref="C89">
    <cfRule type="cellIs" dxfId="3921" priority="5259" stopIfTrue="1" operator="equal">
      <formula>"Towel"</formula>
    </cfRule>
    <cfRule type="cellIs" dxfId="3920" priority="5260" stopIfTrue="1" operator="equal">
      <formula>"Napkin Hs"</formula>
    </cfRule>
  </conditionalFormatting>
  <conditionalFormatting sqref="C89">
    <cfRule type="cellIs" dxfId="3919" priority="5257" stopIfTrue="1" operator="equal">
      <formula>"Towel"</formula>
    </cfRule>
    <cfRule type="cellIs" dxfId="3918" priority="5258" stopIfTrue="1" operator="equal">
      <formula>"Napkin Hs"</formula>
    </cfRule>
  </conditionalFormatting>
  <conditionalFormatting sqref="B89:C89">
    <cfRule type="cellIs" dxfId="3917" priority="5256" stopIfTrue="1" operator="equal">
      <formula>"Napkin Hs"</formula>
    </cfRule>
  </conditionalFormatting>
  <conditionalFormatting sqref="B89:C89">
    <cfRule type="cellIs" dxfId="3916" priority="5255" stopIfTrue="1" operator="equal">
      <formula>"Towel"</formula>
    </cfRule>
  </conditionalFormatting>
  <conditionalFormatting sqref="C89">
    <cfRule type="cellIs" dxfId="3915" priority="5254" stopIfTrue="1" operator="equal">
      <formula>"Napkin Hs"</formula>
    </cfRule>
  </conditionalFormatting>
  <conditionalFormatting sqref="C89">
    <cfRule type="cellIs" dxfId="3914" priority="5251" stopIfTrue="1" operator="equal">
      <formula>"Towel"</formula>
    </cfRule>
    <cfRule type="cellIs" dxfId="3913" priority="5252" stopIfTrue="1" operator="equal">
      <formula>"Napkin Hs"</formula>
    </cfRule>
  </conditionalFormatting>
  <conditionalFormatting sqref="C89">
    <cfRule type="cellIs" dxfId="3912" priority="5253" stopIfTrue="1" operator="equal">
      <formula>"Towel"</formula>
    </cfRule>
  </conditionalFormatting>
  <conditionalFormatting sqref="B82">
    <cfRule type="cellIs" dxfId="3911" priority="5202" stopIfTrue="1" operator="equal">
      <formula>"Napkin Hs"</formula>
    </cfRule>
  </conditionalFormatting>
  <conditionalFormatting sqref="B82">
    <cfRule type="cellIs" dxfId="3910" priority="5201" stopIfTrue="1" operator="equal">
      <formula>"Towel"</formula>
    </cfRule>
  </conditionalFormatting>
  <conditionalFormatting sqref="C82">
    <cfRule type="cellIs" dxfId="3909" priority="5200" stopIfTrue="1" operator="equal">
      <formula>"Napkin Hs"</formula>
    </cfRule>
  </conditionalFormatting>
  <conditionalFormatting sqref="C82">
    <cfRule type="cellIs" dxfId="3908" priority="5199" stopIfTrue="1" operator="equal">
      <formula>"Towel"</formula>
    </cfRule>
  </conditionalFormatting>
  <conditionalFormatting sqref="C82">
    <cfRule type="cellIs" dxfId="3907" priority="5198" stopIfTrue="1" operator="equal">
      <formula>"Napkin Hs"</formula>
    </cfRule>
  </conditionalFormatting>
  <conditionalFormatting sqref="C82">
    <cfRule type="cellIs" dxfId="3906" priority="5195" stopIfTrue="1" operator="equal">
      <formula>"Towel"</formula>
    </cfRule>
    <cfRule type="cellIs" dxfId="3905" priority="5196" stopIfTrue="1" operator="equal">
      <formula>"Napkin Hs"</formula>
    </cfRule>
  </conditionalFormatting>
  <conditionalFormatting sqref="C82">
    <cfRule type="cellIs" dxfId="3904" priority="5197" stopIfTrue="1" operator="equal">
      <formula>"Towel"</formula>
    </cfRule>
  </conditionalFormatting>
  <conditionalFormatting sqref="B80">
    <cfRule type="cellIs" dxfId="3903" priority="5194" stopIfTrue="1" operator="equal">
      <formula>"Napkin Hs"</formula>
    </cfRule>
  </conditionalFormatting>
  <conditionalFormatting sqref="B80">
    <cfRule type="cellIs" dxfId="3902" priority="5193" stopIfTrue="1" operator="equal">
      <formula>"Towel"</formula>
    </cfRule>
  </conditionalFormatting>
  <conditionalFormatting sqref="C80">
    <cfRule type="cellIs" dxfId="3901" priority="5192" stopIfTrue="1" operator="equal">
      <formula>"Napkin Hs"</formula>
    </cfRule>
  </conditionalFormatting>
  <conditionalFormatting sqref="C80">
    <cfRule type="cellIs" dxfId="3900" priority="5191" stopIfTrue="1" operator="equal">
      <formula>"Towel"</formula>
    </cfRule>
  </conditionalFormatting>
  <conditionalFormatting sqref="C80">
    <cfRule type="cellIs" dxfId="3899" priority="5190" stopIfTrue="1" operator="equal">
      <formula>"Napkin Hs"</formula>
    </cfRule>
  </conditionalFormatting>
  <conditionalFormatting sqref="C80">
    <cfRule type="cellIs" dxfId="3898" priority="5187" stopIfTrue="1" operator="equal">
      <formula>"Towel"</formula>
    </cfRule>
    <cfRule type="cellIs" dxfId="3897" priority="5188" stopIfTrue="1" operator="equal">
      <formula>"Napkin Hs"</formula>
    </cfRule>
  </conditionalFormatting>
  <conditionalFormatting sqref="C80">
    <cfRule type="cellIs" dxfId="3896" priority="5189" stopIfTrue="1" operator="equal">
      <formula>"Towel"</formula>
    </cfRule>
  </conditionalFormatting>
  <conditionalFormatting sqref="B84">
    <cfRule type="cellIs" dxfId="3895" priority="5186" stopIfTrue="1" operator="equal">
      <formula>"Napkin Hs"</formula>
    </cfRule>
  </conditionalFormatting>
  <conditionalFormatting sqref="B84">
    <cfRule type="cellIs" dxfId="3894" priority="5185" stopIfTrue="1" operator="equal">
      <formula>"Towel"</formula>
    </cfRule>
  </conditionalFormatting>
  <conditionalFormatting sqref="C84">
    <cfRule type="cellIs" dxfId="3893" priority="5184" stopIfTrue="1" operator="equal">
      <formula>"Napkin Hs"</formula>
    </cfRule>
  </conditionalFormatting>
  <conditionalFormatting sqref="C84">
    <cfRule type="cellIs" dxfId="3892" priority="5183" stopIfTrue="1" operator="equal">
      <formula>"Towel"</formula>
    </cfRule>
  </conditionalFormatting>
  <conditionalFormatting sqref="C84">
    <cfRule type="cellIs" dxfId="3891" priority="5182" stopIfTrue="1" operator="equal">
      <formula>"Napkin Hs"</formula>
    </cfRule>
  </conditionalFormatting>
  <conditionalFormatting sqref="C84">
    <cfRule type="cellIs" dxfId="3890" priority="5179" stopIfTrue="1" operator="equal">
      <formula>"Towel"</formula>
    </cfRule>
    <cfRule type="cellIs" dxfId="3889" priority="5180" stopIfTrue="1" operator="equal">
      <formula>"Napkin Hs"</formula>
    </cfRule>
  </conditionalFormatting>
  <conditionalFormatting sqref="C84">
    <cfRule type="cellIs" dxfId="3888" priority="5181" stopIfTrue="1" operator="equal">
      <formula>"Towel"</formula>
    </cfRule>
  </conditionalFormatting>
  <conditionalFormatting sqref="B85">
    <cfRule type="cellIs" dxfId="3887" priority="5178" stopIfTrue="1" operator="equal">
      <formula>"Napkin Hs"</formula>
    </cfRule>
  </conditionalFormatting>
  <conditionalFormatting sqref="B85">
    <cfRule type="cellIs" dxfId="3886" priority="5177" stopIfTrue="1" operator="equal">
      <formula>"Towel"</formula>
    </cfRule>
  </conditionalFormatting>
  <conditionalFormatting sqref="C85">
    <cfRule type="cellIs" dxfId="3885" priority="5176" stopIfTrue="1" operator="equal">
      <formula>"Napkin Hs"</formula>
    </cfRule>
  </conditionalFormatting>
  <conditionalFormatting sqref="C85">
    <cfRule type="cellIs" dxfId="3884" priority="5175" stopIfTrue="1" operator="equal">
      <formula>"Towel"</formula>
    </cfRule>
  </conditionalFormatting>
  <conditionalFormatting sqref="C85">
    <cfRule type="cellIs" dxfId="3883" priority="5174" stopIfTrue="1" operator="equal">
      <formula>"Napkin Hs"</formula>
    </cfRule>
  </conditionalFormatting>
  <conditionalFormatting sqref="C85">
    <cfRule type="cellIs" dxfId="3882" priority="5171" stopIfTrue="1" operator="equal">
      <formula>"Towel"</formula>
    </cfRule>
    <cfRule type="cellIs" dxfId="3881" priority="5172" stopIfTrue="1" operator="equal">
      <formula>"Napkin Hs"</formula>
    </cfRule>
  </conditionalFormatting>
  <conditionalFormatting sqref="C85">
    <cfRule type="cellIs" dxfId="3880" priority="5173" stopIfTrue="1" operator="equal">
      <formula>"Towel"</formula>
    </cfRule>
  </conditionalFormatting>
  <conditionalFormatting sqref="B81">
    <cfRule type="cellIs" dxfId="3879" priority="5170" stopIfTrue="1" operator="equal">
      <formula>"Napkin Hs"</formula>
    </cfRule>
  </conditionalFormatting>
  <conditionalFormatting sqref="B81">
    <cfRule type="cellIs" dxfId="3878" priority="5169" stopIfTrue="1" operator="equal">
      <formula>"Towel"</formula>
    </cfRule>
  </conditionalFormatting>
  <conditionalFormatting sqref="C81">
    <cfRule type="cellIs" dxfId="3877" priority="5168" stopIfTrue="1" operator="equal">
      <formula>"Napkin Hs"</formula>
    </cfRule>
  </conditionalFormatting>
  <conditionalFormatting sqref="C81">
    <cfRule type="cellIs" dxfId="3876" priority="5167" stopIfTrue="1" operator="equal">
      <formula>"Towel"</formula>
    </cfRule>
  </conditionalFormatting>
  <conditionalFormatting sqref="C81">
    <cfRule type="cellIs" dxfId="3875" priority="5166" stopIfTrue="1" operator="equal">
      <formula>"Napkin Hs"</formula>
    </cfRule>
  </conditionalFormatting>
  <conditionalFormatting sqref="C81">
    <cfRule type="cellIs" dxfId="3874" priority="5163" stopIfTrue="1" operator="equal">
      <formula>"Towel"</formula>
    </cfRule>
    <cfRule type="cellIs" dxfId="3873" priority="5164" stopIfTrue="1" operator="equal">
      <formula>"Napkin Hs"</formula>
    </cfRule>
  </conditionalFormatting>
  <conditionalFormatting sqref="C81">
    <cfRule type="cellIs" dxfId="3872" priority="5165" stopIfTrue="1" operator="equal">
      <formula>"Towel"</formula>
    </cfRule>
  </conditionalFormatting>
  <conditionalFormatting sqref="B87:C87">
    <cfRule type="cellIs" dxfId="3871" priority="5162" stopIfTrue="1" operator="equal">
      <formula>"Napkin Hs"</formula>
    </cfRule>
  </conditionalFormatting>
  <conditionalFormatting sqref="B87:C87">
    <cfRule type="cellIs" dxfId="3870" priority="5161" stopIfTrue="1" operator="equal">
      <formula>"Towel"</formula>
    </cfRule>
  </conditionalFormatting>
  <conditionalFormatting sqref="C87">
    <cfRule type="cellIs" dxfId="3869" priority="5160" stopIfTrue="1" operator="equal">
      <formula>"Napkin Hs"</formula>
    </cfRule>
  </conditionalFormatting>
  <conditionalFormatting sqref="C87">
    <cfRule type="cellIs" dxfId="3868" priority="5157" stopIfTrue="1" operator="equal">
      <formula>"Towel"</formula>
    </cfRule>
    <cfRule type="cellIs" dxfId="3867" priority="5158" stopIfTrue="1" operator="equal">
      <formula>"Napkin Hs"</formula>
    </cfRule>
  </conditionalFormatting>
  <conditionalFormatting sqref="C87">
    <cfRule type="cellIs" dxfId="3866" priority="5159" stopIfTrue="1" operator="equal">
      <formula>"Towel"</formula>
    </cfRule>
  </conditionalFormatting>
  <conditionalFormatting sqref="B86:C86">
    <cfRule type="cellIs" dxfId="3865" priority="5156" stopIfTrue="1" operator="equal">
      <formula>"Napkin Hs"</formula>
    </cfRule>
  </conditionalFormatting>
  <conditionalFormatting sqref="B86:C86">
    <cfRule type="cellIs" dxfId="3864" priority="5155" stopIfTrue="1" operator="equal">
      <formula>"Towel"</formula>
    </cfRule>
  </conditionalFormatting>
  <conditionalFormatting sqref="C86">
    <cfRule type="cellIs" dxfId="3863" priority="5154" stopIfTrue="1" operator="equal">
      <formula>"Napkin Hs"</formula>
    </cfRule>
  </conditionalFormatting>
  <conditionalFormatting sqref="C86">
    <cfRule type="cellIs" dxfId="3862" priority="5151" stopIfTrue="1" operator="equal">
      <formula>"Towel"</formula>
    </cfRule>
    <cfRule type="cellIs" dxfId="3861" priority="5152" stopIfTrue="1" operator="equal">
      <formula>"Napkin Hs"</formula>
    </cfRule>
  </conditionalFormatting>
  <conditionalFormatting sqref="C86">
    <cfRule type="cellIs" dxfId="3860" priority="5153" stopIfTrue="1" operator="equal">
      <formula>"Towel"</formula>
    </cfRule>
  </conditionalFormatting>
  <conditionalFormatting sqref="B89:C89">
    <cfRule type="cellIs" dxfId="3859" priority="5149" stopIfTrue="1" operator="equal">
      <formula>"Towel"</formula>
    </cfRule>
    <cfRule type="cellIs" dxfId="3858" priority="5150" stopIfTrue="1" operator="equal">
      <formula>"Napkin Hs"</formula>
    </cfRule>
  </conditionalFormatting>
  <conditionalFormatting sqref="C89">
    <cfRule type="cellIs" dxfId="3857" priority="5147" stopIfTrue="1" operator="equal">
      <formula>"Towel"</formula>
    </cfRule>
    <cfRule type="cellIs" dxfId="3856" priority="5148" stopIfTrue="1" operator="equal">
      <formula>"Napkin Hs"</formula>
    </cfRule>
  </conditionalFormatting>
  <conditionalFormatting sqref="C89">
    <cfRule type="cellIs" dxfId="3855" priority="5145" stopIfTrue="1" operator="equal">
      <formula>"Towel"</formula>
    </cfRule>
    <cfRule type="cellIs" dxfId="3854" priority="5146" stopIfTrue="1" operator="equal">
      <formula>"Napkin Hs"</formula>
    </cfRule>
  </conditionalFormatting>
  <conditionalFormatting sqref="B85">
    <cfRule type="cellIs" dxfId="3853" priority="5144" stopIfTrue="1" operator="equal">
      <formula>"Napkin Hs"</formula>
    </cfRule>
  </conditionalFormatting>
  <conditionalFormatting sqref="B85">
    <cfRule type="cellIs" dxfId="3852" priority="5143" stopIfTrue="1" operator="equal">
      <formula>"Towel"</formula>
    </cfRule>
  </conditionalFormatting>
  <conditionalFormatting sqref="C85">
    <cfRule type="cellIs" dxfId="3851" priority="5142" stopIfTrue="1" operator="equal">
      <formula>"Napkin Hs"</formula>
    </cfRule>
  </conditionalFormatting>
  <conditionalFormatting sqref="C85">
    <cfRule type="cellIs" dxfId="3850" priority="5141" stopIfTrue="1" operator="equal">
      <formula>"Towel"</formula>
    </cfRule>
  </conditionalFormatting>
  <conditionalFormatting sqref="C85">
    <cfRule type="cellIs" dxfId="3849" priority="5140" stopIfTrue="1" operator="equal">
      <formula>"Napkin Hs"</formula>
    </cfRule>
  </conditionalFormatting>
  <conditionalFormatting sqref="C85">
    <cfRule type="cellIs" dxfId="3848" priority="5137" stopIfTrue="1" operator="equal">
      <formula>"Towel"</formula>
    </cfRule>
    <cfRule type="cellIs" dxfId="3847" priority="5138" stopIfTrue="1" operator="equal">
      <formula>"Napkin Hs"</formula>
    </cfRule>
  </conditionalFormatting>
  <conditionalFormatting sqref="C85">
    <cfRule type="cellIs" dxfId="3846" priority="5139" stopIfTrue="1" operator="equal">
      <formula>"Towel"</formula>
    </cfRule>
  </conditionalFormatting>
  <conditionalFormatting sqref="B86">
    <cfRule type="cellIs" dxfId="3845" priority="5136" stopIfTrue="1" operator="equal">
      <formula>"Napkin Hs"</formula>
    </cfRule>
  </conditionalFormatting>
  <conditionalFormatting sqref="B86">
    <cfRule type="cellIs" dxfId="3844" priority="5135" stopIfTrue="1" operator="equal">
      <formula>"Towel"</formula>
    </cfRule>
  </conditionalFormatting>
  <conditionalFormatting sqref="C86">
    <cfRule type="cellIs" dxfId="3843" priority="5134" stopIfTrue="1" operator="equal">
      <formula>"Napkin Hs"</formula>
    </cfRule>
  </conditionalFormatting>
  <conditionalFormatting sqref="C86">
    <cfRule type="cellIs" dxfId="3842" priority="5133" stopIfTrue="1" operator="equal">
      <formula>"Towel"</formula>
    </cfRule>
  </conditionalFormatting>
  <conditionalFormatting sqref="C86">
    <cfRule type="cellIs" dxfId="3841" priority="5132" stopIfTrue="1" operator="equal">
      <formula>"Napkin Hs"</formula>
    </cfRule>
  </conditionalFormatting>
  <conditionalFormatting sqref="C86">
    <cfRule type="cellIs" dxfId="3840" priority="5129" stopIfTrue="1" operator="equal">
      <formula>"Towel"</formula>
    </cfRule>
    <cfRule type="cellIs" dxfId="3839" priority="5130" stopIfTrue="1" operator="equal">
      <formula>"Napkin Hs"</formula>
    </cfRule>
  </conditionalFormatting>
  <conditionalFormatting sqref="C86">
    <cfRule type="cellIs" dxfId="3838" priority="5131" stopIfTrue="1" operator="equal">
      <formula>"Towel"</formula>
    </cfRule>
  </conditionalFormatting>
  <conditionalFormatting sqref="B88:C88">
    <cfRule type="cellIs" dxfId="3837" priority="5128" stopIfTrue="1" operator="equal">
      <formula>"Napkin Hs"</formula>
    </cfRule>
  </conditionalFormatting>
  <conditionalFormatting sqref="B88:C88">
    <cfRule type="cellIs" dxfId="3836" priority="5127" stopIfTrue="1" operator="equal">
      <formula>"Towel"</formula>
    </cfRule>
  </conditionalFormatting>
  <conditionalFormatting sqref="C88">
    <cfRule type="cellIs" dxfId="3835" priority="5126" stopIfTrue="1" operator="equal">
      <formula>"Napkin Hs"</formula>
    </cfRule>
  </conditionalFormatting>
  <conditionalFormatting sqref="C88">
    <cfRule type="cellIs" dxfId="3834" priority="5123" stopIfTrue="1" operator="equal">
      <formula>"Towel"</formula>
    </cfRule>
    <cfRule type="cellIs" dxfId="3833" priority="5124" stopIfTrue="1" operator="equal">
      <formula>"Napkin Hs"</formula>
    </cfRule>
  </conditionalFormatting>
  <conditionalFormatting sqref="C88">
    <cfRule type="cellIs" dxfId="3832" priority="5125" stopIfTrue="1" operator="equal">
      <formula>"Towel"</formula>
    </cfRule>
  </conditionalFormatting>
  <conditionalFormatting sqref="B87:C87">
    <cfRule type="cellIs" dxfId="3831" priority="5122" stopIfTrue="1" operator="equal">
      <formula>"Napkin Hs"</formula>
    </cfRule>
  </conditionalFormatting>
  <conditionalFormatting sqref="B87:C87">
    <cfRule type="cellIs" dxfId="3830" priority="5121" stopIfTrue="1" operator="equal">
      <formula>"Towel"</formula>
    </cfRule>
  </conditionalFormatting>
  <conditionalFormatting sqref="C87">
    <cfRule type="cellIs" dxfId="3829" priority="5120" stopIfTrue="1" operator="equal">
      <formula>"Napkin Hs"</formula>
    </cfRule>
  </conditionalFormatting>
  <conditionalFormatting sqref="C87">
    <cfRule type="cellIs" dxfId="3828" priority="5117" stopIfTrue="1" operator="equal">
      <formula>"Towel"</formula>
    </cfRule>
    <cfRule type="cellIs" dxfId="3827" priority="5118" stopIfTrue="1" operator="equal">
      <formula>"Napkin Hs"</formula>
    </cfRule>
  </conditionalFormatting>
  <conditionalFormatting sqref="C87">
    <cfRule type="cellIs" dxfId="3826" priority="5119" stopIfTrue="1" operator="equal">
      <formula>"Towel"</formula>
    </cfRule>
  </conditionalFormatting>
  <conditionalFormatting sqref="B93:C93">
    <cfRule type="cellIs" dxfId="3825" priority="5019" stopIfTrue="1" operator="equal">
      <formula>"Towel"</formula>
    </cfRule>
    <cfRule type="cellIs" dxfId="3824" priority="5020" stopIfTrue="1" operator="equal">
      <formula>"Napkin Hs"</formula>
    </cfRule>
  </conditionalFormatting>
  <conditionalFormatting sqref="C93">
    <cfRule type="cellIs" dxfId="3823" priority="5017" stopIfTrue="1" operator="equal">
      <formula>"Towel"</formula>
    </cfRule>
    <cfRule type="cellIs" dxfId="3822" priority="5018" stopIfTrue="1" operator="equal">
      <formula>"Napkin Hs"</formula>
    </cfRule>
  </conditionalFormatting>
  <conditionalFormatting sqref="C93">
    <cfRule type="cellIs" dxfId="3821" priority="5015" stopIfTrue="1" operator="equal">
      <formula>"Towel"</formula>
    </cfRule>
    <cfRule type="cellIs" dxfId="3820" priority="5016" stopIfTrue="1" operator="equal">
      <formula>"Napkin Hs"</formula>
    </cfRule>
  </conditionalFormatting>
  <conditionalFormatting sqref="B92:C92">
    <cfRule type="cellIs" dxfId="3819" priority="5014" stopIfTrue="1" operator="equal">
      <formula>"Napkin Hs"</formula>
    </cfRule>
  </conditionalFormatting>
  <conditionalFormatting sqref="B92:C92">
    <cfRule type="cellIs" dxfId="3818" priority="5013" stopIfTrue="1" operator="equal">
      <formula>"Towel"</formula>
    </cfRule>
  </conditionalFormatting>
  <conditionalFormatting sqref="C92">
    <cfRule type="cellIs" dxfId="3817" priority="5012" stopIfTrue="1" operator="equal">
      <formula>"Napkin Hs"</formula>
    </cfRule>
  </conditionalFormatting>
  <conditionalFormatting sqref="C92">
    <cfRule type="cellIs" dxfId="3816" priority="5009" stopIfTrue="1" operator="equal">
      <formula>"Towel"</formula>
    </cfRule>
    <cfRule type="cellIs" dxfId="3815" priority="5010" stopIfTrue="1" operator="equal">
      <formula>"Napkin Hs"</formula>
    </cfRule>
  </conditionalFormatting>
  <conditionalFormatting sqref="C92">
    <cfRule type="cellIs" dxfId="3814" priority="5011" stopIfTrue="1" operator="equal">
      <formula>"Towel"</formula>
    </cfRule>
  </conditionalFormatting>
  <conditionalFormatting sqref="B91:C91">
    <cfRule type="cellIs" dxfId="3813" priority="5008" stopIfTrue="1" operator="equal">
      <formula>"Napkin Hs"</formula>
    </cfRule>
  </conditionalFormatting>
  <conditionalFormatting sqref="B91:C91">
    <cfRule type="cellIs" dxfId="3812" priority="5007" stopIfTrue="1" operator="equal">
      <formula>"Towel"</formula>
    </cfRule>
  </conditionalFormatting>
  <conditionalFormatting sqref="C91">
    <cfRule type="cellIs" dxfId="3811" priority="5006" stopIfTrue="1" operator="equal">
      <formula>"Napkin Hs"</formula>
    </cfRule>
  </conditionalFormatting>
  <conditionalFormatting sqref="C91">
    <cfRule type="cellIs" dxfId="3810" priority="5003" stopIfTrue="1" operator="equal">
      <formula>"Towel"</formula>
    </cfRule>
    <cfRule type="cellIs" dxfId="3809" priority="5004" stopIfTrue="1" operator="equal">
      <formula>"Napkin Hs"</formula>
    </cfRule>
  </conditionalFormatting>
  <conditionalFormatting sqref="C91">
    <cfRule type="cellIs" dxfId="3808" priority="5005" stopIfTrue="1" operator="equal">
      <formula>"Towel"</formula>
    </cfRule>
  </conditionalFormatting>
  <conditionalFormatting sqref="B91">
    <cfRule type="cellIs" dxfId="3807" priority="5002" stopIfTrue="1" operator="equal">
      <formula>"Napkin Hs"</formula>
    </cfRule>
  </conditionalFormatting>
  <conditionalFormatting sqref="B91">
    <cfRule type="cellIs" dxfId="3806" priority="5001" stopIfTrue="1" operator="equal">
      <formula>"Towel"</formula>
    </cfRule>
  </conditionalFormatting>
  <conditionalFormatting sqref="C91">
    <cfRule type="cellIs" dxfId="3805" priority="5000" stopIfTrue="1" operator="equal">
      <formula>"Napkin Hs"</formula>
    </cfRule>
  </conditionalFormatting>
  <conditionalFormatting sqref="C91">
    <cfRule type="cellIs" dxfId="3804" priority="4999" stopIfTrue="1" operator="equal">
      <formula>"Towel"</formula>
    </cfRule>
  </conditionalFormatting>
  <conditionalFormatting sqref="C91">
    <cfRule type="cellIs" dxfId="3803" priority="4998" stopIfTrue="1" operator="equal">
      <formula>"Napkin Hs"</formula>
    </cfRule>
  </conditionalFormatting>
  <conditionalFormatting sqref="C91">
    <cfRule type="cellIs" dxfId="3802" priority="4995" stopIfTrue="1" operator="equal">
      <formula>"Towel"</formula>
    </cfRule>
    <cfRule type="cellIs" dxfId="3801" priority="4996" stopIfTrue="1" operator="equal">
      <formula>"Napkin Hs"</formula>
    </cfRule>
  </conditionalFormatting>
  <conditionalFormatting sqref="C91">
    <cfRule type="cellIs" dxfId="3800" priority="4997" stopIfTrue="1" operator="equal">
      <formula>"Towel"</formula>
    </cfRule>
  </conditionalFormatting>
  <conditionalFormatting sqref="B93:C93">
    <cfRule type="cellIs" dxfId="3799" priority="4994" stopIfTrue="1" operator="equal">
      <formula>"Napkin Hs"</formula>
    </cfRule>
  </conditionalFormatting>
  <conditionalFormatting sqref="B93:C93">
    <cfRule type="cellIs" dxfId="3798" priority="4993" stopIfTrue="1" operator="equal">
      <formula>"Towel"</formula>
    </cfRule>
  </conditionalFormatting>
  <conditionalFormatting sqref="C93">
    <cfRule type="cellIs" dxfId="3797" priority="4992" stopIfTrue="1" operator="equal">
      <formula>"Napkin Hs"</formula>
    </cfRule>
  </conditionalFormatting>
  <conditionalFormatting sqref="C93">
    <cfRule type="cellIs" dxfId="3796" priority="4989" stopIfTrue="1" operator="equal">
      <formula>"Towel"</formula>
    </cfRule>
    <cfRule type="cellIs" dxfId="3795" priority="4990" stopIfTrue="1" operator="equal">
      <formula>"Napkin Hs"</formula>
    </cfRule>
  </conditionalFormatting>
  <conditionalFormatting sqref="C93">
    <cfRule type="cellIs" dxfId="3794" priority="4991" stopIfTrue="1" operator="equal">
      <formula>"Towel"</formula>
    </cfRule>
  </conditionalFormatting>
  <conditionalFormatting sqref="B92:C92">
    <cfRule type="cellIs" dxfId="3793" priority="4988" stopIfTrue="1" operator="equal">
      <formula>"Napkin Hs"</formula>
    </cfRule>
  </conditionalFormatting>
  <conditionalFormatting sqref="B92:C92">
    <cfRule type="cellIs" dxfId="3792" priority="4987" stopIfTrue="1" operator="equal">
      <formula>"Towel"</formula>
    </cfRule>
  </conditionalFormatting>
  <conditionalFormatting sqref="C92">
    <cfRule type="cellIs" dxfId="3791" priority="4986" stopIfTrue="1" operator="equal">
      <formula>"Napkin Hs"</formula>
    </cfRule>
  </conditionalFormatting>
  <conditionalFormatting sqref="C92">
    <cfRule type="cellIs" dxfId="3790" priority="4983" stopIfTrue="1" operator="equal">
      <formula>"Towel"</formula>
    </cfRule>
    <cfRule type="cellIs" dxfId="3789" priority="4984" stopIfTrue="1" operator="equal">
      <formula>"Napkin Hs"</formula>
    </cfRule>
  </conditionalFormatting>
  <conditionalFormatting sqref="C92">
    <cfRule type="cellIs" dxfId="3788" priority="4985" stopIfTrue="1" operator="equal">
      <formula>"Towel"</formula>
    </cfRule>
  </conditionalFormatting>
  <conditionalFormatting sqref="B90:C90">
    <cfRule type="cellIs" dxfId="3787" priority="4982" stopIfTrue="1" operator="equal">
      <formula>"Napkin Hs"</formula>
    </cfRule>
  </conditionalFormatting>
  <conditionalFormatting sqref="B90:C90">
    <cfRule type="cellIs" dxfId="3786" priority="4981" stopIfTrue="1" operator="equal">
      <formula>"Towel"</formula>
    </cfRule>
  </conditionalFormatting>
  <conditionalFormatting sqref="C90">
    <cfRule type="cellIs" dxfId="3785" priority="4980" stopIfTrue="1" operator="equal">
      <formula>"Napkin Hs"</formula>
    </cfRule>
  </conditionalFormatting>
  <conditionalFormatting sqref="C90">
    <cfRule type="cellIs" dxfId="3784" priority="4977" stopIfTrue="1" operator="equal">
      <formula>"Towel"</formula>
    </cfRule>
    <cfRule type="cellIs" dxfId="3783" priority="4978" stopIfTrue="1" operator="equal">
      <formula>"Napkin Hs"</formula>
    </cfRule>
  </conditionalFormatting>
  <conditionalFormatting sqref="C90">
    <cfRule type="cellIs" dxfId="3782" priority="4979" stopIfTrue="1" operator="equal">
      <formula>"Towel"</formula>
    </cfRule>
  </conditionalFormatting>
  <conditionalFormatting sqref="B90:C90">
    <cfRule type="cellIs" dxfId="3781" priority="4976" stopIfTrue="1" operator="equal">
      <formula>"Napkin Hs"</formula>
    </cfRule>
  </conditionalFormatting>
  <conditionalFormatting sqref="B90:C90">
    <cfRule type="cellIs" dxfId="3780" priority="4975" stopIfTrue="1" operator="equal">
      <formula>"Towel"</formula>
    </cfRule>
  </conditionalFormatting>
  <conditionalFormatting sqref="C90">
    <cfRule type="cellIs" dxfId="3779" priority="4974" stopIfTrue="1" operator="equal">
      <formula>"Napkin Hs"</formula>
    </cfRule>
  </conditionalFormatting>
  <conditionalFormatting sqref="C90">
    <cfRule type="cellIs" dxfId="3778" priority="4971" stopIfTrue="1" operator="equal">
      <formula>"Towel"</formula>
    </cfRule>
    <cfRule type="cellIs" dxfId="3777" priority="4972" stopIfTrue="1" operator="equal">
      <formula>"Napkin Hs"</formula>
    </cfRule>
  </conditionalFormatting>
  <conditionalFormatting sqref="C90">
    <cfRule type="cellIs" dxfId="3776" priority="4973" stopIfTrue="1" operator="equal">
      <formula>"Towel"</formula>
    </cfRule>
  </conditionalFormatting>
  <conditionalFormatting sqref="B97:C97">
    <cfRule type="cellIs" dxfId="3775" priority="4915" stopIfTrue="1" operator="equal">
      <formula>"Towel"</formula>
    </cfRule>
    <cfRule type="cellIs" dxfId="3774" priority="4916" stopIfTrue="1" operator="equal">
      <formula>"Napkin Hs"</formula>
    </cfRule>
  </conditionalFormatting>
  <conditionalFormatting sqref="C97">
    <cfRule type="cellIs" dxfId="3773" priority="4913" stopIfTrue="1" operator="equal">
      <formula>"Towel"</formula>
    </cfRule>
    <cfRule type="cellIs" dxfId="3772" priority="4914" stopIfTrue="1" operator="equal">
      <formula>"Napkin Hs"</formula>
    </cfRule>
  </conditionalFormatting>
  <conditionalFormatting sqref="C97">
    <cfRule type="cellIs" dxfId="3771" priority="4911" stopIfTrue="1" operator="equal">
      <formula>"Towel"</formula>
    </cfRule>
    <cfRule type="cellIs" dxfId="3770" priority="4912" stopIfTrue="1" operator="equal">
      <formula>"Napkin Hs"</formula>
    </cfRule>
  </conditionalFormatting>
  <conditionalFormatting sqref="B96:C96">
    <cfRule type="cellIs" dxfId="3769" priority="4910" stopIfTrue="1" operator="equal">
      <formula>"Napkin Hs"</formula>
    </cfRule>
  </conditionalFormatting>
  <conditionalFormatting sqref="B96:C96">
    <cfRule type="cellIs" dxfId="3768" priority="4909" stopIfTrue="1" operator="equal">
      <formula>"Towel"</formula>
    </cfRule>
  </conditionalFormatting>
  <conditionalFormatting sqref="C96">
    <cfRule type="cellIs" dxfId="3767" priority="4908" stopIfTrue="1" operator="equal">
      <formula>"Napkin Hs"</formula>
    </cfRule>
  </conditionalFormatting>
  <conditionalFormatting sqref="C96">
    <cfRule type="cellIs" dxfId="3766" priority="4905" stopIfTrue="1" operator="equal">
      <formula>"Towel"</formula>
    </cfRule>
    <cfRule type="cellIs" dxfId="3765" priority="4906" stopIfTrue="1" operator="equal">
      <formula>"Napkin Hs"</formula>
    </cfRule>
  </conditionalFormatting>
  <conditionalFormatting sqref="C96">
    <cfRule type="cellIs" dxfId="3764" priority="4907" stopIfTrue="1" operator="equal">
      <formula>"Towel"</formula>
    </cfRule>
  </conditionalFormatting>
  <conditionalFormatting sqref="B95:C95">
    <cfRule type="cellIs" dxfId="3763" priority="4904" stopIfTrue="1" operator="equal">
      <formula>"Napkin Hs"</formula>
    </cfRule>
  </conditionalFormatting>
  <conditionalFormatting sqref="B95:C95">
    <cfRule type="cellIs" dxfId="3762" priority="4903" stopIfTrue="1" operator="equal">
      <formula>"Towel"</formula>
    </cfRule>
  </conditionalFormatting>
  <conditionalFormatting sqref="C95">
    <cfRule type="cellIs" dxfId="3761" priority="4902" stopIfTrue="1" operator="equal">
      <formula>"Napkin Hs"</formula>
    </cfRule>
  </conditionalFormatting>
  <conditionalFormatting sqref="C95">
    <cfRule type="cellIs" dxfId="3760" priority="4899" stopIfTrue="1" operator="equal">
      <formula>"Towel"</formula>
    </cfRule>
    <cfRule type="cellIs" dxfId="3759" priority="4900" stopIfTrue="1" operator="equal">
      <formula>"Napkin Hs"</formula>
    </cfRule>
  </conditionalFormatting>
  <conditionalFormatting sqref="C95">
    <cfRule type="cellIs" dxfId="3758" priority="4901" stopIfTrue="1" operator="equal">
      <formula>"Towel"</formula>
    </cfRule>
  </conditionalFormatting>
  <conditionalFormatting sqref="B95">
    <cfRule type="cellIs" dxfId="3757" priority="4898" stopIfTrue="1" operator="equal">
      <formula>"Napkin Hs"</formula>
    </cfRule>
  </conditionalFormatting>
  <conditionalFormatting sqref="B95">
    <cfRule type="cellIs" dxfId="3756" priority="4897" stopIfTrue="1" operator="equal">
      <formula>"Towel"</formula>
    </cfRule>
  </conditionalFormatting>
  <conditionalFormatting sqref="C95">
    <cfRule type="cellIs" dxfId="3755" priority="4896" stopIfTrue="1" operator="equal">
      <formula>"Napkin Hs"</formula>
    </cfRule>
  </conditionalFormatting>
  <conditionalFormatting sqref="C95">
    <cfRule type="cellIs" dxfId="3754" priority="4895" stopIfTrue="1" operator="equal">
      <formula>"Towel"</formula>
    </cfRule>
  </conditionalFormatting>
  <conditionalFormatting sqref="C95">
    <cfRule type="cellIs" dxfId="3753" priority="4894" stopIfTrue="1" operator="equal">
      <formula>"Napkin Hs"</formula>
    </cfRule>
  </conditionalFormatting>
  <conditionalFormatting sqref="C95">
    <cfRule type="cellIs" dxfId="3752" priority="4891" stopIfTrue="1" operator="equal">
      <formula>"Towel"</formula>
    </cfRule>
    <cfRule type="cellIs" dxfId="3751" priority="4892" stopIfTrue="1" operator="equal">
      <formula>"Napkin Hs"</formula>
    </cfRule>
  </conditionalFormatting>
  <conditionalFormatting sqref="C95">
    <cfRule type="cellIs" dxfId="3750" priority="4893" stopIfTrue="1" operator="equal">
      <formula>"Towel"</formula>
    </cfRule>
  </conditionalFormatting>
  <conditionalFormatting sqref="B97:C97">
    <cfRule type="cellIs" dxfId="3749" priority="4890" stopIfTrue="1" operator="equal">
      <formula>"Napkin Hs"</formula>
    </cfRule>
  </conditionalFormatting>
  <conditionalFormatting sqref="B97:C97">
    <cfRule type="cellIs" dxfId="3748" priority="4889" stopIfTrue="1" operator="equal">
      <formula>"Towel"</formula>
    </cfRule>
  </conditionalFormatting>
  <conditionalFormatting sqref="C97">
    <cfRule type="cellIs" dxfId="3747" priority="4888" stopIfTrue="1" operator="equal">
      <formula>"Napkin Hs"</formula>
    </cfRule>
  </conditionalFormatting>
  <conditionalFormatting sqref="C97">
    <cfRule type="cellIs" dxfId="3746" priority="4885" stopIfTrue="1" operator="equal">
      <formula>"Towel"</formula>
    </cfRule>
    <cfRule type="cellIs" dxfId="3745" priority="4886" stopIfTrue="1" operator="equal">
      <formula>"Napkin Hs"</formula>
    </cfRule>
  </conditionalFormatting>
  <conditionalFormatting sqref="C97">
    <cfRule type="cellIs" dxfId="3744" priority="4887" stopIfTrue="1" operator="equal">
      <formula>"Towel"</formula>
    </cfRule>
  </conditionalFormatting>
  <conditionalFormatting sqref="B96:C96">
    <cfRule type="cellIs" dxfId="3743" priority="4884" stopIfTrue="1" operator="equal">
      <formula>"Napkin Hs"</formula>
    </cfRule>
  </conditionalFormatting>
  <conditionalFormatting sqref="B96:C96">
    <cfRule type="cellIs" dxfId="3742" priority="4883" stopIfTrue="1" operator="equal">
      <formula>"Towel"</formula>
    </cfRule>
  </conditionalFormatting>
  <conditionalFormatting sqref="C96">
    <cfRule type="cellIs" dxfId="3741" priority="4882" stopIfTrue="1" operator="equal">
      <formula>"Napkin Hs"</formula>
    </cfRule>
  </conditionalFormatting>
  <conditionalFormatting sqref="C96">
    <cfRule type="cellIs" dxfId="3740" priority="4879" stopIfTrue="1" operator="equal">
      <formula>"Towel"</formula>
    </cfRule>
    <cfRule type="cellIs" dxfId="3739" priority="4880" stopIfTrue="1" operator="equal">
      <formula>"Napkin Hs"</formula>
    </cfRule>
  </conditionalFormatting>
  <conditionalFormatting sqref="C96">
    <cfRule type="cellIs" dxfId="3738" priority="4881" stopIfTrue="1" operator="equal">
      <formula>"Towel"</formula>
    </cfRule>
  </conditionalFormatting>
  <conditionalFormatting sqref="B94:C94">
    <cfRule type="cellIs" dxfId="3737" priority="4878" stopIfTrue="1" operator="equal">
      <formula>"Napkin Hs"</formula>
    </cfRule>
  </conditionalFormatting>
  <conditionalFormatting sqref="B94:C94">
    <cfRule type="cellIs" dxfId="3736" priority="4877" stopIfTrue="1" operator="equal">
      <formula>"Towel"</formula>
    </cfRule>
  </conditionalFormatting>
  <conditionalFormatting sqref="C94">
    <cfRule type="cellIs" dxfId="3735" priority="4876" stopIfTrue="1" operator="equal">
      <formula>"Napkin Hs"</formula>
    </cfRule>
  </conditionalFormatting>
  <conditionalFormatting sqref="C94">
    <cfRule type="cellIs" dxfId="3734" priority="4873" stopIfTrue="1" operator="equal">
      <formula>"Towel"</formula>
    </cfRule>
    <cfRule type="cellIs" dxfId="3733" priority="4874" stopIfTrue="1" operator="equal">
      <formula>"Napkin Hs"</formula>
    </cfRule>
  </conditionalFormatting>
  <conditionalFormatting sqref="C94">
    <cfRule type="cellIs" dxfId="3732" priority="4875" stopIfTrue="1" operator="equal">
      <formula>"Towel"</formula>
    </cfRule>
  </conditionalFormatting>
  <conditionalFormatting sqref="B94:C94">
    <cfRule type="cellIs" dxfId="3731" priority="4872" stopIfTrue="1" operator="equal">
      <formula>"Napkin Hs"</formula>
    </cfRule>
  </conditionalFormatting>
  <conditionalFormatting sqref="B94:C94">
    <cfRule type="cellIs" dxfId="3730" priority="4871" stopIfTrue="1" operator="equal">
      <formula>"Towel"</formula>
    </cfRule>
  </conditionalFormatting>
  <conditionalFormatting sqref="C94">
    <cfRule type="cellIs" dxfId="3729" priority="4870" stopIfTrue="1" operator="equal">
      <formula>"Napkin Hs"</formula>
    </cfRule>
  </conditionalFormatting>
  <conditionalFormatting sqref="C94">
    <cfRule type="cellIs" dxfId="3728" priority="4867" stopIfTrue="1" operator="equal">
      <formula>"Towel"</formula>
    </cfRule>
    <cfRule type="cellIs" dxfId="3727" priority="4868" stopIfTrue="1" operator="equal">
      <formula>"Napkin Hs"</formula>
    </cfRule>
  </conditionalFormatting>
  <conditionalFormatting sqref="C94">
    <cfRule type="cellIs" dxfId="3726" priority="4869" stopIfTrue="1" operator="equal">
      <formula>"Towel"</formula>
    </cfRule>
  </conditionalFormatting>
  <conditionalFormatting sqref="B98:C98">
    <cfRule type="cellIs" dxfId="3725" priority="4576" stopIfTrue="1" operator="equal">
      <formula>"Napkin Hs"</formula>
    </cfRule>
  </conditionalFormatting>
  <conditionalFormatting sqref="B98:C98">
    <cfRule type="cellIs" dxfId="3724" priority="4575" stopIfTrue="1" operator="equal">
      <formula>"Towel"</formula>
    </cfRule>
  </conditionalFormatting>
  <conditionalFormatting sqref="B101:C101">
    <cfRule type="cellIs" dxfId="3723" priority="4569" stopIfTrue="1" operator="equal">
      <formula>"Towel"</formula>
    </cfRule>
    <cfRule type="cellIs" dxfId="3722" priority="4570" stopIfTrue="1" operator="equal">
      <formula>"Napkin Hs"</formula>
    </cfRule>
  </conditionalFormatting>
  <conditionalFormatting sqref="C98">
    <cfRule type="cellIs" dxfId="3721" priority="4574" stopIfTrue="1" operator="equal">
      <formula>"Napkin Hs"</formula>
    </cfRule>
  </conditionalFormatting>
  <conditionalFormatting sqref="C98">
    <cfRule type="cellIs" dxfId="3720" priority="4573" stopIfTrue="1" operator="equal">
      <formula>"Towel"</formula>
    </cfRule>
  </conditionalFormatting>
  <conditionalFormatting sqref="C101">
    <cfRule type="cellIs" dxfId="3719" priority="4565" stopIfTrue="1" operator="equal">
      <formula>"Towel"</formula>
    </cfRule>
    <cfRule type="cellIs" dxfId="3718" priority="4566" stopIfTrue="1" operator="equal">
      <formula>"Napkin Hs"</formula>
    </cfRule>
  </conditionalFormatting>
  <conditionalFormatting sqref="C98">
    <cfRule type="cellIs" dxfId="3717" priority="4571" stopIfTrue="1" operator="equal">
      <formula>"Towel"</formula>
    </cfRule>
    <cfRule type="cellIs" dxfId="3716" priority="4572" stopIfTrue="1" operator="equal">
      <formula>"Napkin Hs"</formula>
    </cfRule>
  </conditionalFormatting>
  <conditionalFormatting sqref="C101">
    <cfRule type="cellIs" dxfId="3715" priority="4567" stopIfTrue="1" operator="equal">
      <formula>"Towel"</formula>
    </cfRule>
    <cfRule type="cellIs" dxfId="3714" priority="4568" stopIfTrue="1" operator="equal">
      <formula>"Napkin Hs"</formula>
    </cfRule>
  </conditionalFormatting>
  <conditionalFormatting sqref="B101:C101">
    <cfRule type="cellIs" dxfId="3713" priority="4561" stopIfTrue="1" operator="equal">
      <formula>"Towel"</formula>
    </cfRule>
    <cfRule type="cellIs" dxfId="3712" priority="4562" stopIfTrue="1" operator="equal">
      <formula>"Napkin Hs"</formula>
    </cfRule>
  </conditionalFormatting>
  <conditionalFormatting sqref="C101">
    <cfRule type="cellIs" dxfId="3711" priority="4563" stopIfTrue="1" operator="equal">
      <formula>"Towel"</formula>
    </cfRule>
    <cfRule type="cellIs" dxfId="3710" priority="4564" stopIfTrue="1" operator="equal">
      <formula>"Napkin Hs"</formula>
    </cfRule>
  </conditionalFormatting>
  <conditionalFormatting sqref="C101">
    <cfRule type="cellIs" dxfId="3709" priority="4559" stopIfTrue="1" operator="equal">
      <formula>"Towel"</formula>
    </cfRule>
    <cfRule type="cellIs" dxfId="3708" priority="4560" stopIfTrue="1" operator="equal">
      <formula>"Napkin Hs"</formula>
    </cfRule>
  </conditionalFormatting>
  <conditionalFormatting sqref="B98:C98">
    <cfRule type="cellIs" dxfId="3707" priority="4557" stopIfTrue="1" operator="equal">
      <formula>"Towel"</formula>
    </cfRule>
    <cfRule type="cellIs" dxfId="3706" priority="4558" stopIfTrue="1" operator="equal">
      <formula>"Napkin Hs"</formula>
    </cfRule>
  </conditionalFormatting>
  <conditionalFormatting sqref="C98">
    <cfRule type="cellIs" dxfId="3705" priority="4553" stopIfTrue="1" operator="equal">
      <formula>"Towel"</formula>
    </cfRule>
    <cfRule type="cellIs" dxfId="3704" priority="4554" stopIfTrue="1" operator="equal">
      <formula>"Napkin Hs"</formula>
    </cfRule>
  </conditionalFormatting>
  <conditionalFormatting sqref="C98">
    <cfRule type="cellIs" dxfId="3703" priority="4555" stopIfTrue="1" operator="equal">
      <formula>"Towel"</formula>
    </cfRule>
    <cfRule type="cellIs" dxfId="3702" priority="4556" stopIfTrue="1" operator="equal">
      <formula>"Napkin Hs"</formula>
    </cfRule>
  </conditionalFormatting>
  <conditionalFormatting sqref="B98:C98">
    <cfRule type="cellIs" dxfId="3701" priority="4552" stopIfTrue="1" operator="equal">
      <formula>"Napkin Hs"</formula>
    </cfRule>
  </conditionalFormatting>
  <conditionalFormatting sqref="B98:C98">
    <cfRule type="cellIs" dxfId="3700" priority="4551" stopIfTrue="1" operator="equal">
      <formula>"Towel"</formula>
    </cfRule>
  </conditionalFormatting>
  <conditionalFormatting sqref="C98">
    <cfRule type="cellIs" dxfId="3699" priority="4550" stopIfTrue="1" operator="equal">
      <formula>"Napkin Hs"</formula>
    </cfRule>
  </conditionalFormatting>
  <conditionalFormatting sqref="C98">
    <cfRule type="cellIs" dxfId="3698" priority="4549" stopIfTrue="1" operator="equal">
      <formula>"Towel"</formula>
    </cfRule>
  </conditionalFormatting>
  <conditionalFormatting sqref="C98">
    <cfRule type="cellIs" dxfId="3697" priority="4547" stopIfTrue="1" operator="equal">
      <formula>"Towel"</formula>
    </cfRule>
    <cfRule type="cellIs" dxfId="3696" priority="4548" stopIfTrue="1" operator="equal">
      <formula>"Napkin Hs"</formula>
    </cfRule>
  </conditionalFormatting>
  <conditionalFormatting sqref="B98:C98">
    <cfRule type="cellIs" dxfId="3695" priority="4545" stopIfTrue="1" operator="equal">
      <formula>"Towel"</formula>
    </cfRule>
    <cfRule type="cellIs" dxfId="3694" priority="4546" stopIfTrue="1" operator="equal">
      <formula>"Napkin Hs"</formula>
    </cfRule>
  </conditionalFormatting>
  <conditionalFormatting sqref="C98">
    <cfRule type="cellIs" dxfId="3693" priority="4543" stopIfTrue="1" operator="equal">
      <formula>"Towel"</formula>
    </cfRule>
    <cfRule type="cellIs" dxfId="3692" priority="4544" stopIfTrue="1" operator="equal">
      <formula>"Napkin Hs"</formula>
    </cfRule>
  </conditionalFormatting>
  <conditionalFormatting sqref="C98">
    <cfRule type="cellIs" dxfId="3691" priority="4541" stopIfTrue="1" operator="equal">
      <formula>"Towel"</formula>
    </cfRule>
    <cfRule type="cellIs" dxfId="3690" priority="4542" stopIfTrue="1" operator="equal">
      <formula>"Napkin Hs"</formula>
    </cfRule>
  </conditionalFormatting>
  <conditionalFormatting sqref="B98:C98">
    <cfRule type="cellIs" dxfId="3689" priority="4539" stopIfTrue="1" operator="equal">
      <formula>"Towel"</formula>
    </cfRule>
    <cfRule type="cellIs" dxfId="3688" priority="4540" stopIfTrue="1" operator="equal">
      <formula>"Napkin Hs"</formula>
    </cfRule>
  </conditionalFormatting>
  <conditionalFormatting sqref="C98">
    <cfRule type="cellIs" dxfId="3687" priority="4537" stopIfTrue="1" operator="equal">
      <formula>"Towel"</formula>
    </cfRule>
    <cfRule type="cellIs" dxfId="3686" priority="4538" stopIfTrue="1" operator="equal">
      <formula>"Napkin Hs"</formula>
    </cfRule>
  </conditionalFormatting>
  <conditionalFormatting sqref="C98">
    <cfRule type="cellIs" dxfId="3685" priority="4535" stopIfTrue="1" operator="equal">
      <formula>"Towel"</formula>
    </cfRule>
    <cfRule type="cellIs" dxfId="3684" priority="4536" stopIfTrue="1" operator="equal">
      <formula>"Napkin Hs"</formula>
    </cfRule>
  </conditionalFormatting>
  <conditionalFormatting sqref="B98:C98">
    <cfRule type="cellIs" dxfId="3683" priority="4533" stopIfTrue="1" operator="equal">
      <formula>"Towel"</formula>
    </cfRule>
    <cfRule type="cellIs" dxfId="3682" priority="4534" stopIfTrue="1" operator="equal">
      <formula>"Napkin Hs"</formula>
    </cfRule>
  </conditionalFormatting>
  <conditionalFormatting sqref="C98">
    <cfRule type="cellIs" dxfId="3681" priority="4531" stopIfTrue="1" operator="equal">
      <formula>"Towel"</formula>
    </cfRule>
    <cfRule type="cellIs" dxfId="3680" priority="4532" stopIfTrue="1" operator="equal">
      <formula>"Napkin Hs"</formula>
    </cfRule>
  </conditionalFormatting>
  <conditionalFormatting sqref="C98">
    <cfRule type="cellIs" dxfId="3679" priority="4529" stopIfTrue="1" operator="equal">
      <formula>"Towel"</formula>
    </cfRule>
    <cfRule type="cellIs" dxfId="3678" priority="4530" stopIfTrue="1" operator="equal">
      <formula>"Napkin Hs"</formula>
    </cfRule>
  </conditionalFormatting>
  <conditionalFormatting sqref="B98:C98">
    <cfRule type="cellIs" dxfId="3677" priority="4527" stopIfTrue="1" operator="equal">
      <formula>"Towel"</formula>
    </cfRule>
    <cfRule type="cellIs" dxfId="3676" priority="4528" stopIfTrue="1" operator="equal">
      <formula>"Napkin Hs"</formula>
    </cfRule>
  </conditionalFormatting>
  <conditionalFormatting sqref="C98">
    <cfRule type="cellIs" dxfId="3675" priority="4525" stopIfTrue="1" operator="equal">
      <formula>"Towel"</formula>
    </cfRule>
    <cfRule type="cellIs" dxfId="3674" priority="4526" stopIfTrue="1" operator="equal">
      <formula>"Napkin Hs"</formula>
    </cfRule>
  </conditionalFormatting>
  <conditionalFormatting sqref="C98">
    <cfRule type="cellIs" dxfId="3673" priority="4523" stopIfTrue="1" operator="equal">
      <formula>"Towel"</formula>
    </cfRule>
    <cfRule type="cellIs" dxfId="3672" priority="4524" stopIfTrue="1" operator="equal">
      <formula>"Napkin Hs"</formula>
    </cfRule>
  </conditionalFormatting>
  <conditionalFormatting sqref="B98:C98">
    <cfRule type="cellIs" dxfId="3671" priority="4521" stopIfTrue="1" operator="equal">
      <formula>"Towel"</formula>
    </cfRule>
    <cfRule type="cellIs" dxfId="3670" priority="4522" stopIfTrue="1" operator="equal">
      <formula>"Napkin Hs"</formula>
    </cfRule>
  </conditionalFormatting>
  <conditionalFormatting sqref="C98">
    <cfRule type="cellIs" dxfId="3669" priority="4519" stopIfTrue="1" operator="equal">
      <formula>"Towel"</formula>
    </cfRule>
    <cfRule type="cellIs" dxfId="3668" priority="4520" stopIfTrue="1" operator="equal">
      <formula>"Napkin Hs"</formula>
    </cfRule>
  </conditionalFormatting>
  <conditionalFormatting sqref="C98">
    <cfRule type="cellIs" dxfId="3667" priority="4517" stopIfTrue="1" operator="equal">
      <formula>"Towel"</formula>
    </cfRule>
    <cfRule type="cellIs" dxfId="3666" priority="4518" stopIfTrue="1" operator="equal">
      <formula>"Napkin Hs"</formula>
    </cfRule>
  </conditionalFormatting>
  <conditionalFormatting sqref="B98:C98">
    <cfRule type="cellIs" dxfId="3665" priority="4516" stopIfTrue="1" operator="equal">
      <formula>"Napkin Hs"</formula>
    </cfRule>
  </conditionalFormatting>
  <conditionalFormatting sqref="B98:C98">
    <cfRule type="cellIs" dxfId="3664" priority="4515" stopIfTrue="1" operator="equal">
      <formula>"Towel"</formula>
    </cfRule>
  </conditionalFormatting>
  <conditionalFormatting sqref="C98">
    <cfRule type="cellIs" dxfId="3663" priority="4514" stopIfTrue="1" operator="equal">
      <formula>"Napkin Hs"</formula>
    </cfRule>
  </conditionalFormatting>
  <conditionalFormatting sqref="C98">
    <cfRule type="cellIs" dxfId="3662" priority="4511" stopIfTrue="1" operator="equal">
      <formula>"Towel"</formula>
    </cfRule>
    <cfRule type="cellIs" dxfId="3661" priority="4512" stopIfTrue="1" operator="equal">
      <formula>"Napkin Hs"</formula>
    </cfRule>
  </conditionalFormatting>
  <conditionalFormatting sqref="C98">
    <cfRule type="cellIs" dxfId="3660" priority="4513" stopIfTrue="1" operator="equal">
      <formula>"Towel"</formula>
    </cfRule>
  </conditionalFormatting>
  <conditionalFormatting sqref="B99:C100">
    <cfRule type="cellIs" dxfId="3659" priority="4510" stopIfTrue="1" operator="equal">
      <formula>"Napkin Hs"</formula>
    </cfRule>
  </conditionalFormatting>
  <conditionalFormatting sqref="B99:C100">
    <cfRule type="cellIs" dxfId="3658" priority="4509" stopIfTrue="1" operator="equal">
      <formula>"Towel"</formula>
    </cfRule>
  </conditionalFormatting>
  <conditionalFormatting sqref="C99:C100">
    <cfRule type="cellIs" dxfId="3657" priority="4508" stopIfTrue="1" operator="equal">
      <formula>"Napkin Hs"</formula>
    </cfRule>
  </conditionalFormatting>
  <conditionalFormatting sqref="C99:C100">
    <cfRule type="cellIs" dxfId="3656" priority="4507" stopIfTrue="1" operator="equal">
      <formula>"Towel"</formula>
    </cfRule>
  </conditionalFormatting>
  <conditionalFormatting sqref="C99:C100">
    <cfRule type="cellIs" dxfId="3655" priority="4505" stopIfTrue="1" operator="equal">
      <formula>"Towel"</formula>
    </cfRule>
    <cfRule type="cellIs" dxfId="3654" priority="4506" stopIfTrue="1" operator="equal">
      <formula>"Napkin Hs"</formula>
    </cfRule>
  </conditionalFormatting>
  <conditionalFormatting sqref="B99:C100">
    <cfRule type="cellIs" dxfId="3653" priority="4503" stopIfTrue="1" operator="equal">
      <formula>"Towel"</formula>
    </cfRule>
    <cfRule type="cellIs" dxfId="3652" priority="4504" stopIfTrue="1" operator="equal">
      <formula>"Napkin Hs"</formula>
    </cfRule>
  </conditionalFormatting>
  <conditionalFormatting sqref="C99:C100">
    <cfRule type="cellIs" dxfId="3651" priority="4499" stopIfTrue="1" operator="equal">
      <formula>"Towel"</formula>
    </cfRule>
    <cfRule type="cellIs" dxfId="3650" priority="4500" stopIfTrue="1" operator="equal">
      <formula>"Napkin Hs"</formula>
    </cfRule>
  </conditionalFormatting>
  <conditionalFormatting sqref="C99:C100">
    <cfRule type="cellIs" dxfId="3649" priority="4501" stopIfTrue="1" operator="equal">
      <formula>"Towel"</formula>
    </cfRule>
    <cfRule type="cellIs" dxfId="3648" priority="4502" stopIfTrue="1" operator="equal">
      <formula>"Napkin Hs"</formula>
    </cfRule>
  </conditionalFormatting>
  <conditionalFormatting sqref="B99:C100">
    <cfRule type="cellIs" dxfId="3647" priority="4498" stopIfTrue="1" operator="equal">
      <formula>"Napkin Hs"</formula>
    </cfRule>
  </conditionalFormatting>
  <conditionalFormatting sqref="B99:C100">
    <cfRule type="cellIs" dxfId="3646" priority="4497" stopIfTrue="1" operator="equal">
      <formula>"Towel"</formula>
    </cfRule>
  </conditionalFormatting>
  <conditionalFormatting sqref="C99:C100">
    <cfRule type="cellIs" dxfId="3645" priority="4496" stopIfTrue="1" operator="equal">
      <formula>"Napkin Hs"</formula>
    </cfRule>
  </conditionalFormatting>
  <conditionalFormatting sqref="C99:C100">
    <cfRule type="cellIs" dxfId="3644" priority="4495" stopIfTrue="1" operator="equal">
      <formula>"Towel"</formula>
    </cfRule>
  </conditionalFormatting>
  <conditionalFormatting sqref="C99:C100">
    <cfRule type="cellIs" dxfId="3643" priority="4493" stopIfTrue="1" operator="equal">
      <formula>"Towel"</formula>
    </cfRule>
    <cfRule type="cellIs" dxfId="3642" priority="4494" stopIfTrue="1" operator="equal">
      <formula>"Napkin Hs"</formula>
    </cfRule>
  </conditionalFormatting>
  <conditionalFormatting sqref="B99:C100">
    <cfRule type="cellIs" dxfId="3641" priority="4491" stopIfTrue="1" operator="equal">
      <formula>"Towel"</formula>
    </cfRule>
    <cfRule type="cellIs" dxfId="3640" priority="4492" stopIfTrue="1" operator="equal">
      <formula>"Napkin Hs"</formula>
    </cfRule>
  </conditionalFormatting>
  <conditionalFormatting sqref="C99:C100">
    <cfRule type="cellIs" dxfId="3639" priority="4489" stopIfTrue="1" operator="equal">
      <formula>"Towel"</formula>
    </cfRule>
    <cfRule type="cellIs" dxfId="3638" priority="4490" stopIfTrue="1" operator="equal">
      <formula>"Napkin Hs"</formula>
    </cfRule>
  </conditionalFormatting>
  <conditionalFormatting sqref="C99:C100">
    <cfRule type="cellIs" dxfId="3637" priority="4487" stopIfTrue="1" operator="equal">
      <formula>"Towel"</formula>
    </cfRule>
    <cfRule type="cellIs" dxfId="3636" priority="4488" stopIfTrue="1" operator="equal">
      <formula>"Napkin Hs"</formula>
    </cfRule>
  </conditionalFormatting>
  <conditionalFormatting sqref="B99:C100">
    <cfRule type="cellIs" dxfId="3635" priority="4485" stopIfTrue="1" operator="equal">
      <formula>"Towel"</formula>
    </cfRule>
    <cfRule type="cellIs" dxfId="3634" priority="4486" stopIfTrue="1" operator="equal">
      <formula>"Napkin Hs"</formula>
    </cfRule>
  </conditionalFormatting>
  <conditionalFormatting sqref="C99:C100">
    <cfRule type="cellIs" dxfId="3633" priority="4483" stopIfTrue="1" operator="equal">
      <formula>"Towel"</formula>
    </cfRule>
    <cfRule type="cellIs" dxfId="3632" priority="4484" stopIfTrue="1" operator="equal">
      <formula>"Napkin Hs"</formula>
    </cfRule>
  </conditionalFormatting>
  <conditionalFormatting sqref="C99:C100">
    <cfRule type="cellIs" dxfId="3631" priority="4481" stopIfTrue="1" operator="equal">
      <formula>"Towel"</formula>
    </cfRule>
    <cfRule type="cellIs" dxfId="3630" priority="4482" stopIfTrue="1" operator="equal">
      <formula>"Napkin Hs"</formula>
    </cfRule>
  </conditionalFormatting>
  <conditionalFormatting sqref="B99:C100">
    <cfRule type="cellIs" dxfId="3629" priority="4479" stopIfTrue="1" operator="equal">
      <formula>"Towel"</formula>
    </cfRule>
    <cfRule type="cellIs" dxfId="3628" priority="4480" stopIfTrue="1" operator="equal">
      <formula>"Napkin Hs"</formula>
    </cfRule>
  </conditionalFormatting>
  <conditionalFormatting sqref="C99:C100">
    <cfRule type="cellIs" dxfId="3627" priority="4477" stopIfTrue="1" operator="equal">
      <formula>"Towel"</formula>
    </cfRule>
    <cfRule type="cellIs" dxfId="3626" priority="4478" stopIfTrue="1" operator="equal">
      <formula>"Napkin Hs"</formula>
    </cfRule>
  </conditionalFormatting>
  <conditionalFormatting sqref="C99:C100">
    <cfRule type="cellIs" dxfId="3625" priority="4475" stopIfTrue="1" operator="equal">
      <formula>"Towel"</formula>
    </cfRule>
    <cfRule type="cellIs" dxfId="3624" priority="4476" stopIfTrue="1" operator="equal">
      <formula>"Napkin Hs"</formula>
    </cfRule>
  </conditionalFormatting>
  <conditionalFormatting sqref="B99:C100">
    <cfRule type="cellIs" dxfId="3623" priority="4473" stopIfTrue="1" operator="equal">
      <formula>"Towel"</formula>
    </cfRule>
    <cfRule type="cellIs" dxfId="3622" priority="4474" stopIfTrue="1" operator="equal">
      <formula>"Napkin Hs"</formula>
    </cfRule>
  </conditionalFormatting>
  <conditionalFormatting sqref="C99:C100">
    <cfRule type="cellIs" dxfId="3621" priority="4471" stopIfTrue="1" operator="equal">
      <formula>"Towel"</formula>
    </cfRule>
    <cfRule type="cellIs" dxfId="3620" priority="4472" stopIfTrue="1" operator="equal">
      <formula>"Napkin Hs"</formula>
    </cfRule>
  </conditionalFormatting>
  <conditionalFormatting sqref="C99:C100">
    <cfRule type="cellIs" dxfId="3619" priority="4469" stopIfTrue="1" operator="equal">
      <formula>"Towel"</formula>
    </cfRule>
    <cfRule type="cellIs" dxfId="3618" priority="4470" stopIfTrue="1" operator="equal">
      <formula>"Napkin Hs"</formula>
    </cfRule>
  </conditionalFormatting>
  <conditionalFormatting sqref="B99:C100">
    <cfRule type="cellIs" dxfId="3617" priority="4467" stopIfTrue="1" operator="equal">
      <formula>"Towel"</formula>
    </cfRule>
    <cfRule type="cellIs" dxfId="3616" priority="4468" stopIfTrue="1" operator="equal">
      <formula>"Napkin Hs"</formula>
    </cfRule>
  </conditionalFormatting>
  <conditionalFormatting sqref="C99:C100">
    <cfRule type="cellIs" dxfId="3615" priority="4465" stopIfTrue="1" operator="equal">
      <formula>"Towel"</formula>
    </cfRule>
    <cfRule type="cellIs" dxfId="3614" priority="4466" stopIfTrue="1" operator="equal">
      <formula>"Napkin Hs"</formula>
    </cfRule>
  </conditionalFormatting>
  <conditionalFormatting sqref="C99:C100">
    <cfRule type="cellIs" dxfId="3613" priority="4463" stopIfTrue="1" operator="equal">
      <formula>"Towel"</formula>
    </cfRule>
    <cfRule type="cellIs" dxfId="3612" priority="4464" stopIfTrue="1" operator="equal">
      <formula>"Napkin Hs"</formula>
    </cfRule>
  </conditionalFormatting>
  <conditionalFormatting sqref="B99:C100">
    <cfRule type="cellIs" dxfId="3611" priority="4462" stopIfTrue="1" operator="equal">
      <formula>"Napkin Hs"</formula>
    </cfRule>
  </conditionalFormatting>
  <conditionalFormatting sqref="B99:C100">
    <cfRule type="cellIs" dxfId="3610" priority="4461" stopIfTrue="1" operator="equal">
      <formula>"Towel"</formula>
    </cfRule>
  </conditionalFormatting>
  <conditionalFormatting sqref="C99:C100">
    <cfRule type="cellIs" dxfId="3609" priority="4460" stopIfTrue="1" operator="equal">
      <formula>"Napkin Hs"</formula>
    </cfRule>
  </conditionalFormatting>
  <conditionalFormatting sqref="C99:C100">
    <cfRule type="cellIs" dxfId="3608" priority="4457" stopIfTrue="1" operator="equal">
      <formula>"Towel"</formula>
    </cfRule>
    <cfRule type="cellIs" dxfId="3607" priority="4458" stopIfTrue="1" operator="equal">
      <formula>"Napkin Hs"</formula>
    </cfRule>
  </conditionalFormatting>
  <conditionalFormatting sqref="C99:C100">
    <cfRule type="cellIs" dxfId="3606" priority="4459" stopIfTrue="1" operator="equal">
      <formula>"Towel"</formula>
    </cfRule>
  </conditionalFormatting>
  <conditionalFormatting sqref="B101:C101">
    <cfRule type="cellIs" dxfId="3605" priority="4455" stopIfTrue="1" operator="equal">
      <formula>"Towel"</formula>
    </cfRule>
    <cfRule type="cellIs" dxfId="3604" priority="4456" stopIfTrue="1" operator="equal">
      <formula>"Napkin Hs"</formula>
    </cfRule>
  </conditionalFormatting>
  <conditionalFormatting sqref="C101">
    <cfRule type="cellIs" dxfId="3603" priority="4453" stopIfTrue="1" operator="equal">
      <formula>"Towel"</formula>
    </cfRule>
    <cfRule type="cellIs" dxfId="3602" priority="4454" stopIfTrue="1" operator="equal">
      <formula>"Napkin Hs"</formula>
    </cfRule>
  </conditionalFormatting>
  <conditionalFormatting sqref="C101">
    <cfRule type="cellIs" dxfId="3601" priority="4451" stopIfTrue="1" operator="equal">
      <formula>"Towel"</formula>
    </cfRule>
    <cfRule type="cellIs" dxfId="3600" priority="4452" stopIfTrue="1" operator="equal">
      <formula>"Napkin Hs"</formula>
    </cfRule>
  </conditionalFormatting>
  <conditionalFormatting sqref="B100:C100">
    <cfRule type="cellIs" dxfId="3599" priority="4450" stopIfTrue="1" operator="equal">
      <formula>"Napkin Hs"</formula>
    </cfRule>
  </conditionalFormatting>
  <conditionalFormatting sqref="B100:C100">
    <cfRule type="cellIs" dxfId="3598" priority="4449" stopIfTrue="1" operator="equal">
      <formula>"Towel"</formula>
    </cfRule>
  </conditionalFormatting>
  <conditionalFormatting sqref="C100">
    <cfRule type="cellIs" dxfId="3597" priority="4448" stopIfTrue="1" operator="equal">
      <formula>"Napkin Hs"</formula>
    </cfRule>
  </conditionalFormatting>
  <conditionalFormatting sqref="C100">
    <cfRule type="cellIs" dxfId="3596" priority="4445" stopIfTrue="1" operator="equal">
      <formula>"Towel"</formula>
    </cfRule>
    <cfRule type="cellIs" dxfId="3595" priority="4446" stopIfTrue="1" operator="equal">
      <formula>"Napkin Hs"</formula>
    </cfRule>
  </conditionalFormatting>
  <conditionalFormatting sqref="C100">
    <cfRule type="cellIs" dxfId="3594" priority="4447" stopIfTrue="1" operator="equal">
      <formula>"Towel"</formula>
    </cfRule>
  </conditionalFormatting>
  <conditionalFormatting sqref="B99:C99">
    <cfRule type="cellIs" dxfId="3593" priority="4444" stopIfTrue="1" operator="equal">
      <formula>"Napkin Hs"</formula>
    </cfRule>
  </conditionalFormatting>
  <conditionalFormatting sqref="B99:C99">
    <cfRule type="cellIs" dxfId="3592" priority="4443" stopIfTrue="1" operator="equal">
      <formula>"Towel"</formula>
    </cfRule>
  </conditionalFormatting>
  <conditionalFormatting sqref="C99">
    <cfRule type="cellIs" dxfId="3591" priority="4442" stopIfTrue="1" operator="equal">
      <formula>"Napkin Hs"</formula>
    </cfRule>
  </conditionalFormatting>
  <conditionalFormatting sqref="C99">
    <cfRule type="cellIs" dxfId="3590" priority="4439" stopIfTrue="1" operator="equal">
      <formula>"Towel"</formula>
    </cfRule>
    <cfRule type="cellIs" dxfId="3589" priority="4440" stopIfTrue="1" operator="equal">
      <formula>"Napkin Hs"</formula>
    </cfRule>
  </conditionalFormatting>
  <conditionalFormatting sqref="C99">
    <cfRule type="cellIs" dxfId="3588" priority="4441" stopIfTrue="1" operator="equal">
      <formula>"Towel"</formula>
    </cfRule>
  </conditionalFormatting>
  <conditionalFormatting sqref="B99">
    <cfRule type="cellIs" dxfId="3587" priority="4438" stopIfTrue="1" operator="equal">
      <formula>"Napkin Hs"</formula>
    </cfRule>
  </conditionalFormatting>
  <conditionalFormatting sqref="B99">
    <cfRule type="cellIs" dxfId="3586" priority="4437" stopIfTrue="1" operator="equal">
      <formula>"Towel"</formula>
    </cfRule>
  </conditionalFormatting>
  <conditionalFormatting sqref="C99">
    <cfRule type="cellIs" dxfId="3585" priority="4436" stopIfTrue="1" operator="equal">
      <formula>"Napkin Hs"</formula>
    </cfRule>
  </conditionalFormatting>
  <conditionalFormatting sqref="C99">
    <cfRule type="cellIs" dxfId="3584" priority="4435" stopIfTrue="1" operator="equal">
      <formula>"Towel"</formula>
    </cfRule>
  </conditionalFormatting>
  <conditionalFormatting sqref="C99">
    <cfRule type="cellIs" dxfId="3583" priority="4434" stopIfTrue="1" operator="equal">
      <formula>"Napkin Hs"</formula>
    </cfRule>
  </conditionalFormatting>
  <conditionalFormatting sqref="C99">
    <cfRule type="cellIs" dxfId="3582" priority="4431" stopIfTrue="1" operator="equal">
      <formula>"Towel"</formula>
    </cfRule>
    <cfRule type="cellIs" dxfId="3581" priority="4432" stopIfTrue="1" operator="equal">
      <formula>"Napkin Hs"</formula>
    </cfRule>
  </conditionalFormatting>
  <conditionalFormatting sqref="C99">
    <cfRule type="cellIs" dxfId="3580" priority="4433" stopIfTrue="1" operator="equal">
      <formula>"Towel"</formula>
    </cfRule>
  </conditionalFormatting>
  <conditionalFormatting sqref="B101:C101">
    <cfRule type="cellIs" dxfId="3579" priority="4430" stopIfTrue="1" operator="equal">
      <formula>"Napkin Hs"</formula>
    </cfRule>
  </conditionalFormatting>
  <conditionalFormatting sqref="B101:C101">
    <cfRule type="cellIs" dxfId="3578" priority="4429" stopIfTrue="1" operator="equal">
      <formula>"Towel"</formula>
    </cfRule>
  </conditionalFormatting>
  <conditionalFormatting sqref="C101">
    <cfRule type="cellIs" dxfId="3577" priority="4428" stopIfTrue="1" operator="equal">
      <formula>"Napkin Hs"</formula>
    </cfRule>
  </conditionalFormatting>
  <conditionalFormatting sqref="C101">
    <cfRule type="cellIs" dxfId="3576" priority="4425" stopIfTrue="1" operator="equal">
      <formula>"Towel"</formula>
    </cfRule>
    <cfRule type="cellIs" dxfId="3575" priority="4426" stopIfTrue="1" operator="equal">
      <formula>"Napkin Hs"</formula>
    </cfRule>
  </conditionalFormatting>
  <conditionalFormatting sqref="C101">
    <cfRule type="cellIs" dxfId="3574" priority="4427" stopIfTrue="1" operator="equal">
      <formula>"Towel"</formula>
    </cfRule>
  </conditionalFormatting>
  <conditionalFormatting sqref="B100:C100">
    <cfRule type="cellIs" dxfId="3573" priority="4424" stopIfTrue="1" operator="equal">
      <formula>"Napkin Hs"</formula>
    </cfRule>
  </conditionalFormatting>
  <conditionalFormatting sqref="B100:C100">
    <cfRule type="cellIs" dxfId="3572" priority="4423" stopIfTrue="1" operator="equal">
      <formula>"Towel"</formula>
    </cfRule>
  </conditionalFormatting>
  <conditionalFormatting sqref="C100">
    <cfRule type="cellIs" dxfId="3571" priority="4422" stopIfTrue="1" operator="equal">
      <formula>"Napkin Hs"</formula>
    </cfRule>
  </conditionalFormatting>
  <conditionalFormatting sqref="C100">
    <cfRule type="cellIs" dxfId="3570" priority="4419" stopIfTrue="1" operator="equal">
      <formula>"Towel"</formula>
    </cfRule>
    <cfRule type="cellIs" dxfId="3569" priority="4420" stopIfTrue="1" operator="equal">
      <formula>"Napkin Hs"</formula>
    </cfRule>
  </conditionalFormatting>
  <conditionalFormatting sqref="C100">
    <cfRule type="cellIs" dxfId="3568" priority="4421" stopIfTrue="1" operator="equal">
      <formula>"Towel"</formula>
    </cfRule>
  </conditionalFormatting>
  <conditionalFormatting sqref="B98:C98">
    <cfRule type="cellIs" dxfId="3567" priority="4418" stopIfTrue="1" operator="equal">
      <formula>"Napkin Hs"</formula>
    </cfRule>
  </conditionalFormatting>
  <conditionalFormatting sqref="B98:C98">
    <cfRule type="cellIs" dxfId="3566" priority="4417" stopIfTrue="1" operator="equal">
      <formula>"Towel"</formula>
    </cfRule>
  </conditionalFormatting>
  <conditionalFormatting sqref="C98">
    <cfRule type="cellIs" dxfId="3565" priority="4416" stopIfTrue="1" operator="equal">
      <formula>"Napkin Hs"</formula>
    </cfRule>
  </conditionalFormatting>
  <conditionalFormatting sqref="C98">
    <cfRule type="cellIs" dxfId="3564" priority="4413" stopIfTrue="1" operator="equal">
      <formula>"Towel"</formula>
    </cfRule>
    <cfRule type="cellIs" dxfId="3563" priority="4414" stopIfTrue="1" operator="equal">
      <formula>"Napkin Hs"</formula>
    </cfRule>
  </conditionalFormatting>
  <conditionalFormatting sqref="C98">
    <cfRule type="cellIs" dxfId="3562" priority="4415" stopIfTrue="1" operator="equal">
      <formula>"Towel"</formula>
    </cfRule>
  </conditionalFormatting>
  <conditionalFormatting sqref="B98:C98">
    <cfRule type="cellIs" dxfId="3561" priority="4412" stopIfTrue="1" operator="equal">
      <formula>"Napkin Hs"</formula>
    </cfRule>
  </conditionalFormatting>
  <conditionalFormatting sqref="B98:C98">
    <cfRule type="cellIs" dxfId="3560" priority="4411" stopIfTrue="1" operator="equal">
      <formula>"Towel"</formula>
    </cfRule>
  </conditionalFormatting>
  <conditionalFormatting sqref="C98">
    <cfRule type="cellIs" dxfId="3559" priority="4410" stopIfTrue="1" operator="equal">
      <formula>"Napkin Hs"</formula>
    </cfRule>
  </conditionalFormatting>
  <conditionalFormatting sqref="C98">
    <cfRule type="cellIs" dxfId="3558" priority="4407" stopIfTrue="1" operator="equal">
      <formula>"Towel"</formula>
    </cfRule>
    <cfRule type="cellIs" dxfId="3557" priority="4408" stopIfTrue="1" operator="equal">
      <formula>"Napkin Hs"</formula>
    </cfRule>
  </conditionalFormatting>
  <conditionalFormatting sqref="C98">
    <cfRule type="cellIs" dxfId="3556" priority="4409" stopIfTrue="1" operator="equal">
      <formula>"Towel"</formula>
    </cfRule>
  </conditionalFormatting>
  <conditionalFormatting sqref="B105">
    <cfRule type="cellIs" dxfId="3555" priority="4260" stopIfTrue="1" operator="equal">
      <formula>"Napkin Hs"</formula>
    </cfRule>
  </conditionalFormatting>
  <conditionalFormatting sqref="B105">
    <cfRule type="cellIs" dxfId="3554" priority="4259" stopIfTrue="1" operator="equal">
      <formula>"Towel"</formula>
    </cfRule>
  </conditionalFormatting>
  <conditionalFormatting sqref="B105">
    <cfRule type="cellIs" dxfId="3553" priority="4257" stopIfTrue="1" operator="equal">
      <formula>"Towel"</formula>
    </cfRule>
    <cfRule type="cellIs" dxfId="3552" priority="4258" stopIfTrue="1" operator="equal">
      <formula>"Napkin Hs"</formula>
    </cfRule>
  </conditionalFormatting>
  <conditionalFormatting sqref="B105">
    <cfRule type="cellIs" dxfId="3551" priority="4256" stopIfTrue="1" operator="equal">
      <formula>"Napkin Hs"</formula>
    </cfRule>
  </conditionalFormatting>
  <conditionalFormatting sqref="B105">
    <cfRule type="cellIs" dxfId="3550" priority="4255" stopIfTrue="1" operator="equal">
      <formula>"Towel"</formula>
    </cfRule>
  </conditionalFormatting>
  <conditionalFormatting sqref="B105">
    <cfRule type="cellIs" dxfId="3549" priority="4253" stopIfTrue="1" operator="equal">
      <formula>"Towel"</formula>
    </cfRule>
    <cfRule type="cellIs" dxfId="3548" priority="4254" stopIfTrue="1" operator="equal">
      <formula>"Napkin Hs"</formula>
    </cfRule>
  </conditionalFormatting>
  <conditionalFormatting sqref="B105">
    <cfRule type="cellIs" dxfId="3547" priority="4251" stopIfTrue="1" operator="equal">
      <formula>"Towel"</formula>
    </cfRule>
    <cfRule type="cellIs" dxfId="3546" priority="4252" stopIfTrue="1" operator="equal">
      <formula>"Napkin Hs"</formula>
    </cfRule>
  </conditionalFormatting>
  <conditionalFormatting sqref="B105">
    <cfRule type="cellIs" dxfId="3545" priority="4249" stopIfTrue="1" operator="equal">
      <formula>"Towel"</formula>
    </cfRule>
    <cfRule type="cellIs" dxfId="3544" priority="4250" stopIfTrue="1" operator="equal">
      <formula>"Napkin Hs"</formula>
    </cfRule>
  </conditionalFormatting>
  <conditionalFormatting sqref="B105">
    <cfRule type="cellIs" dxfId="3543" priority="4247" stopIfTrue="1" operator="equal">
      <formula>"Towel"</formula>
    </cfRule>
    <cfRule type="cellIs" dxfId="3542" priority="4248" stopIfTrue="1" operator="equal">
      <formula>"Napkin Hs"</formula>
    </cfRule>
  </conditionalFormatting>
  <conditionalFormatting sqref="B105">
    <cfRule type="cellIs" dxfId="3541" priority="4245" stopIfTrue="1" operator="equal">
      <formula>"Towel"</formula>
    </cfRule>
    <cfRule type="cellIs" dxfId="3540" priority="4246" stopIfTrue="1" operator="equal">
      <formula>"Napkin Hs"</formula>
    </cfRule>
  </conditionalFormatting>
  <conditionalFormatting sqref="B105">
    <cfRule type="cellIs" dxfId="3539" priority="4244" stopIfTrue="1" operator="equal">
      <formula>"Napkin Hs"</formula>
    </cfRule>
  </conditionalFormatting>
  <conditionalFormatting sqref="B105">
    <cfRule type="cellIs" dxfId="3538" priority="4243" stopIfTrue="1" operator="equal">
      <formula>"Towel"</formula>
    </cfRule>
  </conditionalFormatting>
  <conditionalFormatting sqref="C105">
    <cfRule type="cellIs" dxfId="3537" priority="4242" stopIfTrue="1" operator="equal">
      <formula>"Napkin Hs"</formula>
    </cfRule>
  </conditionalFormatting>
  <conditionalFormatting sqref="C105">
    <cfRule type="cellIs" dxfId="3536" priority="4241" stopIfTrue="1" operator="equal">
      <formula>"Towel"</formula>
    </cfRule>
  </conditionalFormatting>
  <conditionalFormatting sqref="C105">
    <cfRule type="cellIs" dxfId="3535" priority="4240" stopIfTrue="1" operator="equal">
      <formula>"Napkin Hs"</formula>
    </cfRule>
  </conditionalFormatting>
  <conditionalFormatting sqref="C105">
    <cfRule type="cellIs" dxfId="3534" priority="4239" stopIfTrue="1" operator="equal">
      <formula>"Towel"</formula>
    </cfRule>
  </conditionalFormatting>
  <conditionalFormatting sqref="C105">
    <cfRule type="cellIs" dxfId="3533" priority="4237" stopIfTrue="1" operator="equal">
      <formula>"Towel"</formula>
    </cfRule>
    <cfRule type="cellIs" dxfId="3532" priority="4238" stopIfTrue="1" operator="equal">
      <formula>"Napkin Hs"</formula>
    </cfRule>
  </conditionalFormatting>
  <conditionalFormatting sqref="C105">
    <cfRule type="cellIs" dxfId="3531" priority="4235" stopIfTrue="1" operator="equal">
      <formula>"Towel"</formula>
    </cfRule>
    <cfRule type="cellIs" dxfId="3530" priority="4236" stopIfTrue="1" operator="equal">
      <formula>"Napkin Hs"</formula>
    </cfRule>
  </conditionalFormatting>
  <conditionalFormatting sqref="C105">
    <cfRule type="cellIs" dxfId="3529" priority="4231" stopIfTrue="1" operator="equal">
      <formula>"Towel"</formula>
    </cfRule>
    <cfRule type="cellIs" dxfId="3528" priority="4232" stopIfTrue="1" operator="equal">
      <formula>"Napkin Hs"</formula>
    </cfRule>
  </conditionalFormatting>
  <conditionalFormatting sqref="C105">
    <cfRule type="cellIs" dxfId="3527" priority="4233" stopIfTrue="1" operator="equal">
      <formula>"Towel"</formula>
    </cfRule>
    <cfRule type="cellIs" dxfId="3526" priority="4234" stopIfTrue="1" operator="equal">
      <formula>"Napkin Hs"</formula>
    </cfRule>
  </conditionalFormatting>
  <conditionalFormatting sqref="C105">
    <cfRule type="cellIs" dxfId="3525" priority="4230" stopIfTrue="1" operator="equal">
      <formula>"Napkin Hs"</formula>
    </cfRule>
  </conditionalFormatting>
  <conditionalFormatting sqref="C105">
    <cfRule type="cellIs" dxfId="3524" priority="4229" stopIfTrue="1" operator="equal">
      <formula>"Towel"</formula>
    </cfRule>
  </conditionalFormatting>
  <conditionalFormatting sqref="C105">
    <cfRule type="cellIs" dxfId="3523" priority="4228" stopIfTrue="1" operator="equal">
      <formula>"Napkin Hs"</formula>
    </cfRule>
  </conditionalFormatting>
  <conditionalFormatting sqref="C105">
    <cfRule type="cellIs" dxfId="3522" priority="4227" stopIfTrue="1" operator="equal">
      <formula>"Towel"</formula>
    </cfRule>
  </conditionalFormatting>
  <conditionalFormatting sqref="C105">
    <cfRule type="cellIs" dxfId="3521" priority="4225" stopIfTrue="1" operator="equal">
      <formula>"Towel"</formula>
    </cfRule>
    <cfRule type="cellIs" dxfId="3520" priority="4226" stopIfTrue="1" operator="equal">
      <formula>"Napkin Hs"</formula>
    </cfRule>
  </conditionalFormatting>
  <conditionalFormatting sqref="C105">
    <cfRule type="cellIs" dxfId="3519" priority="4223" stopIfTrue="1" operator="equal">
      <formula>"Towel"</formula>
    </cfRule>
    <cfRule type="cellIs" dxfId="3518" priority="4224" stopIfTrue="1" operator="equal">
      <formula>"Napkin Hs"</formula>
    </cfRule>
  </conditionalFormatting>
  <conditionalFormatting sqref="C105">
    <cfRule type="cellIs" dxfId="3517" priority="4221" stopIfTrue="1" operator="equal">
      <formula>"Towel"</formula>
    </cfRule>
    <cfRule type="cellIs" dxfId="3516" priority="4222" stopIfTrue="1" operator="equal">
      <formula>"Napkin Hs"</formula>
    </cfRule>
  </conditionalFormatting>
  <conditionalFormatting sqref="C105">
    <cfRule type="cellIs" dxfId="3515" priority="4219" stopIfTrue="1" operator="equal">
      <formula>"Towel"</formula>
    </cfRule>
    <cfRule type="cellIs" dxfId="3514" priority="4220" stopIfTrue="1" operator="equal">
      <formula>"Napkin Hs"</formula>
    </cfRule>
  </conditionalFormatting>
  <conditionalFormatting sqref="C105">
    <cfRule type="cellIs" dxfId="3513" priority="4217" stopIfTrue="1" operator="equal">
      <formula>"Towel"</formula>
    </cfRule>
    <cfRule type="cellIs" dxfId="3512" priority="4218" stopIfTrue="1" operator="equal">
      <formula>"Napkin Hs"</formula>
    </cfRule>
  </conditionalFormatting>
  <conditionalFormatting sqref="C105">
    <cfRule type="cellIs" dxfId="3511" priority="4215" stopIfTrue="1" operator="equal">
      <formula>"Towel"</formula>
    </cfRule>
    <cfRule type="cellIs" dxfId="3510" priority="4216" stopIfTrue="1" operator="equal">
      <formula>"Napkin Hs"</formula>
    </cfRule>
  </conditionalFormatting>
  <conditionalFormatting sqref="C105">
    <cfRule type="cellIs" dxfId="3509" priority="4213" stopIfTrue="1" operator="equal">
      <formula>"Towel"</formula>
    </cfRule>
    <cfRule type="cellIs" dxfId="3508" priority="4214" stopIfTrue="1" operator="equal">
      <formula>"Napkin Hs"</formula>
    </cfRule>
  </conditionalFormatting>
  <conditionalFormatting sqref="C105">
    <cfRule type="cellIs" dxfId="3507" priority="4211" stopIfTrue="1" operator="equal">
      <formula>"Towel"</formula>
    </cfRule>
    <cfRule type="cellIs" dxfId="3506" priority="4212" stopIfTrue="1" operator="equal">
      <formula>"Napkin Hs"</formula>
    </cfRule>
  </conditionalFormatting>
  <conditionalFormatting sqref="C105">
    <cfRule type="cellIs" dxfId="3505" priority="4209" stopIfTrue="1" operator="equal">
      <formula>"Towel"</formula>
    </cfRule>
    <cfRule type="cellIs" dxfId="3504" priority="4210" stopIfTrue="1" operator="equal">
      <formula>"Napkin Hs"</formula>
    </cfRule>
  </conditionalFormatting>
  <conditionalFormatting sqref="C105">
    <cfRule type="cellIs" dxfId="3503" priority="4207" stopIfTrue="1" operator="equal">
      <formula>"Towel"</formula>
    </cfRule>
    <cfRule type="cellIs" dxfId="3502" priority="4208" stopIfTrue="1" operator="equal">
      <formula>"Napkin Hs"</formula>
    </cfRule>
  </conditionalFormatting>
  <conditionalFormatting sqref="C105">
    <cfRule type="cellIs" dxfId="3501" priority="4205" stopIfTrue="1" operator="equal">
      <formula>"Towel"</formula>
    </cfRule>
    <cfRule type="cellIs" dxfId="3500" priority="4206" stopIfTrue="1" operator="equal">
      <formula>"Napkin Hs"</formula>
    </cfRule>
  </conditionalFormatting>
  <conditionalFormatting sqref="C105">
    <cfRule type="cellIs" dxfId="3499" priority="4203" stopIfTrue="1" operator="equal">
      <formula>"Towel"</formula>
    </cfRule>
    <cfRule type="cellIs" dxfId="3498" priority="4204" stopIfTrue="1" operator="equal">
      <formula>"Napkin Hs"</formula>
    </cfRule>
  </conditionalFormatting>
  <conditionalFormatting sqref="C105">
    <cfRule type="cellIs" dxfId="3497" priority="4201" stopIfTrue="1" operator="equal">
      <formula>"Towel"</formula>
    </cfRule>
    <cfRule type="cellIs" dxfId="3496" priority="4202" stopIfTrue="1" operator="equal">
      <formula>"Napkin Hs"</formula>
    </cfRule>
  </conditionalFormatting>
  <conditionalFormatting sqref="C105">
    <cfRule type="cellIs" dxfId="3495" priority="4199" stopIfTrue="1" operator="equal">
      <formula>"Towel"</formula>
    </cfRule>
    <cfRule type="cellIs" dxfId="3494" priority="4200" stopIfTrue="1" operator="equal">
      <formula>"Napkin Hs"</formula>
    </cfRule>
  </conditionalFormatting>
  <conditionalFormatting sqref="C105">
    <cfRule type="cellIs" dxfId="3493" priority="4197" stopIfTrue="1" operator="equal">
      <formula>"Towel"</formula>
    </cfRule>
    <cfRule type="cellIs" dxfId="3492" priority="4198" stopIfTrue="1" operator="equal">
      <formula>"Napkin Hs"</formula>
    </cfRule>
  </conditionalFormatting>
  <conditionalFormatting sqref="C105">
    <cfRule type="cellIs" dxfId="3491" priority="4195" stopIfTrue="1" operator="equal">
      <formula>"Towel"</formula>
    </cfRule>
    <cfRule type="cellIs" dxfId="3490" priority="4196" stopIfTrue="1" operator="equal">
      <formula>"Napkin Hs"</formula>
    </cfRule>
  </conditionalFormatting>
  <conditionalFormatting sqref="C105">
    <cfRule type="cellIs" dxfId="3489" priority="4194" stopIfTrue="1" operator="equal">
      <formula>"Napkin Hs"</formula>
    </cfRule>
  </conditionalFormatting>
  <conditionalFormatting sqref="C105">
    <cfRule type="cellIs" dxfId="3488" priority="4193" stopIfTrue="1" operator="equal">
      <formula>"Towel"</formula>
    </cfRule>
  </conditionalFormatting>
  <conditionalFormatting sqref="C105">
    <cfRule type="cellIs" dxfId="3487" priority="4192" stopIfTrue="1" operator="equal">
      <formula>"Napkin Hs"</formula>
    </cfRule>
  </conditionalFormatting>
  <conditionalFormatting sqref="C105">
    <cfRule type="cellIs" dxfId="3486" priority="4189" stopIfTrue="1" operator="equal">
      <formula>"Towel"</formula>
    </cfRule>
    <cfRule type="cellIs" dxfId="3485" priority="4190" stopIfTrue="1" operator="equal">
      <formula>"Napkin Hs"</formula>
    </cfRule>
  </conditionalFormatting>
  <conditionalFormatting sqref="C105">
    <cfRule type="cellIs" dxfId="3484" priority="4191" stopIfTrue="1" operator="equal">
      <formula>"Towel"</formula>
    </cfRule>
  </conditionalFormatting>
  <conditionalFormatting sqref="B102:C102">
    <cfRule type="cellIs" dxfId="3483" priority="4188" stopIfTrue="1" operator="equal">
      <formula>"Napkin Hs"</formula>
    </cfRule>
  </conditionalFormatting>
  <conditionalFormatting sqref="B102:C102">
    <cfRule type="cellIs" dxfId="3482" priority="4187" stopIfTrue="1" operator="equal">
      <formula>"Towel"</formula>
    </cfRule>
  </conditionalFormatting>
  <conditionalFormatting sqref="C102">
    <cfRule type="cellIs" dxfId="3481" priority="4186" stopIfTrue="1" operator="equal">
      <formula>"Napkin Hs"</formula>
    </cfRule>
  </conditionalFormatting>
  <conditionalFormatting sqref="C102">
    <cfRule type="cellIs" dxfId="3480" priority="4185" stopIfTrue="1" operator="equal">
      <formula>"Towel"</formula>
    </cfRule>
  </conditionalFormatting>
  <conditionalFormatting sqref="C102">
    <cfRule type="cellIs" dxfId="3479" priority="4183" stopIfTrue="1" operator="equal">
      <formula>"Towel"</formula>
    </cfRule>
    <cfRule type="cellIs" dxfId="3478" priority="4184" stopIfTrue="1" operator="equal">
      <formula>"Napkin Hs"</formula>
    </cfRule>
  </conditionalFormatting>
  <conditionalFormatting sqref="B102:C102">
    <cfRule type="cellIs" dxfId="3477" priority="4181" stopIfTrue="1" operator="equal">
      <formula>"Towel"</formula>
    </cfRule>
    <cfRule type="cellIs" dxfId="3476" priority="4182" stopIfTrue="1" operator="equal">
      <formula>"Napkin Hs"</formula>
    </cfRule>
  </conditionalFormatting>
  <conditionalFormatting sqref="C102">
    <cfRule type="cellIs" dxfId="3475" priority="4177" stopIfTrue="1" operator="equal">
      <formula>"Towel"</formula>
    </cfRule>
    <cfRule type="cellIs" dxfId="3474" priority="4178" stopIfTrue="1" operator="equal">
      <formula>"Napkin Hs"</formula>
    </cfRule>
  </conditionalFormatting>
  <conditionalFormatting sqref="C102">
    <cfRule type="cellIs" dxfId="3473" priority="4179" stopIfTrue="1" operator="equal">
      <formula>"Towel"</formula>
    </cfRule>
    <cfRule type="cellIs" dxfId="3472" priority="4180" stopIfTrue="1" operator="equal">
      <formula>"Napkin Hs"</formula>
    </cfRule>
  </conditionalFormatting>
  <conditionalFormatting sqref="B102:C102">
    <cfRule type="cellIs" dxfId="3471" priority="4176" stopIfTrue="1" operator="equal">
      <formula>"Napkin Hs"</formula>
    </cfRule>
  </conditionalFormatting>
  <conditionalFormatting sqref="B102:C102">
    <cfRule type="cellIs" dxfId="3470" priority="4175" stopIfTrue="1" operator="equal">
      <formula>"Towel"</formula>
    </cfRule>
  </conditionalFormatting>
  <conditionalFormatting sqref="C102">
    <cfRule type="cellIs" dxfId="3469" priority="4174" stopIfTrue="1" operator="equal">
      <formula>"Napkin Hs"</formula>
    </cfRule>
  </conditionalFormatting>
  <conditionalFormatting sqref="C102">
    <cfRule type="cellIs" dxfId="3468" priority="4173" stopIfTrue="1" operator="equal">
      <formula>"Towel"</formula>
    </cfRule>
  </conditionalFormatting>
  <conditionalFormatting sqref="C102">
    <cfRule type="cellIs" dxfId="3467" priority="4171" stopIfTrue="1" operator="equal">
      <formula>"Towel"</formula>
    </cfRule>
    <cfRule type="cellIs" dxfId="3466" priority="4172" stopIfTrue="1" operator="equal">
      <formula>"Napkin Hs"</formula>
    </cfRule>
  </conditionalFormatting>
  <conditionalFormatting sqref="B102:C102">
    <cfRule type="cellIs" dxfId="3465" priority="4169" stopIfTrue="1" operator="equal">
      <formula>"Towel"</formula>
    </cfRule>
    <cfRule type="cellIs" dxfId="3464" priority="4170" stopIfTrue="1" operator="equal">
      <formula>"Napkin Hs"</formula>
    </cfRule>
  </conditionalFormatting>
  <conditionalFormatting sqref="C102">
    <cfRule type="cellIs" dxfId="3463" priority="4167" stopIfTrue="1" operator="equal">
      <formula>"Towel"</formula>
    </cfRule>
    <cfRule type="cellIs" dxfId="3462" priority="4168" stopIfTrue="1" operator="equal">
      <formula>"Napkin Hs"</formula>
    </cfRule>
  </conditionalFormatting>
  <conditionalFormatting sqref="C102">
    <cfRule type="cellIs" dxfId="3461" priority="4165" stopIfTrue="1" operator="equal">
      <formula>"Towel"</formula>
    </cfRule>
    <cfRule type="cellIs" dxfId="3460" priority="4166" stopIfTrue="1" operator="equal">
      <formula>"Napkin Hs"</formula>
    </cfRule>
  </conditionalFormatting>
  <conditionalFormatting sqref="B102:C102">
    <cfRule type="cellIs" dxfId="3459" priority="4163" stopIfTrue="1" operator="equal">
      <formula>"Towel"</formula>
    </cfRule>
    <cfRule type="cellIs" dxfId="3458" priority="4164" stopIfTrue="1" operator="equal">
      <formula>"Napkin Hs"</formula>
    </cfRule>
  </conditionalFormatting>
  <conditionalFormatting sqref="C102">
    <cfRule type="cellIs" dxfId="3457" priority="4161" stopIfTrue="1" operator="equal">
      <formula>"Towel"</formula>
    </cfRule>
    <cfRule type="cellIs" dxfId="3456" priority="4162" stopIfTrue="1" operator="equal">
      <formula>"Napkin Hs"</formula>
    </cfRule>
  </conditionalFormatting>
  <conditionalFormatting sqref="C102">
    <cfRule type="cellIs" dxfId="3455" priority="4159" stopIfTrue="1" operator="equal">
      <formula>"Towel"</formula>
    </cfRule>
    <cfRule type="cellIs" dxfId="3454" priority="4160" stopIfTrue="1" operator="equal">
      <formula>"Napkin Hs"</formula>
    </cfRule>
  </conditionalFormatting>
  <conditionalFormatting sqref="B102:C102">
    <cfRule type="cellIs" dxfId="3453" priority="4157" stopIfTrue="1" operator="equal">
      <formula>"Towel"</formula>
    </cfRule>
    <cfRule type="cellIs" dxfId="3452" priority="4158" stopIfTrue="1" operator="equal">
      <formula>"Napkin Hs"</formula>
    </cfRule>
  </conditionalFormatting>
  <conditionalFormatting sqref="C102">
    <cfRule type="cellIs" dxfId="3451" priority="4155" stopIfTrue="1" operator="equal">
      <formula>"Towel"</formula>
    </cfRule>
    <cfRule type="cellIs" dxfId="3450" priority="4156" stopIfTrue="1" operator="equal">
      <formula>"Napkin Hs"</formula>
    </cfRule>
  </conditionalFormatting>
  <conditionalFormatting sqref="C102">
    <cfRule type="cellIs" dxfId="3449" priority="4153" stopIfTrue="1" operator="equal">
      <formula>"Towel"</formula>
    </cfRule>
    <cfRule type="cellIs" dxfId="3448" priority="4154" stopIfTrue="1" operator="equal">
      <formula>"Napkin Hs"</formula>
    </cfRule>
  </conditionalFormatting>
  <conditionalFormatting sqref="B102:C102">
    <cfRule type="cellIs" dxfId="3447" priority="4151" stopIfTrue="1" operator="equal">
      <formula>"Towel"</formula>
    </cfRule>
    <cfRule type="cellIs" dxfId="3446" priority="4152" stopIfTrue="1" operator="equal">
      <formula>"Napkin Hs"</formula>
    </cfRule>
  </conditionalFormatting>
  <conditionalFormatting sqref="C102">
    <cfRule type="cellIs" dxfId="3445" priority="4149" stopIfTrue="1" operator="equal">
      <formula>"Towel"</formula>
    </cfRule>
    <cfRule type="cellIs" dxfId="3444" priority="4150" stopIfTrue="1" operator="equal">
      <formula>"Napkin Hs"</formula>
    </cfRule>
  </conditionalFormatting>
  <conditionalFormatting sqref="C102">
    <cfRule type="cellIs" dxfId="3443" priority="4147" stopIfTrue="1" operator="equal">
      <formula>"Towel"</formula>
    </cfRule>
    <cfRule type="cellIs" dxfId="3442" priority="4148" stopIfTrue="1" operator="equal">
      <formula>"Napkin Hs"</formula>
    </cfRule>
  </conditionalFormatting>
  <conditionalFormatting sqref="B102:C102">
    <cfRule type="cellIs" dxfId="3441" priority="4145" stopIfTrue="1" operator="equal">
      <formula>"Towel"</formula>
    </cfRule>
    <cfRule type="cellIs" dxfId="3440" priority="4146" stopIfTrue="1" operator="equal">
      <formula>"Napkin Hs"</formula>
    </cfRule>
  </conditionalFormatting>
  <conditionalFormatting sqref="C102">
    <cfRule type="cellIs" dxfId="3439" priority="4143" stopIfTrue="1" operator="equal">
      <formula>"Towel"</formula>
    </cfRule>
    <cfRule type="cellIs" dxfId="3438" priority="4144" stopIfTrue="1" operator="equal">
      <formula>"Napkin Hs"</formula>
    </cfRule>
  </conditionalFormatting>
  <conditionalFormatting sqref="C102">
    <cfRule type="cellIs" dxfId="3437" priority="4141" stopIfTrue="1" operator="equal">
      <formula>"Towel"</formula>
    </cfRule>
    <cfRule type="cellIs" dxfId="3436" priority="4142" stopIfTrue="1" operator="equal">
      <formula>"Napkin Hs"</formula>
    </cfRule>
  </conditionalFormatting>
  <conditionalFormatting sqref="B102:C102">
    <cfRule type="cellIs" dxfId="3435" priority="4140" stopIfTrue="1" operator="equal">
      <formula>"Napkin Hs"</formula>
    </cfRule>
  </conditionalFormatting>
  <conditionalFormatting sqref="B102:C102">
    <cfRule type="cellIs" dxfId="3434" priority="4139" stopIfTrue="1" operator="equal">
      <formula>"Towel"</formula>
    </cfRule>
  </conditionalFormatting>
  <conditionalFormatting sqref="C102">
    <cfRule type="cellIs" dxfId="3433" priority="4138" stopIfTrue="1" operator="equal">
      <formula>"Napkin Hs"</formula>
    </cfRule>
  </conditionalFormatting>
  <conditionalFormatting sqref="C102">
    <cfRule type="cellIs" dxfId="3432" priority="4135" stopIfTrue="1" operator="equal">
      <formula>"Towel"</formula>
    </cfRule>
    <cfRule type="cellIs" dxfId="3431" priority="4136" stopIfTrue="1" operator="equal">
      <formula>"Napkin Hs"</formula>
    </cfRule>
  </conditionalFormatting>
  <conditionalFormatting sqref="C102">
    <cfRule type="cellIs" dxfId="3430" priority="4137" stopIfTrue="1" operator="equal">
      <formula>"Towel"</formula>
    </cfRule>
  </conditionalFormatting>
  <conditionalFormatting sqref="B103:C104">
    <cfRule type="cellIs" dxfId="3429" priority="4134" stopIfTrue="1" operator="equal">
      <formula>"Napkin Hs"</formula>
    </cfRule>
  </conditionalFormatting>
  <conditionalFormatting sqref="B103:C104">
    <cfRule type="cellIs" dxfId="3428" priority="4133" stopIfTrue="1" operator="equal">
      <formula>"Towel"</formula>
    </cfRule>
  </conditionalFormatting>
  <conditionalFormatting sqref="C103:C104">
    <cfRule type="cellIs" dxfId="3427" priority="4132" stopIfTrue="1" operator="equal">
      <formula>"Napkin Hs"</formula>
    </cfRule>
  </conditionalFormatting>
  <conditionalFormatting sqref="C103:C104">
    <cfRule type="cellIs" dxfId="3426" priority="4131" stopIfTrue="1" operator="equal">
      <formula>"Towel"</formula>
    </cfRule>
  </conditionalFormatting>
  <conditionalFormatting sqref="C103:C104">
    <cfRule type="cellIs" dxfId="3425" priority="4129" stopIfTrue="1" operator="equal">
      <formula>"Towel"</formula>
    </cfRule>
    <cfRule type="cellIs" dxfId="3424" priority="4130" stopIfTrue="1" operator="equal">
      <formula>"Napkin Hs"</formula>
    </cfRule>
  </conditionalFormatting>
  <conditionalFormatting sqref="B103:C104">
    <cfRule type="cellIs" dxfId="3423" priority="4127" stopIfTrue="1" operator="equal">
      <formula>"Towel"</formula>
    </cfRule>
    <cfRule type="cellIs" dxfId="3422" priority="4128" stopIfTrue="1" operator="equal">
      <formula>"Napkin Hs"</formula>
    </cfRule>
  </conditionalFormatting>
  <conditionalFormatting sqref="C103:C104">
    <cfRule type="cellIs" dxfId="3421" priority="4123" stopIfTrue="1" operator="equal">
      <formula>"Towel"</formula>
    </cfRule>
    <cfRule type="cellIs" dxfId="3420" priority="4124" stopIfTrue="1" operator="equal">
      <formula>"Napkin Hs"</formula>
    </cfRule>
  </conditionalFormatting>
  <conditionalFormatting sqref="C103:C104">
    <cfRule type="cellIs" dxfId="3419" priority="4125" stopIfTrue="1" operator="equal">
      <formula>"Towel"</formula>
    </cfRule>
    <cfRule type="cellIs" dxfId="3418" priority="4126" stopIfTrue="1" operator="equal">
      <formula>"Napkin Hs"</formula>
    </cfRule>
  </conditionalFormatting>
  <conditionalFormatting sqref="B103:C104">
    <cfRule type="cellIs" dxfId="3417" priority="4122" stopIfTrue="1" operator="equal">
      <formula>"Napkin Hs"</formula>
    </cfRule>
  </conditionalFormatting>
  <conditionalFormatting sqref="B103:C104">
    <cfRule type="cellIs" dxfId="3416" priority="4121" stopIfTrue="1" operator="equal">
      <formula>"Towel"</formula>
    </cfRule>
  </conditionalFormatting>
  <conditionalFormatting sqref="C103:C104">
    <cfRule type="cellIs" dxfId="3415" priority="4120" stopIfTrue="1" operator="equal">
      <formula>"Napkin Hs"</formula>
    </cfRule>
  </conditionalFormatting>
  <conditionalFormatting sqref="C103:C104">
    <cfRule type="cellIs" dxfId="3414" priority="4119" stopIfTrue="1" operator="equal">
      <formula>"Towel"</formula>
    </cfRule>
  </conditionalFormatting>
  <conditionalFormatting sqref="C103:C104">
    <cfRule type="cellIs" dxfId="3413" priority="4117" stopIfTrue="1" operator="equal">
      <formula>"Towel"</formula>
    </cfRule>
    <cfRule type="cellIs" dxfId="3412" priority="4118" stopIfTrue="1" operator="equal">
      <formula>"Napkin Hs"</formula>
    </cfRule>
  </conditionalFormatting>
  <conditionalFormatting sqref="B103:C104">
    <cfRule type="cellIs" dxfId="3411" priority="4115" stopIfTrue="1" operator="equal">
      <formula>"Towel"</formula>
    </cfRule>
    <cfRule type="cellIs" dxfId="3410" priority="4116" stopIfTrue="1" operator="equal">
      <formula>"Napkin Hs"</formula>
    </cfRule>
  </conditionalFormatting>
  <conditionalFormatting sqref="C103:C104">
    <cfRule type="cellIs" dxfId="3409" priority="4113" stopIfTrue="1" operator="equal">
      <formula>"Towel"</formula>
    </cfRule>
    <cfRule type="cellIs" dxfId="3408" priority="4114" stopIfTrue="1" operator="equal">
      <formula>"Napkin Hs"</formula>
    </cfRule>
  </conditionalFormatting>
  <conditionalFormatting sqref="C103:C104">
    <cfRule type="cellIs" dxfId="3407" priority="4111" stopIfTrue="1" operator="equal">
      <formula>"Towel"</formula>
    </cfRule>
    <cfRule type="cellIs" dxfId="3406" priority="4112" stopIfTrue="1" operator="equal">
      <formula>"Napkin Hs"</formula>
    </cfRule>
  </conditionalFormatting>
  <conditionalFormatting sqref="B103:C104">
    <cfRule type="cellIs" dxfId="3405" priority="4109" stopIfTrue="1" operator="equal">
      <formula>"Towel"</formula>
    </cfRule>
    <cfRule type="cellIs" dxfId="3404" priority="4110" stopIfTrue="1" operator="equal">
      <formula>"Napkin Hs"</formula>
    </cfRule>
  </conditionalFormatting>
  <conditionalFormatting sqref="C103:C104">
    <cfRule type="cellIs" dxfId="3403" priority="4107" stopIfTrue="1" operator="equal">
      <formula>"Towel"</formula>
    </cfRule>
    <cfRule type="cellIs" dxfId="3402" priority="4108" stopIfTrue="1" operator="equal">
      <formula>"Napkin Hs"</formula>
    </cfRule>
  </conditionalFormatting>
  <conditionalFormatting sqref="C103:C104">
    <cfRule type="cellIs" dxfId="3401" priority="4105" stopIfTrue="1" operator="equal">
      <formula>"Towel"</formula>
    </cfRule>
    <cfRule type="cellIs" dxfId="3400" priority="4106" stopIfTrue="1" operator="equal">
      <formula>"Napkin Hs"</formula>
    </cfRule>
  </conditionalFormatting>
  <conditionalFormatting sqref="B103:C104">
    <cfRule type="cellIs" dxfId="3399" priority="4103" stopIfTrue="1" operator="equal">
      <formula>"Towel"</formula>
    </cfRule>
    <cfRule type="cellIs" dxfId="3398" priority="4104" stopIfTrue="1" operator="equal">
      <formula>"Napkin Hs"</formula>
    </cfRule>
  </conditionalFormatting>
  <conditionalFormatting sqref="C103:C104">
    <cfRule type="cellIs" dxfId="3397" priority="4101" stopIfTrue="1" operator="equal">
      <formula>"Towel"</formula>
    </cfRule>
    <cfRule type="cellIs" dxfId="3396" priority="4102" stopIfTrue="1" operator="equal">
      <formula>"Napkin Hs"</formula>
    </cfRule>
  </conditionalFormatting>
  <conditionalFormatting sqref="C103:C104">
    <cfRule type="cellIs" dxfId="3395" priority="4099" stopIfTrue="1" operator="equal">
      <formula>"Towel"</formula>
    </cfRule>
    <cfRule type="cellIs" dxfId="3394" priority="4100" stopIfTrue="1" operator="equal">
      <formula>"Napkin Hs"</formula>
    </cfRule>
  </conditionalFormatting>
  <conditionalFormatting sqref="B103:C104">
    <cfRule type="cellIs" dxfId="3393" priority="4097" stopIfTrue="1" operator="equal">
      <formula>"Towel"</formula>
    </cfRule>
    <cfRule type="cellIs" dxfId="3392" priority="4098" stopIfTrue="1" operator="equal">
      <formula>"Napkin Hs"</formula>
    </cfRule>
  </conditionalFormatting>
  <conditionalFormatting sqref="C103:C104">
    <cfRule type="cellIs" dxfId="3391" priority="4095" stopIfTrue="1" operator="equal">
      <formula>"Towel"</formula>
    </cfRule>
    <cfRule type="cellIs" dxfId="3390" priority="4096" stopIfTrue="1" operator="equal">
      <formula>"Napkin Hs"</formula>
    </cfRule>
  </conditionalFormatting>
  <conditionalFormatting sqref="C103:C104">
    <cfRule type="cellIs" dxfId="3389" priority="4093" stopIfTrue="1" operator="equal">
      <formula>"Towel"</formula>
    </cfRule>
    <cfRule type="cellIs" dxfId="3388" priority="4094" stopIfTrue="1" operator="equal">
      <formula>"Napkin Hs"</formula>
    </cfRule>
  </conditionalFormatting>
  <conditionalFormatting sqref="B103:C104">
    <cfRule type="cellIs" dxfId="3387" priority="4091" stopIfTrue="1" operator="equal">
      <formula>"Towel"</formula>
    </cfRule>
    <cfRule type="cellIs" dxfId="3386" priority="4092" stopIfTrue="1" operator="equal">
      <formula>"Napkin Hs"</formula>
    </cfRule>
  </conditionalFormatting>
  <conditionalFormatting sqref="C103:C104">
    <cfRule type="cellIs" dxfId="3385" priority="4089" stopIfTrue="1" operator="equal">
      <formula>"Towel"</formula>
    </cfRule>
    <cfRule type="cellIs" dxfId="3384" priority="4090" stopIfTrue="1" operator="equal">
      <formula>"Napkin Hs"</formula>
    </cfRule>
  </conditionalFormatting>
  <conditionalFormatting sqref="C103:C104">
    <cfRule type="cellIs" dxfId="3383" priority="4087" stopIfTrue="1" operator="equal">
      <formula>"Towel"</formula>
    </cfRule>
    <cfRule type="cellIs" dxfId="3382" priority="4088" stopIfTrue="1" operator="equal">
      <formula>"Napkin Hs"</formula>
    </cfRule>
  </conditionalFormatting>
  <conditionalFormatting sqref="B103:C104">
    <cfRule type="cellIs" dxfId="3381" priority="4086" stopIfTrue="1" operator="equal">
      <formula>"Napkin Hs"</formula>
    </cfRule>
  </conditionalFormatting>
  <conditionalFormatting sqref="B103:C104">
    <cfRule type="cellIs" dxfId="3380" priority="4085" stopIfTrue="1" operator="equal">
      <formula>"Towel"</formula>
    </cfRule>
  </conditionalFormatting>
  <conditionalFormatting sqref="C103:C104">
    <cfRule type="cellIs" dxfId="3379" priority="4084" stopIfTrue="1" operator="equal">
      <formula>"Napkin Hs"</formula>
    </cfRule>
  </conditionalFormatting>
  <conditionalFormatting sqref="C103:C104">
    <cfRule type="cellIs" dxfId="3378" priority="4081" stopIfTrue="1" operator="equal">
      <formula>"Towel"</formula>
    </cfRule>
    <cfRule type="cellIs" dxfId="3377" priority="4082" stopIfTrue="1" operator="equal">
      <formula>"Napkin Hs"</formula>
    </cfRule>
  </conditionalFormatting>
  <conditionalFormatting sqref="C103:C104">
    <cfRule type="cellIs" dxfId="3376" priority="4083" stopIfTrue="1" operator="equal">
      <formula>"Towel"</formula>
    </cfRule>
  </conditionalFormatting>
  <conditionalFormatting sqref="B104:C104">
    <cfRule type="cellIs" dxfId="3375" priority="4080" stopIfTrue="1" operator="equal">
      <formula>"Napkin Hs"</formula>
    </cfRule>
  </conditionalFormatting>
  <conditionalFormatting sqref="B104:C104">
    <cfRule type="cellIs" dxfId="3374" priority="4079" stopIfTrue="1" operator="equal">
      <formula>"Towel"</formula>
    </cfRule>
  </conditionalFormatting>
  <conditionalFormatting sqref="C104">
    <cfRule type="cellIs" dxfId="3373" priority="4078" stopIfTrue="1" operator="equal">
      <formula>"Napkin Hs"</formula>
    </cfRule>
  </conditionalFormatting>
  <conditionalFormatting sqref="C104">
    <cfRule type="cellIs" dxfId="3372" priority="4075" stopIfTrue="1" operator="equal">
      <formula>"Towel"</formula>
    </cfRule>
    <cfRule type="cellIs" dxfId="3371" priority="4076" stopIfTrue="1" operator="equal">
      <formula>"Napkin Hs"</formula>
    </cfRule>
  </conditionalFormatting>
  <conditionalFormatting sqref="C104">
    <cfRule type="cellIs" dxfId="3370" priority="4077" stopIfTrue="1" operator="equal">
      <formula>"Towel"</formula>
    </cfRule>
  </conditionalFormatting>
  <conditionalFormatting sqref="B103:C103">
    <cfRule type="cellIs" dxfId="3369" priority="4074" stopIfTrue="1" operator="equal">
      <formula>"Napkin Hs"</formula>
    </cfRule>
  </conditionalFormatting>
  <conditionalFormatting sqref="B103:C103">
    <cfRule type="cellIs" dxfId="3368" priority="4073" stopIfTrue="1" operator="equal">
      <formula>"Towel"</formula>
    </cfRule>
  </conditionalFormatting>
  <conditionalFormatting sqref="C103">
    <cfRule type="cellIs" dxfId="3367" priority="4072" stopIfTrue="1" operator="equal">
      <formula>"Napkin Hs"</formula>
    </cfRule>
  </conditionalFormatting>
  <conditionalFormatting sqref="C103">
    <cfRule type="cellIs" dxfId="3366" priority="4069" stopIfTrue="1" operator="equal">
      <formula>"Towel"</formula>
    </cfRule>
    <cfRule type="cellIs" dxfId="3365" priority="4070" stopIfTrue="1" operator="equal">
      <formula>"Napkin Hs"</formula>
    </cfRule>
  </conditionalFormatting>
  <conditionalFormatting sqref="C103">
    <cfRule type="cellIs" dxfId="3364" priority="4071" stopIfTrue="1" operator="equal">
      <formula>"Towel"</formula>
    </cfRule>
  </conditionalFormatting>
  <conditionalFormatting sqref="B103">
    <cfRule type="cellIs" dxfId="3363" priority="4068" stopIfTrue="1" operator="equal">
      <formula>"Napkin Hs"</formula>
    </cfRule>
  </conditionalFormatting>
  <conditionalFormatting sqref="B103">
    <cfRule type="cellIs" dxfId="3362" priority="4067" stopIfTrue="1" operator="equal">
      <formula>"Towel"</formula>
    </cfRule>
  </conditionalFormatting>
  <conditionalFormatting sqref="C103">
    <cfRule type="cellIs" dxfId="3361" priority="4066" stopIfTrue="1" operator="equal">
      <formula>"Napkin Hs"</formula>
    </cfRule>
  </conditionalFormatting>
  <conditionalFormatting sqref="C103">
    <cfRule type="cellIs" dxfId="3360" priority="4065" stopIfTrue="1" operator="equal">
      <formula>"Towel"</formula>
    </cfRule>
  </conditionalFormatting>
  <conditionalFormatting sqref="C103">
    <cfRule type="cellIs" dxfId="3359" priority="4064" stopIfTrue="1" operator="equal">
      <formula>"Napkin Hs"</formula>
    </cfRule>
  </conditionalFormatting>
  <conditionalFormatting sqref="C103">
    <cfRule type="cellIs" dxfId="3358" priority="4061" stopIfTrue="1" operator="equal">
      <formula>"Towel"</formula>
    </cfRule>
    <cfRule type="cellIs" dxfId="3357" priority="4062" stopIfTrue="1" operator="equal">
      <formula>"Napkin Hs"</formula>
    </cfRule>
  </conditionalFormatting>
  <conditionalFormatting sqref="C103">
    <cfRule type="cellIs" dxfId="3356" priority="4063" stopIfTrue="1" operator="equal">
      <formula>"Towel"</formula>
    </cfRule>
  </conditionalFormatting>
  <conditionalFormatting sqref="B104:C104">
    <cfRule type="cellIs" dxfId="3355" priority="4060" stopIfTrue="1" operator="equal">
      <formula>"Napkin Hs"</formula>
    </cfRule>
  </conditionalFormatting>
  <conditionalFormatting sqref="B104:C104">
    <cfRule type="cellIs" dxfId="3354" priority="4059" stopIfTrue="1" operator="equal">
      <formula>"Towel"</formula>
    </cfRule>
  </conditionalFormatting>
  <conditionalFormatting sqref="C104">
    <cfRule type="cellIs" dxfId="3353" priority="4058" stopIfTrue="1" operator="equal">
      <formula>"Napkin Hs"</formula>
    </cfRule>
  </conditionalFormatting>
  <conditionalFormatting sqref="C104">
    <cfRule type="cellIs" dxfId="3352" priority="4055" stopIfTrue="1" operator="equal">
      <formula>"Towel"</formula>
    </cfRule>
    <cfRule type="cellIs" dxfId="3351" priority="4056" stopIfTrue="1" operator="equal">
      <formula>"Napkin Hs"</formula>
    </cfRule>
  </conditionalFormatting>
  <conditionalFormatting sqref="C104">
    <cfRule type="cellIs" dxfId="3350" priority="4057" stopIfTrue="1" operator="equal">
      <formula>"Towel"</formula>
    </cfRule>
  </conditionalFormatting>
  <conditionalFormatting sqref="B102:C102">
    <cfRule type="cellIs" dxfId="3349" priority="4054" stopIfTrue="1" operator="equal">
      <formula>"Napkin Hs"</formula>
    </cfRule>
  </conditionalFormatting>
  <conditionalFormatting sqref="B102:C102">
    <cfRule type="cellIs" dxfId="3348" priority="4053" stopIfTrue="1" operator="equal">
      <formula>"Towel"</formula>
    </cfRule>
  </conditionalFormatting>
  <conditionalFormatting sqref="C102">
    <cfRule type="cellIs" dxfId="3347" priority="4052" stopIfTrue="1" operator="equal">
      <formula>"Napkin Hs"</formula>
    </cfRule>
  </conditionalFormatting>
  <conditionalFormatting sqref="C102">
    <cfRule type="cellIs" dxfId="3346" priority="4049" stopIfTrue="1" operator="equal">
      <formula>"Towel"</formula>
    </cfRule>
    <cfRule type="cellIs" dxfId="3345" priority="4050" stopIfTrue="1" operator="equal">
      <formula>"Napkin Hs"</formula>
    </cfRule>
  </conditionalFormatting>
  <conditionalFormatting sqref="C102">
    <cfRule type="cellIs" dxfId="3344" priority="4051" stopIfTrue="1" operator="equal">
      <formula>"Towel"</formula>
    </cfRule>
  </conditionalFormatting>
  <conditionalFormatting sqref="B102:C102">
    <cfRule type="cellIs" dxfId="3343" priority="4048" stopIfTrue="1" operator="equal">
      <formula>"Napkin Hs"</formula>
    </cfRule>
  </conditionalFormatting>
  <conditionalFormatting sqref="B102:C102">
    <cfRule type="cellIs" dxfId="3342" priority="4047" stopIfTrue="1" operator="equal">
      <formula>"Towel"</formula>
    </cfRule>
  </conditionalFormatting>
  <conditionalFormatting sqref="C102">
    <cfRule type="cellIs" dxfId="3341" priority="4046" stopIfTrue="1" operator="equal">
      <formula>"Napkin Hs"</formula>
    </cfRule>
  </conditionalFormatting>
  <conditionalFormatting sqref="C102">
    <cfRule type="cellIs" dxfId="3340" priority="4043" stopIfTrue="1" operator="equal">
      <formula>"Towel"</formula>
    </cfRule>
    <cfRule type="cellIs" dxfId="3339" priority="4044" stopIfTrue="1" operator="equal">
      <formula>"Napkin Hs"</formula>
    </cfRule>
  </conditionalFormatting>
  <conditionalFormatting sqref="C102">
    <cfRule type="cellIs" dxfId="3338" priority="4045" stopIfTrue="1" operator="equal">
      <formula>"Towel"</formula>
    </cfRule>
  </conditionalFormatting>
  <conditionalFormatting sqref="B107:C107">
    <cfRule type="cellIs" dxfId="3337" priority="4039" stopIfTrue="1" operator="equal">
      <formula>"Towel"</formula>
    </cfRule>
    <cfRule type="cellIs" dxfId="3336" priority="4040" stopIfTrue="1" operator="equal">
      <formula>"Napkin Hs"</formula>
    </cfRule>
  </conditionalFormatting>
  <conditionalFormatting sqref="C107">
    <cfRule type="cellIs" dxfId="3335" priority="4041" stopIfTrue="1" operator="equal">
      <formula>"Towel"</formula>
    </cfRule>
    <cfRule type="cellIs" dxfId="3334" priority="4042" stopIfTrue="1" operator="equal">
      <formula>"Napkin Hs"</formula>
    </cfRule>
  </conditionalFormatting>
  <conditionalFormatting sqref="C107">
    <cfRule type="cellIs" dxfId="3333" priority="4037" stopIfTrue="1" operator="equal">
      <formula>"Towel"</formula>
    </cfRule>
    <cfRule type="cellIs" dxfId="3332" priority="4038" stopIfTrue="1" operator="equal">
      <formula>"Napkin Hs"</formula>
    </cfRule>
  </conditionalFormatting>
  <conditionalFormatting sqref="B106:C106">
    <cfRule type="cellIs" dxfId="3331" priority="4030" stopIfTrue="1" operator="equal">
      <formula>"Napkin Hs"</formula>
    </cfRule>
  </conditionalFormatting>
  <conditionalFormatting sqref="B106:C106">
    <cfRule type="cellIs" dxfId="3330" priority="4029" stopIfTrue="1" operator="equal">
      <formula>"Towel"</formula>
    </cfRule>
  </conditionalFormatting>
  <conditionalFormatting sqref="C106">
    <cfRule type="cellIs" dxfId="3329" priority="4028" stopIfTrue="1" operator="equal">
      <formula>"Napkin Hs"</formula>
    </cfRule>
  </conditionalFormatting>
  <conditionalFormatting sqref="C106">
    <cfRule type="cellIs" dxfId="3328" priority="4027" stopIfTrue="1" operator="equal">
      <formula>"Towel"</formula>
    </cfRule>
  </conditionalFormatting>
  <conditionalFormatting sqref="C106">
    <cfRule type="cellIs" dxfId="3327" priority="4025" stopIfTrue="1" operator="equal">
      <formula>"Towel"</formula>
    </cfRule>
    <cfRule type="cellIs" dxfId="3326" priority="4026" stopIfTrue="1" operator="equal">
      <formula>"Napkin Hs"</formula>
    </cfRule>
  </conditionalFormatting>
  <conditionalFormatting sqref="B106:C106">
    <cfRule type="cellIs" dxfId="3325" priority="4023" stopIfTrue="1" operator="equal">
      <formula>"Towel"</formula>
    </cfRule>
    <cfRule type="cellIs" dxfId="3324" priority="4024" stopIfTrue="1" operator="equal">
      <formula>"Napkin Hs"</formula>
    </cfRule>
  </conditionalFormatting>
  <conditionalFormatting sqref="C106">
    <cfRule type="cellIs" dxfId="3323" priority="4019" stopIfTrue="1" operator="equal">
      <formula>"Towel"</formula>
    </cfRule>
    <cfRule type="cellIs" dxfId="3322" priority="4020" stopIfTrue="1" operator="equal">
      <formula>"Napkin Hs"</formula>
    </cfRule>
  </conditionalFormatting>
  <conditionalFormatting sqref="C106">
    <cfRule type="cellIs" dxfId="3321" priority="4021" stopIfTrue="1" operator="equal">
      <formula>"Towel"</formula>
    </cfRule>
    <cfRule type="cellIs" dxfId="3320" priority="4022" stopIfTrue="1" operator="equal">
      <formula>"Napkin Hs"</formula>
    </cfRule>
  </conditionalFormatting>
  <conditionalFormatting sqref="B106:C106">
    <cfRule type="cellIs" dxfId="3319" priority="4018" stopIfTrue="1" operator="equal">
      <formula>"Napkin Hs"</formula>
    </cfRule>
  </conditionalFormatting>
  <conditionalFormatting sqref="B106:C106">
    <cfRule type="cellIs" dxfId="3318" priority="4017" stopIfTrue="1" operator="equal">
      <formula>"Towel"</formula>
    </cfRule>
  </conditionalFormatting>
  <conditionalFormatting sqref="C106">
    <cfRule type="cellIs" dxfId="3317" priority="4016" stopIfTrue="1" operator="equal">
      <formula>"Napkin Hs"</formula>
    </cfRule>
  </conditionalFormatting>
  <conditionalFormatting sqref="C106">
    <cfRule type="cellIs" dxfId="3316" priority="4015" stopIfTrue="1" operator="equal">
      <formula>"Towel"</formula>
    </cfRule>
  </conditionalFormatting>
  <conditionalFormatting sqref="C106">
    <cfRule type="cellIs" dxfId="3315" priority="4013" stopIfTrue="1" operator="equal">
      <formula>"Towel"</formula>
    </cfRule>
    <cfRule type="cellIs" dxfId="3314" priority="4014" stopIfTrue="1" operator="equal">
      <formula>"Napkin Hs"</formula>
    </cfRule>
  </conditionalFormatting>
  <conditionalFormatting sqref="B106:C106">
    <cfRule type="cellIs" dxfId="3313" priority="4011" stopIfTrue="1" operator="equal">
      <formula>"Towel"</formula>
    </cfRule>
    <cfRule type="cellIs" dxfId="3312" priority="4012" stopIfTrue="1" operator="equal">
      <formula>"Napkin Hs"</formula>
    </cfRule>
  </conditionalFormatting>
  <conditionalFormatting sqref="C106">
    <cfRule type="cellIs" dxfId="3311" priority="4009" stopIfTrue="1" operator="equal">
      <formula>"Towel"</formula>
    </cfRule>
    <cfRule type="cellIs" dxfId="3310" priority="4010" stopIfTrue="1" operator="equal">
      <formula>"Napkin Hs"</formula>
    </cfRule>
  </conditionalFormatting>
  <conditionalFormatting sqref="C106">
    <cfRule type="cellIs" dxfId="3309" priority="4007" stopIfTrue="1" operator="equal">
      <formula>"Towel"</formula>
    </cfRule>
    <cfRule type="cellIs" dxfId="3308" priority="4008" stopIfTrue="1" operator="equal">
      <formula>"Napkin Hs"</formula>
    </cfRule>
  </conditionalFormatting>
  <conditionalFormatting sqref="B106:C106">
    <cfRule type="cellIs" dxfId="3307" priority="4005" stopIfTrue="1" operator="equal">
      <formula>"Towel"</formula>
    </cfRule>
    <cfRule type="cellIs" dxfId="3306" priority="4006" stopIfTrue="1" operator="equal">
      <formula>"Napkin Hs"</formula>
    </cfRule>
  </conditionalFormatting>
  <conditionalFormatting sqref="C106">
    <cfRule type="cellIs" dxfId="3305" priority="4003" stopIfTrue="1" operator="equal">
      <formula>"Towel"</formula>
    </cfRule>
    <cfRule type="cellIs" dxfId="3304" priority="4004" stopIfTrue="1" operator="equal">
      <formula>"Napkin Hs"</formula>
    </cfRule>
  </conditionalFormatting>
  <conditionalFormatting sqref="C106">
    <cfRule type="cellIs" dxfId="3303" priority="4001" stopIfTrue="1" operator="equal">
      <formula>"Towel"</formula>
    </cfRule>
    <cfRule type="cellIs" dxfId="3302" priority="4002" stopIfTrue="1" operator="equal">
      <formula>"Napkin Hs"</formula>
    </cfRule>
  </conditionalFormatting>
  <conditionalFormatting sqref="B106:C106">
    <cfRule type="cellIs" dxfId="3301" priority="3999" stopIfTrue="1" operator="equal">
      <formula>"Towel"</formula>
    </cfRule>
    <cfRule type="cellIs" dxfId="3300" priority="4000" stopIfTrue="1" operator="equal">
      <formula>"Napkin Hs"</formula>
    </cfRule>
  </conditionalFormatting>
  <conditionalFormatting sqref="C106">
    <cfRule type="cellIs" dxfId="3299" priority="3997" stopIfTrue="1" operator="equal">
      <formula>"Towel"</formula>
    </cfRule>
    <cfRule type="cellIs" dxfId="3298" priority="3998" stopIfTrue="1" operator="equal">
      <formula>"Napkin Hs"</formula>
    </cfRule>
  </conditionalFormatting>
  <conditionalFormatting sqref="C106">
    <cfRule type="cellIs" dxfId="3297" priority="3995" stopIfTrue="1" operator="equal">
      <formula>"Towel"</formula>
    </cfRule>
    <cfRule type="cellIs" dxfId="3296" priority="3996" stopIfTrue="1" operator="equal">
      <formula>"Napkin Hs"</formula>
    </cfRule>
  </conditionalFormatting>
  <conditionalFormatting sqref="B106:C106">
    <cfRule type="cellIs" dxfId="3295" priority="3993" stopIfTrue="1" operator="equal">
      <formula>"Towel"</formula>
    </cfRule>
    <cfRule type="cellIs" dxfId="3294" priority="3994" stopIfTrue="1" operator="equal">
      <formula>"Napkin Hs"</formula>
    </cfRule>
  </conditionalFormatting>
  <conditionalFormatting sqref="C106">
    <cfRule type="cellIs" dxfId="3293" priority="3991" stopIfTrue="1" operator="equal">
      <formula>"Towel"</formula>
    </cfRule>
    <cfRule type="cellIs" dxfId="3292" priority="3992" stopIfTrue="1" operator="equal">
      <formula>"Napkin Hs"</formula>
    </cfRule>
  </conditionalFormatting>
  <conditionalFormatting sqref="C106">
    <cfRule type="cellIs" dxfId="3291" priority="3989" stopIfTrue="1" operator="equal">
      <formula>"Towel"</formula>
    </cfRule>
    <cfRule type="cellIs" dxfId="3290" priority="3990" stopIfTrue="1" operator="equal">
      <formula>"Napkin Hs"</formula>
    </cfRule>
  </conditionalFormatting>
  <conditionalFormatting sqref="B106:C106">
    <cfRule type="cellIs" dxfId="3289" priority="3987" stopIfTrue="1" operator="equal">
      <formula>"Towel"</formula>
    </cfRule>
    <cfRule type="cellIs" dxfId="3288" priority="3988" stopIfTrue="1" operator="equal">
      <formula>"Napkin Hs"</formula>
    </cfRule>
  </conditionalFormatting>
  <conditionalFormatting sqref="C106">
    <cfRule type="cellIs" dxfId="3287" priority="3985" stopIfTrue="1" operator="equal">
      <formula>"Towel"</formula>
    </cfRule>
    <cfRule type="cellIs" dxfId="3286" priority="3986" stopIfTrue="1" operator="equal">
      <formula>"Napkin Hs"</formula>
    </cfRule>
  </conditionalFormatting>
  <conditionalFormatting sqref="C106">
    <cfRule type="cellIs" dxfId="3285" priority="3983" stopIfTrue="1" operator="equal">
      <formula>"Towel"</formula>
    </cfRule>
    <cfRule type="cellIs" dxfId="3284" priority="3984" stopIfTrue="1" operator="equal">
      <formula>"Napkin Hs"</formula>
    </cfRule>
  </conditionalFormatting>
  <conditionalFormatting sqref="B106:C106">
    <cfRule type="cellIs" dxfId="3283" priority="3982" stopIfTrue="1" operator="equal">
      <formula>"Napkin Hs"</formula>
    </cfRule>
  </conditionalFormatting>
  <conditionalFormatting sqref="B106:C106">
    <cfRule type="cellIs" dxfId="3282" priority="3981" stopIfTrue="1" operator="equal">
      <formula>"Towel"</formula>
    </cfRule>
  </conditionalFormatting>
  <conditionalFormatting sqref="C106">
    <cfRule type="cellIs" dxfId="3281" priority="3980" stopIfTrue="1" operator="equal">
      <formula>"Napkin Hs"</formula>
    </cfRule>
  </conditionalFormatting>
  <conditionalFormatting sqref="C106">
    <cfRule type="cellIs" dxfId="3280" priority="3977" stopIfTrue="1" operator="equal">
      <formula>"Towel"</formula>
    </cfRule>
    <cfRule type="cellIs" dxfId="3279" priority="3978" stopIfTrue="1" operator="equal">
      <formula>"Napkin Hs"</formula>
    </cfRule>
  </conditionalFormatting>
  <conditionalFormatting sqref="C106">
    <cfRule type="cellIs" dxfId="3278" priority="3979" stopIfTrue="1" operator="equal">
      <formula>"Towel"</formula>
    </cfRule>
  </conditionalFormatting>
  <conditionalFormatting sqref="B108:C108">
    <cfRule type="cellIs" dxfId="3277" priority="3976" stopIfTrue="1" operator="equal">
      <formula>"Napkin Hs"</formula>
    </cfRule>
  </conditionalFormatting>
  <conditionalFormatting sqref="B108:C108">
    <cfRule type="cellIs" dxfId="3276" priority="3975" stopIfTrue="1" operator="equal">
      <formula>"Towel"</formula>
    </cfRule>
  </conditionalFormatting>
  <conditionalFormatting sqref="C108">
    <cfRule type="cellIs" dxfId="3275" priority="3974" stopIfTrue="1" operator="equal">
      <formula>"Napkin Hs"</formula>
    </cfRule>
  </conditionalFormatting>
  <conditionalFormatting sqref="C108">
    <cfRule type="cellIs" dxfId="3274" priority="3973" stopIfTrue="1" operator="equal">
      <formula>"Towel"</formula>
    </cfRule>
  </conditionalFormatting>
  <conditionalFormatting sqref="C108">
    <cfRule type="cellIs" dxfId="3273" priority="3971" stopIfTrue="1" operator="equal">
      <formula>"Towel"</formula>
    </cfRule>
    <cfRule type="cellIs" dxfId="3272" priority="3972" stopIfTrue="1" operator="equal">
      <formula>"Napkin Hs"</formula>
    </cfRule>
  </conditionalFormatting>
  <conditionalFormatting sqref="B108:C108">
    <cfRule type="cellIs" dxfId="3271" priority="3969" stopIfTrue="1" operator="equal">
      <formula>"Towel"</formula>
    </cfRule>
    <cfRule type="cellIs" dxfId="3270" priority="3970" stopIfTrue="1" operator="equal">
      <formula>"Napkin Hs"</formula>
    </cfRule>
  </conditionalFormatting>
  <conditionalFormatting sqref="C108">
    <cfRule type="cellIs" dxfId="3269" priority="3965" stopIfTrue="1" operator="equal">
      <formula>"Towel"</formula>
    </cfRule>
    <cfRule type="cellIs" dxfId="3268" priority="3966" stopIfTrue="1" operator="equal">
      <formula>"Napkin Hs"</formula>
    </cfRule>
  </conditionalFormatting>
  <conditionalFormatting sqref="C108">
    <cfRule type="cellIs" dxfId="3267" priority="3967" stopIfTrue="1" operator="equal">
      <formula>"Towel"</formula>
    </cfRule>
    <cfRule type="cellIs" dxfId="3266" priority="3968" stopIfTrue="1" operator="equal">
      <formula>"Napkin Hs"</formula>
    </cfRule>
  </conditionalFormatting>
  <conditionalFormatting sqref="B108:C108">
    <cfRule type="cellIs" dxfId="3265" priority="3964" stopIfTrue="1" operator="equal">
      <formula>"Napkin Hs"</formula>
    </cfRule>
  </conditionalFormatting>
  <conditionalFormatting sqref="B108:C108">
    <cfRule type="cellIs" dxfId="3264" priority="3963" stopIfTrue="1" operator="equal">
      <formula>"Towel"</formula>
    </cfRule>
  </conditionalFormatting>
  <conditionalFormatting sqref="C108">
    <cfRule type="cellIs" dxfId="3263" priority="3962" stopIfTrue="1" operator="equal">
      <formula>"Napkin Hs"</formula>
    </cfRule>
  </conditionalFormatting>
  <conditionalFormatting sqref="C108">
    <cfRule type="cellIs" dxfId="3262" priority="3961" stopIfTrue="1" operator="equal">
      <formula>"Towel"</formula>
    </cfRule>
  </conditionalFormatting>
  <conditionalFormatting sqref="C108">
    <cfRule type="cellIs" dxfId="3261" priority="3959" stopIfTrue="1" operator="equal">
      <formula>"Towel"</formula>
    </cfRule>
    <cfRule type="cellIs" dxfId="3260" priority="3960" stopIfTrue="1" operator="equal">
      <formula>"Napkin Hs"</formula>
    </cfRule>
  </conditionalFormatting>
  <conditionalFormatting sqref="B108:C108">
    <cfRule type="cellIs" dxfId="3259" priority="3957" stopIfTrue="1" operator="equal">
      <formula>"Towel"</formula>
    </cfRule>
    <cfRule type="cellIs" dxfId="3258" priority="3958" stopIfTrue="1" operator="equal">
      <formula>"Napkin Hs"</formula>
    </cfRule>
  </conditionalFormatting>
  <conditionalFormatting sqref="C108">
    <cfRule type="cellIs" dxfId="3257" priority="3955" stopIfTrue="1" operator="equal">
      <formula>"Towel"</formula>
    </cfRule>
    <cfRule type="cellIs" dxfId="3256" priority="3956" stopIfTrue="1" operator="equal">
      <formula>"Napkin Hs"</formula>
    </cfRule>
  </conditionalFormatting>
  <conditionalFormatting sqref="C108">
    <cfRule type="cellIs" dxfId="3255" priority="3953" stopIfTrue="1" operator="equal">
      <formula>"Towel"</formula>
    </cfRule>
    <cfRule type="cellIs" dxfId="3254" priority="3954" stopIfTrue="1" operator="equal">
      <formula>"Napkin Hs"</formula>
    </cfRule>
  </conditionalFormatting>
  <conditionalFormatting sqref="B108:C108">
    <cfRule type="cellIs" dxfId="3253" priority="3951" stopIfTrue="1" operator="equal">
      <formula>"Towel"</formula>
    </cfRule>
    <cfRule type="cellIs" dxfId="3252" priority="3952" stopIfTrue="1" operator="equal">
      <formula>"Napkin Hs"</formula>
    </cfRule>
  </conditionalFormatting>
  <conditionalFormatting sqref="C108">
    <cfRule type="cellIs" dxfId="3251" priority="3949" stopIfTrue="1" operator="equal">
      <formula>"Towel"</formula>
    </cfRule>
    <cfRule type="cellIs" dxfId="3250" priority="3950" stopIfTrue="1" operator="equal">
      <formula>"Napkin Hs"</formula>
    </cfRule>
  </conditionalFormatting>
  <conditionalFormatting sqref="C108">
    <cfRule type="cellIs" dxfId="3249" priority="3947" stopIfTrue="1" operator="equal">
      <formula>"Towel"</formula>
    </cfRule>
    <cfRule type="cellIs" dxfId="3248" priority="3948" stopIfTrue="1" operator="equal">
      <formula>"Napkin Hs"</formula>
    </cfRule>
  </conditionalFormatting>
  <conditionalFormatting sqref="B108:C108">
    <cfRule type="cellIs" dxfId="3247" priority="3945" stopIfTrue="1" operator="equal">
      <formula>"Towel"</formula>
    </cfRule>
    <cfRule type="cellIs" dxfId="3246" priority="3946" stopIfTrue="1" operator="equal">
      <formula>"Napkin Hs"</formula>
    </cfRule>
  </conditionalFormatting>
  <conditionalFormatting sqref="C108">
    <cfRule type="cellIs" dxfId="3245" priority="3943" stopIfTrue="1" operator="equal">
      <formula>"Towel"</formula>
    </cfRule>
    <cfRule type="cellIs" dxfId="3244" priority="3944" stopIfTrue="1" operator="equal">
      <formula>"Napkin Hs"</formula>
    </cfRule>
  </conditionalFormatting>
  <conditionalFormatting sqref="C108">
    <cfRule type="cellIs" dxfId="3243" priority="3941" stopIfTrue="1" operator="equal">
      <formula>"Towel"</formula>
    </cfRule>
    <cfRule type="cellIs" dxfId="3242" priority="3942" stopIfTrue="1" operator="equal">
      <formula>"Napkin Hs"</formula>
    </cfRule>
  </conditionalFormatting>
  <conditionalFormatting sqref="B108:C108">
    <cfRule type="cellIs" dxfId="3241" priority="3939" stopIfTrue="1" operator="equal">
      <formula>"Towel"</formula>
    </cfRule>
    <cfRule type="cellIs" dxfId="3240" priority="3940" stopIfTrue="1" operator="equal">
      <formula>"Napkin Hs"</formula>
    </cfRule>
  </conditionalFormatting>
  <conditionalFormatting sqref="C108">
    <cfRule type="cellIs" dxfId="3239" priority="3937" stopIfTrue="1" operator="equal">
      <formula>"Towel"</formula>
    </cfRule>
    <cfRule type="cellIs" dxfId="3238" priority="3938" stopIfTrue="1" operator="equal">
      <formula>"Napkin Hs"</formula>
    </cfRule>
  </conditionalFormatting>
  <conditionalFormatting sqref="C108">
    <cfRule type="cellIs" dxfId="3237" priority="3935" stopIfTrue="1" operator="equal">
      <formula>"Towel"</formula>
    </cfRule>
    <cfRule type="cellIs" dxfId="3236" priority="3936" stopIfTrue="1" operator="equal">
      <formula>"Napkin Hs"</formula>
    </cfRule>
  </conditionalFormatting>
  <conditionalFormatting sqref="B108:C108">
    <cfRule type="cellIs" dxfId="3235" priority="3933" stopIfTrue="1" operator="equal">
      <formula>"Towel"</formula>
    </cfRule>
    <cfRule type="cellIs" dxfId="3234" priority="3934" stopIfTrue="1" operator="equal">
      <formula>"Napkin Hs"</formula>
    </cfRule>
  </conditionalFormatting>
  <conditionalFormatting sqref="C108">
    <cfRule type="cellIs" dxfId="3233" priority="3931" stopIfTrue="1" operator="equal">
      <formula>"Towel"</formula>
    </cfRule>
    <cfRule type="cellIs" dxfId="3232" priority="3932" stopIfTrue="1" operator="equal">
      <formula>"Napkin Hs"</formula>
    </cfRule>
  </conditionalFormatting>
  <conditionalFormatting sqref="C108">
    <cfRule type="cellIs" dxfId="3231" priority="3929" stopIfTrue="1" operator="equal">
      <formula>"Towel"</formula>
    </cfRule>
    <cfRule type="cellIs" dxfId="3230" priority="3930" stopIfTrue="1" operator="equal">
      <formula>"Napkin Hs"</formula>
    </cfRule>
  </conditionalFormatting>
  <conditionalFormatting sqref="B108:C108">
    <cfRule type="cellIs" dxfId="3229" priority="3928" stopIfTrue="1" operator="equal">
      <formula>"Napkin Hs"</formula>
    </cfRule>
  </conditionalFormatting>
  <conditionalFormatting sqref="B108:C108">
    <cfRule type="cellIs" dxfId="3228" priority="3927" stopIfTrue="1" operator="equal">
      <formula>"Towel"</formula>
    </cfRule>
  </conditionalFormatting>
  <conditionalFormatting sqref="C108">
    <cfRule type="cellIs" dxfId="3227" priority="3926" stopIfTrue="1" operator="equal">
      <formula>"Napkin Hs"</formula>
    </cfRule>
  </conditionalFormatting>
  <conditionalFormatting sqref="C108">
    <cfRule type="cellIs" dxfId="3226" priority="3923" stopIfTrue="1" operator="equal">
      <formula>"Towel"</formula>
    </cfRule>
    <cfRule type="cellIs" dxfId="3225" priority="3924" stopIfTrue="1" operator="equal">
      <formula>"Napkin Hs"</formula>
    </cfRule>
  </conditionalFormatting>
  <conditionalFormatting sqref="C108">
    <cfRule type="cellIs" dxfId="3224" priority="3925" stopIfTrue="1" operator="equal">
      <formula>"Towel"</formula>
    </cfRule>
  </conditionalFormatting>
  <conditionalFormatting sqref="B109:C110">
    <cfRule type="cellIs" dxfId="3223" priority="3922" stopIfTrue="1" operator="equal">
      <formula>"Napkin Hs"</formula>
    </cfRule>
  </conditionalFormatting>
  <conditionalFormatting sqref="B109:C110">
    <cfRule type="cellIs" dxfId="3222" priority="3921" stopIfTrue="1" operator="equal">
      <formula>"Towel"</formula>
    </cfRule>
  </conditionalFormatting>
  <conditionalFormatting sqref="C109:C110">
    <cfRule type="cellIs" dxfId="3221" priority="3920" stopIfTrue="1" operator="equal">
      <formula>"Napkin Hs"</formula>
    </cfRule>
  </conditionalFormatting>
  <conditionalFormatting sqref="C109:C110">
    <cfRule type="cellIs" dxfId="3220" priority="3919" stopIfTrue="1" operator="equal">
      <formula>"Towel"</formula>
    </cfRule>
  </conditionalFormatting>
  <conditionalFormatting sqref="C109:C110">
    <cfRule type="cellIs" dxfId="3219" priority="3917" stopIfTrue="1" operator="equal">
      <formula>"Towel"</formula>
    </cfRule>
    <cfRule type="cellIs" dxfId="3218" priority="3918" stopIfTrue="1" operator="equal">
      <formula>"Napkin Hs"</formula>
    </cfRule>
  </conditionalFormatting>
  <conditionalFormatting sqref="B109:C110">
    <cfRule type="cellIs" dxfId="3217" priority="3915" stopIfTrue="1" operator="equal">
      <formula>"Towel"</formula>
    </cfRule>
    <cfRule type="cellIs" dxfId="3216" priority="3916" stopIfTrue="1" operator="equal">
      <formula>"Napkin Hs"</formula>
    </cfRule>
  </conditionalFormatting>
  <conditionalFormatting sqref="C109:C110">
    <cfRule type="cellIs" dxfId="3215" priority="3911" stopIfTrue="1" operator="equal">
      <formula>"Towel"</formula>
    </cfRule>
    <cfRule type="cellIs" dxfId="3214" priority="3912" stopIfTrue="1" operator="equal">
      <formula>"Napkin Hs"</formula>
    </cfRule>
  </conditionalFormatting>
  <conditionalFormatting sqref="C109:C110">
    <cfRule type="cellIs" dxfId="3213" priority="3913" stopIfTrue="1" operator="equal">
      <formula>"Towel"</formula>
    </cfRule>
    <cfRule type="cellIs" dxfId="3212" priority="3914" stopIfTrue="1" operator="equal">
      <formula>"Napkin Hs"</formula>
    </cfRule>
  </conditionalFormatting>
  <conditionalFormatting sqref="B109:C110">
    <cfRule type="cellIs" dxfId="3211" priority="3910" stopIfTrue="1" operator="equal">
      <formula>"Napkin Hs"</formula>
    </cfRule>
  </conditionalFormatting>
  <conditionalFormatting sqref="B109:C110">
    <cfRule type="cellIs" dxfId="3210" priority="3909" stopIfTrue="1" operator="equal">
      <formula>"Towel"</formula>
    </cfRule>
  </conditionalFormatting>
  <conditionalFormatting sqref="C109:C110">
    <cfRule type="cellIs" dxfId="3209" priority="3908" stopIfTrue="1" operator="equal">
      <formula>"Napkin Hs"</formula>
    </cfRule>
  </conditionalFormatting>
  <conditionalFormatting sqref="C109:C110">
    <cfRule type="cellIs" dxfId="3208" priority="3907" stopIfTrue="1" operator="equal">
      <formula>"Towel"</formula>
    </cfRule>
  </conditionalFormatting>
  <conditionalFormatting sqref="C109:C110">
    <cfRule type="cellIs" dxfId="3207" priority="3905" stopIfTrue="1" operator="equal">
      <formula>"Towel"</formula>
    </cfRule>
    <cfRule type="cellIs" dxfId="3206" priority="3906" stopIfTrue="1" operator="equal">
      <formula>"Napkin Hs"</formula>
    </cfRule>
  </conditionalFormatting>
  <conditionalFormatting sqref="B109:C110">
    <cfRule type="cellIs" dxfId="3205" priority="3903" stopIfTrue="1" operator="equal">
      <formula>"Towel"</formula>
    </cfRule>
    <cfRule type="cellIs" dxfId="3204" priority="3904" stopIfTrue="1" operator="equal">
      <formula>"Napkin Hs"</formula>
    </cfRule>
  </conditionalFormatting>
  <conditionalFormatting sqref="C109:C110">
    <cfRule type="cellIs" dxfId="3203" priority="3901" stopIfTrue="1" operator="equal">
      <formula>"Towel"</formula>
    </cfRule>
    <cfRule type="cellIs" dxfId="3202" priority="3902" stopIfTrue="1" operator="equal">
      <formula>"Napkin Hs"</formula>
    </cfRule>
  </conditionalFormatting>
  <conditionalFormatting sqref="C109:C110">
    <cfRule type="cellIs" dxfId="3201" priority="3899" stopIfTrue="1" operator="equal">
      <formula>"Towel"</formula>
    </cfRule>
    <cfRule type="cellIs" dxfId="3200" priority="3900" stopIfTrue="1" operator="equal">
      <formula>"Napkin Hs"</formula>
    </cfRule>
  </conditionalFormatting>
  <conditionalFormatting sqref="B109:C110">
    <cfRule type="cellIs" dxfId="3199" priority="3897" stopIfTrue="1" operator="equal">
      <formula>"Towel"</formula>
    </cfRule>
    <cfRule type="cellIs" dxfId="3198" priority="3898" stopIfTrue="1" operator="equal">
      <formula>"Napkin Hs"</formula>
    </cfRule>
  </conditionalFormatting>
  <conditionalFormatting sqref="C109:C110">
    <cfRule type="cellIs" dxfId="3197" priority="3895" stopIfTrue="1" operator="equal">
      <formula>"Towel"</formula>
    </cfRule>
    <cfRule type="cellIs" dxfId="3196" priority="3896" stopIfTrue="1" operator="equal">
      <formula>"Napkin Hs"</formula>
    </cfRule>
  </conditionalFormatting>
  <conditionalFormatting sqref="C109:C110">
    <cfRule type="cellIs" dxfId="3195" priority="3893" stopIfTrue="1" operator="equal">
      <formula>"Towel"</formula>
    </cfRule>
    <cfRule type="cellIs" dxfId="3194" priority="3894" stopIfTrue="1" operator="equal">
      <formula>"Napkin Hs"</formula>
    </cfRule>
  </conditionalFormatting>
  <conditionalFormatting sqref="B109:C110">
    <cfRule type="cellIs" dxfId="3193" priority="3891" stopIfTrue="1" operator="equal">
      <formula>"Towel"</formula>
    </cfRule>
    <cfRule type="cellIs" dxfId="3192" priority="3892" stopIfTrue="1" operator="equal">
      <formula>"Napkin Hs"</formula>
    </cfRule>
  </conditionalFormatting>
  <conditionalFormatting sqref="C109:C110">
    <cfRule type="cellIs" dxfId="3191" priority="3889" stopIfTrue="1" operator="equal">
      <formula>"Towel"</formula>
    </cfRule>
    <cfRule type="cellIs" dxfId="3190" priority="3890" stopIfTrue="1" operator="equal">
      <formula>"Napkin Hs"</formula>
    </cfRule>
  </conditionalFormatting>
  <conditionalFormatting sqref="C109:C110">
    <cfRule type="cellIs" dxfId="3189" priority="3887" stopIfTrue="1" operator="equal">
      <formula>"Towel"</formula>
    </cfRule>
    <cfRule type="cellIs" dxfId="3188" priority="3888" stopIfTrue="1" operator="equal">
      <formula>"Napkin Hs"</formula>
    </cfRule>
  </conditionalFormatting>
  <conditionalFormatting sqref="B109:C110">
    <cfRule type="cellIs" dxfId="3187" priority="3885" stopIfTrue="1" operator="equal">
      <formula>"Towel"</formula>
    </cfRule>
    <cfRule type="cellIs" dxfId="3186" priority="3886" stopIfTrue="1" operator="equal">
      <formula>"Napkin Hs"</formula>
    </cfRule>
  </conditionalFormatting>
  <conditionalFormatting sqref="C109:C110">
    <cfRule type="cellIs" dxfId="3185" priority="3883" stopIfTrue="1" operator="equal">
      <formula>"Towel"</formula>
    </cfRule>
    <cfRule type="cellIs" dxfId="3184" priority="3884" stopIfTrue="1" operator="equal">
      <formula>"Napkin Hs"</formula>
    </cfRule>
  </conditionalFormatting>
  <conditionalFormatting sqref="C109:C110">
    <cfRule type="cellIs" dxfId="3183" priority="3881" stopIfTrue="1" operator="equal">
      <formula>"Towel"</formula>
    </cfRule>
    <cfRule type="cellIs" dxfId="3182" priority="3882" stopIfTrue="1" operator="equal">
      <formula>"Napkin Hs"</formula>
    </cfRule>
  </conditionalFormatting>
  <conditionalFormatting sqref="B109:C110">
    <cfRule type="cellIs" dxfId="3181" priority="3879" stopIfTrue="1" operator="equal">
      <formula>"Towel"</formula>
    </cfRule>
    <cfRule type="cellIs" dxfId="3180" priority="3880" stopIfTrue="1" operator="equal">
      <formula>"Napkin Hs"</formula>
    </cfRule>
  </conditionalFormatting>
  <conditionalFormatting sqref="C109:C110">
    <cfRule type="cellIs" dxfId="3179" priority="3877" stopIfTrue="1" operator="equal">
      <formula>"Towel"</formula>
    </cfRule>
    <cfRule type="cellIs" dxfId="3178" priority="3878" stopIfTrue="1" operator="equal">
      <formula>"Napkin Hs"</formula>
    </cfRule>
  </conditionalFormatting>
  <conditionalFormatting sqref="C109:C110">
    <cfRule type="cellIs" dxfId="3177" priority="3875" stopIfTrue="1" operator="equal">
      <formula>"Towel"</formula>
    </cfRule>
    <cfRule type="cellIs" dxfId="3176" priority="3876" stopIfTrue="1" operator="equal">
      <formula>"Napkin Hs"</formula>
    </cfRule>
  </conditionalFormatting>
  <conditionalFormatting sqref="B109:C110">
    <cfRule type="cellIs" dxfId="3175" priority="3874" stopIfTrue="1" operator="equal">
      <formula>"Napkin Hs"</formula>
    </cfRule>
  </conditionalFormatting>
  <conditionalFormatting sqref="B109:C110">
    <cfRule type="cellIs" dxfId="3174" priority="3873" stopIfTrue="1" operator="equal">
      <formula>"Towel"</formula>
    </cfRule>
  </conditionalFormatting>
  <conditionalFormatting sqref="C109:C110">
    <cfRule type="cellIs" dxfId="3173" priority="3872" stopIfTrue="1" operator="equal">
      <formula>"Napkin Hs"</formula>
    </cfRule>
  </conditionalFormatting>
  <conditionalFormatting sqref="C109:C110">
    <cfRule type="cellIs" dxfId="3172" priority="3869" stopIfTrue="1" operator="equal">
      <formula>"Towel"</formula>
    </cfRule>
    <cfRule type="cellIs" dxfId="3171" priority="3870" stopIfTrue="1" operator="equal">
      <formula>"Napkin Hs"</formula>
    </cfRule>
  </conditionalFormatting>
  <conditionalFormatting sqref="C109:C110">
    <cfRule type="cellIs" dxfId="3170" priority="3871" stopIfTrue="1" operator="equal">
      <formula>"Towel"</formula>
    </cfRule>
  </conditionalFormatting>
  <conditionalFormatting sqref="B109">
    <cfRule type="cellIs" dxfId="3169" priority="3868" stopIfTrue="1" operator="equal">
      <formula>"Napkin Hs"</formula>
    </cfRule>
  </conditionalFormatting>
  <conditionalFormatting sqref="B109">
    <cfRule type="cellIs" dxfId="3168" priority="3867" stopIfTrue="1" operator="equal">
      <formula>"Towel"</formula>
    </cfRule>
  </conditionalFormatting>
  <conditionalFormatting sqref="B109">
    <cfRule type="cellIs" dxfId="3167" priority="3865" stopIfTrue="1" operator="equal">
      <formula>"Towel"</formula>
    </cfRule>
    <cfRule type="cellIs" dxfId="3166" priority="3866" stopIfTrue="1" operator="equal">
      <formula>"Napkin Hs"</formula>
    </cfRule>
  </conditionalFormatting>
  <conditionalFormatting sqref="B109">
    <cfRule type="cellIs" dxfId="3165" priority="3864" stopIfTrue="1" operator="equal">
      <formula>"Napkin Hs"</formula>
    </cfRule>
  </conditionalFormatting>
  <conditionalFormatting sqref="B109">
    <cfRule type="cellIs" dxfId="3164" priority="3863" stopIfTrue="1" operator="equal">
      <formula>"Towel"</formula>
    </cfRule>
  </conditionalFormatting>
  <conditionalFormatting sqref="B109">
    <cfRule type="cellIs" dxfId="3163" priority="3861" stopIfTrue="1" operator="equal">
      <formula>"Towel"</formula>
    </cfRule>
    <cfRule type="cellIs" dxfId="3162" priority="3862" stopIfTrue="1" operator="equal">
      <formula>"Napkin Hs"</formula>
    </cfRule>
  </conditionalFormatting>
  <conditionalFormatting sqref="B109">
    <cfRule type="cellIs" dxfId="3161" priority="3859" stopIfTrue="1" operator="equal">
      <formula>"Towel"</formula>
    </cfRule>
    <cfRule type="cellIs" dxfId="3160" priority="3860" stopIfTrue="1" operator="equal">
      <formula>"Napkin Hs"</formula>
    </cfRule>
  </conditionalFormatting>
  <conditionalFormatting sqref="B109">
    <cfRule type="cellIs" dxfId="3159" priority="3857" stopIfTrue="1" operator="equal">
      <formula>"Towel"</formula>
    </cfRule>
    <cfRule type="cellIs" dxfId="3158" priority="3858" stopIfTrue="1" operator="equal">
      <formula>"Napkin Hs"</formula>
    </cfRule>
  </conditionalFormatting>
  <conditionalFormatting sqref="B109">
    <cfRule type="cellIs" dxfId="3157" priority="3855" stopIfTrue="1" operator="equal">
      <formula>"Towel"</formula>
    </cfRule>
    <cfRule type="cellIs" dxfId="3156" priority="3856" stopIfTrue="1" operator="equal">
      <formula>"Napkin Hs"</formula>
    </cfRule>
  </conditionalFormatting>
  <conditionalFormatting sqref="B109">
    <cfRule type="cellIs" dxfId="3155" priority="3853" stopIfTrue="1" operator="equal">
      <formula>"Towel"</formula>
    </cfRule>
    <cfRule type="cellIs" dxfId="3154" priority="3854" stopIfTrue="1" operator="equal">
      <formula>"Napkin Hs"</formula>
    </cfRule>
  </conditionalFormatting>
  <conditionalFormatting sqref="B109">
    <cfRule type="cellIs" dxfId="3153" priority="3852" stopIfTrue="1" operator="equal">
      <formula>"Napkin Hs"</formula>
    </cfRule>
  </conditionalFormatting>
  <conditionalFormatting sqref="B109">
    <cfRule type="cellIs" dxfId="3152" priority="3851" stopIfTrue="1" operator="equal">
      <formula>"Towel"</formula>
    </cfRule>
  </conditionalFormatting>
  <conditionalFormatting sqref="B110:C110 C109">
    <cfRule type="cellIs" dxfId="3151" priority="3850" stopIfTrue="1" operator="equal">
      <formula>"Napkin Hs"</formula>
    </cfRule>
  </conditionalFormatting>
  <conditionalFormatting sqref="B110:C110 C109">
    <cfRule type="cellIs" dxfId="3150" priority="3849" stopIfTrue="1" operator="equal">
      <formula>"Towel"</formula>
    </cfRule>
  </conditionalFormatting>
  <conditionalFormatting sqref="C109:C110">
    <cfRule type="cellIs" dxfId="3149" priority="3848" stopIfTrue="1" operator="equal">
      <formula>"Napkin Hs"</formula>
    </cfRule>
  </conditionalFormatting>
  <conditionalFormatting sqref="C109:C110">
    <cfRule type="cellIs" dxfId="3148" priority="3847" stopIfTrue="1" operator="equal">
      <formula>"Towel"</formula>
    </cfRule>
  </conditionalFormatting>
  <conditionalFormatting sqref="C109:C110">
    <cfRule type="cellIs" dxfId="3147" priority="3845" stopIfTrue="1" operator="equal">
      <formula>"Towel"</formula>
    </cfRule>
    <cfRule type="cellIs" dxfId="3146" priority="3846" stopIfTrue="1" operator="equal">
      <formula>"Napkin Hs"</formula>
    </cfRule>
  </conditionalFormatting>
  <conditionalFormatting sqref="B110:C110 C109">
    <cfRule type="cellIs" dxfId="3145" priority="3843" stopIfTrue="1" operator="equal">
      <formula>"Towel"</formula>
    </cfRule>
    <cfRule type="cellIs" dxfId="3144" priority="3844" stopIfTrue="1" operator="equal">
      <formula>"Napkin Hs"</formula>
    </cfRule>
  </conditionalFormatting>
  <conditionalFormatting sqref="C109:C110">
    <cfRule type="cellIs" dxfId="3143" priority="3839" stopIfTrue="1" operator="equal">
      <formula>"Towel"</formula>
    </cfRule>
    <cfRule type="cellIs" dxfId="3142" priority="3840" stopIfTrue="1" operator="equal">
      <formula>"Napkin Hs"</formula>
    </cfRule>
  </conditionalFormatting>
  <conditionalFormatting sqref="C109:C110">
    <cfRule type="cellIs" dxfId="3141" priority="3841" stopIfTrue="1" operator="equal">
      <formula>"Towel"</formula>
    </cfRule>
    <cfRule type="cellIs" dxfId="3140" priority="3842" stopIfTrue="1" operator="equal">
      <formula>"Napkin Hs"</formula>
    </cfRule>
  </conditionalFormatting>
  <conditionalFormatting sqref="B110:C110 C109">
    <cfRule type="cellIs" dxfId="3139" priority="3838" stopIfTrue="1" operator="equal">
      <formula>"Napkin Hs"</formula>
    </cfRule>
  </conditionalFormatting>
  <conditionalFormatting sqref="B110:C110 C109">
    <cfRule type="cellIs" dxfId="3138" priority="3837" stopIfTrue="1" operator="equal">
      <formula>"Towel"</formula>
    </cfRule>
  </conditionalFormatting>
  <conditionalFormatting sqref="C109:C110">
    <cfRule type="cellIs" dxfId="3137" priority="3836" stopIfTrue="1" operator="equal">
      <formula>"Napkin Hs"</formula>
    </cfRule>
  </conditionalFormatting>
  <conditionalFormatting sqref="C109:C110">
    <cfRule type="cellIs" dxfId="3136" priority="3835" stopIfTrue="1" operator="equal">
      <formula>"Towel"</formula>
    </cfRule>
  </conditionalFormatting>
  <conditionalFormatting sqref="C109:C110">
    <cfRule type="cellIs" dxfId="3135" priority="3833" stopIfTrue="1" operator="equal">
      <formula>"Towel"</formula>
    </cfRule>
    <cfRule type="cellIs" dxfId="3134" priority="3834" stopIfTrue="1" operator="equal">
      <formula>"Napkin Hs"</formula>
    </cfRule>
  </conditionalFormatting>
  <conditionalFormatting sqref="B110:C110 C109">
    <cfRule type="cellIs" dxfId="3133" priority="3831" stopIfTrue="1" operator="equal">
      <formula>"Towel"</formula>
    </cfRule>
    <cfRule type="cellIs" dxfId="3132" priority="3832" stopIfTrue="1" operator="equal">
      <formula>"Napkin Hs"</formula>
    </cfRule>
  </conditionalFormatting>
  <conditionalFormatting sqref="C109:C110">
    <cfRule type="cellIs" dxfId="3131" priority="3829" stopIfTrue="1" operator="equal">
      <formula>"Towel"</formula>
    </cfRule>
    <cfRule type="cellIs" dxfId="3130" priority="3830" stopIfTrue="1" operator="equal">
      <formula>"Napkin Hs"</formula>
    </cfRule>
  </conditionalFormatting>
  <conditionalFormatting sqref="C109:C110">
    <cfRule type="cellIs" dxfId="3129" priority="3827" stopIfTrue="1" operator="equal">
      <formula>"Towel"</formula>
    </cfRule>
    <cfRule type="cellIs" dxfId="3128" priority="3828" stopIfTrue="1" operator="equal">
      <formula>"Napkin Hs"</formula>
    </cfRule>
  </conditionalFormatting>
  <conditionalFormatting sqref="B110:C110 C109">
    <cfRule type="cellIs" dxfId="3127" priority="3825" stopIfTrue="1" operator="equal">
      <formula>"Towel"</formula>
    </cfRule>
    <cfRule type="cellIs" dxfId="3126" priority="3826" stopIfTrue="1" operator="equal">
      <formula>"Napkin Hs"</formula>
    </cfRule>
  </conditionalFormatting>
  <conditionalFormatting sqref="C109:C110">
    <cfRule type="cellIs" dxfId="3125" priority="3823" stopIfTrue="1" operator="equal">
      <formula>"Towel"</formula>
    </cfRule>
    <cfRule type="cellIs" dxfId="3124" priority="3824" stopIfTrue="1" operator="equal">
      <formula>"Napkin Hs"</formula>
    </cfRule>
  </conditionalFormatting>
  <conditionalFormatting sqref="C109:C110">
    <cfRule type="cellIs" dxfId="3123" priority="3821" stopIfTrue="1" operator="equal">
      <formula>"Towel"</formula>
    </cfRule>
    <cfRule type="cellIs" dxfId="3122" priority="3822" stopIfTrue="1" operator="equal">
      <formula>"Napkin Hs"</formula>
    </cfRule>
  </conditionalFormatting>
  <conditionalFormatting sqref="B110:C110 C109">
    <cfRule type="cellIs" dxfId="3121" priority="3819" stopIfTrue="1" operator="equal">
      <formula>"Towel"</formula>
    </cfRule>
    <cfRule type="cellIs" dxfId="3120" priority="3820" stopIfTrue="1" operator="equal">
      <formula>"Napkin Hs"</formula>
    </cfRule>
  </conditionalFormatting>
  <conditionalFormatting sqref="C109:C110">
    <cfRule type="cellIs" dxfId="3119" priority="3817" stopIfTrue="1" operator="equal">
      <formula>"Towel"</formula>
    </cfRule>
    <cfRule type="cellIs" dxfId="3118" priority="3818" stopIfTrue="1" operator="equal">
      <formula>"Napkin Hs"</formula>
    </cfRule>
  </conditionalFormatting>
  <conditionalFormatting sqref="C109:C110">
    <cfRule type="cellIs" dxfId="3117" priority="3815" stopIfTrue="1" operator="equal">
      <formula>"Towel"</formula>
    </cfRule>
    <cfRule type="cellIs" dxfId="3116" priority="3816" stopIfTrue="1" operator="equal">
      <formula>"Napkin Hs"</formula>
    </cfRule>
  </conditionalFormatting>
  <conditionalFormatting sqref="B110:C110 C109">
    <cfRule type="cellIs" dxfId="3115" priority="3813" stopIfTrue="1" operator="equal">
      <formula>"Towel"</formula>
    </cfRule>
    <cfRule type="cellIs" dxfId="3114" priority="3814" stopIfTrue="1" operator="equal">
      <formula>"Napkin Hs"</formula>
    </cfRule>
  </conditionalFormatting>
  <conditionalFormatting sqref="C109:C110">
    <cfRule type="cellIs" dxfId="3113" priority="3811" stopIfTrue="1" operator="equal">
      <formula>"Towel"</formula>
    </cfRule>
    <cfRule type="cellIs" dxfId="3112" priority="3812" stopIfTrue="1" operator="equal">
      <formula>"Napkin Hs"</formula>
    </cfRule>
  </conditionalFormatting>
  <conditionalFormatting sqref="C109:C110">
    <cfRule type="cellIs" dxfId="3111" priority="3809" stopIfTrue="1" operator="equal">
      <formula>"Towel"</formula>
    </cfRule>
    <cfRule type="cellIs" dxfId="3110" priority="3810" stopIfTrue="1" operator="equal">
      <formula>"Napkin Hs"</formula>
    </cfRule>
  </conditionalFormatting>
  <conditionalFormatting sqref="B110:C110 C109">
    <cfRule type="cellIs" dxfId="3109" priority="3807" stopIfTrue="1" operator="equal">
      <formula>"Towel"</formula>
    </cfRule>
    <cfRule type="cellIs" dxfId="3108" priority="3808" stopIfTrue="1" operator="equal">
      <formula>"Napkin Hs"</formula>
    </cfRule>
  </conditionalFormatting>
  <conditionalFormatting sqref="C109:C110">
    <cfRule type="cellIs" dxfId="3107" priority="3805" stopIfTrue="1" operator="equal">
      <formula>"Towel"</formula>
    </cfRule>
    <cfRule type="cellIs" dxfId="3106" priority="3806" stopIfTrue="1" operator="equal">
      <formula>"Napkin Hs"</formula>
    </cfRule>
  </conditionalFormatting>
  <conditionalFormatting sqref="C109:C110">
    <cfRule type="cellIs" dxfId="3105" priority="3803" stopIfTrue="1" operator="equal">
      <formula>"Towel"</formula>
    </cfRule>
    <cfRule type="cellIs" dxfId="3104" priority="3804" stopIfTrue="1" operator="equal">
      <formula>"Napkin Hs"</formula>
    </cfRule>
  </conditionalFormatting>
  <conditionalFormatting sqref="B110:C110 C109">
    <cfRule type="cellIs" dxfId="3103" priority="3802" stopIfTrue="1" operator="equal">
      <formula>"Napkin Hs"</formula>
    </cfRule>
  </conditionalFormatting>
  <conditionalFormatting sqref="B110:C110 C109">
    <cfRule type="cellIs" dxfId="3102" priority="3801" stopIfTrue="1" operator="equal">
      <formula>"Towel"</formula>
    </cfRule>
  </conditionalFormatting>
  <conditionalFormatting sqref="C109:C110">
    <cfRule type="cellIs" dxfId="3101" priority="3800" stopIfTrue="1" operator="equal">
      <formula>"Napkin Hs"</formula>
    </cfRule>
  </conditionalFormatting>
  <conditionalFormatting sqref="C109:C110">
    <cfRule type="cellIs" dxfId="3100" priority="3797" stopIfTrue="1" operator="equal">
      <formula>"Towel"</formula>
    </cfRule>
    <cfRule type="cellIs" dxfId="3099" priority="3798" stopIfTrue="1" operator="equal">
      <formula>"Napkin Hs"</formula>
    </cfRule>
  </conditionalFormatting>
  <conditionalFormatting sqref="C109:C110">
    <cfRule type="cellIs" dxfId="3098" priority="3799" stopIfTrue="1" operator="equal">
      <formula>"Towel"</formula>
    </cfRule>
  </conditionalFormatting>
  <conditionalFormatting sqref="B106:C106">
    <cfRule type="cellIs" dxfId="3097" priority="3796" stopIfTrue="1" operator="equal">
      <formula>"Napkin Hs"</formula>
    </cfRule>
  </conditionalFormatting>
  <conditionalFormatting sqref="B106:C106">
    <cfRule type="cellIs" dxfId="3096" priority="3795" stopIfTrue="1" operator="equal">
      <formula>"Towel"</formula>
    </cfRule>
  </conditionalFormatting>
  <conditionalFormatting sqref="C106">
    <cfRule type="cellIs" dxfId="3095" priority="3794" stopIfTrue="1" operator="equal">
      <formula>"Napkin Hs"</formula>
    </cfRule>
  </conditionalFormatting>
  <conditionalFormatting sqref="C106">
    <cfRule type="cellIs" dxfId="3094" priority="3793" stopIfTrue="1" operator="equal">
      <formula>"Towel"</formula>
    </cfRule>
  </conditionalFormatting>
  <conditionalFormatting sqref="C106">
    <cfRule type="cellIs" dxfId="3093" priority="3791" stopIfTrue="1" operator="equal">
      <formula>"Towel"</formula>
    </cfRule>
    <cfRule type="cellIs" dxfId="3092" priority="3792" stopIfTrue="1" operator="equal">
      <formula>"Napkin Hs"</formula>
    </cfRule>
  </conditionalFormatting>
  <conditionalFormatting sqref="B106:C106">
    <cfRule type="cellIs" dxfId="3091" priority="3789" stopIfTrue="1" operator="equal">
      <formula>"Towel"</formula>
    </cfRule>
    <cfRule type="cellIs" dxfId="3090" priority="3790" stopIfTrue="1" operator="equal">
      <formula>"Napkin Hs"</formula>
    </cfRule>
  </conditionalFormatting>
  <conditionalFormatting sqref="C106">
    <cfRule type="cellIs" dxfId="3089" priority="3785" stopIfTrue="1" operator="equal">
      <formula>"Towel"</formula>
    </cfRule>
    <cfRule type="cellIs" dxfId="3088" priority="3786" stopIfTrue="1" operator="equal">
      <formula>"Napkin Hs"</formula>
    </cfRule>
  </conditionalFormatting>
  <conditionalFormatting sqref="C106">
    <cfRule type="cellIs" dxfId="3087" priority="3787" stopIfTrue="1" operator="equal">
      <formula>"Towel"</formula>
    </cfRule>
    <cfRule type="cellIs" dxfId="3086" priority="3788" stopIfTrue="1" operator="equal">
      <formula>"Napkin Hs"</formula>
    </cfRule>
  </conditionalFormatting>
  <conditionalFormatting sqref="B106:C106">
    <cfRule type="cellIs" dxfId="3085" priority="3784" stopIfTrue="1" operator="equal">
      <formula>"Napkin Hs"</formula>
    </cfRule>
  </conditionalFormatting>
  <conditionalFormatting sqref="B106:C106">
    <cfRule type="cellIs" dxfId="3084" priority="3783" stopIfTrue="1" operator="equal">
      <formula>"Towel"</formula>
    </cfRule>
  </conditionalFormatting>
  <conditionalFormatting sqref="C106">
    <cfRule type="cellIs" dxfId="3083" priority="3782" stopIfTrue="1" operator="equal">
      <formula>"Napkin Hs"</formula>
    </cfRule>
  </conditionalFormatting>
  <conditionalFormatting sqref="C106">
    <cfRule type="cellIs" dxfId="3082" priority="3781" stopIfTrue="1" operator="equal">
      <formula>"Towel"</formula>
    </cfRule>
  </conditionalFormatting>
  <conditionalFormatting sqref="C106">
    <cfRule type="cellIs" dxfId="3081" priority="3779" stopIfTrue="1" operator="equal">
      <formula>"Towel"</formula>
    </cfRule>
    <cfRule type="cellIs" dxfId="3080" priority="3780" stopIfTrue="1" operator="equal">
      <formula>"Napkin Hs"</formula>
    </cfRule>
  </conditionalFormatting>
  <conditionalFormatting sqref="B106:C106">
    <cfRule type="cellIs" dxfId="3079" priority="3777" stopIfTrue="1" operator="equal">
      <formula>"Towel"</formula>
    </cfRule>
    <cfRule type="cellIs" dxfId="3078" priority="3778" stopIfTrue="1" operator="equal">
      <formula>"Napkin Hs"</formula>
    </cfRule>
  </conditionalFormatting>
  <conditionalFormatting sqref="C106">
    <cfRule type="cellIs" dxfId="3077" priority="3775" stopIfTrue="1" operator="equal">
      <formula>"Towel"</formula>
    </cfRule>
    <cfRule type="cellIs" dxfId="3076" priority="3776" stopIfTrue="1" operator="equal">
      <formula>"Napkin Hs"</formula>
    </cfRule>
  </conditionalFormatting>
  <conditionalFormatting sqref="C106">
    <cfRule type="cellIs" dxfId="3075" priority="3773" stopIfTrue="1" operator="equal">
      <formula>"Towel"</formula>
    </cfRule>
    <cfRule type="cellIs" dxfId="3074" priority="3774" stopIfTrue="1" operator="equal">
      <formula>"Napkin Hs"</formula>
    </cfRule>
  </conditionalFormatting>
  <conditionalFormatting sqref="B106:C106">
    <cfRule type="cellIs" dxfId="3073" priority="3771" stopIfTrue="1" operator="equal">
      <formula>"Towel"</formula>
    </cfRule>
    <cfRule type="cellIs" dxfId="3072" priority="3772" stopIfTrue="1" operator="equal">
      <formula>"Napkin Hs"</formula>
    </cfRule>
  </conditionalFormatting>
  <conditionalFormatting sqref="C106">
    <cfRule type="cellIs" dxfId="3071" priority="3769" stopIfTrue="1" operator="equal">
      <formula>"Towel"</formula>
    </cfRule>
    <cfRule type="cellIs" dxfId="3070" priority="3770" stopIfTrue="1" operator="equal">
      <formula>"Napkin Hs"</formula>
    </cfRule>
  </conditionalFormatting>
  <conditionalFormatting sqref="C106">
    <cfRule type="cellIs" dxfId="3069" priority="3767" stopIfTrue="1" operator="equal">
      <formula>"Towel"</formula>
    </cfRule>
    <cfRule type="cellIs" dxfId="3068" priority="3768" stopIfTrue="1" operator="equal">
      <formula>"Napkin Hs"</formula>
    </cfRule>
  </conditionalFormatting>
  <conditionalFormatting sqref="B106:C106">
    <cfRule type="cellIs" dxfId="3067" priority="3765" stopIfTrue="1" operator="equal">
      <formula>"Towel"</formula>
    </cfRule>
    <cfRule type="cellIs" dxfId="3066" priority="3766" stopIfTrue="1" operator="equal">
      <formula>"Napkin Hs"</formula>
    </cfRule>
  </conditionalFormatting>
  <conditionalFormatting sqref="C106">
    <cfRule type="cellIs" dxfId="3065" priority="3763" stopIfTrue="1" operator="equal">
      <formula>"Towel"</formula>
    </cfRule>
    <cfRule type="cellIs" dxfId="3064" priority="3764" stopIfTrue="1" operator="equal">
      <formula>"Napkin Hs"</formula>
    </cfRule>
  </conditionalFormatting>
  <conditionalFormatting sqref="C106">
    <cfRule type="cellIs" dxfId="3063" priority="3761" stopIfTrue="1" operator="equal">
      <formula>"Towel"</formula>
    </cfRule>
    <cfRule type="cellIs" dxfId="3062" priority="3762" stopIfTrue="1" operator="equal">
      <formula>"Napkin Hs"</formula>
    </cfRule>
  </conditionalFormatting>
  <conditionalFormatting sqref="B106:C106">
    <cfRule type="cellIs" dxfId="3061" priority="3759" stopIfTrue="1" operator="equal">
      <formula>"Towel"</formula>
    </cfRule>
    <cfRule type="cellIs" dxfId="3060" priority="3760" stopIfTrue="1" operator="equal">
      <formula>"Napkin Hs"</formula>
    </cfRule>
  </conditionalFormatting>
  <conditionalFormatting sqref="C106">
    <cfRule type="cellIs" dxfId="3059" priority="3757" stopIfTrue="1" operator="equal">
      <formula>"Towel"</formula>
    </cfRule>
    <cfRule type="cellIs" dxfId="3058" priority="3758" stopIfTrue="1" operator="equal">
      <formula>"Napkin Hs"</formula>
    </cfRule>
  </conditionalFormatting>
  <conditionalFormatting sqref="C106">
    <cfRule type="cellIs" dxfId="3057" priority="3755" stopIfTrue="1" operator="equal">
      <formula>"Towel"</formula>
    </cfRule>
    <cfRule type="cellIs" dxfId="3056" priority="3756" stopIfTrue="1" operator="equal">
      <formula>"Napkin Hs"</formula>
    </cfRule>
  </conditionalFormatting>
  <conditionalFormatting sqref="B106:C106">
    <cfRule type="cellIs" dxfId="3055" priority="3753" stopIfTrue="1" operator="equal">
      <formula>"Towel"</formula>
    </cfRule>
    <cfRule type="cellIs" dxfId="3054" priority="3754" stopIfTrue="1" operator="equal">
      <formula>"Napkin Hs"</formula>
    </cfRule>
  </conditionalFormatting>
  <conditionalFormatting sqref="C106">
    <cfRule type="cellIs" dxfId="3053" priority="3751" stopIfTrue="1" operator="equal">
      <formula>"Towel"</formula>
    </cfRule>
    <cfRule type="cellIs" dxfId="3052" priority="3752" stopIfTrue="1" operator="equal">
      <formula>"Napkin Hs"</formula>
    </cfRule>
  </conditionalFormatting>
  <conditionalFormatting sqref="C106">
    <cfRule type="cellIs" dxfId="3051" priority="3749" stopIfTrue="1" operator="equal">
      <formula>"Towel"</formula>
    </cfRule>
    <cfRule type="cellIs" dxfId="3050" priority="3750" stopIfTrue="1" operator="equal">
      <formula>"Napkin Hs"</formula>
    </cfRule>
  </conditionalFormatting>
  <conditionalFormatting sqref="B106:C106">
    <cfRule type="cellIs" dxfId="3049" priority="3748" stopIfTrue="1" operator="equal">
      <formula>"Napkin Hs"</formula>
    </cfRule>
  </conditionalFormatting>
  <conditionalFormatting sqref="B106:C106">
    <cfRule type="cellIs" dxfId="3048" priority="3747" stopIfTrue="1" operator="equal">
      <formula>"Towel"</formula>
    </cfRule>
  </conditionalFormatting>
  <conditionalFormatting sqref="C106">
    <cfRule type="cellIs" dxfId="3047" priority="3746" stopIfTrue="1" operator="equal">
      <formula>"Napkin Hs"</formula>
    </cfRule>
  </conditionalFormatting>
  <conditionalFormatting sqref="C106">
    <cfRule type="cellIs" dxfId="3046" priority="3743" stopIfTrue="1" operator="equal">
      <formula>"Towel"</formula>
    </cfRule>
    <cfRule type="cellIs" dxfId="3045" priority="3744" stopIfTrue="1" operator="equal">
      <formula>"Napkin Hs"</formula>
    </cfRule>
  </conditionalFormatting>
  <conditionalFormatting sqref="C106">
    <cfRule type="cellIs" dxfId="3044" priority="3745" stopIfTrue="1" operator="equal">
      <formula>"Towel"</formula>
    </cfRule>
  </conditionalFormatting>
  <conditionalFormatting sqref="B107:C108">
    <cfRule type="cellIs" dxfId="3043" priority="3742" stopIfTrue="1" operator="equal">
      <formula>"Napkin Hs"</formula>
    </cfRule>
  </conditionalFormatting>
  <conditionalFormatting sqref="B107:C108">
    <cfRule type="cellIs" dxfId="3042" priority="3741" stopIfTrue="1" operator="equal">
      <formula>"Towel"</formula>
    </cfRule>
  </conditionalFormatting>
  <conditionalFormatting sqref="C107:C108">
    <cfRule type="cellIs" dxfId="3041" priority="3740" stopIfTrue="1" operator="equal">
      <formula>"Napkin Hs"</formula>
    </cfRule>
  </conditionalFormatting>
  <conditionalFormatting sqref="C107:C108">
    <cfRule type="cellIs" dxfId="3040" priority="3739" stopIfTrue="1" operator="equal">
      <formula>"Towel"</formula>
    </cfRule>
  </conditionalFormatting>
  <conditionalFormatting sqref="C107:C108">
    <cfRule type="cellIs" dxfId="3039" priority="3737" stopIfTrue="1" operator="equal">
      <formula>"Towel"</formula>
    </cfRule>
    <cfRule type="cellIs" dxfId="3038" priority="3738" stopIfTrue="1" operator="equal">
      <formula>"Napkin Hs"</formula>
    </cfRule>
  </conditionalFormatting>
  <conditionalFormatting sqref="B107:C108">
    <cfRule type="cellIs" dxfId="3037" priority="3735" stopIfTrue="1" operator="equal">
      <formula>"Towel"</formula>
    </cfRule>
    <cfRule type="cellIs" dxfId="3036" priority="3736" stopIfTrue="1" operator="equal">
      <formula>"Napkin Hs"</formula>
    </cfRule>
  </conditionalFormatting>
  <conditionalFormatting sqref="C107:C108">
    <cfRule type="cellIs" dxfId="3035" priority="3731" stopIfTrue="1" operator="equal">
      <formula>"Towel"</formula>
    </cfRule>
    <cfRule type="cellIs" dxfId="3034" priority="3732" stopIfTrue="1" operator="equal">
      <formula>"Napkin Hs"</formula>
    </cfRule>
  </conditionalFormatting>
  <conditionalFormatting sqref="C107:C108">
    <cfRule type="cellIs" dxfId="3033" priority="3733" stopIfTrue="1" operator="equal">
      <formula>"Towel"</formula>
    </cfRule>
    <cfRule type="cellIs" dxfId="3032" priority="3734" stopIfTrue="1" operator="equal">
      <formula>"Napkin Hs"</formula>
    </cfRule>
  </conditionalFormatting>
  <conditionalFormatting sqref="B107:C108">
    <cfRule type="cellIs" dxfId="3031" priority="3730" stopIfTrue="1" operator="equal">
      <formula>"Napkin Hs"</formula>
    </cfRule>
  </conditionalFormatting>
  <conditionalFormatting sqref="B107:C108">
    <cfRule type="cellIs" dxfId="3030" priority="3729" stopIfTrue="1" operator="equal">
      <formula>"Towel"</formula>
    </cfRule>
  </conditionalFormatting>
  <conditionalFormatting sqref="C107:C108">
    <cfRule type="cellIs" dxfId="3029" priority="3728" stopIfTrue="1" operator="equal">
      <formula>"Napkin Hs"</formula>
    </cfRule>
  </conditionalFormatting>
  <conditionalFormatting sqref="C107:C108">
    <cfRule type="cellIs" dxfId="3028" priority="3727" stopIfTrue="1" operator="equal">
      <formula>"Towel"</formula>
    </cfRule>
  </conditionalFormatting>
  <conditionalFormatting sqref="C107:C108">
    <cfRule type="cellIs" dxfId="3027" priority="3725" stopIfTrue="1" operator="equal">
      <formula>"Towel"</formula>
    </cfRule>
    <cfRule type="cellIs" dxfId="3026" priority="3726" stopIfTrue="1" operator="equal">
      <formula>"Napkin Hs"</formula>
    </cfRule>
  </conditionalFormatting>
  <conditionalFormatting sqref="B107:C108">
    <cfRule type="cellIs" dxfId="3025" priority="3723" stopIfTrue="1" operator="equal">
      <formula>"Towel"</formula>
    </cfRule>
    <cfRule type="cellIs" dxfId="3024" priority="3724" stopIfTrue="1" operator="equal">
      <formula>"Napkin Hs"</formula>
    </cfRule>
  </conditionalFormatting>
  <conditionalFormatting sqref="C107:C108">
    <cfRule type="cellIs" dxfId="3023" priority="3721" stopIfTrue="1" operator="equal">
      <formula>"Towel"</formula>
    </cfRule>
    <cfRule type="cellIs" dxfId="3022" priority="3722" stopIfTrue="1" operator="equal">
      <formula>"Napkin Hs"</formula>
    </cfRule>
  </conditionalFormatting>
  <conditionalFormatting sqref="C107:C108">
    <cfRule type="cellIs" dxfId="3021" priority="3719" stopIfTrue="1" operator="equal">
      <formula>"Towel"</formula>
    </cfRule>
    <cfRule type="cellIs" dxfId="3020" priority="3720" stopIfTrue="1" operator="equal">
      <formula>"Napkin Hs"</formula>
    </cfRule>
  </conditionalFormatting>
  <conditionalFormatting sqref="B107:C108">
    <cfRule type="cellIs" dxfId="3019" priority="3717" stopIfTrue="1" operator="equal">
      <formula>"Towel"</formula>
    </cfRule>
    <cfRule type="cellIs" dxfId="3018" priority="3718" stopIfTrue="1" operator="equal">
      <formula>"Napkin Hs"</formula>
    </cfRule>
  </conditionalFormatting>
  <conditionalFormatting sqref="C107:C108">
    <cfRule type="cellIs" dxfId="3017" priority="3715" stopIfTrue="1" operator="equal">
      <formula>"Towel"</formula>
    </cfRule>
    <cfRule type="cellIs" dxfId="3016" priority="3716" stopIfTrue="1" operator="equal">
      <formula>"Napkin Hs"</formula>
    </cfRule>
  </conditionalFormatting>
  <conditionalFormatting sqref="C107:C108">
    <cfRule type="cellIs" dxfId="3015" priority="3713" stopIfTrue="1" operator="equal">
      <formula>"Towel"</formula>
    </cfRule>
    <cfRule type="cellIs" dxfId="3014" priority="3714" stopIfTrue="1" operator="equal">
      <formula>"Napkin Hs"</formula>
    </cfRule>
  </conditionalFormatting>
  <conditionalFormatting sqref="B107:C108">
    <cfRule type="cellIs" dxfId="3013" priority="3711" stopIfTrue="1" operator="equal">
      <formula>"Towel"</formula>
    </cfRule>
    <cfRule type="cellIs" dxfId="3012" priority="3712" stopIfTrue="1" operator="equal">
      <formula>"Napkin Hs"</formula>
    </cfRule>
  </conditionalFormatting>
  <conditionalFormatting sqref="C107:C108">
    <cfRule type="cellIs" dxfId="3011" priority="3709" stopIfTrue="1" operator="equal">
      <formula>"Towel"</formula>
    </cfRule>
    <cfRule type="cellIs" dxfId="3010" priority="3710" stopIfTrue="1" operator="equal">
      <formula>"Napkin Hs"</formula>
    </cfRule>
  </conditionalFormatting>
  <conditionalFormatting sqref="C107:C108">
    <cfRule type="cellIs" dxfId="3009" priority="3707" stopIfTrue="1" operator="equal">
      <formula>"Towel"</formula>
    </cfRule>
    <cfRule type="cellIs" dxfId="3008" priority="3708" stopIfTrue="1" operator="equal">
      <formula>"Napkin Hs"</formula>
    </cfRule>
  </conditionalFormatting>
  <conditionalFormatting sqref="B107:C108">
    <cfRule type="cellIs" dxfId="3007" priority="3705" stopIfTrue="1" operator="equal">
      <formula>"Towel"</formula>
    </cfRule>
    <cfRule type="cellIs" dxfId="3006" priority="3706" stopIfTrue="1" operator="equal">
      <formula>"Napkin Hs"</formula>
    </cfRule>
  </conditionalFormatting>
  <conditionalFormatting sqref="C107:C108">
    <cfRule type="cellIs" dxfId="3005" priority="3703" stopIfTrue="1" operator="equal">
      <formula>"Towel"</formula>
    </cfRule>
    <cfRule type="cellIs" dxfId="3004" priority="3704" stopIfTrue="1" operator="equal">
      <formula>"Napkin Hs"</formula>
    </cfRule>
  </conditionalFormatting>
  <conditionalFormatting sqref="C107:C108">
    <cfRule type="cellIs" dxfId="3003" priority="3701" stopIfTrue="1" operator="equal">
      <formula>"Towel"</formula>
    </cfRule>
    <cfRule type="cellIs" dxfId="3002" priority="3702" stopIfTrue="1" operator="equal">
      <formula>"Napkin Hs"</formula>
    </cfRule>
  </conditionalFormatting>
  <conditionalFormatting sqref="B107:C108">
    <cfRule type="cellIs" dxfId="3001" priority="3699" stopIfTrue="1" operator="equal">
      <formula>"Towel"</formula>
    </cfRule>
    <cfRule type="cellIs" dxfId="3000" priority="3700" stopIfTrue="1" operator="equal">
      <formula>"Napkin Hs"</formula>
    </cfRule>
  </conditionalFormatting>
  <conditionalFormatting sqref="C107:C108">
    <cfRule type="cellIs" dxfId="2999" priority="3697" stopIfTrue="1" operator="equal">
      <formula>"Towel"</formula>
    </cfRule>
    <cfRule type="cellIs" dxfId="2998" priority="3698" stopIfTrue="1" operator="equal">
      <formula>"Napkin Hs"</formula>
    </cfRule>
  </conditionalFormatting>
  <conditionalFormatting sqref="C107:C108">
    <cfRule type="cellIs" dxfId="2997" priority="3695" stopIfTrue="1" operator="equal">
      <formula>"Towel"</formula>
    </cfRule>
    <cfRule type="cellIs" dxfId="2996" priority="3696" stopIfTrue="1" operator="equal">
      <formula>"Napkin Hs"</formula>
    </cfRule>
  </conditionalFormatting>
  <conditionalFormatting sqref="B107:C108">
    <cfRule type="cellIs" dxfId="2995" priority="3694" stopIfTrue="1" operator="equal">
      <formula>"Napkin Hs"</formula>
    </cfRule>
  </conditionalFormatting>
  <conditionalFormatting sqref="B107:C108">
    <cfRule type="cellIs" dxfId="2994" priority="3693" stopIfTrue="1" operator="equal">
      <formula>"Towel"</formula>
    </cfRule>
  </conditionalFormatting>
  <conditionalFormatting sqref="C107:C108">
    <cfRule type="cellIs" dxfId="2993" priority="3692" stopIfTrue="1" operator="equal">
      <formula>"Napkin Hs"</formula>
    </cfRule>
  </conditionalFormatting>
  <conditionalFormatting sqref="C107:C108">
    <cfRule type="cellIs" dxfId="2992" priority="3689" stopIfTrue="1" operator="equal">
      <formula>"Towel"</formula>
    </cfRule>
    <cfRule type="cellIs" dxfId="2991" priority="3690" stopIfTrue="1" operator="equal">
      <formula>"Napkin Hs"</formula>
    </cfRule>
  </conditionalFormatting>
  <conditionalFormatting sqref="C107:C108">
    <cfRule type="cellIs" dxfId="2990" priority="3691" stopIfTrue="1" operator="equal">
      <formula>"Towel"</formula>
    </cfRule>
  </conditionalFormatting>
  <conditionalFormatting sqref="B108:C108">
    <cfRule type="cellIs" dxfId="2989" priority="3688" stopIfTrue="1" operator="equal">
      <formula>"Napkin Hs"</formula>
    </cfRule>
  </conditionalFormatting>
  <conditionalFormatting sqref="B108:C108">
    <cfRule type="cellIs" dxfId="2988" priority="3687" stopIfTrue="1" operator="equal">
      <formula>"Towel"</formula>
    </cfRule>
  </conditionalFormatting>
  <conditionalFormatting sqref="C108">
    <cfRule type="cellIs" dxfId="2987" priority="3686" stopIfTrue="1" operator="equal">
      <formula>"Napkin Hs"</formula>
    </cfRule>
  </conditionalFormatting>
  <conditionalFormatting sqref="C108">
    <cfRule type="cellIs" dxfId="2986" priority="3683" stopIfTrue="1" operator="equal">
      <formula>"Towel"</formula>
    </cfRule>
    <cfRule type="cellIs" dxfId="2985" priority="3684" stopIfTrue="1" operator="equal">
      <formula>"Napkin Hs"</formula>
    </cfRule>
  </conditionalFormatting>
  <conditionalFormatting sqref="C108">
    <cfRule type="cellIs" dxfId="2984" priority="3685" stopIfTrue="1" operator="equal">
      <formula>"Towel"</formula>
    </cfRule>
  </conditionalFormatting>
  <conditionalFormatting sqref="B107:C107">
    <cfRule type="cellIs" dxfId="2983" priority="3682" stopIfTrue="1" operator="equal">
      <formula>"Napkin Hs"</formula>
    </cfRule>
  </conditionalFormatting>
  <conditionalFormatting sqref="B107:C107">
    <cfRule type="cellIs" dxfId="2982" priority="3681" stopIfTrue="1" operator="equal">
      <formula>"Towel"</formula>
    </cfRule>
  </conditionalFormatting>
  <conditionalFormatting sqref="C107">
    <cfRule type="cellIs" dxfId="2981" priority="3680" stopIfTrue="1" operator="equal">
      <formula>"Napkin Hs"</formula>
    </cfRule>
  </conditionalFormatting>
  <conditionalFormatting sqref="C107">
    <cfRule type="cellIs" dxfId="2980" priority="3677" stopIfTrue="1" operator="equal">
      <formula>"Towel"</formula>
    </cfRule>
    <cfRule type="cellIs" dxfId="2979" priority="3678" stopIfTrue="1" operator="equal">
      <formula>"Napkin Hs"</formula>
    </cfRule>
  </conditionalFormatting>
  <conditionalFormatting sqref="C107">
    <cfRule type="cellIs" dxfId="2978" priority="3679" stopIfTrue="1" operator="equal">
      <formula>"Towel"</formula>
    </cfRule>
  </conditionalFormatting>
  <conditionalFormatting sqref="B107">
    <cfRule type="cellIs" dxfId="2977" priority="3676" stopIfTrue="1" operator="equal">
      <formula>"Napkin Hs"</formula>
    </cfRule>
  </conditionalFormatting>
  <conditionalFormatting sqref="B107">
    <cfRule type="cellIs" dxfId="2976" priority="3675" stopIfTrue="1" operator="equal">
      <formula>"Towel"</formula>
    </cfRule>
  </conditionalFormatting>
  <conditionalFormatting sqref="C107">
    <cfRule type="cellIs" dxfId="2975" priority="3674" stopIfTrue="1" operator="equal">
      <formula>"Napkin Hs"</formula>
    </cfRule>
  </conditionalFormatting>
  <conditionalFormatting sqref="C107">
    <cfRule type="cellIs" dxfId="2974" priority="3673" stopIfTrue="1" operator="equal">
      <formula>"Towel"</formula>
    </cfRule>
  </conditionalFormatting>
  <conditionalFormatting sqref="C107">
    <cfRule type="cellIs" dxfId="2973" priority="3672" stopIfTrue="1" operator="equal">
      <formula>"Napkin Hs"</formula>
    </cfRule>
  </conditionalFormatting>
  <conditionalFormatting sqref="C107">
    <cfRule type="cellIs" dxfId="2972" priority="3669" stopIfTrue="1" operator="equal">
      <formula>"Towel"</formula>
    </cfRule>
    <cfRule type="cellIs" dxfId="2971" priority="3670" stopIfTrue="1" operator="equal">
      <formula>"Napkin Hs"</formula>
    </cfRule>
  </conditionalFormatting>
  <conditionalFormatting sqref="C107">
    <cfRule type="cellIs" dxfId="2970" priority="3671" stopIfTrue="1" operator="equal">
      <formula>"Towel"</formula>
    </cfRule>
  </conditionalFormatting>
  <conditionalFormatting sqref="B108:C108">
    <cfRule type="cellIs" dxfId="2969" priority="3668" stopIfTrue="1" operator="equal">
      <formula>"Napkin Hs"</formula>
    </cfRule>
  </conditionalFormatting>
  <conditionalFormatting sqref="B108:C108">
    <cfRule type="cellIs" dxfId="2968" priority="3667" stopIfTrue="1" operator="equal">
      <formula>"Towel"</formula>
    </cfRule>
  </conditionalFormatting>
  <conditionalFormatting sqref="C108">
    <cfRule type="cellIs" dxfId="2967" priority="3666" stopIfTrue="1" operator="equal">
      <formula>"Napkin Hs"</formula>
    </cfRule>
  </conditionalFormatting>
  <conditionalFormatting sqref="C108">
    <cfRule type="cellIs" dxfId="2966" priority="3663" stopIfTrue="1" operator="equal">
      <formula>"Towel"</formula>
    </cfRule>
    <cfRule type="cellIs" dxfId="2965" priority="3664" stopIfTrue="1" operator="equal">
      <formula>"Napkin Hs"</formula>
    </cfRule>
  </conditionalFormatting>
  <conditionalFormatting sqref="C108">
    <cfRule type="cellIs" dxfId="2964" priority="3665" stopIfTrue="1" operator="equal">
      <formula>"Towel"</formula>
    </cfRule>
  </conditionalFormatting>
  <conditionalFormatting sqref="B106:C106">
    <cfRule type="cellIs" dxfId="2963" priority="3662" stopIfTrue="1" operator="equal">
      <formula>"Napkin Hs"</formula>
    </cfRule>
  </conditionalFormatting>
  <conditionalFormatting sqref="B106:C106">
    <cfRule type="cellIs" dxfId="2962" priority="3661" stopIfTrue="1" operator="equal">
      <formula>"Towel"</formula>
    </cfRule>
  </conditionalFormatting>
  <conditionalFormatting sqref="C106">
    <cfRule type="cellIs" dxfId="2961" priority="3660" stopIfTrue="1" operator="equal">
      <formula>"Napkin Hs"</formula>
    </cfRule>
  </conditionalFormatting>
  <conditionalFormatting sqref="C106">
    <cfRule type="cellIs" dxfId="2960" priority="3657" stopIfTrue="1" operator="equal">
      <formula>"Towel"</formula>
    </cfRule>
    <cfRule type="cellIs" dxfId="2959" priority="3658" stopIfTrue="1" operator="equal">
      <formula>"Napkin Hs"</formula>
    </cfRule>
  </conditionalFormatting>
  <conditionalFormatting sqref="C106">
    <cfRule type="cellIs" dxfId="2958" priority="3659" stopIfTrue="1" operator="equal">
      <formula>"Towel"</formula>
    </cfRule>
  </conditionalFormatting>
  <conditionalFormatting sqref="B106:C106">
    <cfRule type="cellIs" dxfId="2957" priority="3656" stopIfTrue="1" operator="equal">
      <formula>"Napkin Hs"</formula>
    </cfRule>
  </conditionalFormatting>
  <conditionalFormatting sqref="B106:C106">
    <cfRule type="cellIs" dxfId="2956" priority="3655" stopIfTrue="1" operator="equal">
      <formula>"Towel"</formula>
    </cfRule>
  </conditionalFormatting>
  <conditionalFormatting sqref="C106">
    <cfRule type="cellIs" dxfId="2955" priority="3654" stopIfTrue="1" operator="equal">
      <formula>"Napkin Hs"</formula>
    </cfRule>
  </conditionalFormatting>
  <conditionalFormatting sqref="C106">
    <cfRule type="cellIs" dxfId="2954" priority="3651" stopIfTrue="1" operator="equal">
      <formula>"Towel"</formula>
    </cfRule>
    <cfRule type="cellIs" dxfId="2953" priority="3652" stopIfTrue="1" operator="equal">
      <formula>"Napkin Hs"</formula>
    </cfRule>
  </conditionalFormatting>
  <conditionalFormatting sqref="C106">
    <cfRule type="cellIs" dxfId="2952" priority="3653" stopIfTrue="1" operator="equal">
      <formula>"Towel"</formula>
    </cfRule>
  </conditionalFormatting>
  <conditionalFormatting sqref="B113:C113">
    <cfRule type="cellIs" dxfId="2951" priority="3650" stopIfTrue="1" operator="equal">
      <formula>"Napkin Hs"</formula>
    </cfRule>
  </conditionalFormatting>
  <conditionalFormatting sqref="B113:C113">
    <cfRule type="cellIs" dxfId="2950" priority="3649" stopIfTrue="1" operator="equal">
      <formula>"Towel"</formula>
    </cfRule>
  </conditionalFormatting>
  <conditionalFormatting sqref="C114:C115">
    <cfRule type="cellIs" dxfId="2949" priority="3631" stopIfTrue="1" operator="equal">
      <formula>"Towel"</formula>
    </cfRule>
    <cfRule type="cellIs" dxfId="2948" priority="3632" stopIfTrue="1" operator="equal">
      <formula>"Napkin Hs"</formula>
    </cfRule>
  </conditionalFormatting>
  <conditionalFormatting sqref="B111:C111">
    <cfRule type="cellIs" dxfId="2947" priority="3643" stopIfTrue="1" operator="equal">
      <formula>"Towel"</formula>
    </cfRule>
    <cfRule type="cellIs" dxfId="2946" priority="3644" stopIfTrue="1" operator="equal">
      <formula>"Napkin Hs"</formula>
    </cfRule>
  </conditionalFormatting>
  <conditionalFormatting sqref="B114:C114">
    <cfRule type="cellIs" dxfId="2945" priority="3637" stopIfTrue="1" operator="equal">
      <formula>"Towel"</formula>
    </cfRule>
    <cfRule type="cellIs" dxfId="2944" priority="3638" stopIfTrue="1" operator="equal">
      <formula>"Napkin Hs"</formula>
    </cfRule>
  </conditionalFormatting>
  <conditionalFormatting sqref="B115:C115">
    <cfRule type="cellIs" dxfId="2943" priority="3633" stopIfTrue="1" operator="equal">
      <formula>"Towel"</formula>
    </cfRule>
    <cfRule type="cellIs" dxfId="2942" priority="3634" stopIfTrue="1" operator="equal">
      <formula>"Napkin Hs"</formula>
    </cfRule>
  </conditionalFormatting>
  <conditionalFormatting sqref="C113">
    <cfRule type="cellIs" dxfId="2941" priority="3648" stopIfTrue="1" operator="equal">
      <formula>"Napkin Hs"</formula>
    </cfRule>
  </conditionalFormatting>
  <conditionalFormatting sqref="C113">
    <cfRule type="cellIs" dxfId="2940" priority="3647" stopIfTrue="1" operator="equal">
      <formula>"Towel"</formula>
    </cfRule>
  </conditionalFormatting>
  <conditionalFormatting sqref="C111">
    <cfRule type="cellIs" dxfId="2939" priority="3641" stopIfTrue="1" operator="equal">
      <formula>"Towel"</formula>
    </cfRule>
    <cfRule type="cellIs" dxfId="2938" priority="3642" stopIfTrue="1" operator="equal">
      <formula>"Napkin Hs"</formula>
    </cfRule>
  </conditionalFormatting>
  <conditionalFormatting sqref="C111">
    <cfRule type="cellIs" dxfId="2937" priority="3639" stopIfTrue="1" operator="equal">
      <formula>"Towel"</formula>
    </cfRule>
    <cfRule type="cellIs" dxfId="2936" priority="3640" stopIfTrue="1" operator="equal">
      <formula>"Napkin Hs"</formula>
    </cfRule>
  </conditionalFormatting>
  <conditionalFormatting sqref="C113">
    <cfRule type="cellIs" dxfId="2935" priority="3645" stopIfTrue="1" operator="equal">
      <formula>"Towel"</formula>
    </cfRule>
    <cfRule type="cellIs" dxfId="2934" priority="3646" stopIfTrue="1" operator="equal">
      <formula>"Napkin Hs"</formula>
    </cfRule>
  </conditionalFormatting>
  <conditionalFormatting sqref="C114">
    <cfRule type="cellIs" dxfId="2933" priority="3635" stopIfTrue="1" operator="equal">
      <formula>"Towel"</formula>
    </cfRule>
    <cfRule type="cellIs" dxfId="2932" priority="3636" stopIfTrue="1" operator="equal">
      <formula>"Napkin Hs"</formula>
    </cfRule>
  </conditionalFormatting>
  <conditionalFormatting sqref="C115">
    <cfRule type="cellIs" dxfId="2931" priority="3629" stopIfTrue="1" operator="equal">
      <formula>"Towel"</formula>
    </cfRule>
    <cfRule type="cellIs" dxfId="2930" priority="3630" stopIfTrue="1" operator="equal">
      <formula>"Napkin Hs"</formula>
    </cfRule>
  </conditionalFormatting>
  <conditionalFormatting sqref="B115:C115">
    <cfRule type="cellIs" dxfId="2929" priority="3627" stopIfTrue="1" operator="equal">
      <formula>"Towel"</formula>
    </cfRule>
    <cfRule type="cellIs" dxfId="2928" priority="3628" stopIfTrue="1" operator="equal">
      <formula>"Napkin Hs"</formula>
    </cfRule>
  </conditionalFormatting>
  <conditionalFormatting sqref="C115">
    <cfRule type="cellIs" dxfId="2927" priority="3625" stopIfTrue="1" operator="equal">
      <formula>"Towel"</formula>
    </cfRule>
    <cfRule type="cellIs" dxfId="2926" priority="3626" stopIfTrue="1" operator="equal">
      <formula>"Napkin Hs"</formula>
    </cfRule>
  </conditionalFormatting>
  <conditionalFormatting sqref="C115">
    <cfRule type="cellIs" dxfId="2925" priority="3623" stopIfTrue="1" operator="equal">
      <formula>"Towel"</formula>
    </cfRule>
    <cfRule type="cellIs" dxfId="2924" priority="3624" stopIfTrue="1" operator="equal">
      <formula>"Napkin Hs"</formula>
    </cfRule>
  </conditionalFormatting>
  <conditionalFormatting sqref="B113:C114">
    <cfRule type="cellIs" dxfId="2923" priority="3622" stopIfTrue="1" operator="equal">
      <formula>"Napkin Hs"</formula>
    </cfRule>
  </conditionalFormatting>
  <conditionalFormatting sqref="B113:C114">
    <cfRule type="cellIs" dxfId="2922" priority="3621" stopIfTrue="1" operator="equal">
      <formula>"Towel"</formula>
    </cfRule>
  </conditionalFormatting>
  <conditionalFormatting sqref="C113:C114">
    <cfRule type="cellIs" dxfId="2921" priority="3620" stopIfTrue="1" operator="equal">
      <formula>"Napkin Hs"</formula>
    </cfRule>
  </conditionalFormatting>
  <conditionalFormatting sqref="C113:C114">
    <cfRule type="cellIs" dxfId="2920" priority="3619" stopIfTrue="1" operator="equal">
      <formula>"Towel"</formula>
    </cfRule>
  </conditionalFormatting>
  <conditionalFormatting sqref="C113:C114">
    <cfRule type="cellIs" dxfId="2919" priority="3617" stopIfTrue="1" operator="equal">
      <formula>"Towel"</formula>
    </cfRule>
    <cfRule type="cellIs" dxfId="2918" priority="3618" stopIfTrue="1" operator="equal">
      <formula>"Napkin Hs"</formula>
    </cfRule>
  </conditionalFormatting>
  <conditionalFormatting sqref="B113:C114">
    <cfRule type="cellIs" dxfId="2917" priority="3615" stopIfTrue="1" operator="equal">
      <formula>"Towel"</formula>
    </cfRule>
    <cfRule type="cellIs" dxfId="2916" priority="3616" stopIfTrue="1" operator="equal">
      <formula>"Napkin Hs"</formula>
    </cfRule>
  </conditionalFormatting>
  <conditionalFormatting sqref="C113:C114">
    <cfRule type="cellIs" dxfId="2915" priority="3611" stopIfTrue="1" operator="equal">
      <formula>"Towel"</formula>
    </cfRule>
    <cfRule type="cellIs" dxfId="2914" priority="3612" stopIfTrue="1" operator="equal">
      <formula>"Napkin Hs"</formula>
    </cfRule>
  </conditionalFormatting>
  <conditionalFormatting sqref="C113:C114">
    <cfRule type="cellIs" dxfId="2913" priority="3613" stopIfTrue="1" operator="equal">
      <formula>"Towel"</formula>
    </cfRule>
    <cfRule type="cellIs" dxfId="2912" priority="3614" stopIfTrue="1" operator="equal">
      <formula>"Napkin Hs"</formula>
    </cfRule>
  </conditionalFormatting>
  <conditionalFormatting sqref="B113:C114">
    <cfRule type="cellIs" dxfId="2911" priority="3610" stopIfTrue="1" operator="equal">
      <formula>"Napkin Hs"</formula>
    </cfRule>
  </conditionalFormatting>
  <conditionalFormatting sqref="B113:C114">
    <cfRule type="cellIs" dxfId="2910" priority="3609" stopIfTrue="1" operator="equal">
      <formula>"Towel"</formula>
    </cfRule>
  </conditionalFormatting>
  <conditionalFormatting sqref="C113:C114">
    <cfRule type="cellIs" dxfId="2909" priority="3608" stopIfTrue="1" operator="equal">
      <formula>"Napkin Hs"</formula>
    </cfRule>
  </conditionalFormatting>
  <conditionalFormatting sqref="C113:C114">
    <cfRule type="cellIs" dxfId="2908" priority="3607" stopIfTrue="1" operator="equal">
      <formula>"Towel"</formula>
    </cfRule>
  </conditionalFormatting>
  <conditionalFormatting sqref="C113:C114">
    <cfRule type="cellIs" dxfId="2907" priority="3605" stopIfTrue="1" operator="equal">
      <formula>"Towel"</formula>
    </cfRule>
    <cfRule type="cellIs" dxfId="2906" priority="3606" stopIfTrue="1" operator="equal">
      <formula>"Napkin Hs"</formula>
    </cfRule>
  </conditionalFormatting>
  <conditionalFormatting sqref="B113:C114">
    <cfRule type="cellIs" dxfId="2905" priority="3603" stopIfTrue="1" operator="equal">
      <formula>"Towel"</formula>
    </cfRule>
    <cfRule type="cellIs" dxfId="2904" priority="3604" stopIfTrue="1" operator="equal">
      <formula>"Napkin Hs"</formula>
    </cfRule>
  </conditionalFormatting>
  <conditionalFormatting sqref="C113:C114">
    <cfRule type="cellIs" dxfId="2903" priority="3601" stopIfTrue="1" operator="equal">
      <formula>"Towel"</formula>
    </cfRule>
    <cfRule type="cellIs" dxfId="2902" priority="3602" stopIfTrue="1" operator="equal">
      <formula>"Napkin Hs"</formula>
    </cfRule>
  </conditionalFormatting>
  <conditionalFormatting sqref="C113:C114">
    <cfRule type="cellIs" dxfId="2901" priority="3599" stopIfTrue="1" operator="equal">
      <formula>"Towel"</formula>
    </cfRule>
    <cfRule type="cellIs" dxfId="2900" priority="3600" stopIfTrue="1" operator="equal">
      <formula>"Napkin Hs"</formula>
    </cfRule>
  </conditionalFormatting>
  <conditionalFormatting sqref="B113:C114">
    <cfRule type="cellIs" dxfId="2899" priority="3597" stopIfTrue="1" operator="equal">
      <formula>"Towel"</formula>
    </cfRule>
    <cfRule type="cellIs" dxfId="2898" priority="3598" stopIfTrue="1" operator="equal">
      <formula>"Napkin Hs"</formula>
    </cfRule>
  </conditionalFormatting>
  <conditionalFormatting sqref="C113:C114">
    <cfRule type="cellIs" dxfId="2897" priority="3595" stopIfTrue="1" operator="equal">
      <formula>"Towel"</formula>
    </cfRule>
    <cfRule type="cellIs" dxfId="2896" priority="3596" stopIfTrue="1" operator="equal">
      <formula>"Napkin Hs"</formula>
    </cfRule>
  </conditionalFormatting>
  <conditionalFormatting sqref="C113:C114">
    <cfRule type="cellIs" dxfId="2895" priority="3593" stopIfTrue="1" operator="equal">
      <formula>"Towel"</formula>
    </cfRule>
    <cfRule type="cellIs" dxfId="2894" priority="3594" stopIfTrue="1" operator="equal">
      <formula>"Napkin Hs"</formula>
    </cfRule>
  </conditionalFormatting>
  <conditionalFormatting sqref="B113:C114">
    <cfRule type="cellIs" dxfId="2893" priority="3591" stopIfTrue="1" operator="equal">
      <formula>"Towel"</formula>
    </cfRule>
    <cfRule type="cellIs" dxfId="2892" priority="3592" stopIfTrue="1" operator="equal">
      <formula>"Napkin Hs"</formula>
    </cfRule>
  </conditionalFormatting>
  <conditionalFormatting sqref="C113:C114">
    <cfRule type="cellIs" dxfId="2891" priority="3589" stopIfTrue="1" operator="equal">
      <formula>"Towel"</formula>
    </cfRule>
    <cfRule type="cellIs" dxfId="2890" priority="3590" stopIfTrue="1" operator="equal">
      <formula>"Napkin Hs"</formula>
    </cfRule>
  </conditionalFormatting>
  <conditionalFormatting sqref="C113:C114">
    <cfRule type="cellIs" dxfId="2889" priority="3587" stopIfTrue="1" operator="equal">
      <formula>"Towel"</formula>
    </cfRule>
    <cfRule type="cellIs" dxfId="2888" priority="3588" stopIfTrue="1" operator="equal">
      <formula>"Napkin Hs"</formula>
    </cfRule>
  </conditionalFormatting>
  <conditionalFormatting sqref="B113:C114">
    <cfRule type="cellIs" dxfId="2887" priority="3585" stopIfTrue="1" operator="equal">
      <formula>"Towel"</formula>
    </cfRule>
    <cfRule type="cellIs" dxfId="2886" priority="3586" stopIfTrue="1" operator="equal">
      <formula>"Napkin Hs"</formula>
    </cfRule>
  </conditionalFormatting>
  <conditionalFormatting sqref="C113:C114">
    <cfRule type="cellIs" dxfId="2885" priority="3583" stopIfTrue="1" operator="equal">
      <formula>"Towel"</formula>
    </cfRule>
    <cfRule type="cellIs" dxfId="2884" priority="3584" stopIfTrue="1" operator="equal">
      <formula>"Napkin Hs"</formula>
    </cfRule>
  </conditionalFormatting>
  <conditionalFormatting sqref="C113:C114">
    <cfRule type="cellIs" dxfId="2883" priority="3581" stopIfTrue="1" operator="equal">
      <formula>"Towel"</formula>
    </cfRule>
    <cfRule type="cellIs" dxfId="2882" priority="3582" stopIfTrue="1" operator="equal">
      <formula>"Napkin Hs"</formula>
    </cfRule>
  </conditionalFormatting>
  <conditionalFormatting sqref="B113:C114">
    <cfRule type="cellIs" dxfId="2881" priority="3579" stopIfTrue="1" operator="equal">
      <formula>"Towel"</formula>
    </cfRule>
    <cfRule type="cellIs" dxfId="2880" priority="3580" stopIfTrue="1" operator="equal">
      <formula>"Napkin Hs"</formula>
    </cfRule>
  </conditionalFormatting>
  <conditionalFormatting sqref="C113:C114">
    <cfRule type="cellIs" dxfId="2879" priority="3577" stopIfTrue="1" operator="equal">
      <formula>"Towel"</formula>
    </cfRule>
    <cfRule type="cellIs" dxfId="2878" priority="3578" stopIfTrue="1" operator="equal">
      <formula>"Napkin Hs"</formula>
    </cfRule>
  </conditionalFormatting>
  <conditionalFormatting sqref="C113:C114">
    <cfRule type="cellIs" dxfId="2877" priority="3575" stopIfTrue="1" operator="equal">
      <formula>"Towel"</formula>
    </cfRule>
    <cfRule type="cellIs" dxfId="2876" priority="3576" stopIfTrue="1" operator="equal">
      <formula>"Napkin Hs"</formula>
    </cfRule>
  </conditionalFormatting>
  <conditionalFormatting sqref="B113:C114">
    <cfRule type="cellIs" dxfId="2875" priority="3574" stopIfTrue="1" operator="equal">
      <formula>"Napkin Hs"</formula>
    </cfRule>
  </conditionalFormatting>
  <conditionalFormatting sqref="B113:C114">
    <cfRule type="cellIs" dxfId="2874" priority="3573" stopIfTrue="1" operator="equal">
      <formula>"Towel"</formula>
    </cfRule>
  </conditionalFormatting>
  <conditionalFormatting sqref="C113:C114">
    <cfRule type="cellIs" dxfId="2873" priority="3572" stopIfTrue="1" operator="equal">
      <formula>"Napkin Hs"</formula>
    </cfRule>
  </conditionalFormatting>
  <conditionalFormatting sqref="C113:C114">
    <cfRule type="cellIs" dxfId="2872" priority="3569" stopIfTrue="1" operator="equal">
      <formula>"Towel"</formula>
    </cfRule>
    <cfRule type="cellIs" dxfId="2871" priority="3570" stopIfTrue="1" operator="equal">
      <formula>"Napkin Hs"</formula>
    </cfRule>
  </conditionalFormatting>
  <conditionalFormatting sqref="C113:C114">
    <cfRule type="cellIs" dxfId="2870" priority="3571" stopIfTrue="1" operator="equal">
      <formula>"Towel"</formula>
    </cfRule>
  </conditionalFormatting>
  <conditionalFormatting sqref="B111:C111">
    <cfRule type="cellIs" dxfId="2869" priority="3508" stopIfTrue="1" operator="equal">
      <formula>"Napkin Hs"</formula>
    </cfRule>
  </conditionalFormatting>
  <conditionalFormatting sqref="B111:C111">
    <cfRule type="cellIs" dxfId="2868" priority="3507" stopIfTrue="1" operator="equal">
      <formula>"Towel"</formula>
    </cfRule>
  </conditionalFormatting>
  <conditionalFormatting sqref="C111">
    <cfRule type="cellIs" dxfId="2867" priority="3506" stopIfTrue="1" operator="equal">
      <formula>"Napkin Hs"</formula>
    </cfRule>
  </conditionalFormatting>
  <conditionalFormatting sqref="C111">
    <cfRule type="cellIs" dxfId="2866" priority="3505" stopIfTrue="1" operator="equal">
      <formula>"Towel"</formula>
    </cfRule>
  </conditionalFormatting>
  <conditionalFormatting sqref="C111">
    <cfRule type="cellIs" dxfId="2865" priority="3503" stopIfTrue="1" operator="equal">
      <formula>"Towel"</formula>
    </cfRule>
    <cfRule type="cellIs" dxfId="2864" priority="3504" stopIfTrue="1" operator="equal">
      <formula>"Napkin Hs"</formula>
    </cfRule>
  </conditionalFormatting>
  <conditionalFormatting sqref="B111:C111">
    <cfRule type="cellIs" dxfId="2863" priority="3501" stopIfTrue="1" operator="equal">
      <formula>"Towel"</formula>
    </cfRule>
    <cfRule type="cellIs" dxfId="2862" priority="3502" stopIfTrue="1" operator="equal">
      <formula>"Napkin Hs"</formula>
    </cfRule>
  </conditionalFormatting>
  <conditionalFormatting sqref="C111">
    <cfRule type="cellIs" dxfId="2861" priority="3497" stopIfTrue="1" operator="equal">
      <formula>"Towel"</formula>
    </cfRule>
    <cfRule type="cellIs" dxfId="2860" priority="3498" stopIfTrue="1" operator="equal">
      <formula>"Napkin Hs"</formula>
    </cfRule>
  </conditionalFormatting>
  <conditionalFormatting sqref="C111">
    <cfRule type="cellIs" dxfId="2859" priority="3499" stopIfTrue="1" operator="equal">
      <formula>"Towel"</formula>
    </cfRule>
    <cfRule type="cellIs" dxfId="2858" priority="3500" stopIfTrue="1" operator="equal">
      <formula>"Napkin Hs"</formula>
    </cfRule>
  </conditionalFormatting>
  <conditionalFormatting sqref="B111:C111">
    <cfRule type="cellIs" dxfId="2857" priority="3496" stopIfTrue="1" operator="equal">
      <formula>"Napkin Hs"</formula>
    </cfRule>
  </conditionalFormatting>
  <conditionalFormatting sqref="B111:C111">
    <cfRule type="cellIs" dxfId="2856" priority="3495" stopIfTrue="1" operator="equal">
      <formula>"Towel"</formula>
    </cfRule>
  </conditionalFormatting>
  <conditionalFormatting sqref="C111">
    <cfRule type="cellIs" dxfId="2855" priority="3494" stopIfTrue="1" operator="equal">
      <formula>"Napkin Hs"</formula>
    </cfRule>
  </conditionalFormatting>
  <conditionalFormatting sqref="C111">
    <cfRule type="cellIs" dxfId="2854" priority="3493" stopIfTrue="1" operator="equal">
      <formula>"Towel"</formula>
    </cfRule>
  </conditionalFormatting>
  <conditionalFormatting sqref="C111">
    <cfRule type="cellIs" dxfId="2853" priority="3491" stopIfTrue="1" operator="equal">
      <formula>"Towel"</formula>
    </cfRule>
    <cfRule type="cellIs" dxfId="2852" priority="3492" stopIfTrue="1" operator="equal">
      <formula>"Napkin Hs"</formula>
    </cfRule>
  </conditionalFormatting>
  <conditionalFormatting sqref="B111:C111">
    <cfRule type="cellIs" dxfId="2851" priority="3489" stopIfTrue="1" operator="equal">
      <formula>"Towel"</formula>
    </cfRule>
    <cfRule type="cellIs" dxfId="2850" priority="3490" stopIfTrue="1" operator="equal">
      <formula>"Napkin Hs"</formula>
    </cfRule>
  </conditionalFormatting>
  <conditionalFormatting sqref="C111">
    <cfRule type="cellIs" dxfId="2849" priority="3487" stopIfTrue="1" operator="equal">
      <formula>"Towel"</formula>
    </cfRule>
    <cfRule type="cellIs" dxfId="2848" priority="3488" stopIfTrue="1" operator="equal">
      <formula>"Napkin Hs"</formula>
    </cfRule>
  </conditionalFormatting>
  <conditionalFormatting sqref="C111">
    <cfRule type="cellIs" dxfId="2847" priority="3485" stopIfTrue="1" operator="equal">
      <formula>"Towel"</formula>
    </cfRule>
    <cfRule type="cellIs" dxfId="2846" priority="3486" stopIfTrue="1" operator="equal">
      <formula>"Napkin Hs"</formula>
    </cfRule>
  </conditionalFormatting>
  <conditionalFormatting sqref="B111:C111">
    <cfRule type="cellIs" dxfId="2845" priority="3483" stopIfTrue="1" operator="equal">
      <formula>"Towel"</formula>
    </cfRule>
    <cfRule type="cellIs" dxfId="2844" priority="3484" stopIfTrue="1" operator="equal">
      <formula>"Napkin Hs"</formula>
    </cfRule>
  </conditionalFormatting>
  <conditionalFormatting sqref="C111">
    <cfRule type="cellIs" dxfId="2843" priority="3481" stopIfTrue="1" operator="equal">
      <formula>"Towel"</formula>
    </cfRule>
    <cfRule type="cellIs" dxfId="2842" priority="3482" stopIfTrue="1" operator="equal">
      <formula>"Napkin Hs"</formula>
    </cfRule>
  </conditionalFormatting>
  <conditionalFormatting sqref="C111">
    <cfRule type="cellIs" dxfId="2841" priority="3479" stopIfTrue="1" operator="equal">
      <formula>"Towel"</formula>
    </cfRule>
    <cfRule type="cellIs" dxfId="2840" priority="3480" stopIfTrue="1" operator="equal">
      <formula>"Napkin Hs"</formula>
    </cfRule>
  </conditionalFormatting>
  <conditionalFormatting sqref="B111:C111">
    <cfRule type="cellIs" dxfId="2839" priority="3477" stopIfTrue="1" operator="equal">
      <formula>"Towel"</formula>
    </cfRule>
    <cfRule type="cellIs" dxfId="2838" priority="3478" stopIfTrue="1" operator="equal">
      <formula>"Napkin Hs"</formula>
    </cfRule>
  </conditionalFormatting>
  <conditionalFormatting sqref="C111">
    <cfRule type="cellIs" dxfId="2837" priority="3475" stopIfTrue="1" operator="equal">
      <formula>"Towel"</formula>
    </cfRule>
    <cfRule type="cellIs" dxfId="2836" priority="3476" stopIfTrue="1" operator="equal">
      <formula>"Napkin Hs"</formula>
    </cfRule>
  </conditionalFormatting>
  <conditionalFormatting sqref="C111">
    <cfRule type="cellIs" dxfId="2835" priority="3473" stopIfTrue="1" operator="equal">
      <formula>"Towel"</formula>
    </cfRule>
    <cfRule type="cellIs" dxfId="2834" priority="3474" stopIfTrue="1" operator="equal">
      <formula>"Napkin Hs"</formula>
    </cfRule>
  </conditionalFormatting>
  <conditionalFormatting sqref="B111:C111">
    <cfRule type="cellIs" dxfId="2833" priority="3471" stopIfTrue="1" operator="equal">
      <formula>"Towel"</formula>
    </cfRule>
    <cfRule type="cellIs" dxfId="2832" priority="3472" stopIfTrue="1" operator="equal">
      <formula>"Napkin Hs"</formula>
    </cfRule>
  </conditionalFormatting>
  <conditionalFormatting sqref="C111">
    <cfRule type="cellIs" dxfId="2831" priority="3469" stopIfTrue="1" operator="equal">
      <formula>"Towel"</formula>
    </cfRule>
    <cfRule type="cellIs" dxfId="2830" priority="3470" stopIfTrue="1" operator="equal">
      <formula>"Napkin Hs"</formula>
    </cfRule>
  </conditionalFormatting>
  <conditionalFormatting sqref="C111">
    <cfRule type="cellIs" dxfId="2829" priority="3467" stopIfTrue="1" operator="equal">
      <formula>"Towel"</formula>
    </cfRule>
    <cfRule type="cellIs" dxfId="2828" priority="3468" stopIfTrue="1" operator="equal">
      <formula>"Napkin Hs"</formula>
    </cfRule>
  </conditionalFormatting>
  <conditionalFormatting sqref="B111:C111">
    <cfRule type="cellIs" dxfId="2827" priority="3465" stopIfTrue="1" operator="equal">
      <formula>"Towel"</formula>
    </cfRule>
    <cfRule type="cellIs" dxfId="2826" priority="3466" stopIfTrue="1" operator="equal">
      <formula>"Napkin Hs"</formula>
    </cfRule>
  </conditionalFormatting>
  <conditionalFormatting sqref="C111">
    <cfRule type="cellIs" dxfId="2825" priority="3463" stopIfTrue="1" operator="equal">
      <formula>"Towel"</formula>
    </cfRule>
    <cfRule type="cellIs" dxfId="2824" priority="3464" stopIfTrue="1" operator="equal">
      <formula>"Napkin Hs"</formula>
    </cfRule>
  </conditionalFormatting>
  <conditionalFormatting sqref="C111">
    <cfRule type="cellIs" dxfId="2823" priority="3461" stopIfTrue="1" operator="equal">
      <formula>"Towel"</formula>
    </cfRule>
    <cfRule type="cellIs" dxfId="2822" priority="3462" stopIfTrue="1" operator="equal">
      <formula>"Napkin Hs"</formula>
    </cfRule>
  </conditionalFormatting>
  <conditionalFormatting sqref="B111:C111">
    <cfRule type="cellIs" dxfId="2821" priority="3460" stopIfTrue="1" operator="equal">
      <formula>"Napkin Hs"</formula>
    </cfRule>
  </conditionalFormatting>
  <conditionalFormatting sqref="B111:C111">
    <cfRule type="cellIs" dxfId="2820" priority="3459" stopIfTrue="1" operator="equal">
      <formula>"Towel"</formula>
    </cfRule>
  </conditionalFormatting>
  <conditionalFormatting sqref="C111">
    <cfRule type="cellIs" dxfId="2819" priority="3458" stopIfTrue="1" operator="equal">
      <formula>"Napkin Hs"</formula>
    </cfRule>
  </conditionalFormatting>
  <conditionalFormatting sqref="C111">
    <cfRule type="cellIs" dxfId="2818" priority="3455" stopIfTrue="1" operator="equal">
      <formula>"Towel"</formula>
    </cfRule>
    <cfRule type="cellIs" dxfId="2817" priority="3456" stopIfTrue="1" operator="equal">
      <formula>"Napkin Hs"</formula>
    </cfRule>
  </conditionalFormatting>
  <conditionalFormatting sqref="C111">
    <cfRule type="cellIs" dxfId="2816" priority="3457" stopIfTrue="1" operator="equal">
      <formula>"Towel"</formula>
    </cfRule>
  </conditionalFormatting>
  <conditionalFormatting sqref="B113:C113">
    <cfRule type="cellIs" dxfId="2815" priority="3454" stopIfTrue="1" operator="equal">
      <formula>"Napkin Hs"</formula>
    </cfRule>
  </conditionalFormatting>
  <conditionalFormatting sqref="B113:C113">
    <cfRule type="cellIs" dxfId="2814" priority="3453" stopIfTrue="1" operator="equal">
      <formula>"Towel"</formula>
    </cfRule>
  </conditionalFormatting>
  <conditionalFormatting sqref="C113">
    <cfRule type="cellIs" dxfId="2813" priority="3452" stopIfTrue="1" operator="equal">
      <formula>"Napkin Hs"</formula>
    </cfRule>
  </conditionalFormatting>
  <conditionalFormatting sqref="C113">
    <cfRule type="cellIs" dxfId="2812" priority="3451" stopIfTrue="1" operator="equal">
      <formula>"Towel"</formula>
    </cfRule>
  </conditionalFormatting>
  <conditionalFormatting sqref="C113">
    <cfRule type="cellIs" dxfId="2811" priority="3449" stopIfTrue="1" operator="equal">
      <formula>"Towel"</formula>
    </cfRule>
    <cfRule type="cellIs" dxfId="2810" priority="3450" stopIfTrue="1" operator="equal">
      <formula>"Napkin Hs"</formula>
    </cfRule>
  </conditionalFormatting>
  <conditionalFormatting sqref="B113:C113">
    <cfRule type="cellIs" dxfId="2809" priority="3447" stopIfTrue="1" operator="equal">
      <formula>"Towel"</formula>
    </cfRule>
    <cfRule type="cellIs" dxfId="2808" priority="3448" stopIfTrue="1" operator="equal">
      <formula>"Napkin Hs"</formula>
    </cfRule>
  </conditionalFormatting>
  <conditionalFormatting sqref="C113">
    <cfRule type="cellIs" dxfId="2807" priority="3443" stopIfTrue="1" operator="equal">
      <formula>"Towel"</formula>
    </cfRule>
    <cfRule type="cellIs" dxfId="2806" priority="3444" stopIfTrue="1" operator="equal">
      <formula>"Napkin Hs"</formula>
    </cfRule>
  </conditionalFormatting>
  <conditionalFormatting sqref="C113">
    <cfRule type="cellIs" dxfId="2805" priority="3445" stopIfTrue="1" operator="equal">
      <formula>"Towel"</formula>
    </cfRule>
    <cfRule type="cellIs" dxfId="2804" priority="3446" stopIfTrue="1" operator="equal">
      <formula>"Napkin Hs"</formula>
    </cfRule>
  </conditionalFormatting>
  <conditionalFormatting sqref="B113:C113">
    <cfRule type="cellIs" dxfId="2803" priority="3442" stopIfTrue="1" operator="equal">
      <formula>"Napkin Hs"</formula>
    </cfRule>
  </conditionalFormatting>
  <conditionalFormatting sqref="B113:C113">
    <cfRule type="cellIs" dxfId="2802" priority="3441" stopIfTrue="1" operator="equal">
      <formula>"Towel"</formula>
    </cfRule>
  </conditionalFormatting>
  <conditionalFormatting sqref="C113">
    <cfRule type="cellIs" dxfId="2801" priority="3440" stopIfTrue="1" operator="equal">
      <formula>"Napkin Hs"</formula>
    </cfRule>
  </conditionalFormatting>
  <conditionalFormatting sqref="C113">
    <cfRule type="cellIs" dxfId="2800" priority="3439" stopIfTrue="1" operator="equal">
      <formula>"Towel"</formula>
    </cfRule>
  </conditionalFormatting>
  <conditionalFormatting sqref="C113">
    <cfRule type="cellIs" dxfId="2799" priority="3437" stopIfTrue="1" operator="equal">
      <formula>"Towel"</formula>
    </cfRule>
    <cfRule type="cellIs" dxfId="2798" priority="3438" stopIfTrue="1" operator="equal">
      <formula>"Napkin Hs"</formula>
    </cfRule>
  </conditionalFormatting>
  <conditionalFormatting sqref="B113:C113">
    <cfRule type="cellIs" dxfId="2797" priority="3435" stopIfTrue="1" operator="equal">
      <formula>"Towel"</formula>
    </cfRule>
    <cfRule type="cellIs" dxfId="2796" priority="3436" stopIfTrue="1" operator="equal">
      <formula>"Napkin Hs"</formula>
    </cfRule>
  </conditionalFormatting>
  <conditionalFormatting sqref="C113">
    <cfRule type="cellIs" dxfId="2795" priority="3433" stopIfTrue="1" operator="equal">
      <formula>"Towel"</formula>
    </cfRule>
    <cfRule type="cellIs" dxfId="2794" priority="3434" stopIfTrue="1" operator="equal">
      <formula>"Napkin Hs"</formula>
    </cfRule>
  </conditionalFormatting>
  <conditionalFormatting sqref="C113">
    <cfRule type="cellIs" dxfId="2793" priority="3431" stopIfTrue="1" operator="equal">
      <formula>"Towel"</formula>
    </cfRule>
    <cfRule type="cellIs" dxfId="2792" priority="3432" stopIfTrue="1" operator="equal">
      <formula>"Napkin Hs"</formula>
    </cfRule>
  </conditionalFormatting>
  <conditionalFormatting sqref="B113:C113">
    <cfRule type="cellIs" dxfId="2791" priority="3429" stopIfTrue="1" operator="equal">
      <formula>"Towel"</formula>
    </cfRule>
    <cfRule type="cellIs" dxfId="2790" priority="3430" stopIfTrue="1" operator="equal">
      <formula>"Napkin Hs"</formula>
    </cfRule>
  </conditionalFormatting>
  <conditionalFormatting sqref="C113">
    <cfRule type="cellIs" dxfId="2789" priority="3427" stopIfTrue="1" operator="equal">
      <formula>"Towel"</formula>
    </cfRule>
    <cfRule type="cellIs" dxfId="2788" priority="3428" stopIfTrue="1" operator="equal">
      <formula>"Napkin Hs"</formula>
    </cfRule>
  </conditionalFormatting>
  <conditionalFormatting sqref="C113">
    <cfRule type="cellIs" dxfId="2787" priority="3425" stopIfTrue="1" operator="equal">
      <formula>"Towel"</formula>
    </cfRule>
    <cfRule type="cellIs" dxfId="2786" priority="3426" stopIfTrue="1" operator="equal">
      <formula>"Napkin Hs"</formula>
    </cfRule>
  </conditionalFormatting>
  <conditionalFormatting sqref="B113:C113">
    <cfRule type="cellIs" dxfId="2785" priority="3423" stopIfTrue="1" operator="equal">
      <formula>"Towel"</formula>
    </cfRule>
    <cfRule type="cellIs" dxfId="2784" priority="3424" stopIfTrue="1" operator="equal">
      <formula>"Napkin Hs"</formula>
    </cfRule>
  </conditionalFormatting>
  <conditionalFormatting sqref="C113">
    <cfRule type="cellIs" dxfId="2783" priority="3421" stopIfTrue="1" operator="equal">
      <formula>"Towel"</formula>
    </cfRule>
    <cfRule type="cellIs" dxfId="2782" priority="3422" stopIfTrue="1" operator="equal">
      <formula>"Napkin Hs"</formula>
    </cfRule>
  </conditionalFormatting>
  <conditionalFormatting sqref="C113">
    <cfRule type="cellIs" dxfId="2781" priority="3419" stopIfTrue="1" operator="equal">
      <formula>"Towel"</formula>
    </cfRule>
    <cfRule type="cellIs" dxfId="2780" priority="3420" stopIfTrue="1" operator="equal">
      <formula>"Napkin Hs"</formula>
    </cfRule>
  </conditionalFormatting>
  <conditionalFormatting sqref="B113:C113">
    <cfRule type="cellIs" dxfId="2779" priority="3417" stopIfTrue="1" operator="equal">
      <formula>"Towel"</formula>
    </cfRule>
    <cfRule type="cellIs" dxfId="2778" priority="3418" stopIfTrue="1" operator="equal">
      <formula>"Napkin Hs"</formula>
    </cfRule>
  </conditionalFormatting>
  <conditionalFormatting sqref="C113">
    <cfRule type="cellIs" dxfId="2777" priority="3415" stopIfTrue="1" operator="equal">
      <formula>"Towel"</formula>
    </cfRule>
    <cfRule type="cellIs" dxfId="2776" priority="3416" stopIfTrue="1" operator="equal">
      <formula>"Napkin Hs"</formula>
    </cfRule>
  </conditionalFormatting>
  <conditionalFormatting sqref="C113">
    <cfRule type="cellIs" dxfId="2775" priority="3413" stopIfTrue="1" operator="equal">
      <formula>"Towel"</formula>
    </cfRule>
    <cfRule type="cellIs" dxfId="2774" priority="3414" stopIfTrue="1" operator="equal">
      <formula>"Napkin Hs"</formula>
    </cfRule>
  </conditionalFormatting>
  <conditionalFormatting sqref="B113:C113">
    <cfRule type="cellIs" dxfId="2773" priority="3411" stopIfTrue="1" operator="equal">
      <formula>"Towel"</formula>
    </cfRule>
    <cfRule type="cellIs" dxfId="2772" priority="3412" stopIfTrue="1" operator="equal">
      <formula>"Napkin Hs"</formula>
    </cfRule>
  </conditionalFormatting>
  <conditionalFormatting sqref="C113">
    <cfRule type="cellIs" dxfId="2771" priority="3409" stopIfTrue="1" operator="equal">
      <formula>"Towel"</formula>
    </cfRule>
    <cfRule type="cellIs" dxfId="2770" priority="3410" stopIfTrue="1" operator="equal">
      <formula>"Napkin Hs"</formula>
    </cfRule>
  </conditionalFormatting>
  <conditionalFormatting sqref="C113">
    <cfRule type="cellIs" dxfId="2769" priority="3407" stopIfTrue="1" operator="equal">
      <formula>"Towel"</formula>
    </cfRule>
    <cfRule type="cellIs" dxfId="2768" priority="3408" stopIfTrue="1" operator="equal">
      <formula>"Napkin Hs"</formula>
    </cfRule>
  </conditionalFormatting>
  <conditionalFormatting sqref="B113:C113">
    <cfRule type="cellIs" dxfId="2767" priority="3406" stopIfTrue="1" operator="equal">
      <formula>"Napkin Hs"</formula>
    </cfRule>
  </conditionalFormatting>
  <conditionalFormatting sqref="B113:C113">
    <cfRule type="cellIs" dxfId="2766" priority="3405" stopIfTrue="1" operator="equal">
      <formula>"Towel"</formula>
    </cfRule>
  </conditionalFormatting>
  <conditionalFormatting sqref="C113">
    <cfRule type="cellIs" dxfId="2765" priority="3404" stopIfTrue="1" operator="equal">
      <formula>"Napkin Hs"</formula>
    </cfRule>
  </conditionalFormatting>
  <conditionalFormatting sqref="C113">
    <cfRule type="cellIs" dxfId="2764" priority="3401" stopIfTrue="1" operator="equal">
      <formula>"Towel"</formula>
    </cfRule>
    <cfRule type="cellIs" dxfId="2763" priority="3402" stopIfTrue="1" operator="equal">
      <formula>"Napkin Hs"</formula>
    </cfRule>
  </conditionalFormatting>
  <conditionalFormatting sqref="C113">
    <cfRule type="cellIs" dxfId="2762" priority="3403" stopIfTrue="1" operator="equal">
      <formula>"Towel"</formula>
    </cfRule>
  </conditionalFormatting>
  <conditionalFormatting sqref="B114:C115">
    <cfRule type="cellIs" dxfId="2761" priority="3400" stopIfTrue="1" operator="equal">
      <formula>"Napkin Hs"</formula>
    </cfRule>
  </conditionalFormatting>
  <conditionalFormatting sqref="B114:C115">
    <cfRule type="cellIs" dxfId="2760" priority="3399" stopIfTrue="1" operator="equal">
      <formula>"Towel"</formula>
    </cfRule>
  </conditionalFormatting>
  <conditionalFormatting sqref="C114:C115">
    <cfRule type="cellIs" dxfId="2759" priority="3398" stopIfTrue="1" operator="equal">
      <formula>"Napkin Hs"</formula>
    </cfRule>
  </conditionalFormatting>
  <conditionalFormatting sqref="C114:C115">
    <cfRule type="cellIs" dxfId="2758" priority="3397" stopIfTrue="1" operator="equal">
      <formula>"Towel"</formula>
    </cfRule>
  </conditionalFormatting>
  <conditionalFormatting sqref="C114:C115">
    <cfRule type="cellIs" dxfId="2757" priority="3395" stopIfTrue="1" operator="equal">
      <formula>"Towel"</formula>
    </cfRule>
    <cfRule type="cellIs" dxfId="2756" priority="3396" stopIfTrue="1" operator="equal">
      <formula>"Napkin Hs"</formula>
    </cfRule>
  </conditionalFormatting>
  <conditionalFormatting sqref="B114:C115">
    <cfRule type="cellIs" dxfId="2755" priority="3393" stopIfTrue="1" operator="equal">
      <formula>"Towel"</formula>
    </cfRule>
    <cfRule type="cellIs" dxfId="2754" priority="3394" stopIfTrue="1" operator="equal">
      <formula>"Napkin Hs"</formula>
    </cfRule>
  </conditionalFormatting>
  <conditionalFormatting sqref="C114:C115">
    <cfRule type="cellIs" dxfId="2753" priority="3389" stopIfTrue="1" operator="equal">
      <formula>"Towel"</formula>
    </cfRule>
    <cfRule type="cellIs" dxfId="2752" priority="3390" stopIfTrue="1" operator="equal">
      <formula>"Napkin Hs"</formula>
    </cfRule>
  </conditionalFormatting>
  <conditionalFormatting sqref="C114:C115">
    <cfRule type="cellIs" dxfId="2751" priority="3391" stopIfTrue="1" operator="equal">
      <formula>"Towel"</formula>
    </cfRule>
    <cfRule type="cellIs" dxfId="2750" priority="3392" stopIfTrue="1" operator="equal">
      <formula>"Napkin Hs"</formula>
    </cfRule>
  </conditionalFormatting>
  <conditionalFormatting sqref="B114:C115">
    <cfRule type="cellIs" dxfId="2749" priority="3388" stopIfTrue="1" operator="equal">
      <formula>"Napkin Hs"</formula>
    </cfRule>
  </conditionalFormatting>
  <conditionalFormatting sqref="B114:C115">
    <cfRule type="cellIs" dxfId="2748" priority="3387" stopIfTrue="1" operator="equal">
      <formula>"Towel"</formula>
    </cfRule>
  </conditionalFormatting>
  <conditionalFormatting sqref="C114:C115">
    <cfRule type="cellIs" dxfId="2747" priority="3386" stopIfTrue="1" operator="equal">
      <formula>"Napkin Hs"</formula>
    </cfRule>
  </conditionalFormatting>
  <conditionalFormatting sqref="C114:C115">
    <cfRule type="cellIs" dxfId="2746" priority="3385" stopIfTrue="1" operator="equal">
      <formula>"Towel"</formula>
    </cfRule>
  </conditionalFormatting>
  <conditionalFormatting sqref="C114:C115">
    <cfRule type="cellIs" dxfId="2745" priority="3383" stopIfTrue="1" operator="equal">
      <formula>"Towel"</formula>
    </cfRule>
    <cfRule type="cellIs" dxfId="2744" priority="3384" stopIfTrue="1" operator="equal">
      <formula>"Napkin Hs"</formula>
    </cfRule>
  </conditionalFormatting>
  <conditionalFormatting sqref="B114:C115">
    <cfRule type="cellIs" dxfId="2743" priority="3381" stopIfTrue="1" operator="equal">
      <formula>"Towel"</formula>
    </cfRule>
    <cfRule type="cellIs" dxfId="2742" priority="3382" stopIfTrue="1" operator="equal">
      <formula>"Napkin Hs"</formula>
    </cfRule>
  </conditionalFormatting>
  <conditionalFormatting sqref="C114:C115">
    <cfRule type="cellIs" dxfId="2741" priority="3379" stopIfTrue="1" operator="equal">
      <formula>"Towel"</formula>
    </cfRule>
    <cfRule type="cellIs" dxfId="2740" priority="3380" stopIfTrue="1" operator="equal">
      <formula>"Napkin Hs"</formula>
    </cfRule>
  </conditionalFormatting>
  <conditionalFormatting sqref="C114:C115">
    <cfRule type="cellIs" dxfId="2739" priority="3377" stopIfTrue="1" operator="equal">
      <formula>"Towel"</formula>
    </cfRule>
    <cfRule type="cellIs" dxfId="2738" priority="3378" stopIfTrue="1" operator="equal">
      <formula>"Napkin Hs"</formula>
    </cfRule>
  </conditionalFormatting>
  <conditionalFormatting sqref="B114:C115">
    <cfRule type="cellIs" dxfId="2737" priority="3375" stopIfTrue="1" operator="equal">
      <formula>"Towel"</formula>
    </cfRule>
    <cfRule type="cellIs" dxfId="2736" priority="3376" stopIfTrue="1" operator="equal">
      <formula>"Napkin Hs"</formula>
    </cfRule>
  </conditionalFormatting>
  <conditionalFormatting sqref="C114:C115">
    <cfRule type="cellIs" dxfId="2735" priority="3373" stopIfTrue="1" operator="equal">
      <formula>"Towel"</formula>
    </cfRule>
    <cfRule type="cellIs" dxfId="2734" priority="3374" stopIfTrue="1" operator="equal">
      <formula>"Napkin Hs"</formula>
    </cfRule>
  </conditionalFormatting>
  <conditionalFormatting sqref="C114:C115">
    <cfRule type="cellIs" dxfId="2733" priority="3371" stopIfTrue="1" operator="equal">
      <formula>"Towel"</formula>
    </cfRule>
    <cfRule type="cellIs" dxfId="2732" priority="3372" stopIfTrue="1" operator="equal">
      <formula>"Napkin Hs"</formula>
    </cfRule>
  </conditionalFormatting>
  <conditionalFormatting sqref="B114:C115">
    <cfRule type="cellIs" dxfId="2731" priority="3369" stopIfTrue="1" operator="equal">
      <formula>"Towel"</formula>
    </cfRule>
    <cfRule type="cellIs" dxfId="2730" priority="3370" stopIfTrue="1" operator="equal">
      <formula>"Napkin Hs"</formula>
    </cfRule>
  </conditionalFormatting>
  <conditionalFormatting sqref="C114:C115">
    <cfRule type="cellIs" dxfId="2729" priority="3367" stopIfTrue="1" operator="equal">
      <formula>"Towel"</formula>
    </cfRule>
    <cfRule type="cellIs" dxfId="2728" priority="3368" stopIfTrue="1" operator="equal">
      <formula>"Napkin Hs"</formula>
    </cfRule>
  </conditionalFormatting>
  <conditionalFormatting sqref="C114:C115">
    <cfRule type="cellIs" dxfId="2727" priority="3365" stopIfTrue="1" operator="equal">
      <formula>"Towel"</formula>
    </cfRule>
    <cfRule type="cellIs" dxfId="2726" priority="3366" stopIfTrue="1" operator="equal">
      <formula>"Napkin Hs"</formula>
    </cfRule>
  </conditionalFormatting>
  <conditionalFormatting sqref="B114:C115">
    <cfRule type="cellIs" dxfId="2725" priority="3363" stopIfTrue="1" operator="equal">
      <formula>"Towel"</formula>
    </cfRule>
    <cfRule type="cellIs" dxfId="2724" priority="3364" stopIfTrue="1" operator="equal">
      <formula>"Napkin Hs"</formula>
    </cfRule>
  </conditionalFormatting>
  <conditionalFormatting sqref="C114:C115">
    <cfRule type="cellIs" dxfId="2723" priority="3361" stopIfTrue="1" operator="equal">
      <formula>"Towel"</formula>
    </cfRule>
    <cfRule type="cellIs" dxfId="2722" priority="3362" stopIfTrue="1" operator="equal">
      <formula>"Napkin Hs"</formula>
    </cfRule>
  </conditionalFormatting>
  <conditionalFormatting sqref="C114:C115">
    <cfRule type="cellIs" dxfId="2721" priority="3359" stopIfTrue="1" operator="equal">
      <formula>"Towel"</formula>
    </cfRule>
    <cfRule type="cellIs" dxfId="2720" priority="3360" stopIfTrue="1" operator="equal">
      <formula>"Napkin Hs"</formula>
    </cfRule>
  </conditionalFormatting>
  <conditionalFormatting sqref="B114:C115">
    <cfRule type="cellIs" dxfId="2719" priority="3357" stopIfTrue="1" operator="equal">
      <formula>"Towel"</formula>
    </cfRule>
    <cfRule type="cellIs" dxfId="2718" priority="3358" stopIfTrue="1" operator="equal">
      <formula>"Napkin Hs"</formula>
    </cfRule>
  </conditionalFormatting>
  <conditionalFormatting sqref="C114:C115">
    <cfRule type="cellIs" dxfId="2717" priority="3355" stopIfTrue="1" operator="equal">
      <formula>"Towel"</formula>
    </cfRule>
    <cfRule type="cellIs" dxfId="2716" priority="3356" stopIfTrue="1" operator="equal">
      <formula>"Napkin Hs"</formula>
    </cfRule>
  </conditionalFormatting>
  <conditionalFormatting sqref="C114:C115">
    <cfRule type="cellIs" dxfId="2715" priority="3353" stopIfTrue="1" operator="equal">
      <formula>"Towel"</formula>
    </cfRule>
    <cfRule type="cellIs" dxfId="2714" priority="3354" stopIfTrue="1" operator="equal">
      <formula>"Napkin Hs"</formula>
    </cfRule>
  </conditionalFormatting>
  <conditionalFormatting sqref="B114:C115">
    <cfRule type="cellIs" dxfId="2713" priority="3352" stopIfTrue="1" operator="equal">
      <formula>"Napkin Hs"</formula>
    </cfRule>
  </conditionalFormatting>
  <conditionalFormatting sqref="B114:C115">
    <cfRule type="cellIs" dxfId="2712" priority="3351" stopIfTrue="1" operator="equal">
      <formula>"Towel"</formula>
    </cfRule>
  </conditionalFormatting>
  <conditionalFormatting sqref="C114:C115">
    <cfRule type="cellIs" dxfId="2711" priority="3350" stopIfTrue="1" operator="equal">
      <formula>"Napkin Hs"</formula>
    </cfRule>
  </conditionalFormatting>
  <conditionalFormatting sqref="C114:C115">
    <cfRule type="cellIs" dxfId="2710" priority="3347" stopIfTrue="1" operator="equal">
      <formula>"Towel"</formula>
    </cfRule>
    <cfRule type="cellIs" dxfId="2709" priority="3348" stopIfTrue="1" operator="equal">
      <formula>"Napkin Hs"</formula>
    </cfRule>
  </conditionalFormatting>
  <conditionalFormatting sqref="C114:C115">
    <cfRule type="cellIs" dxfId="2708" priority="3349" stopIfTrue="1" operator="equal">
      <formula>"Towel"</formula>
    </cfRule>
  </conditionalFormatting>
  <conditionalFormatting sqref="B114">
    <cfRule type="cellIs" dxfId="2707" priority="3346" stopIfTrue="1" operator="equal">
      <formula>"Napkin Hs"</formula>
    </cfRule>
  </conditionalFormatting>
  <conditionalFormatting sqref="B114">
    <cfRule type="cellIs" dxfId="2706" priority="3345" stopIfTrue="1" operator="equal">
      <formula>"Towel"</formula>
    </cfRule>
  </conditionalFormatting>
  <conditionalFormatting sqref="B114">
    <cfRule type="cellIs" dxfId="2705" priority="3343" stopIfTrue="1" operator="equal">
      <formula>"Towel"</formula>
    </cfRule>
    <cfRule type="cellIs" dxfId="2704" priority="3344" stopIfTrue="1" operator="equal">
      <formula>"Napkin Hs"</formula>
    </cfRule>
  </conditionalFormatting>
  <conditionalFormatting sqref="B114">
    <cfRule type="cellIs" dxfId="2703" priority="3342" stopIfTrue="1" operator="equal">
      <formula>"Napkin Hs"</formula>
    </cfRule>
  </conditionalFormatting>
  <conditionalFormatting sqref="B114">
    <cfRule type="cellIs" dxfId="2702" priority="3341" stopIfTrue="1" operator="equal">
      <formula>"Towel"</formula>
    </cfRule>
  </conditionalFormatting>
  <conditionalFormatting sqref="B114">
    <cfRule type="cellIs" dxfId="2701" priority="3339" stopIfTrue="1" operator="equal">
      <formula>"Towel"</formula>
    </cfRule>
    <cfRule type="cellIs" dxfId="2700" priority="3340" stopIfTrue="1" operator="equal">
      <formula>"Napkin Hs"</formula>
    </cfRule>
  </conditionalFormatting>
  <conditionalFormatting sqref="B114">
    <cfRule type="cellIs" dxfId="2699" priority="3337" stopIfTrue="1" operator="equal">
      <formula>"Towel"</formula>
    </cfRule>
    <cfRule type="cellIs" dxfId="2698" priority="3338" stopIfTrue="1" operator="equal">
      <formula>"Napkin Hs"</formula>
    </cfRule>
  </conditionalFormatting>
  <conditionalFormatting sqref="B114">
    <cfRule type="cellIs" dxfId="2697" priority="3335" stopIfTrue="1" operator="equal">
      <formula>"Towel"</formula>
    </cfRule>
    <cfRule type="cellIs" dxfId="2696" priority="3336" stopIfTrue="1" operator="equal">
      <formula>"Napkin Hs"</formula>
    </cfRule>
  </conditionalFormatting>
  <conditionalFormatting sqref="B114">
    <cfRule type="cellIs" dxfId="2695" priority="3333" stopIfTrue="1" operator="equal">
      <formula>"Towel"</formula>
    </cfRule>
    <cfRule type="cellIs" dxfId="2694" priority="3334" stopIfTrue="1" operator="equal">
      <formula>"Napkin Hs"</formula>
    </cfRule>
  </conditionalFormatting>
  <conditionalFormatting sqref="B114">
    <cfRule type="cellIs" dxfId="2693" priority="3331" stopIfTrue="1" operator="equal">
      <formula>"Towel"</formula>
    </cfRule>
    <cfRule type="cellIs" dxfId="2692" priority="3332" stopIfTrue="1" operator="equal">
      <formula>"Napkin Hs"</formula>
    </cfRule>
  </conditionalFormatting>
  <conditionalFormatting sqref="B114">
    <cfRule type="cellIs" dxfId="2691" priority="3330" stopIfTrue="1" operator="equal">
      <formula>"Napkin Hs"</formula>
    </cfRule>
  </conditionalFormatting>
  <conditionalFormatting sqref="B114">
    <cfRule type="cellIs" dxfId="2690" priority="3329" stopIfTrue="1" operator="equal">
      <formula>"Towel"</formula>
    </cfRule>
  </conditionalFormatting>
  <conditionalFormatting sqref="B115:C115 C114">
    <cfRule type="cellIs" dxfId="2689" priority="3328" stopIfTrue="1" operator="equal">
      <formula>"Napkin Hs"</formula>
    </cfRule>
  </conditionalFormatting>
  <conditionalFormatting sqref="B115:C115 C114">
    <cfRule type="cellIs" dxfId="2688" priority="3327" stopIfTrue="1" operator="equal">
      <formula>"Towel"</formula>
    </cfRule>
  </conditionalFormatting>
  <conditionalFormatting sqref="C114:C115">
    <cfRule type="cellIs" dxfId="2687" priority="3326" stopIfTrue="1" operator="equal">
      <formula>"Napkin Hs"</formula>
    </cfRule>
  </conditionalFormatting>
  <conditionalFormatting sqref="C114:C115">
    <cfRule type="cellIs" dxfId="2686" priority="3325" stopIfTrue="1" operator="equal">
      <formula>"Towel"</formula>
    </cfRule>
  </conditionalFormatting>
  <conditionalFormatting sqref="C114:C115">
    <cfRule type="cellIs" dxfId="2685" priority="3323" stopIfTrue="1" operator="equal">
      <formula>"Towel"</formula>
    </cfRule>
    <cfRule type="cellIs" dxfId="2684" priority="3324" stopIfTrue="1" operator="equal">
      <formula>"Napkin Hs"</formula>
    </cfRule>
  </conditionalFormatting>
  <conditionalFormatting sqref="B115:C115 C114">
    <cfRule type="cellIs" dxfId="2683" priority="3321" stopIfTrue="1" operator="equal">
      <formula>"Towel"</formula>
    </cfRule>
    <cfRule type="cellIs" dxfId="2682" priority="3322" stopIfTrue="1" operator="equal">
      <formula>"Napkin Hs"</formula>
    </cfRule>
  </conditionalFormatting>
  <conditionalFormatting sqref="C114:C115">
    <cfRule type="cellIs" dxfId="2681" priority="3317" stopIfTrue="1" operator="equal">
      <formula>"Towel"</formula>
    </cfRule>
    <cfRule type="cellIs" dxfId="2680" priority="3318" stopIfTrue="1" operator="equal">
      <formula>"Napkin Hs"</formula>
    </cfRule>
  </conditionalFormatting>
  <conditionalFormatting sqref="C114:C115">
    <cfRule type="cellIs" dxfId="2679" priority="3319" stopIfTrue="1" operator="equal">
      <formula>"Towel"</formula>
    </cfRule>
    <cfRule type="cellIs" dxfId="2678" priority="3320" stopIfTrue="1" operator="equal">
      <formula>"Napkin Hs"</formula>
    </cfRule>
  </conditionalFormatting>
  <conditionalFormatting sqref="B115:C115 C114">
    <cfRule type="cellIs" dxfId="2677" priority="3316" stopIfTrue="1" operator="equal">
      <formula>"Napkin Hs"</formula>
    </cfRule>
  </conditionalFormatting>
  <conditionalFormatting sqref="B115:C115 C114">
    <cfRule type="cellIs" dxfId="2676" priority="3315" stopIfTrue="1" operator="equal">
      <formula>"Towel"</formula>
    </cfRule>
  </conditionalFormatting>
  <conditionalFormatting sqref="C114:C115">
    <cfRule type="cellIs" dxfId="2675" priority="3314" stopIfTrue="1" operator="equal">
      <formula>"Napkin Hs"</formula>
    </cfRule>
  </conditionalFormatting>
  <conditionalFormatting sqref="C114:C115">
    <cfRule type="cellIs" dxfId="2674" priority="3313" stopIfTrue="1" operator="equal">
      <formula>"Towel"</formula>
    </cfRule>
  </conditionalFormatting>
  <conditionalFormatting sqref="C114:C115">
    <cfRule type="cellIs" dxfId="2673" priority="3311" stopIfTrue="1" operator="equal">
      <formula>"Towel"</formula>
    </cfRule>
    <cfRule type="cellIs" dxfId="2672" priority="3312" stopIfTrue="1" operator="equal">
      <formula>"Napkin Hs"</formula>
    </cfRule>
  </conditionalFormatting>
  <conditionalFormatting sqref="B115:C115 C114">
    <cfRule type="cellIs" dxfId="2671" priority="3309" stopIfTrue="1" operator="equal">
      <formula>"Towel"</formula>
    </cfRule>
    <cfRule type="cellIs" dxfId="2670" priority="3310" stopIfTrue="1" operator="equal">
      <formula>"Napkin Hs"</formula>
    </cfRule>
  </conditionalFormatting>
  <conditionalFormatting sqref="C114:C115">
    <cfRule type="cellIs" dxfId="2669" priority="3307" stopIfTrue="1" operator="equal">
      <formula>"Towel"</formula>
    </cfRule>
    <cfRule type="cellIs" dxfId="2668" priority="3308" stopIfTrue="1" operator="equal">
      <formula>"Napkin Hs"</formula>
    </cfRule>
  </conditionalFormatting>
  <conditionalFormatting sqref="C114:C115">
    <cfRule type="cellIs" dxfId="2667" priority="3305" stopIfTrue="1" operator="equal">
      <formula>"Towel"</formula>
    </cfRule>
    <cfRule type="cellIs" dxfId="2666" priority="3306" stopIfTrue="1" operator="equal">
      <formula>"Napkin Hs"</formula>
    </cfRule>
  </conditionalFormatting>
  <conditionalFormatting sqref="B115:C115 C114">
    <cfRule type="cellIs" dxfId="2665" priority="3303" stopIfTrue="1" operator="equal">
      <formula>"Towel"</formula>
    </cfRule>
    <cfRule type="cellIs" dxfId="2664" priority="3304" stopIfTrue="1" operator="equal">
      <formula>"Napkin Hs"</formula>
    </cfRule>
  </conditionalFormatting>
  <conditionalFormatting sqref="C114:C115">
    <cfRule type="cellIs" dxfId="2663" priority="3301" stopIfTrue="1" operator="equal">
      <formula>"Towel"</formula>
    </cfRule>
    <cfRule type="cellIs" dxfId="2662" priority="3302" stopIfTrue="1" operator="equal">
      <formula>"Napkin Hs"</formula>
    </cfRule>
  </conditionalFormatting>
  <conditionalFormatting sqref="C114:C115">
    <cfRule type="cellIs" dxfId="2661" priority="3299" stopIfTrue="1" operator="equal">
      <formula>"Towel"</formula>
    </cfRule>
    <cfRule type="cellIs" dxfId="2660" priority="3300" stopIfTrue="1" operator="equal">
      <formula>"Napkin Hs"</formula>
    </cfRule>
  </conditionalFormatting>
  <conditionalFormatting sqref="B115:C115 C114">
    <cfRule type="cellIs" dxfId="2659" priority="3297" stopIfTrue="1" operator="equal">
      <formula>"Towel"</formula>
    </cfRule>
    <cfRule type="cellIs" dxfId="2658" priority="3298" stopIfTrue="1" operator="equal">
      <formula>"Napkin Hs"</formula>
    </cfRule>
  </conditionalFormatting>
  <conditionalFormatting sqref="C114:C115">
    <cfRule type="cellIs" dxfId="2657" priority="3295" stopIfTrue="1" operator="equal">
      <formula>"Towel"</formula>
    </cfRule>
    <cfRule type="cellIs" dxfId="2656" priority="3296" stopIfTrue="1" operator="equal">
      <formula>"Napkin Hs"</formula>
    </cfRule>
  </conditionalFormatting>
  <conditionalFormatting sqref="C114:C115">
    <cfRule type="cellIs" dxfId="2655" priority="3293" stopIfTrue="1" operator="equal">
      <formula>"Towel"</formula>
    </cfRule>
    <cfRule type="cellIs" dxfId="2654" priority="3294" stopIfTrue="1" operator="equal">
      <formula>"Napkin Hs"</formula>
    </cfRule>
  </conditionalFormatting>
  <conditionalFormatting sqref="B115:C115 C114">
    <cfRule type="cellIs" dxfId="2653" priority="3291" stopIfTrue="1" operator="equal">
      <formula>"Towel"</formula>
    </cfRule>
    <cfRule type="cellIs" dxfId="2652" priority="3292" stopIfTrue="1" operator="equal">
      <formula>"Napkin Hs"</formula>
    </cfRule>
  </conditionalFormatting>
  <conditionalFormatting sqref="C114:C115">
    <cfRule type="cellIs" dxfId="2651" priority="3289" stopIfTrue="1" operator="equal">
      <formula>"Towel"</formula>
    </cfRule>
    <cfRule type="cellIs" dxfId="2650" priority="3290" stopIfTrue="1" operator="equal">
      <formula>"Napkin Hs"</formula>
    </cfRule>
  </conditionalFormatting>
  <conditionalFormatting sqref="C114:C115">
    <cfRule type="cellIs" dxfId="2649" priority="3287" stopIfTrue="1" operator="equal">
      <formula>"Towel"</formula>
    </cfRule>
    <cfRule type="cellIs" dxfId="2648" priority="3288" stopIfTrue="1" operator="equal">
      <formula>"Napkin Hs"</formula>
    </cfRule>
  </conditionalFormatting>
  <conditionalFormatting sqref="B115:C115 C114">
    <cfRule type="cellIs" dxfId="2647" priority="3285" stopIfTrue="1" operator="equal">
      <formula>"Towel"</formula>
    </cfRule>
    <cfRule type="cellIs" dxfId="2646" priority="3286" stopIfTrue="1" operator="equal">
      <formula>"Napkin Hs"</formula>
    </cfRule>
  </conditionalFormatting>
  <conditionalFormatting sqref="C114:C115">
    <cfRule type="cellIs" dxfId="2645" priority="3283" stopIfTrue="1" operator="equal">
      <formula>"Towel"</formula>
    </cfRule>
    <cfRule type="cellIs" dxfId="2644" priority="3284" stopIfTrue="1" operator="equal">
      <formula>"Napkin Hs"</formula>
    </cfRule>
  </conditionalFormatting>
  <conditionalFormatting sqref="C114:C115">
    <cfRule type="cellIs" dxfId="2643" priority="3281" stopIfTrue="1" operator="equal">
      <formula>"Towel"</formula>
    </cfRule>
    <cfRule type="cellIs" dxfId="2642" priority="3282" stopIfTrue="1" operator="equal">
      <formula>"Napkin Hs"</formula>
    </cfRule>
  </conditionalFormatting>
  <conditionalFormatting sqref="B115:C115 C114">
    <cfRule type="cellIs" dxfId="2641" priority="3280" stopIfTrue="1" operator="equal">
      <formula>"Napkin Hs"</formula>
    </cfRule>
  </conditionalFormatting>
  <conditionalFormatting sqref="B115:C115 C114">
    <cfRule type="cellIs" dxfId="2640" priority="3279" stopIfTrue="1" operator="equal">
      <formula>"Towel"</formula>
    </cfRule>
  </conditionalFormatting>
  <conditionalFormatting sqref="C114:C115">
    <cfRule type="cellIs" dxfId="2639" priority="3278" stopIfTrue="1" operator="equal">
      <formula>"Napkin Hs"</formula>
    </cfRule>
  </conditionalFormatting>
  <conditionalFormatting sqref="C114:C115">
    <cfRule type="cellIs" dxfId="2638" priority="3275" stopIfTrue="1" operator="equal">
      <formula>"Towel"</formula>
    </cfRule>
    <cfRule type="cellIs" dxfId="2637" priority="3276" stopIfTrue="1" operator="equal">
      <formula>"Napkin Hs"</formula>
    </cfRule>
  </conditionalFormatting>
  <conditionalFormatting sqref="C114:C115">
    <cfRule type="cellIs" dxfId="2636" priority="3277" stopIfTrue="1" operator="equal">
      <formula>"Towel"</formula>
    </cfRule>
  </conditionalFormatting>
  <conditionalFormatting sqref="B111:C111">
    <cfRule type="cellIs" dxfId="2635" priority="3274" stopIfTrue="1" operator="equal">
      <formula>"Napkin Hs"</formula>
    </cfRule>
  </conditionalFormatting>
  <conditionalFormatting sqref="B111:C111">
    <cfRule type="cellIs" dxfId="2634" priority="3273" stopIfTrue="1" operator="equal">
      <formula>"Towel"</formula>
    </cfRule>
  </conditionalFormatting>
  <conditionalFormatting sqref="C111">
    <cfRule type="cellIs" dxfId="2633" priority="3272" stopIfTrue="1" operator="equal">
      <formula>"Napkin Hs"</formula>
    </cfRule>
  </conditionalFormatting>
  <conditionalFormatting sqref="C111">
    <cfRule type="cellIs" dxfId="2632" priority="3271" stopIfTrue="1" operator="equal">
      <formula>"Towel"</formula>
    </cfRule>
  </conditionalFormatting>
  <conditionalFormatting sqref="C111">
    <cfRule type="cellIs" dxfId="2631" priority="3269" stopIfTrue="1" operator="equal">
      <formula>"Towel"</formula>
    </cfRule>
    <cfRule type="cellIs" dxfId="2630" priority="3270" stopIfTrue="1" operator="equal">
      <formula>"Napkin Hs"</formula>
    </cfRule>
  </conditionalFormatting>
  <conditionalFormatting sqref="B111:C111">
    <cfRule type="cellIs" dxfId="2629" priority="3267" stopIfTrue="1" operator="equal">
      <formula>"Towel"</formula>
    </cfRule>
    <cfRule type="cellIs" dxfId="2628" priority="3268" stopIfTrue="1" operator="equal">
      <formula>"Napkin Hs"</formula>
    </cfRule>
  </conditionalFormatting>
  <conditionalFormatting sqref="C111">
    <cfRule type="cellIs" dxfId="2627" priority="3263" stopIfTrue="1" operator="equal">
      <formula>"Towel"</formula>
    </cfRule>
    <cfRule type="cellIs" dxfId="2626" priority="3264" stopIfTrue="1" operator="equal">
      <formula>"Napkin Hs"</formula>
    </cfRule>
  </conditionalFormatting>
  <conditionalFormatting sqref="C111">
    <cfRule type="cellIs" dxfId="2625" priority="3265" stopIfTrue="1" operator="equal">
      <formula>"Towel"</formula>
    </cfRule>
    <cfRule type="cellIs" dxfId="2624" priority="3266" stopIfTrue="1" operator="equal">
      <formula>"Napkin Hs"</formula>
    </cfRule>
  </conditionalFormatting>
  <conditionalFormatting sqref="B111:C111">
    <cfRule type="cellIs" dxfId="2623" priority="3262" stopIfTrue="1" operator="equal">
      <formula>"Napkin Hs"</formula>
    </cfRule>
  </conditionalFormatting>
  <conditionalFormatting sqref="B111:C111">
    <cfRule type="cellIs" dxfId="2622" priority="3261" stopIfTrue="1" operator="equal">
      <formula>"Towel"</formula>
    </cfRule>
  </conditionalFormatting>
  <conditionalFormatting sqref="C111">
    <cfRule type="cellIs" dxfId="2621" priority="3260" stopIfTrue="1" operator="equal">
      <formula>"Napkin Hs"</formula>
    </cfRule>
  </conditionalFormatting>
  <conditionalFormatting sqref="C111">
    <cfRule type="cellIs" dxfId="2620" priority="3259" stopIfTrue="1" operator="equal">
      <formula>"Towel"</formula>
    </cfRule>
  </conditionalFormatting>
  <conditionalFormatting sqref="C111">
    <cfRule type="cellIs" dxfId="2619" priority="3257" stopIfTrue="1" operator="equal">
      <formula>"Towel"</formula>
    </cfRule>
    <cfRule type="cellIs" dxfId="2618" priority="3258" stopIfTrue="1" operator="equal">
      <formula>"Napkin Hs"</formula>
    </cfRule>
  </conditionalFormatting>
  <conditionalFormatting sqref="B111:C111">
    <cfRule type="cellIs" dxfId="2617" priority="3255" stopIfTrue="1" operator="equal">
      <formula>"Towel"</formula>
    </cfRule>
    <cfRule type="cellIs" dxfId="2616" priority="3256" stopIfTrue="1" operator="equal">
      <formula>"Napkin Hs"</formula>
    </cfRule>
  </conditionalFormatting>
  <conditionalFormatting sqref="C111">
    <cfRule type="cellIs" dxfId="2615" priority="3253" stopIfTrue="1" operator="equal">
      <formula>"Towel"</formula>
    </cfRule>
    <cfRule type="cellIs" dxfId="2614" priority="3254" stopIfTrue="1" operator="equal">
      <formula>"Napkin Hs"</formula>
    </cfRule>
  </conditionalFormatting>
  <conditionalFormatting sqref="C111">
    <cfRule type="cellIs" dxfId="2613" priority="3251" stopIfTrue="1" operator="equal">
      <formula>"Towel"</formula>
    </cfRule>
    <cfRule type="cellIs" dxfId="2612" priority="3252" stopIfTrue="1" operator="equal">
      <formula>"Napkin Hs"</formula>
    </cfRule>
  </conditionalFormatting>
  <conditionalFormatting sqref="B111:C111">
    <cfRule type="cellIs" dxfId="2611" priority="3249" stopIfTrue="1" operator="equal">
      <formula>"Towel"</formula>
    </cfRule>
    <cfRule type="cellIs" dxfId="2610" priority="3250" stopIfTrue="1" operator="equal">
      <formula>"Napkin Hs"</formula>
    </cfRule>
  </conditionalFormatting>
  <conditionalFormatting sqref="C111">
    <cfRule type="cellIs" dxfId="2609" priority="3247" stopIfTrue="1" operator="equal">
      <formula>"Towel"</formula>
    </cfRule>
    <cfRule type="cellIs" dxfId="2608" priority="3248" stopIfTrue="1" operator="equal">
      <formula>"Napkin Hs"</formula>
    </cfRule>
  </conditionalFormatting>
  <conditionalFormatting sqref="C111">
    <cfRule type="cellIs" dxfId="2607" priority="3245" stopIfTrue="1" operator="equal">
      <formula>"Towel"</formula>
    </cfRule>
    <cfRule type="cellIs" dxfId="2606" priority="3246" stopIfTrue="1" operator="equal">
      <formula>"Napkin Hs"</formula>
    </cfRule>
  </conditionalFormatting>
  <conditionalFormatting sqref="B111:C111">
    <cfRule type="cellIs" dxfId="2605" priority="3243" stopIfTrue="1" operator="equal">
      <formula>"Towel"</formula>
    </cfRule>
    <cfRule type="cellIs" dxfId="2604" priority="3244" stopIfTrue="1" operator="equal">
      <formula>"Napkin Hs"</formula>
    </cfRule>
  </conditionalFormatting>
  <conditionalFormatting sqref="C111">
    <cfRule type="cellIs" dxfId="2603" priority="3241" stopIfTrue="1" operator="equal">
      <formula>"Towel"</formula>
    </cfRule>
    <cfRule type="cellIs" dxfId="2602" priority="3242" stopIfTrue="1" operator="equal">
      <formula>"Napkin Hs"</formula>
    </cfRule>
  </conditionalFormatting>
  <conditionalFormatting sqref="C111">
    <cfRule type="cellIs" dxfId="2601" priority="3239" stopIfTrue="1" operator="equal">
      <formula>"Towel"</formula>
    </cfRule>
    <cfRule type="cellIs" dxfId="2600" priority="3240" stopIfTrue="1" operator="equal">
      <formula>"Napkin Hs"</formula>
    </cfRule>
  </conditionalFormatting>
  <conditionalFormatting sqref="B111:C111">
    <cfRule type="cellIs" dxfId="2599" priority="3237" stopIfTrue="1" operator="equal">
      <formula>"Towel"</formula>
    </cfRule>
    <cfRule type="cellIs" dxfId="2598" priority="3238" stopIfTrue="1" operator="equal">
      <formula>"Napkin Hs"</formula>
    </cfRule>
  </conditionalFormatting>
  <conditionalFormatting sqref="C111">
    <cfRule type="cellIs" dxfId="2597" priority="3235" stopIfTrue="1" operator="equal">
      <formula>"Towel"</formula>
    </cfRule>
    <cfRule type="cellIs" dxfId="2596" priority="3236" stopIfTrue="1" operator="equal">
      <formula>"Napkin Hs"</formula>
    </cfRule>
  </conditionalFormatting>
  <conditionalFormatting sqref="C111">
    <cfRule type="cellIs" dxfId="2595" priority="3233" stopIfTrue="1" operator="equal">
      <formula>"Towel"</formula>
    </cfRule>
    <cfRule type="cellIs" dxfId="2594" priority="3234" stopIfTrue="1" operator="equal">
      <formula>"Napkin Hs"</formula>
    </cfRule>
  </conditionalFormatting>
  <conditionalFormatting sqref="B111:C111">
    <cfRule type="cellIs" dxfId="2593" priority="3231" stopIfTrue="1" operator="equal">
      <formula>"Towel"</formula>
    </cfRule>
    <cfRule type="cellIs" dxfId="2592" priority="3232" stopIfTrue="1" operator="equal">
      <formula>"Napkin Hs"</formula>
    </cfRule>
  </conditionalFormatting>
  <conditionalFormatting sqref="C111">
    <cfRule type="cellIs" dxfId="2591" priority="3229" stopIfTrue="1" operator="equal">
      <formula>"Towel"</formula>
    </cfRule>
    <cfRule type="cellIs" dxfId="2590" priority="3230" stopIfTrue="1" operator="equal">
      <formula>"Napkin Hs"</formula>
    </cfRule>
  </conditionalFormatting>
  <conditionalFormatting sqref="C111">
    <cfRule type="cellIs" dxfId="2589" priority="3227" stopIfTrue="1" operator="equal">
      <formula>"Towel"</formula>
    </cfRule>
    <cfRule type="cellIs" dxfId="2588" priority="3228" stopIfTrue="1" operator="equal">
      <formula>"Napkin Hs"</formula>
    </cfRule>
  </conditionalFormatting>
  <conditionalFormatting sqref="B111:C111">
    <cfRule type="cellIs" dxfId="2587" priority="3226" stopIfTrue="1" operator="equal">
      <formula>"Napkin Hs"</formula>
    </cfRule>
  </conditionalFormatting>
  <conditionalFormatting sqref="B111:C111">
    <cfRule type="cellIs" dxfId="2586" priority="3225" stopIfTrue="1" operator="equal">
      <formula>"Towel"</formula>
    </cfRule>
  </conditionalFormatting>
  <conditionalFormatting sqref="C111">
    <cfRule type="cellIs" dxfId="2585" priority="3224" stopIfTrue="1" operator="equal">
      <formula>"Napkin Hs"</formula>
    </cfRule>
  </conditionalFormatting>
  <conditionalFormatting sqref="C111">
    <cfRule type="cellIs" dxfId="2584" priority="3221" stopIfTrue="1" operator="equal">
      <formula>"Towel"</formula>
    </cfRule>
    <cfRule type="cellIs" dxfId="2583" priority="3222" stopIfTrue="1" operator="equal">
      <formula>"Napkin Hs"</formula>
    </cfRule>
  </conditionalFormatting>
  <conditionalFormatting sqref="C111">
    <cfRule type="cellIs" dxfId="2582" priority="3223" stopIfTrue="1" operator="equal">
      <formula>"Towel"</formula>
    </cfRule>
  </conditionalFormatting>
  <conditionalFormatting sqref="B113:C113">
    <cfRule type="cellIs" dxfId="2581" priority="3220" stopIfTrue="1" operator="equal">
      <formula>"Napkin Hs"</formula>
    </cfRule>
  </conditionalFormatting>
  <conditionalFormatting sqref="B113:C113">
    <cfRule type="cellIs" dxfId="2580" priority="3219" stopIfTrue="1" operator="equal">
      <formula>"Towel"</formula>
    </cfRule>
  </conditionalFormatting>
  <conditionalFormatting sqref="C113">
    <cfRule type="cellIs" dxfId="2579" priority="3218" stopIfTrue="1" operator="equal">
      <formula>"Napkin Hs"</formula>
    </cfRule>
  </conditionalFormatting>
  <conditionalFormatting sqref="C113">
    <cfRule type="cellIs" dxfId="2578" priority="3217" stopIfTrue="1" operator="equal">
      <formula>"Towel"</formula>
    </cfRule>
  </conditionalFormatting>
  <conditionalFormatting sqref="C113">
    <cfRule type="cellIs" dxfId="2577" priority="3215" stopIfTrue="1" operator="equal">
      <formula>"Towel"</formula>
    </cfRule>
    <cfRule type="cellIs" dxfId="2576" priority="3216" stopIfTrue="1" operator="equal">
      <formula>"Napkin Hs"</formula>
    </cfRule>
  </conditionalFormatting>
  <conditionalFormatting sqref="B113:C113">
    <cfRule type="cellIs" dxfId="2575" priority="3213" stopIfTrue="1" operator="equal">
      <formula>"Towel"</formula>
    </cfRule>
    <cfRule type="cellIs" dxfId="2574" priority="3214" stopIfTrue="1" operator="equal">
      <formula>"Napkin Hs"</formula>
    </cfRule>
  </conditionalFormatting>
  <conditionalFormatting sqref="C113">
    <cfRule type="cellIs" dxfId="2573" priority="3209" stopIfTrue="1" operator="equal">
      <formula>"Towel"</formula>
    </cfRule>
    <cfRule type="cellIs" dxfId="2572" priority="3210" stopIfTrue="1" operator="equal">
      <formula>"Napkin Hs"</formula>
    </cfRule>
  </conditionalFormatting>
  <conditionalFormatting sqref="C113">
    <cfRule type="cellIs" dxfId="2571" priority="3211" stopIfTrue="1" operator="equal">
      <formula>"Towel"</formula>
    </cfRule>
    <cfRule type="cellIs" dxfId="2570" priority="3212" stopIfTrue="1" operator="equal">
      <formula>"Napkin Hs"</formula>
    </cfRule>
  </conditionalFormatting>
  <conditionalFormatting sqref="B113:C113">
    <cfRule type="cellIs" dxfId="2569" priority="3208" stopIfTrue="1" operator="equal">
      <formula>"Napkin Hs"</formula>
    </cfRule>
  </conditionalFormatting>
  <conditionalFormatting sqref="B113:C113">
    <cfRule type="cellIs" dxfId="2568" priority="3207" stopIfTrue="1" operator="equal">
      <formula>"Towel"</formula>
    </cfRule>
  </conditionalFormatting>
  <conditionalFormatting sqref="C113">
    <cfRule type="cellIs" dxfId="2567" priority="3206" stopIfTrue="1" operator="equal">
      <formula>"Napkin Hs"</formula>
    </cfRule>
  </conditionalFormatting>
  <conditionalFormatting sqref="C113">
    <cfRule type="cellIs" dxfId="2566" priority="3205" stopIfTrue="1" operator="equal">
      <formula>"Towel"</formula>
    </cfRule>
  </conditionalFormatting>
  <conditionalFormatting sqref="C113">
    <cfRule type="cellIs" dxfId="2565" priority="3203" stopIfTrue="1" operator="equal">
      <formula>"Towel"</formula>
    </cfRule>
    <cfRule type="cellIs" dxfId="2564" priority="3204" stopIfTrue="1" operator="equal">
      <formula>"Napkin Hs"</formula>
    </cfRule>
  </conditionalFormatting>
  <conditionalFormatting sqref="B113:C113">
    <cfRule type="cellIs" dxfId="2563" priority="3201" stopIfTrue="1" operator="equal">
      <formula>"Towel"</formula>
    </cfRule>
    <cfRule type="cellIs" dxfId="2562" priority="3202" stopIfTrue="1" operator="equal">
      <formula>"Napkin Hs"</formula>
    </cfRule>
  </conditionalFormatting>
  <conditionalFormatting sqref="C113">
    <cfRule type="cellIs" dxfId="2561" priority="3199" stopIfTrue="1" operator="equal">
      <formula>"Towel"</formula>
    </cfRule>
    <cfRule type="cellIs" dxfId="2560" priority="3200" stopIfTrue="1" operator="equal">
      <formula>"Napkin Hs"</formula>
    </cfRule>
  </conditionalFormatting>
  <conditionalFormatting sqref="C113">
    <cfRule type="cellIs" dxfId="2559" priority="3197" stopIfTrue="1" operator="equal">
      <formula>"Towel"</formula>
    </cfRule>
    <cfRule type="cellIs" dxfId="2558" priority="3198" stopIfTrue="1" operator="equal">
      <formula>"Napkin Hs"</formula>
    </cfRule>
  </conditionalFormatting>
  <conditionalFormatting sqref="B113:C113">
    <cfRule type="cellIs" dxfId="2557" priority="3195" stopIfTrue="1" operator="equal">
      <formula>"Towel"</formula>
    </cfRule>
    <cfRule type="cellIs" dxfId="2556" priority="3196" stopIfTrue="1" operator="equal">
      <formula>"Napkin Hs"</formula>
    </cfRule>
  </conditionalFormatting>
  <conditionalFormatting sqref="C113">
    <cfRule type="cellIs" dxfId="2555" priority="3193" stopIfTrue="1" operator="equal">
      <formula>"Towel"</formula>
    </cfRule>
    <cfRule type="cellIs" dxfId="2554" priority="3194" stopIfTrue="1" operator="equal">
      <formula>"Napkin Hs"</formula>
    </cfRule>
  </conditionalFormatting>
  <conditionalFormatting sqref="C113">
    <cfRule type="cellIs" dxfId="2553" priority="3191" stopIfTrue="1" operator="equal">
      <formula>"Towel"</formula>
    </cfRule>
    <cfRule type="cellIs" dxfId="2552" priority="3192" stopIfTrue="1" operator="equal">
      <formula>"Napkin Hs"</formula>
    </cfRule>
  </conditionalFormatting>
  <conditionalFormatting sqref="B113:C113">
    <cfRule type="cellIs" dxfId="2551" priority="3189" stopIfTrue="1" operator="equal">
      <formula>"Towel"</formula>
    </cfRule>
    <cfRule type="cellIs" dxfId="2550" priority="3190" stopIfTrue="1" operator="equal">
      <formula>"Napkin Hs"</formula>
    </cfRule>
  </conditionalFormatting>
  <conditionalFormatting sqref="C113">
    <cfRule type="cellIs" dxfId="2549" priority="3187" stopIfTrue="1" operator="equal">
      <formula>"Towel"</formula>
    </cfRule>
    <cfRule type="cellIs" dxfId="2548" priority="3188" stopIfTrue="1" operator="equal">
      <formula>"Napkin Hs"</formula>
    </cfRule>
  </conditionalFormatting>
  <conditionalFormatting sqref="C113">
    <cfRule type="cellIs" dxfId="2547" priority="3185" stopIfTrue="1" operator="equal">
      <formula>"Towel"</formula>
    </cfRule>
    <cfRule type="cellIs" dxfId="2546" priority="3186" stopIfTrue="1" operator="equal">
      <formula>"Napkin Hs"</formula>
    </cfRule>
  </conditionalFormatting>
  <conditionalFormatting sqref="B113:C113">
    <cfRule type="cellIs" dxfId="2545" priority="3183" stopIfTrue="1" operator="equal">
      <formula>"Towel"</formula>
    </cfRule>
    <cfRule type="cellIs" dxfId="2544" priority="3184" stopIfTrue="1" operator="equal">
      <formula>"Napkin Hs"</formula>
    </cfRule>
  </conditionalFormatting>
  <conditionalFormatting sqref="C113">
    <cfRule type="cellIs" dxfId="2543" priority="3181" stopIfTrue="1" operator="equal">
      <formula>"Towel"</formula>
    </cfRule>
    <cfRule type="cellIs" dxfId="2542" priority="3182" stopIfTrue="1" operator="equal">
      <formula>"Napkin Hs"</formula>
    </cfRule>
  </conditionalFormatting>
  <conditionalFormatting sqref="C113">
    <cfRule type="cellIs" dxfId="2541" priority="3179" stopIfTrue="1" operator="equal">
      <formula>"Towel"</formula>
    </cfRule>
    <cfRule type="cellIs" dxfId="2540" priority="3180" stopIfTrue="1" operator="equal">
      <formula>"Napkin Hs"</formula>
    </cfRule>
  </conditionalFormatting>
  <conditionalFormatting sqref="B113:C113">
    <cfRule type="cellIs" dxfId="2539" priority="3177" stopIfTrue="1" operator="equal">
      <formula>"Towel"</formula>
    </cfRule>
    <cfRule type="cellIs" dxfId="2538" priority="3178" stopIfTrue="1" operator="equal">
      <formula>"Napkin Hs"</formula>
    </cfRule>
  </conditionalFormatting>
  <conditionalFormatting sqref="C113">
    <cfRule type="cellIs" dxfId="2537" priority="3175" stopIfTrue="1" operator="equal">
      <formula>"Towel"</formula>
    </cfRule>
    <cfRule type="cellIs" dxfId="2536" priority="3176" stopIfTrue="1" operator="equal">
      <formula>"Napkin Hs"</formula>
    </cfRule>
  </conditionalFormatting>
  <conditionalFormatting sqref="C113">
    <cfRule type="cellIs" dxfId="2535" priority="3173" stopIfTrue="1" operator="equal">
      <formula>"Towel"</formula>
    </cfRule>
    <cfRule type="cellIs" dxfId="2534" priority="3174" stopIfTrue="1" operator="equal">
      <formula>"Napkin Hs"</formula>
    </cfRule>
  </conditionalFormatting>
  <conditionalFormatting sqref="B113:C113">
    <cfRule type="cellIs" dxfId="2533" priority="3172" stopIfTrue="1" operator="equal">
      <formula>"Napkin Hs"</formula>
    </cfRule>
  </conditionalFormatting>
  <conditionalFormatting sqref="B113:C113">
    <cfRule type="cellIs" dxfId="2532" priority="3171" stopIfTrue="1" operator="equal">
      <formula>"Towel"</formula>
    </cfRule>
  </conditionalFormatting>
  <conditionalFormatting sqref="C113">
    <cfRule type="cellIs" dxfId="2531" priority="3170" stopIfTrue="1" operator="equal">
      <formula>"Napkin Hs"</formula>
    </cfRule>
  </conditionalFormatting>
  <conditionalFormatting sqref="C113">
    <cfRule type="cellIs" dxfId="2530" priority="3167" stopIfTrue="1" operator="equal">
      <formula>"Towel"</formula>
    </cfRule>
    <cfRule type="cellIs" dxfId="2529" priority="3168" stopIfTrue="1" operator="equal">
      <formula>"Napkin Hs"</formula>
    </cfRule>
  </conditionalFormatting>
  <conditionalFormatting sqref="C113">
    <cfRule type="cellIs" dxfId="2528" priority="3169" stopIfTrue="1" operator="equal">
      <formula>"Towel"</formula>
    </cfRule>
  </conditionalFormatting>
  <conditionalFormatting sqref="B113:C113">
    <cfRule type="cellIs" dxfId="2527" priority="3166" stopIfTrue="1" operator="equal">
      <formula>"Napkin Hs"</formula>
    </cfRule>
  </conditionalFormatting>
  <conditionalFormatting sqref="B113:C113">
    <cfRule type="cellIs" dxfId="2526" priority="3165" stopIfTrue="1" operator="equal">
      <formula>"Towel"</formula>
    </cfRule>
  </conditionalFormatting>
  <conditionalFormatting sqref="C113">
    <cfRule type="cellIs" dxfId="2525" priority="3164" stopIfTrue="1" operator="equal">
      <formula>"Napkin Hs"</formula>
    </cfRule>
  </conditionalFormatting>
  <conditionalFormatting sqref="C113">
    <cfRule type="cellIs" dxfId="2524" priority="3161" stopIfTrue="1" operator="equal">
      <formula>"Towel"</formula>
    </cfRule>
    <cfRule type="cellIs" dxfId="2523" priority="3162" stopIfTrue="1" operator="equal">
      <formula>"Napkin Hs"</formula>
    </cfRule>
  </conditionalFormatting>
  <conditionalFormatting sqref="C113">
    <cfRule type="cellIs" dxfId="2522" priority="3163" stopIfTrue="1" operator="equal">
      <formula>"Towel"</formula>
    </cfRule>
  </conditionalFormatting>
  <conditionalFormatting sqref="B113:C113">
    <cfRule type="cellIs" dxfId="2521" priority="3160" stopIfTrue="1" operator="equal">
      <formula>"Napkin Hs"</formula>
    </cfRule>
  </conditionalFormatting>
  <conditionalFormatting sqref="B113:C113">
    <cfRule type="cellIs" dxfId="2520" priority="3159" stopIfTrue="1" operator="equal">
      <formula>"Towel"</formula>
    </cfRule>
  </conditionalFormatting>
  <conditionalFormatting sqref="C113">
    <cfRule type="cellIs" dxfId="2519" priority="3158" stopIfTrue="1" operator="equal">
      <formula>"Napkin Hs"</formula>
    </cfRule>
  </conditionalFormatting>
  <conditionalFormatting sqref="C113">
    <cfRule type="cellIs" dxfId="2518" priority="3155" stopIfTrue="1" operator="equal">
      <formula>"Towel"</formula>
    </cfRule>
    <cfRule type="cellIs" dxfId="2517" priority="3156" stopIfTrue="1" operator="equal">
      <formula>"Napkin Hs"</formula>
    </cfRule>
  </conditionalFormatting>
  <conditionalFormatting sqref="C113">
    <cfRule type="cellIs" dxfId="2516" priority="3157" stopIfTrue="1" operator="equal">
      <formula>"Towel"</formula>
    </cfRule>
  </conditionalFormatting>
  <conditionalFormatting sqref="B111:C111">
    <cfRule type="cellIs" dxfId="2515" priority="3154" stopIfTrue="1" operator="equal">
      <formula>"Napkin Hs"</formula>
    </cfRule>
  </conditionalFormatting>
  <conditionalFormatting sqref="B111:C111">
    <cfRule type="cellIs" dxfId="2514" priority="3153" stopIfTrue="1" operator="equal">
      <formula>"Towel"</formula>
    </cfRule>
  </conditionalFormatting>
  <conditionalFormatting sqref="C111">
    <cfRule type="cellIs" dxfId="2513" priority="3152" stopIfTrue="1" operator="equal">
      <formula>"Napkin Hs"</formula>
    </cfRule>
  </conditionalFormatting>
  <conditionalFormatting sqref="C111">
    <cfRule type="cellIs" dxfId="2512" priority="3149" stopIfTrue="1" operator="equal">
      <formula>"Towel"</formula>
    </cfRule>
    <cfRule type="cellIs" dxfId="2511" priority="3150" stopIfTrue="1" operator="equal">
      <formula>"Napkin Hs"</formula>
    </cfRule>
  </conditionalFormatting>
  <conditionalFormatting sqref="C111">
    <cfRule type="cellIs" dxfId="2510" priority="3151" stopIfTrue="1" operator="equal">
      <formula>"Towel"</formula>
    </cfRule>
  </conditionalFormatting>
  <conditionalFormatting sqref="B111:C111">
    <cfRule type="cellIs" dxfId="2509" priority="3148" stopIfTrue="1" operator="equal">
      <formula>"Napkin Hs"</formula>
    </cfRule>
  </conditionalFormatting>
  <conditionalFormatting sqref="B111:C111">
    <cfRule type="cellIs" dxfId="2508" priority="3147" stopIfTrue="1" operator="equal">
      <formula>"Towel"</formula>
    </cfRule>
  </conditionalFormatting>
  <conditionalFormatting sqref="C111">
    <cfRule type="cellIs" dxfId="2507" priority="3146" stopIfTrue="1" operator="equal">
      <formula>"Napkin Hs"</formula>
    </cfRule>
  </conditionalFormatting>
  <conditionalFormatting sqref="C111">
    <cfRule type="cellIs" dxfId="2506" priority="3143" stopIfTrue="1" operator="equal">
      <formula>"Towel"</formula>
    </cfRule>
    <cfRule type="cellIs" dxfId="2505" priority="3144" stopIfTrue="1" operator="equal">
      <formula>"Napkin Hs"</formula>
    </cfRule>
  </conditionalFormatting>
  <conditionalFormatting sqref="C111">
    <cfRule type="cellIs" dxfId="2504" priority="3145" stopIfTrue="1" operator="equal">
      <formula>"Towel"</formula>
    </cfRule>
  </conditionalFormatting>
  <conditionalFormatting sqref="B112:C112">
    <cfRule type="cellIs" dxfId="2503" priority="3141" stopIfTrue="1" operator="equal">
      <formula>"Towel"</formula>
    </cfRule>
    <cfRule type="cellIs" dxfId="2502" priority="3142" stopIfTrue="1" operator="equal">
      <formula>"Napkin Hs"</formula>
    </cfRule>
  </conditionalFormatting>
  <conditionalFormatting sqref="C112">
    <cfRule type="cellIs" dxfId="2501" priority="3139" stopIfTrue="1" operator="equal">
      <formula>"Towel"</formula>
    </cfRule>
    <cfRule type="cellIs" dxfId="2500" priority="3140" stopIfTrue="1" operator="equal">
      <formula>"Napkin Hs"</formula>
    </cfRule>
  </conditionalFormatting>
  <conditionalFormatting sqref="C112">
    <cfRule type="cellIs" dxfId="2499" priority="3137" stopIfTrue="1" operator="equal">
      <formula>"Towel"</formula>
    </cfRule>
    <cfRule type="cellIs" dxfId="2498" priority="3138" stopIfTrue="1" operator="equal">
      <formula>"Napkin Hs"</formula>
    </cfRule>
  </conditionalFormatting>
  <conditionalFormatting sqref="B112:C112">
    <cfRule type="cellIs" dxfId="2497" priority="3136" stopIfTrue="1" operator="equal">
      <formula>"Napkin Hs"</formula>
    </cfRule>
  </conditionalFormatting>
  <conditionalFormatting sqref="B112:C112">
    <cfRule type="cellIs" dxfId="2496" priority="3135" stopIfTrue="1" operator="equal">
      <formula>"Towel"</formula>
    </cfRule>
  </conditionalFormatting>
  <conditionalFormatting sqref="C112">
    <cfRule type="cellIs" dxfId="2495" priority="3134" stopIfTrue="1" operator="equal">
      <formula>"Napkin Hs"</formula>
    </cfRule>
  </conditionalFormatting>
  <conditionalFormatting sqref="C112">
    <cfRule type="cellIs" dxfId="2494" priority="3133" stopIfTrue="1" operator="equal">
      <formula>"Towel"</formula>
    </cfRule>
  </conditionalFormatting>
  <conditionalFormatting sqref="C112">
    <cfRule type="cellIs" dxfId="2493" priority="3131" stopIfTrue="1" operator="equal">
      <formula>"Towel"</formula>
    </cfRule>
    <cfRule type="cellIs" dxfId="2492" priority="3132" stopIfTrue="1" operator="equal">
      <formula>"Napkin Hs"</formula>
    </cfRule>
  </conditionalFormatting>
  <conditionalFormatting sqref="B112:C112">
    <cfRule type="cellIs" dxfId="2491" priority="3129" stopIfTrue="1" operator="equal">
      <formula>"Towel"</formula>
    </cfRule>
    <cfRule type="cellIs" dxfId="2490" priority="3130" stopIfTrue="1" operator="equal">
      <formula>"Napkin Hs"</formula>
    </cfRule>
  </conditionalFormatting>
  <conditionalFormatting sqref="C112">
    <cfRule type="cellIs" dxfId="2489" priority="3125" stopIfTrue="1" operator="equal">
      <formula>"Towel"</formula>
    </cfRule>
    <cfRule type="cellIs" dxfId="2488" priority="3126" stopIfTrue="1" operator="equal">
      <formula>"Napkin Hs"</formula>
    </cfRule>
  </conditionalFormatting>
  <conditionalFormatting sqref="C112">
    <cfRule type="cellIs" dxfId="2487" priority="3127" stopIfTrue="1" operator="equal">
      <formula>"Towel"</formula>
    </cfRule>
    <cfRule type="cellIs" dxfId="2486" priority="3128" stopIfTrue="1" operator="equal">
      <formula>"Napkin Hs"</formula>
    </cfRule>
  </conditionalFormatting>
  <conditionalFormatting sqref="B112:C112">
    <cfRule type="cellIs" dxfId="2485" priority="3124" stopIfTrue="1" operator="equal">
      <formula>"Napkin Hs"</formula>
    </cfRule>
  </conditionalFormatting>
  <conditionalFormatting sqref="B112:C112">
    <cfRule type="cellIs" dxfId="2484" priority="3123" stopIfTrue="1" operator="equal">
      <formula>"Towel"</formula>
    </cfRule>
  </conditionalFormatting>
  <conditionalFormatting sqref="C112">
    <cfRule type="cellIs" dxfId="2483" priority="3122" stopIfTrue="1" operator="equal">
      <formula>"Napkin Hs"</formula>
    </cfRule>
  </conditionalFormatting>
  <conditionalFormatting sqref="C112">
    <cfRule type="cellIs" dxfId="2482" priority="3121" stopIfTrue="1" operator="equal">
      <formula>"Towel"</formula>
    </cfRule>
  </conditionalFormatting>
  <conditionalFormatting sqref="C112">
    <cfRule type="cellIs" dxfId="2481" priority="3119" stopIfTrue="1" operator="equal">
      <formula>"Towel"</formula>
    </cfRule>
    <cfRule type="cellIs" dxfId="2480" priority="3120" stopIfTrue="1" operator="equal">
      <formula>"Napkin Hs"</formula>
    </cfRule>
  </conditionalFormatting>
  <conditionalFormatting sqref="B112:C112">
    <cfRule type="cellIs" dxfId="2479" priority="3117" stopIfTrue="1" operator="equal">
      <formula>"Towel"</formula>
    </cfRule>
    <cfRule type="cellIs" dxfId="2478" priority="3118" stopIfTrue="1" operator="equal">
      <formula>"Napkin Hs"</formula>
    </cfRule>
  </conditionalFormatting>
  <conditionalFormatting sqref="C112">
    <cfRule type="cellIs" dxfId="2477" priority="3115" stopIfTrue="1" operator="equal">
      <formula>"Towel"</formula>
    </cfRule>
    <cfRule type="cellIs" dxfId="2476" priority="3116" stopIfTrue="1" operator="equal">
      <formula>"Napkin Hs"</formula>
    </cfRule>
  </conditionalFormatting>
  <conditionalFormatting sqref="C112">
    <cfRule type="cellIs" dxfId="2475" priority="3113" stopIfTrue="1" operator="equal">
      <formula>"Towel"</formula>
    </cfRule>
    <cfRule type="cellIs" dxfId="2474" priority="3114" stopIfTrue="1" operator="equal">
      <formula>"Napkin Hs"</formula>
    </cfRule>
  </conditionalFormatting>
  <conditionalFormatting sqref="B112:C112">
    <cfRule type="cellIs" dxfId="2473" priority="3111" stopIfTrue="1" operator="equal">
      <formula>"Towel"</formula>
    </cfRule>
    <cfRule type="cellIs" dxfId="2472" priority="3112" stopIfTrue="1" operator="equal">
      <formula>"Napkin Hs"</formula>
    </cfRule>
  </conditionalFormatting>
  <conditionalFormatting sqref="C112">
    <cfRule type="cellIs" dxfId="2471" priority="3109" stopIfTrue="1" operator="equal">
      <formula>"Towel"</formula>
    </cfRule>
    <cfRule type="cellIs" dxfId="2470" priority="3110" stopIfTrue="1" operator="equal">
      <formula>"Napkin Hs"</formula>
    </cfRule>
  </conditionalFormatting>
  <conditionalFormatting sqref="C112">
    <cfRule type="cellIs" dxfId="2469" priority="3107" stopIfTrue="1" operator="equal">
      <formula>"Towel"</formula>
    </cfRule>
    <cfRule type="cellIs" dxfId="2468" priority="3108" stopIfTrue="1" operator="equal">
      <formula>"Napkin Hs"</formula>
    </cfRule>
  </conditionalFormatting>
  <conditionalFormatting sqref="B112:C112">
    <cfRule type="cellIs" dxfId="2467" priority="3105" stopIfTrue="1" operator="equal">
      <formula>"Towel"</formula>
    </cfRule>
    <cfRule type="cellIs" dxfId="2466" priority="3106" stopIfTrue="1" operator="equal">
      <formula>"Napkin Hs"</formula>
    </cfRule>
  </conditionalFormatting>
  <conditionalFormatting sqref="C112">
    <cfRule type="cellIs" dxfId="2465" priority="3103" stopIfTrue="1" operator="equal">
      <formula>"Towel"</formula>
    </cfRule>
    <cfRule type="cellIs" dxfId="2464" priority="3104" stopIfTrue="1" operator="equal">
      <formula>"Napkin Hs"</formula>
    </cfRule>
  </conditionalFormatting>
  <conditionalFormatting sqref="C112">
    <cfRule type="cellIs" dxfId="2463" priority="3101" stopIfTrue="1" operator="equal">
      <formula>"Towel"</formula>
    </cfRule>
    <cfRule type="cellIs" dxfId="2462" priority="3102" stopIfTrue="1" operator="equal">
      <formula>"Napkin Hs"</formula>
    </cfRule>
  </conditionalFormatting>
  <conditionalFormatting sqref="B112:C112">
    <cfRule type="cellIs" dxfId="2461" priority="3099" stopIfTrue="1" operator="equal">
      <formula>"Towel"</formula>
    </cfRule>
    <cfRule type="cellIs" dxfId="2460" priority="3100" stopIfTrue="1" operator="equal">
      <formula>"Napkin Hs"</formula>
    </cfRule>
  </conditionalFormatting>
  <conditionalFormatting sqref="C112">
    <cfRule type="cellIs" dxfId="2459" priority="3097" stopIfTrue="1" operator="equal">
      <formula>"Towel"</formula>
    </cfRule>
    <cfRule type="cellIs" dxfId="2458" priority="3098" stopIfTrue="1" operator="equal">
      <formula>"Napkin Hs"</formula>
    </cfRule>
  </conditionalFormatting>
  <conditionalFormatting sqref="C112">
    <cfRule type="cellIs" dxfId="2457" priority="3095" stopIfTrue="1" operator="equal">
      <formula>"Towel"</formula>
    </cfRule>
    <cfRule type="cellIs" dxfId="2456" priority="3096" stopIfTrue="1" operator="equal">
      <formula>"Napkin Hs"</formula>
    </cfRule>
  </conditionalFormatting>
  <conditionalFormatting sqref="B112:C112">
    <cfRule type="cellIs" dxfId="2455" priority="3093" stopIfTrue="1" operator="equal">
      <formula>"Towel"</formula>
    </cfRule>
    <cfRule type="cellIs" dxfId="2454" priority="3094" stopIfTrue="1" operator="equal">
      <formula>"Napkin Hs"</formula>
    </cfRule>
  </conditionalFormatting>
  <conditionalFormatting sqref="C112">
    <cfRule type="cellIs" dxfId="2453" priority="3091" stopIfTrue="1" operator="equal">
      <formula>"Towel"</formula>
    </cfRule>
    <cfRule type="cellIs" dxfId="2452" priority="3092" stopIfTrue="1" operator="equal">
      <formula>"Napkin Hs"</formula>
    </cfRule>
  </conditionalFormatting>
  <conditionalFormatting sqref="C112">
    <cfRule type="cellIs" dxfId="2451" priority="3089" stopIfTrue="1" operator="equal">
      <formula>"Towel"</formula>
    </cfRule>
    <cfRule type="cellIs" dxfId="2450" priority="3090" stopIfTrue="1" operator="equal">
      <formula>"Napkin Hs"</formula>
    </cfRule>
  </conditionalFormatting>
  <conditionalFormatting sqref="B112:C112">
    <cfRule type="cellIs" dxfId="2449" priority="3088" stopIfTrue="1" operator="equal">
      <formula>"Napkin Hs"</formula>
    </cfRule>
  </conditionalFormatting>
  <conditionalFormatting sqref="B112:C112">
    <cfRule type="cellIs" dxfId="2448" priority="3087" stopIfTrue="1" operator="equal">
      <formula>"Towel"</formula>
    </cfRule>
  </conditionalFormatting>
  <conditionalFormatting sqref="C112">
    <cfRule type="cellIs" dxfId="2447" priority="3086" stopIfTrue="1" operator="equal">
      <formula>"Napkin Hs"</formula>
    </cfRule>
  </conditionalFormatting>
  <conditionalFormatting sqref="C112">
    <cfRule type="cellIs" dxfId="2446" priority="3083" stopIfTrue="1" operator="equal">
      <formula>"Towel"</formula>
    </cfRule>
    <cfRule type="cellIs" dxfId="2445" priority="3084" stopIfTrue="1" operator="equal">
      <formula>"Napkin Hs"</formula>
    </cfRule>
  </conditionalFormatting>
  <conditionalFormatting sqref="C112">
    <cfRule type="cellIs" dxfId="2444" priority="3085" stopIfTrue="1" operator="equal">
      <formula>"Towel"</formula>
    </cfRule>
  </conditionalFormatting>
  <conditionalFormatting sqref="B112:C112">
    <cfRule type="cellIs" dxfId="2443" priority="3082" stopIfTrue="1" operator="equal">
      <formula>"Napkin Hs"</formula>
    </cfRule>
  </conditionalFormatting>
  <conditionalFormatting sqref="B112:C112">
    <cfRule type="cellIs" dxfId="2442" priority="3081" stopIfTrue="1" operator="equal">
      <formula>"Towel"</formula>
    </cfRule>
  </conditionalFormatting>
  <conditionalFormatting sqref="C112">
    <cfRule type="cellIs" dxfId="2441" priority="3080" stopIfTrue="1" operator="equal">
      <formula>"Napkin Hs"</formula>
    </cfRule>
  </conditionalFormatting>
  <conditionalFormatting sqref="C112">
    <cfRule type="cellIs" dxfId="2440" priority="3079" stopIfTrue="1" operator="equal">
      <formula>"Towel"</formula>
    </cfRule>
  </conditionalFormatting>
  <conditionalFormatting sqref="C112">
    <cfRule type="cellIs" dxfId="2439" priority="3077" stopIfTrue="1" operator="equal">
      <formula>"Towel"</formula>
    </cfRule>
    <cfRule type="cellIs" dxfId="2438" priority="3078" stopIfTrue="1" operator="equal">
      <formula>"Napkin Hs"</formula>
    </cfRule>
  </conditionalFormatting>
  <conditionalFormatting sqref="B112:C112">
    <cfRule type="cellIs" dxfId="2437" priority="3075" stopIfTrue="1" operator="equal">
      <formula>"Towel"</formula>
    </cfRule>
    <cfRule type="cellIs" dxfId="2436" priority="3076" stopIfTrue="1" operator="equal">
      <formula>"Napkin Hs"</formula>
    </cfRule>
  </conditionalFormatting>
  <conditionalFormatting sqref="C112">
    <cfRule type="cellIs" dxfId="2435" priority="3071" stopIfTrue="1" operator="equal">
      <formula>"Towel"</formula>
    </cfRule>
    <cfRule type="cellIs" dxfId="2434" priority="3072" stopIfTrue="1" operator="equal">
      <formula>"Napkin Hs"</formula>
    </cfRule>
  </conditionalFormatting>
  <conditionalFormatting sqref="C112">
    <cfRule type="cellIs" dxfId="2433" priority="3073" stopIfTrue="1" operator="equal">
      <formula>"Towel"</formula>
    </cfRule>
    <cfRule type="cellIs" dxfId="2432" priority="3074" stopIfTrue="1" operator="equal">
      <formula>"Napkin Hs"</formula>
    </cfRule>
  </conditionalFormatting>
  <conditionalFormatting sqref="B112:C112">
    <cfRule type="cellIs" dxfId="2431" priority="3070" stopIfTrue="1" operator="equal">
      <formula>"Napkin Hs"</formula>
    </cfRule>
  </conditionalFormatting>
  <conditionalFormatting sqref="B112:C112">
    <cfRule type="cellIs" dxfId="2430" priority="3069" stopIfTrue="1" operator="equal">
      <formula>"Towel"</formula>
    </cfRule>
  </conditionalFormatting>
  <conditionalFormatting sqref="C112">
    <cfRule type="cellIs" dxfId="2429" priority="3068" stopIfTrue="1" operator="equal">
      <formula>"Napkin Hs"</formula>
    </cfRule>
  </conditionalFormatting>
  <conditionalFormatting sqref="C112">
    <cfRule type="cellIs" dxfId="2428" priority="3067" stopIfTrue="1" operator="equal">
      <formula>"Towel"</formula>
    </cfRule>
  </conditionalFormatting>
  <conditionalFormatting sqref="C112">
    <cfRule type="cellIs" dxfId="2427" priority="3065" stopIfTrue="1" operator="equal">
      <formula>"Towel"</formula>
    </cfRule>
    <cfRule type="cellIs" dxfId="2426" priority="3066" stopIfTrue="1" operator="equal">
      <formula>"Napkin Hs"</formula>
    </cfRule>
  </conditionalFormatting>
  <conditionalFormatting sqref="B112:C112">
    <cfRule type="cellIs" dxfId="2425" priority="3063" stopIfTrue="1" operator="equal">
      <formula>"Towel"</formula>
    </cfRule>
    <cfRule type="cellIs" dxfId="2424" priority="3064" stopIfTrue="1" operator="equal">
      <formula>"Napkin Hs"</formula>
    </cfRule>
  </conditionalFormatting>
  <conditionalFormatting sqref="C112">
    <cfRule type="cellIs" dxfId="2423" priority="3061" stopIfTrue="1" operator="equal">
      <formula>"Towel"</formula>
    </cfRule>
    <cfRule type="cellIs" dxfId="2422" priority="3062" stopIfTrue="1" operator="equal">
      <formula>"Napkin Hs"</formula>
    </cfRule>
  </conditionalFormatting>
  <conditionalFormatting sqref="C112">
    <cfRule type="cellIs" dxfId="2421" priority="3059" stopIfTrue="1" operator="equal">
      <formula>"Towel"</formula>
    </cfRule>
    <cfRule type="cellIs" dxfId="2420" priority="3060" stopIfTrue="1" operator="equal">
      <formula>"Napkin Hs"</formula>
    </cfRule>
  </conditionalFormatting>
  <conditionalFormatting sqref="B112:C112">
    <cfRule type="cellIs" dxfId="2419" priority="3057" stopIfTrue="1" operator="equal">
      <formula>"Towel"</formula>
    </cfRule>
    <cfRule type="cellIs" dxfId="2418" priority="3058" stopIfTrue="1" operator="equal">
      <formula>"Napkin Hs"</formula>
    </cfRule>
  </conditionalFormatting>
  <conditionalFormatting sqref="C112">
    <cfRule type="cellIs" dxfId="2417" priority="3055" stopIfTrue="1" operator="equal">
      <formula>"Towel"</formula>
    </cfRule>
    <cfRule type="cellIs" dxfId="2416" priority="3056" stopIfTrue="1" operator="equal">
      <formula>"Napkin Hs"</formula>
    </cfRule>
  </conditionalFormatting>
  <conditionalFormatting sqref="C112">
    <cfRule type="cellIs" dxfId="2415" priority="3053" stopIfTrue="1" operator="equal">
      <formula>"Towel"</formula>
    </cfRule>
    <cfRule type="cellIs" dxfId="2414" priority="3054" stopIfTrue="1" operator="equal">
      <formula>"Napkin Hs"</formula>
    </cfRule>
  </conditionalFormatting>
  <conditionalFormatting sqref="B112:C112">
    <cfRule type="cellIs" dxfId="2413" priority="3051" stopIfTrue="1" operator="equal">
      <formula>"Towel"</formula>
    </cfRule>
    <cfRule type="cellIs" dxfId="2412" priority="3052" stopIfTrue="1" operator="equal">
      <formula>"Napkin Hs"</formula>
    </cfRule>
  </conditionalFormatting>
  <conditionalFormatting sqref="C112">
    <cfRule type="cellIs" dxfId="2411" priority="3049" stopIfTrue="1" operator="equal">
      <formula>"Towel"</formula>
    </cfRule>
    <cfRule type="cellIs" dxfId="2410" priority="3050" stopIfTrue="1" operator="equal">
      <formula>"Napkin Hs"</formula>
    </cfRule>
  </conditionalFormatting>
  <conditionalFormatting sqref="C112">
    <cfRule type="cellIs" dxfId="2409" priority="3047" stopIfTrue="1" operator="equal">
      <formula>"Towel"</formula>
    </cfRule>
    <cfRule type="cellIs" dxfId="2408" priority="3048" stopIfTrue="1" operator="equal">
      <formula>"Napkin Hs"</formula>
    </cfRule>
  </conditionalFormatting>
  <conditionalFormatting sqref="B112:C112">
    <cfRule type="cellIs" dxfId="2407" priority="3045" stopIfTrue="1" operator="equal">
      <formula>"Towel"</formula>
    </cfRule>
    <cfRule type="cellIs" dxfId="2406" priority="3046" stopIfTrue="1" operator="equal">
      <formula>"Napkin Hs"</formula>
    </cfRule>
  </conditionalFormatting>
  <conditionalFormatting sqref="C112">
    <cfRule type="cellIs" dxfId="2405" priority="3043" stopIfTrue="1" operator="equal">
      <formula>"Towel"</formula>
    </cfRule>
    <cfRule type="cellIs" dxfId="2404" priority="3044" stopIfTrue="1" operator="equal">
      <formula>"Napkin Hs"</formula>
    </cfRule>
  </conditionalFormatting>
  <conditionalFormatting sqref="C112">
    <cfRule type="cellIs" dxfId="2403" priority="3041" stopIfTrue="1" operator="equal">
      <formula>"Towel"</formula>
    </cfRule>
    <cfRule type="cellIs" dxfId="2402" priority="3042" stopIfTrue="1" operator="equal">
      <formula>"Napkin Hs"</formula>
    </cfRule>
  </conditionalFormatting>
  <conditionalFormatting sqref="B112:C112">
    <cfRule type="cellIs" dxfId="2401" priority="3039" stopIfTrue="1" operator="equal">
      <formula>"Towel"</formula>
    </cfRule>
    <cfRule type="cellIs" dxfId="2400" priority="3040" stopIfTrue="1" operator="equal">
      <formula>"Napkin Hs"</formula>
    </cfRule>
  </conditionalFormatting>
  <conditionalFormatting sqref="C112">
    <cfRule type="cellIs" dxfId="2399" priority="3037" stopIfTrue="1" operator="equal">
      <formula>"Towel"</formula>
    </cfRule>
    <cfRule type="cellIs" dxfId="2398" priority="3038" stopIfTrue="1" operator="equal">
      <formula>"Napkin Hs"</formula>
    </cfRule>
  </conditionalFormatting>
  <conditionalFormatting sqref="C112">
    <cfRule type="cellIs" dxfId="2397" priority="3035" stopIfTrue="1" operator="equal">
      <formula>"Towel"</formula>
    </cfRule>
    <cfRule type="cellIs" dxfId="2396" priority="3036" stopIfTrue="1" operator="equal">
      <formula>"Napkin Hs"</formula>
    </cfRule>
  </conditionalFormatting>
  <conditionalFormatting sqref="B112:C112">
    <cfRule type="cellIs" dxfId="2395" priority="3034" stopIfTrue="1" operator="equal">
      <formula>"Napkin Hs"</formula>
    </cfRule>
  </conditionalFormatting>
  <conditionalFormatting sqref="B112:C112">
    <cfRule type="cellIs" dxfId="2394" priority="3033" stopIfTrue="1" operator="equal">
      <formula>"Towel"</formula>
    </cfRule>
  </conditionalFormatting>
  <conditionalFormatting sqref="C112">
    <cfRule type="cellIs" dxfId="2393" priority="3032" stopIfTrue="1" operator="equal">
      <formula>"Napkin Hs"</formula>
    </cfRule>
  </conditionalFormatting>
  <conditionalFormatting sqref="C112">
    <cfRule type="cellIs" dxfId="2392" priority="3029" stopIfTrue="1" operator="equal">
      <formula>"Towel"</formula>
    </cfRule>
    <cfRule type="cellIs" dxfId="2391" priority="3030" stopIfTrue="1" operator="equal">
      <formula>"Napkin Hs"</formula>
    </cfRule>
  </conditionalFormatting>
  <conditionalFormatting sqref="C112">
    <cfRule type="cellIs" dxfId="2390" priority="3031" stopIfTrue="1" operator="equal">
      <formula>"Towel"</formula>
    </cfRule>
  </conditionalFormatting>
  <conditionalFormatting sqref="B112:C112">
    <cfRule type="cellIs" dxfId="2389" priority="3028" stopIfTrue="1" operator="equal">
      <formula>"Napkin Hs"</formula>
    </cfRule>
  </conditionalFormatting>
  <conditionalFormatting sqref="B112:C112">
    <cfRule type="cellIs" dxfId="2388" priority="3027" stopIfTrue="1" operator="equal">
      <formula>"Towel"</formula>
    </cfRule>
  </conditionalFormatting>
  <conditionalFormatting sqref="C112">
    <cfRule type="cellIs" dxfId="2387" priority="3026" stopIfTrue="1" operator="equal">
      <formula>"Napkin Hs"</formula>
    </cfRule>
  </conditionalFormatting>
  <conditionalFormatting sqref="C112">
    <cfRule type="cellIs" dxfId="2386" priority="3023" stopIfTrue="1" operator="equal">
      <formula>"Towel"</formula>
    </cfRule>
    <cfRule type="cellIs" dxfId="2385" priority="3024" stopIfTrue="1" operator="equal">
      <formula>"Napkin Hs"</formula>
    </cfRule>
  </conditionalFormatting>
  <conditionalFormatting sqref="C112">
    <cfRule type="cellIs" dxfId="2384" priority="3025" stopIfTrue="1" operator="equal">
      <formula>"Towel"</formula>
    </cfRule>
  </conditionalFormatting>
  <conditionalFormatting sqref="B112:C112">
    <cfRule type="cellIs" dxfId="2383" priority="3022" stopIfTrue="1" operator="equal">
      <formula>"Napkin Hs"</formula>
    </cfRule>
  </conditionalFormatting>
  <conditionalFormatting sqref="B112:C112">
    <cfRule type="cellIs" dxfId="2382" priority="3021" stopIfTrue="1" operator="equal">
      <formula>"Towel"</formula>
    </cfRule>
  </conditionalFormatting>
  <conditionalFormatting sqref="C112">
    <cfRule type="cellIs" dxfId="2381" priority="3020" stopIfTrue="1" operator="equal">
      <formula>"Napkin Hs"</formula>
    </cfRule>
  </conditionalFormatting>
  <conditionalFormatting sqref="C112">
    <cfRule type="cellIs" dxfId="2380" priority="3017" stopIfTrue="1" operator="equal">
      <formula>"Towel"</formula>
    </cfRule>
    <cfRule type="cellIs" dxfId="2379" priority="3018" stopIfTrue="1" operator="equal">
      <formula>"Napkin Hs"</formula>
    </cfRule>
  </conditionalFormatting>
  <conditionalFormatting sqref="C112">
    <cfRule type="cellIs" dxfId="2378" priority="3019" stopIfTrue="1" operator="equal">
      <formula>"Towel"</formula>
    </cfRule>
  </conditionalFormatting>
  <conditionalFormatting sqref="B118:C118">
    <cfRule type="cellIs" dxfId="2377" priority="3016" stopIfTrue="1" operator="equal">
      <formula>"Napkin Hs"</formula>
    </cfRule>
  </conditionalFormatting>
  <conditionalFormatting sqref="B118:C118">
    <cfRule type="cellIs" dxfId="2376" priority="3015" stopIfTrue="1" operator="equal">
      <formula>"Towel"</formula>
    </cfRule>
  </conditionalFormatting>
  <conditionalFormatting sqref="C119">
    <cfRule type="cellIs" dxfId="2375" priority="3003" stopIfTrue="1" operator="equal">
      <formula>"Towel"</formula>
    </cfRule>
    <cfRule type="cellIs" dxfId="2374" priority="3004" stopIfTrue="1" operator="equal">
      <formula>"Napkin Hs"</formula>
    </cfRule>
  </conditionalFormatting>
  <conditionalFormatting sqref="B119:C119">
    <cfRule type="cellIs" dxfId="2373" priority="3009" stopIfTrue="1" operator="equal">
      <formula>"Towel"</formula>
    </cfRule>
    <cfRule type="cellIs" dxfId="2372" priority="3010" stopIfTrue="1" operator="equal">
      <formula>"Napkin Hs"</formula>
    </cfRule>
  </conditionalFormatting>
  <conditionalFormatting sqref="C118">
    <cfRule type="cellIs" dxfId="2371" priority="3014" stopIfTrue="1" operator="equal">
      <formula>"Napkin Hs"</formula>
    </cfRule>
  </conditionalFormatting>
  <conditionalFormatting sqref="C118">
    <cfRule type="cellIs" dxfId="2370" priority="3013" stopIfTrue="1" operator="equal">
      <formula>"Towel"</formula>
    </cfRule>
  </conditionalFormatting>
  <conditionalFormatting sqref="C118">
    <cfRule type="cellIs" dxfId="2369" priority="3011" stopIfTrue="1" operator="equal">
      <formula>"Towel"</formula>
    </cfRule>
    <cfRule type="cellIs" dxfId="2368" priority="3012" stopIfTrue="1" operator="equal">
      <formula>"Napkin Hs"</formula>
    </cfRule>
  </conditionalFormatting>
  <conditionalFormatting sqref="C119">
    <cfRule type="cellIs" dxfId="2367" priority="3007" stopIfTrue="1" operator="equal">
      <formula>"Towel"</formula>
    </cfRule>
    <cfRule type="cellIs" dxfId="2366" priority="3008" stopIfTrue="1" operator="equal">
      <formula>"Napkin Hs"</formula>
    </cfRule>
  </conditionalFormatting>
  <conditionalFormatting sqref="B118:C119">
    <cfRule type="cellIs" dxfId="2365" priority="2994" stopIfTrue="1" operator="equal">
      <formula>"Napkin Hs"</formula>
    </cfRule>
  </conditionalFormatting>
  <conditionalFormatting sqref="B118:C119">
    <cfRule type="cellIs" dxfId="2364" priority="2993" stopIfTrue="1" operator="equal">
      <formula>"Towel"</formula>
    </cfRule>
  </conditionalFormatting>
  <conditionalFormatting sqref="C118:C119">
    <cfRule type="cellIs" dxfId="2363" priority="2992" stopIfTrue="1" operator="equal">
      <formula>"Napkin Hs"</formula>
    </cfRule>
  </conditionalFormatting>
  <conditionalFormatting sqref="C118:C119">
    <cfRule type="cellIs" dxfId="2362" priority="2991" stopIfTrue="1" operator="equal">
      <formula>"Towel"</formula>
    </cfRule>
  </conditionalFormatting>
  <conditionalFormatting sqref="C118:C119">
    <cfRule type="cellIs" dxfId="2361" priority="2989" stopIfTrue="1" operator="equal">
      <formula>"Towel"</formula>
    </cfRule>
    <cfRule type="cellIs" dxfId="2360" priority="2990" stopIfTrue="1" operator="equal">
      <formula>"Napkin Hs"</formula>
    </cfRule>
  </conditionalFormatting>
  <conditionalFormatting sqref="B118:C119">
    <cfRule type="cellIs" dxfId="2359" priority="2987" stopIfTrue="1" operator="equal">
      <formula>"Towel"</formula>
    </cfRule>
    <cfRule type="cellIs" dxfId="2358" priority="2988" stopIfTrue="1" operator="equal">
      <formula>"Napkin Hs"</formula>
    </cfRule>
  </conditionalFormatting>
  <conditionalFormatting sqref="C118:C119">
    <cfRule type="cellIs" dxfId="2357" priority="2983" stopIfTrue="1" operator="equal">
      <formula>"Towel"</formula>
    </cfRule>
    <cfRule type="cellIs" dxfId="2356" priority="2984" stopIfTrue="1" operator="equal">
      <formula>"Napkin Hs"</formula>
    </cfRule>
  </conditionalFormatting>
  <conditionalFormatting sqref="C118:C119">
    <cfRule type="cellIs" dxfId="2355" priority="2985" stopIfTrue="1" operator="equal">
      <formula>"Towel"</formula>
    </cfRule>
    <cfRule type="cellIs" dxfId="2354" priority="2986" stopIfTrue="1" operator="equal">
      <formula>"Napkin Hs"</formula>
    </cfRule>
  </conditionalFormatting>
  <conditionalFormatting sqref="B118:C119">
    <cfRule type="cellIs" dxfId="2353" priority="2982" stopIfTrue="1" operator="equal">
      <formula>"Napkin Hs"</formula>
    </cfRule>
  </conditionalFormatting>
  <conditionalFormatting sqref="B118:C119">
    <cfRule type="cellIs" dxfId="2352" priority="2981" stopIfTrue="1" operator="equal">
      <formula>"Towel"</formula>
    </cfRule>
  </conditionalFormatting>
  <conditionalFormatting sqref="C118:C119">
    <cfRule type="cellIs" dxfId="2351" priority="2980" stopIfTrue="1" operator="equal">
      <formula>"Napkin Hs"</formula>
    </cfRule>
  </conditionalFormatting>
  <conditionalFormatting sqref="C118:C119">
    <cfRule type="cellIs" dxfId="2350" priority="2979" stopIfTrue="1" operator="equal">
      <formula>"Towel"</formula>
    </cfRule>
  </conditionalFormatting>
  <conditionalFormatting sqref="C118:C119">
    <cfRule type="cellIs" dxfId="2349" priority="2977" stopIfTrue="1" operator="equal">
      <formula>"Towel"</formula>
    </cfRule>
    <cfRule type="cellIs" dxfId="2348" priority="2978" stopIfTrue="1" operator="equal">
      <formula>"Napkin Hs"</formula>
    </cfRule>
  </conditionalFormatting>
  <conditionalFormatting sqref="B118:C119">
    <cfRule type="cellIs" dxfId="2347" priority="2975" stopIfTrue="1" operator="equal">
      <formula>"Towel"</formula>
    </cfRule>
    <cfRule type="cellIs" dxfId="2346" priority="2976" stopIfTrue="1" operator="equal">
      <formula>"Napkin Hs"</formula>
    </cfRule>
  </conditionalFormatting>
  <conditionalFormatting sqref="C118:C119">
    <cfRule type="cellIs" dxfId="2345" priority="2973" stopIfTrue="1" operator="equal">
      <formula>"Towel"</formula>
    </cfRule>
    <cfRule type="cellIs" dxfId="2344" priority="2974" stopIfTrue="1" operator="equal">
      <formula>"Napkin Hs"</formula>
    </cfRule>
  </conditionalFormatting>
  <conditionalFormatting sqref="C118:C119">
    <cfRule type="cellIs" dxfId="2343" priority="2971" stopIfTrue="1" operator="equal">
      <formula>"Towel"</formula>
    </cfRule>
    <cfRule type="cellIs" dxfId="2342" priority="2972" stopIfTrue="1" operator="equal">
      <formula>"Napkin Hs"</formula>
    </cfRule>
  </conditionalFormatting>
  <conditionalFormatting sqref="B118:C119">
    <cfRule type="cellIs" dxfId="2341" priority="2969" stopIfTrue="1" operator="equal">
      <formula>"Towel"</formula>
    </cfRule>
    <cfRule type="cellIs" dxfId="2340" priority="2970" stopIfTrue="1" operator="equal">
      <formula>"Napkin Hs"</formula>
    </cfRule>
  </conditionalFormatting>
  <conditionalFormatting sqref="C118:C119">
    <cfRule type="cellIs" dxfId="2339" priority="2967" stopIfTrue="1" operator="equal">
      <formula>"Towel"</formula>
    </cfRule>
    <cfRule type="cellIs" dxfId="2338" priority="2968" stopIfTrue="1" operator="equal">
      <formula>"Napkin Hs"</formula>
    </cfRule>
  </conditionalFormatting>
  <conditionalFormatting sqref="C118:C119">
    <cfRule type="cellIs" dxfId="2337" priority="2965" stopIfTrue="1" operator="equal">
      <formula>"Towel"</formula>
    </cfRule>
    <cfRule type="cellIs" dxfId="2336" priority="2966" stopIfTrue="1" operator="equal">
      <formula>"Napkin Hs"</formula>
    </cfRule>
  </conditionalFormatting>
  <conditionalFormatting sqref="B118:C119">
    <cfRule type="cellIs" dxfId="2335" priority="2963" stopIfTrue="1" operator="equal">
      <formula>"Towel"</formula>
    </cfRule>
    <cfRule type="cellIs" dxfId="2334" priority="2964" stopIfTrue="1" operator="equal">
      <formula>"Napkin Hs"</formula>
    </cfRule>
  </conditionalFormatting>
  <conditionalFormatting sqref="C118:C119">
    <cfRule type="cellIs" dxfId="2333" priority="2961" stopIfTrue="1" operator="equal">
      <formula>"Towel"</formula>
    </cfRule>
    <cfRule type="cellIs" dxfId="2332" priority="2962" stopIfTrue="1" operator="equal">
      <formula>"Napkin Hs"</formula>
    </cfRule>
  </conditionalFormatting>
  <conditionalFormatting sqref="C118:C119">
    <cfRule type="cellIs" dxfId="2331" priority="2959" stopIfTrue="1" operator="equal">
      <formula>"Towel"</formula>
    </cfRule>
    <cfRule type="cellIs" dxfId="2330" priority="2960" stopIfTrue="1" operator="equal">
      <formula>"Napkin Hs"</formula>
    </cfRule>
  </conditionalFormatting>
  <conditionalFormatting sqref="B118:C119">
    <cfRule type="cellIs" dxfId="2329" priority="2957" stopIfTrue="1" operator="equal">
      <formula>"Towel"</formula>
    </cfRule>
    <cfRule type="cellIs" dxfId="2328" priority="2958" stopIfTrue="1" operator="equal">
      <formula>"Napkin Hs"</formula>
    </cfRule>
  </conditionalFormatting>
  <conditionalFormatting sqref="C118:C119">
    <cfRule type="cellIs" dxfId="2327" priority="2955" stopIfTrue="1" operator="equal">
      <formula>"Towel"</formula>
    </cfRule>
    <cfRule type="cellIs" dxfId="2326" priority="2956" stopIfTrue="1" operator="equal">
      <formula>"Napkin Hs"</formula>
    </cfRule>
  </conditionalFormatting>
  <conditionalFormatting sqref="C118:C119">
    <cfRule type="cellIs" dxfId="2325" priority="2953" stopIfTrue="1" operator="equal">
      <formula>"Towel"</formula>
    </cfRule>
    <cfRule type="cellIs" dxfId="2324" priority="2954" stopIfTrue="1" operator="equal">
      <formula>"Napkin Hs"</formula>
    </cfRule>
  </conditionalFormatting>
  <conditionalFormatting sqref="B118:C119">
    <cfRule type="cellIs" dxfId="2323" priority="2951" stopIfTrue="1" operator="equal">
      <formula>"Towel"</formula>
    </cfRule>
    <cfRule type="cellIs" dxfId="2322" priority="2952" stopIfTrue="1" operator="equal">
      <formula>"Napkin Hs"</formula>
    </cfRule>
  </conditionalFormatting>
  <conditionalFormatting sqref="C118:C119">
    <cfRule type="cellIs" dxfId="2321" priority="2949" stopIfTrue="1" operator="equal">
      <formula>"Towel"</formula>
    </cfRule>
    <cfRule type="cellIs" dxfId="2320" priority="2950" stopIfTrue="1" operator="equal">
      <formula>"Napkin Hs"</formula>
    </cfRule>
  </conditionalFormatting>
  <conditionalFormatting sqref="C118:C119">
    <cfRule type="cellIs" dxfId="2319" priority="2947" stopIfTrue="1" operator="equal">
      <formula>"Towel"</formula>
    </cfRule>
    <cfRule type="cellIs" dxfId="2318" priority="2948" stopIfTrue="1" operator="equal">
      <formula>"Napkin Hs"</formula>
    </cfRule>
  </conditionalFormatting>
  <conditionalFormatting sqref="B118:C119">
    <cfRule type="cellIs" dxfId="2317" priority="2946" stopIfTrue="1" operator="equal">
      <formula>"Napkin Hs"</formula>
    </cfRule>
  </conditionalFormatting>
  <conditionalFormatting sqref="B118:C119">
    <cfRule type="cellIs" dxfId="2316" priority="2945" stopIfTrue="1" operator="equal">
      <formula>"Towel"</formula>
    </cfRule>
  </conditionalFormatting>
  <conditionalFormatting sqref="C118:C119">
    <cfRule type="cellIs" dxfId="2315" priority="2944" stopIfTrue="1" operator="equal">
      <formula>"Napkin Hs"</formula>
    </cfRule>
  </conditionalFormatting>
  <conditionalFormatting sqref="C118:C119">
    <cfRule type="cellIs" dxfId="2314" priority="2941" stopIfTrue="1" operator="equal">
      <formula>"Towel"</formula>
    </cfRule>
    <cfRule type="cellIs" dxfId="2313" priority="2942" stopIfTrue="1" operator="equal">
      <formula>"Napkin Hs"</formula>
    </cfRule>
  </conditionalFormatting>
  <conditionalFormatting sqref="C118:C119">
    <cfRule type="cellIs" dxfId="2312" priority="2943" stopIfTrue="1" operator="equal">
      <formula>"Towel"</formula>
    </cfRule>
  </conditionalFormatting>
  <conditionalFormatting sqref="B118:C118">
    <cfRule type="cellIs" dxfId="2311" priority="2940" stopIfTrue="1" operator="equal">
      <formula>"Napkin Hs"</formula>
    </cfRule>
  </conditionalFormatting>
  <conditionalFormatting sqref="B118:C118">
    <cfRule type="cellIs" dxfId="2310" priority="2939" stopIfTrue="1" operator="equal">
      <formula>"Towel"</formula>
    </cfRule>
  </conditionalFormatting>
  <conditionalFormatting sqref="C118">
    <cfRule type="cellIs" dxfId="2309" priority="2938" stopIfTrue="1" operator="equal">
      <formula>"Napkin Hs"</formula>
    </cfRule>
  </conditionalFormatting>
  <conditionalFormatting sqref="C118">
    <cfRule type="cellIs" dxfId="2308" priority="2937" stopIfTrue="1" operator="equal">
      <formula>"Towel"</formula>
    </cfRule>
  </conditionalFormatting>
  <conditionalFormatting sqref="C118">
    <cfRule type="cellIs" dxfId="2307" priority="2935" stopIfTrue="1" operator="equal">
      <formula>"Towel"</formula>
    </cfRule>
    <cfRule type="cellIs" dxfId="2306" priority="2936" stopIfTrue="1" operator="equal">
      <formula>"Napkin Hs"</formula>
    </cfRule>
  </conditionalFormatting>
  <conditionalFormatting sqref="B118:C118">
    <cfRule type="cellIs" dxfId="2305" priority="2933" stopIfTrue="1" operator="equal">
      <formula>"Towel"</formula>
    </cfRule>
    <cfRule type="cellIs" dxfId="2304" priority="2934" stopIfTrue="1" operator="equal">
      <formula>"Napkin Hs"</formula>
    </cfRule>
  </conditionalFormatting>
  <conditionalFormatting sqref="C118">
    <cfRule type="cellIs" dxfId="2303" priority="2929" stopIfTrue="1" operator="equal">
      <formula>"Towel"</formula>
    </cfRule>
    <cfRule type="cellIs" dxfId="2302" priority="2930" stopIfTrue="1" operator="equal">
      <formula>"Napkin Hs"</formula>
    </cfRule>
  </conditionalFormatting>
  <conditionalFormatting sqref="C118">
    <cfRule type="cellIs" dxfId="2301" priority="2931" stopIfTrue="1" operator="equal">
      <formula>"Towel"</formula>
    </cfRule>
    <cfRule type="cellIs" dxfId="2300" priority="2932" stopIfTrue="1" operator="equal">
      <formula>"Napkin Hs"</formula>
    </cfRule>
  </conditionalFormatting>
  <conditionalFormatting sqref="B118:C118">
    <cfRule type="cellIs" dxfId="2299" priority="2928" stopIfTrue="1" operator="equal">
      <formula>"Napkin Hs"</formula>
    </cfRule>
  </conditionalFormatting>
  <conditionalFormatting sqref="B118:C118">
    <cfRule type="cellIs" dxfId="2298" priority="2927" stopIfTrue="1" operator="equal">
      <formula>"Towel"</formula>
    </cfRule>
  </conditionalFormatting>
  <conditionalFormatting sqref="C118">
    <cfRule type="cellIs" dxfId="2297" priority="2926" stopIfTrue="1" operator="equal">
      <formula>"Napkin Hs"</formula>
    </cfRule>
  </conditionalFormatting>
  <conditionalFormatting sqref="C118">
    <cfRule type="cellIs" dxfId="2296" priority="2925" stopIfTrue="1" operator="equal">
      <formula>"Towel"</formula>
    </cfRule>
  </conditionalFormatting>
  <conditionalFormatting sqref="C118">
    <cfRule type="cellIs" dxfId="2295" priority="2923" stopIfTrue="1" operator="equal">
      <formula>"Towel"</formula>
    </cfRule>
    <cfRule type="cellIs" dxfId="2294" priority="2924" stopIfTrue="1" operator="equal">
      <formula>"Napkin Hs"</formula>
    </cfRule>
  </conditionalFormatting>
  <conditionalFormatting sqref="B118:C118">
    <cfRule type="cellIs" dxfId="2293" priority="2921" stopIfTrue="1" operator="equal">
      <formula>"Towel"</formula>
    </cfRule>
    <cfRule type="cellIs" dxfId="2292" priority="2922" stopIfTrue="1" operator="equal">
      <formula>"Napkin Hs"</formula>
    </cfRule>
  </conditionalFormatting>
  <conditionalFormatting sqref="C118">
    <cfRule type="cellIs" dxfId="2291" priority="2919" stopIfTrue="1" operator="equal">
      <formula>"Towel"</formula>
    </cfRule>
    <cfRule type="cellIs" dxfId="2290" priority="2920" stopIfTrue="1" operator="equal">
      <formula>"Napkin Hs"</formula>
    </cfRule>
  </conditionalFormatting>
  <conditionalFormatting sqref="C118">
    <cfRule type="cellIs" dxfId="2289" priority="2917" stopIfTrue="1" operator="equal">
      <formula>"Towel"</formula>
    </cfRule>
    <cfRule type="cellIs" dxfId="2288" priority="2918" stopIfTrue="1" operator="equal">
      <formula>"Napkin Hs"</formula>
    </cfRule>
  </conditionalFormatting>
  <conditionalFormatting sqref="B118:C118">
    <cfRule type="cellIs" dxfId="2287" priority="2915" stopIfTrue="1" operator="equal">
      <formula>"Towel"</formula>
    </cfRule>
    <cfRule type="cellIs" dxfId="2286" priority="2916" stopIfTrue="1" operator="equal">
      <formula>"Napkin Hs"</formula>
    </cfRule>
  </conditionalFormatting>
  <conditionalFormatting sqref="C118">
    <cfRule type="cellIs" dxfId="2285" priority="2913" stopIfTrue="1" operator="equal">
      <formula>"Towel"</formula>
    </cfRule>
    <cfRule type="cellIs" dxfId="2284" priority="2914" stopIfTrue="1" operator="equal">
      <formula>"Napkin Hs"</formula>
    </cfRule>
  </conditionalFormatting>
  <conditionalFormatting sqref="C118">
    <cfRule type="cellIs" dxfId="2283" priority="2911" stopIfTrue="1" operator="equal">
      <formula>"Towel"</formula>
    </cfRule>
    <cfRule type="cellIs" dxfId="2282" priority="2912" stopIfTrue="1" operator="equal">
      <formula>"Napkin Hs"</formula>
    </cfRule>
  </conditionalFormatting>
  <conditionalFormatting sqref="B118:C118">
    <cfRule type="cellIs" dxfId="2281" priority="2909" stopIfTrue="1" operator="equal">
      <formula>"Towel"</formula>
    </cfRule>
    <cfRule type="cellIs" dxfId="2280" priority="2910" stopIfTrue="1" operator="equal">
      <formula>"Napkin Hs"</formula>
    </cfRule>
  </conditionalFormatting>
  <conditionalFormatting sqref="C118">
    <cfRule type="cellIs" dxfId="2279" priority="2907" stopIfTrue="1" operator="equal">
      <formula>"Towel"</formula>
    </cfRule>
    <cfRule type="cellIs" dxfId="2278" priority="2908" stopIfTrue="1" operator="equal">
      <formula>"Napkin Hs"</formula>
    </cfRule>
  </conditionalFormatting>
  <conditionalFormatting sqref="C118">
    <cfRule type="cellIs" dxfId="2277" priority="2905" stopIfTrue="1" operator="equal">
      <formula>"Towel"</formula>
    </cfRule>
    <cfRule type="cellIs" dxfId="2276" priority="2906" stopIfTrue="1" operator="equal">
      <formula>"Napkin Hs"</formula>
    </cfRule>
  </conditionalFormatting>
  <conditionalFormatting sqref="B118:C118">
    <cfRule type="cellIs" dxfId="2275" priority="2903" stopIfTrue="1" operator="equal">
      <formula>"Towel"</formula>
    </cfRule>
    <cfRule type="cellIs" dxfId="2274" priority="2904" stopIfTrue="1" operator="equal">
      <formula>"Napkin Hs"</formula>
    </cfRule>
  </conditionalFormatting>
  <conditionalFormatting sqref="C118">
    <cfRule type="cellIs" dxfId="2273" priority="2901" stopIfTrue="1" operator="equal">
      <formula>"Towel"</formula>
    </cfRule>
    <cfRule type="cellIs" dxfId="2272" priority="2902" stopIfTrue="1" operator="equal">
      <formula>"Napkin Hs"</formula>
    </cfRule>
  </conditionalFormatting>
  <conditionalFormatting sqref="C118">
    <cfRule type="cellIs" dxfId="2271" priority="2899" stopIfTrue="1" operator="equal">
      <formula>"Towel"</formula>
    </cfRule>
    <cfRule type="cellIs" dxfId="2270" priority="2900" stopIfTrue="1" operator="equal">
      <formula>"Napkin Hs"</formula>
    </cfRule>
  </conditionalFormatting>
  <conditionalFormatting sqref="B118:C118">
    <cfRule type="cellIs" dxfId="2269" priority="2897" stopIfTrue="1" operator="equal">
      <formula>"Towel"</formula>
    </cfRule>
    <cfRule type="cellIs" dxfId="2268" priority="2898" stopIfTrue="1" operator="equal">
      <formula>"Napkin Hs"</formula>
    </cfRule>
  </conditionalFormatting>
  <conditionalFormatting sqref="C118">
    <cfRule type="cellIs" dxfId="2267" priority="2895" stopIfTrue="1" operator="equal">
      <formula>"Towel"</formula>
    </cfRule>
    <cfRule type="cellIs" dxfId="2266" priority="2896" stopIfTrue="1" operator="equal">
      <formula>"Napkin Hs"</formula>
    </cfRule>
  </conditionalFormatting>
  <conditionalFormatting sqref="C118">
    <cfRule type="cellIs" dxfId="2265" priority="2893" stopIfTrue="1" operator="equal">
      <formula>"Towel"</formula>
    </cfRule>
    <cfRule type="cellIs" dxfId="2264" priority="2894" stopIfTrue="1" operator="equal">
      <formula>"Napkin Hs"</formula>
    </cfRule>
  </conditionalFormatting>
  <conditionalFormatting sqref="B118:C118">
    <cfRule type="cellIs" dxfId="2263" priority="2892" stopIfTrue="1" operator="equal">
      <formula>"Napkin Hs"</formula>
    </cfRule>
  </conditionalFormatting>
  <conditionalFormatting sqref="B118:C118">
    <cfRule type="cellIs" dxfId="2262" priority="2891" stopIfTrue="1" operator="equal">
      <formula>"Towel"</formula>
    </cfRule>
  </conditionalFormatting>
  <conditionalFormatting sqref="C118">
    <cfRule type="cellIs" dxfId="2261" priority="2890" stopIfTrue="1" operator="equal">
      <formula>"Napkin Hs"</formula>
    </cfRule>
  </conditionalFormatting>
  <conditionalFormatting sqref="C118">
    <cfRule type="cellIs" dxfId="2260" priority="2887" stopIfTrue="1" operator="equal">
      <formula>"Towel"</formula>
    </cfRule>
    <cfRule type="cellIs" dxfId="2259" priority="2888" stopIfTrue="1" operator="equal">
      <formula>"Napkin Hs"</formula>
    </cfRule>
  </conditionalFormatting>
  <conditionalFormatting sqref="C118">
    <cfRule type="cellIs" dxfId="2258" priority="2889" stopIfTrue="1" operator="equal">
      <formula>"Towel"</formula>
    </cfRule>
  </conditionalFormatting>
  <conditionalFormatting sqref="B119:C119">
    <cfRule type="cellIs" dxfId="2257" priority="2886" stopIfTrue="1" operator="equal">
      <formula>"Napkin Hs"</formula>
    </cfRule>
  </conditionalFormatting>
  <conditionalFormatting sqref="B119:C119">
    <cfRule type="cellIs" dxfId="2256" priority="2885" stopIfTrue="1" operator="equal">
      <formula>"Towel"</formula>
    </cfRule>
  </conditionalFormatting>
  <conditionalFormatting sqref="C119">
    <cfRule type="cellIs" dxfId="2255" priority="2884" stopIfTrue="1" operator="equal">
      <formula>"Napkin Hs"</formula>
    </cfRule>
  </conditionalFormatting>
  <conditionalFormatting sqref="C119">
    <cfRule type="cellIs" dxfId="2254" priority="2883" stopIfTrue="1" operator="equal">
      <formula>"Towel"</formula>
    </cfRule>
  </conditionalFormatting>
  <conditionalFormatting sqref="C119">
    <cfRule type="cellIs" dxfId="2253" priority="2881" stopIfTrue="1" operator="equal">
      <formula>"Towel"</formula>
    </cfRule>
    <cfRule type="cellIs" dxfId="2252" priority="2882" stopIfTrue="1" operator="equal">
      <formula>"Napkin Hs"</formula>
    </cfRule>
  </conditionalFormatting>
  <conditionalFormatting sqref="B119:C119">
    <cfRule type="cellIs" dxfId="2251" priority="2879" stopIfTrue="1" operator="equal">
      <formula>"Towel"</formula>
    </cfRule>
    <cfRule type="cellIs" dxfId="2250" priority="2880" stopIfTrue="1" operator="equal">
      <formula>"Napkin Hs"</formula>
    </cfRule>
  </conditionalFormatting>
  <conditionalFormatting sqref="C119">
    <cfRule type="cellIs" dxfId="2249" priority="2875" stopIfTrue="1" operator="equal">
      <formula>"Towel"</formula>
    </cfRule>
    <cfRule type="cellIs" dxfId="2248" priority="2876" stopIfTrue="1" operator="equal">
      <formula>"Napkin Hs"</formula>
    </cfRule>
  </conditionalFormatting>
  <conditionalFormatting sqref="C119">
    <cfRule type="cellIs" dxfId="2247" priority="2877" stopIfTrue="1" operator="equal">
      <formula>"Towel"</formula>
    </cfRule>
    <cfRule type="cellIs" dxfId="2246" priority="2878" stopIfTrue="1" operator="equal">
      <formula>"Napkin Hs"</formula>
    </cfRule>
  </conditionalFormatting>
  <conditionalFormatting sqref="B119:C119">
    <cfRule type="cellIs" dxfId="2245" priority="2874" stopIfTrue="1" operator="equal">
      <formula>"Napkin Hs"</formula>
    </cfRule>
  </conditionalFormatting>
  <conditionalFormatting sqref="B119:C119">
    <cfRule type="cellIs" dxfId="2244" priority="2873" stopIfTrue="1" operator="equal">
      <formula>"Towel"</formula>
    </cfRule>
  </conditionalFormatting>
  <conditionalFormatting sqref="C119">
    <cfRule type="cellIs" dxfId="2243" priority="2872" stopIfTrue="1" operator="equal">
      <formula>"Napkin Hs"</formula>
    </cfRule>
  </conditionalFormatting>
  <conditionalFormatting sqref="C119">
    <cfRule type="cellIs" dxfId="2242" priority="2871" stopIfTrue="1" operator="equal">
      <formula>"Towel"</formula>
    </cfRule>
  </conditionalFormatting>
  <conditionalFormatting sqref="C119">
    <cfRule type="cellIs" dxfId="2241" priority="2869" stopIfTrue="1" operator="equal">
      <formula>"Towel"</formula>
    </cfRule>
    <cfRule type="cellIs" dxfId="2240" priority="2870" stopIfTrue="1" operator="equal">
      <formula>"Napkin Hs"</formula>
    </cfRule>
  </conditionalFormatting>
  <conditionalFormatting sqref="B119:C119">
    <cfRule type="cellIs" dxfId="2239" priority="2867" stopIfTrue="1" operator="equal">
      <formula>"Towel"</formula>
    </cfRule>
    <cfRule type="cellIs" dxfId="2238" priority="2868" stopIfTrue="1" operator="equal">
      <formula>"Napkin Hs"</formula>
    </cfRule>
  </conditionalFormatting>
  <conditionalFormatting sqref="C119">
    <cfRule type="cellIs" dxfId="2237" priority="2865" stopIfTrue="1" operator="equal">
      <formula>"Towel"</formula>
    </cfRule>
    <cfRule type="cellIs" dxfId="2236" priority="2866" stopIfTrue="1" operator="equal">
      <formula>"Napkin Hs"</formula>
    </cfRule>
  </conditionalFormatting>
  <conditionalFormatting sqref="C119">
    <cfRule type="cellIs" dxfId="2235" priority="2863" stopIfTrue="1" operator="equal">
      <formula>"Towel"</formula>
    </cfRule>
    <cfRule type="cellIs" dxfId="2234" priority="2864" stopIfTrue="1" operator="equal">
      <formula>"Napkin Hs"</formula>
    </cfRule>
  </conditionalFormatting>
  <conditionalFormatting sqref="B119:C119">
    <cfRule type="cellIs" dxfId="2233" priority="2861" stopIfTrue="1" operator="equal">
      <formula>"Towel"</formula>
    </cfRule>
    <cfRule type="cellIs" dxfId="2232" priority="2862" stopIfTrue="1" operator="equal">
      <formula>"Napkin Hs"</formula>
    </cfRule>
  </conditionalFormatting>
  <conditionalFormatting sqref="C119">
    <cfRule type="cellIs" dxfId="2231" priority="2859" stopIfTrue="1" operator="equal">
      <formula>"Towel"</formula>
    </cfRule>
    <cfRule type="cellIs" dxfId="2230" priority="2860" stopIfTrue="1" operator="equal">
      <formula>"Napkin Hs"</formula>
    </cfRule>
  </conditionalFormatting>
  <conditionalFormatting sqref="C119">
    <cfRule type="cellIs" dxfId="2229" priority="2857" stopIfTrue="1" operator="equal">
      <formula>"Towel"</formula>
    </cfRule>
    <cfRule type="cellIs" dxfId="2228" priority="2858" stopIfTrue="1" operator="equal">
      <formula>"Napkin Hs"</formula>
    </cfRule>
  </conditionalFormatting>
  <conditionalFormatting sqref="B119:C119">
    <cfRule type="cellIs" dxfId="2227" priority="2855" stopIfTrue="1" operator="equal">
      <formula>"Towel"</formula>
    </cfRule>
    <cfRule type="cellIs" dxfId="2226" priority="2856" stopIfTrue="1" operator="equal">
      <formula>"Napkin Hs"</formula>
    </cfRule>
  </conditionalFormatting>
  <conditionalFormatting sqref="C119">
    <cfRule type="cellIs" dxfId="2225" priority="2853" stopIfTrue="1" operator="equal">
      <formula>"Towel"</formula>
    </cfRule>
    <cfRule type="cellIs" dxfId="2224" priority="2854" stopIfTrue="1" operator="equal">
      <formula>"Napkin Hs"</formula>
    </cfRule>
  </conditionalFormatting>
  <conditionalFormatting sqref="C119">
    <cfRule type="cellIs" dxfId="2223" priority="2851" stopIfTrue="1" operator="equal">
      <formula>"Towel"</formula>
    </cfRule>
    <cfRule type="cellIs" dxfId="2222" priority="2852" stopIfTrue="1" operator="equal">
      <formula>"Napkin Hs"</formula>
    </cfRule>
  </conditionalFormatting>
  <conditionalFormatting sqref="B119:C119">
    <cfRule type="cellIs" dxfId="2221" priority="2849" stopIfTrue="1" operator="equal">
      <formula>"Towel"</formula>
    </cfRule>
    <cfRule type="cellIs" dxfId="2220" priority="2850" stopIfTrue="1" operator="equal">
      <formula>"Napkin Hs"</formula>
    </cfRule>
  </conditionalFormatting>
  <conditionalFormatting sqref="C119">
    <cfRule type="cellIs" dxfId="2219" priority="2847" stopIfTrue="1" operator="equal">
      <formula>"Towel"</formula>
    </cfRule>
    <cfRule type="cellIs" dxfId="2218" priority="2848" stopIfTrue="1" operator="equal">
      <formula>"Napkin Hs"</formula>
    </cfRule>
  </conditionalFormatting>
  <conditionalFormatting sqref="C119">
    <cfRule type="cellIs" dxfId="2217" priority="2845" stopIfTrue="1" operator="equal">
      <formula>"Towel"</formula>
    </cfRule>
    <cfRule type="cellIs" dxfId="2216" priority="2846" stopIfTrue="1" operator="equal">
      <formula>"Napkin Hs"</formula>
    </cfRule>
  </conditionalFormatting>
  <conditionalFormatting sqref="B119:C119">
    <cfRule type="cellIs" dxfId="2215" priority="2843" stopIfTrue="1" operator="equal">
      <formula>"Towel"</formula>
    </cfRule>
    <cfRule type="cellIs" dxfId="2214" priority="2844" stopIfTrue="1" operator="equal">
      <formula>"Napkin Hs"</formula>
    </cfRule>
  </conditionalFormatting>
  <conditionalFormatting sqref="C119">
    <cfRule type="cellIs" dxfId="2213" priority="2841" stopIfTrue="1" operator="equal">
      <formula>"Towel"</formula>
    </cfRule>
    <cfRule type="cellIs" dxfId="2212" priority="2842" stopIfTrue="1" operator="equal">
      <formula>"Napkin Hs"</formula>
    </cfRule>
  </conditionalFormatting>
  <conditionalFormatting sqref="C119">
    <cfRule type="cellIs" dxfId="2211" priority="2839" stopIfTrue="1" operator="equal">
      <formula>"Towel"</formula>
    </cfRule>
    <cfRule type="cellIs" dxfId="2210" priority="2840" stopIfTrue="1" operator="equal">
      <formula>"Napkin Hs"</formula>
    </cfRule>
  </conditionalFormatting>
  <conditionalFormatting sqref="B119:C119">
    <cfRule type="cellIs" dxfId="2209" priority="2838" stopIfTrue="1" operator="equal">
      <formula>"Napkin Hs"</formula>
    </cfRule>
  </conditionalFormatting>
  <conditionalFormatting sqref="B119:C119">
    <cfRule type="cellIs" dxfId="2208" priority="2837" stopIfTrue="1" operator="equal">
      <formula>"Towel"</formula>
    </cfRule>
  </conditionalFormatting>
  <conditionalFormatting sqref="C119">
    <cfRule type="cellIs" dxfId="2207" priority="2836" stopIfTrue="1" operator="equal">
      <formula>"Napkin Hs"</formula>
    </cfRule>
  </conditionalFormatting>
  <conditionalFormatting sqref="C119">
    <cfRule type="cellIs" dxfId="2206" priority="2833" stopIfTrue="1" operator="equal">
      <formula>"Towel"</formula>
    </cfRule>
    <cfRule type="cellIs" dxfId="2205" priority="2834" stopIfTrue="1" operator="equal">
      <formula>"Napkin Hs"</formula>
    </cfRule>
  </conditionalFormatting>
  <conditionalFormatting sqref="C119">
    <cfRule type="cellIs" dxfId="2204" priority="2835" stopIfTrue="1" operator="equal">
      <formula>"Towel"</formula>
    </cfRule>
  </conditionalFormatting>
  <conditionalFormatting sqref="B119">
    <cfRule type="cellIs" dxfId="2203" priority="2832" stopIfTrue="1" operator="equal">
      <formula>"Napkin Hs"</formula>
    </cfRule>
  </conditionalFormatting>
  <conditionalFormatting sqref="B119">
    <cfRule type="cellIs" dxfId="2202" priority="2831" stopIfTrue="1" operator="equal">
      <formula>"Towel"</formula>
    </cfRule>
  </conditionalFormatting>
  <conditionalFormatting sqref="B119">
    <cfRule type="cellIs" dxfId="2201" priority="2829" stopIfTrue="1" operator="equal">
      <formula>"Towel"</formula>
    </cfRule>
    <cfRule type="cellIs" dxfId="2200" priority="2830" stopIfTrue="1" operator="equal">
      <formula>"Napkin Hs"</formula>
    </cfRule>
  </conditionalFormatting>
  <conditionalFormatting sqref="B119">
    <cfRule type="cellIs" dxfId="2199" priority="2828" stopIfTrue="1" operator="equal">
      <formula>"Napkin Hs"</formula>
    </cfRule>
  </conditionalFormatting>
  <conditionalFormatting sqref="B119">
    <cfRule type="cellIs" dxfId="2198" priority="2827" stopIfTrue="1" operator="equal">
      <formula>"Towel"</formula>
    </cfRule>
  </conditionalFormatting>
  <conditionalFormatting sqref="B119">
    <cfRule type="cellIs" dxfId="2197" priority="2825" stopIfTrue="1" operator="equal">
      <formula>"Towel"</formula>
    </cfRule>
    <cfRule type="cellIs" dxfId="2196" priority="2826" stopIfTrue="1" operator="equal">
      <formula>"Napkin Hs"</formula>
    </cfRule>
  </conditionalFormatting>
  <conditionalFormatting sqref="B119">
    <cfRule type="cellIs" dxfId="2195" priority="2823" stopIfTrue="1" operator="equal">
      <formula>"Towel"</formula>
    </cfRule>
    <cfRule type="cellIs" dxfId="2194" priority="2824" stopIfTrue="1" operator="equal">
      <formula>"Napkin Hs"</formula>
    </cfRule>
  </conditionalFormatting>
  <conditionalFormatting sqref="B119">
    <cfRule type="cellIs" dxfId="2193" priority="2821" stopIfTrue="1" operator="equal">
      <formula>"Towel"</formula>
    </cfRule>
    <cfRule type="cellIs" dxfId="2192" priority="2822" stopIfTrue="1" operator="equal">
      <formula>"Napkin Hs"</formula>
    </cfRule>
  </conditionalFormatting>
  <conditionalFormatting sqref="B119">
    <cfRule type="cellIs" dxfId="2191" priority="2819" stopIfTrue="1" operator="equal">
      <formula>"Towel"</formula>
    </cfRule>
    <cfRule type="cellIs" dxfId="2190" priority="2820" stopIfTrue="1" operator="equal">
      <formula>"Napkin Hs"</formula>
    </cfRule>
  </conditionalFormatting>
  <conditionalFormatting sqref="B119">
    <cfRule type="cellIs" dxfId="2189" priority="2817" stopIfTrue="1" operator="equal">
      <formula>"Towel"</formula>
    </cfRule>
    <cfRule type="cellIs" dxfId="2188" priority="2818" stopIfTrue="1" operator="equal">
      <formula>"Napkin Hs"</formula>
    </cfRule>
  </conditionalFormatting>
  <conditionalFormatting sqref="B119">
    <cfRule type="cellIs" dxfId="2187" priority="2816" stopIfTrue="1" operator="equal">
      <formula>"Napkin Hs"</formula>
    </cfRule>
  </conditionalFormatting>
  <conditionalFormatting sqref="B119">
    <cfRule type="cellIs" dxfId="2186" priority="2815" stopIfTrue="1" operator="equal">
      <formula>"Towel"</formula>
    </cfRule>
  </conditionalFormatting>
  <conditionalFormatting sqref="C119">
    <cfRule type="cellIs" dxfId="2185" priority="2814" stopIfTrue="1" operator="equal">
      <formula>"Napkin Hs"</formula>
    </cfRule>
  </conditionalFormatting>
  <conditionalFormatting sqref="C119">
    <cfRule type="cellIs" dxfId="2184" priority="2813" stopIfTrue="1" operator="equal">
      <formula>"Towel"</formula>
    </cfRule>
  </conditionalFormatting>
  <conditionalFormatting sqref="C119">
    <cfRule type="cellIs" dxfId="2183" priority="2812" stopIfTrue="1" operator="equal">
      <formula>"Napkin Hs"</formula>
    </cfRule>
  </conditionalFormatting>
  <conditionalFormatting sqref="C119">
    <cfRule type="cellIs" dxfId="2182" priority="2811" stopIfTrue="1" operator="equal">
      <formula>"Towel"</formula>
    </cfRule>
  </conditionalFormatting>
  <conditionalFormatting sqref="C119">
    <cfRule type="cellIs" dxfId="2181" priority="2809" stopIfTrue="1" operator="equal">
      <formula>"Towel"</formula>
    </cfRule>
    <cfRule type="cellIs" dxfId="2180" priority="2810" stopIfTrue="1" operator="equal">
      <formula>"Napkin Hs"</formula>
    </cfRule>
  </conditionalFormatting>
  <conditionalFormatting sqref="C119">
    <cfRule type="cellIs" dxfId="2179" priority="2807" stopIfTrue="1" operator="equal">
      <formula>"Towel"</formula>
    </cfRule>
    <cfRule type="cellIs" dxfId="2178" priority="2808" stopIfTrue="1" operator="equal">
      <formula>"Napkin Hs"</formula>
    </cfRule>
  </conditionalFormatting>
  <conditionalFormatting sqref="C119">
    <cfRule type="cellIs" dxfId="2177" priority="2803" stopIfTrue="1" operator="equal">
      <formula>"Towel"</formula>
    </cfRule>
    <cfRule type="cellIs" dxfId="2176" priority="2804" stopIfTrue="1" operator="equal">
      <formula>"Napkin Hs"</formula>
    </cfRule>
  </conditionalFormatting>
  <conditionalFormatting sqref="C119">
    <cfRule type="cellIs" dxfId="2175" priority="2805" stopIfTrue="1" operator="equal">
      <formula>"Towel"</formula>
    </cfRule>
    <cfRule type="cellIs" dxfId="2174" priority="2806" stopIfTrue="1" operator="equal">
      <formula>"Napkin Hs"</formula>
    </cfRule>
  </conditionalFormatting>
  <conditionalFormatting sqref="C119">
    <cfRule type="cellIs" dxfId="2173" priority="2802" stopIfTrue="1" operator="equal">
      <formula>"Napkin Hs"</formula>
    </cfRule>
  </conditionalFormatting>
  <conditionalFormatting sqref="C119">
    <cfRule type="cellIs" dxfId="2172" priority="2801" stopIfTrue="1" operator="equal">
      <formula>"Towel"</formula>
    </cfRule>
  </conditionalFormatting>
  <conditionalFormatting sqref="C119">
    <cfRule type="cellIs" dxfId="2171" priority="2800" stopIfTrue="1" operator="equal">
      <formula>"Napkin Hs"</formula>
    </cfRule>
  </conditionalFormatting>
  <conditionalFormatting sqref="C119">
    <cfRule type="cellIs" dxfId="2170" priority="2799" stopIfTrue="1" operator="equal">
      <formula>"Towel"</formula>
    </cfRule>
  </conditionalFormatting>
  <conditionalFormatting sqref="C119">
    <cfRule type="cellIs" dxfId="2169" priority="2797" stopIfTrue="1" operator="equal">
      <formula>"Towel"</formula>
    </cfRule>
    <cfRule type="cellIs" dxfId="2168" priority="2798" stopIfTrue="1" operator="equal">
      <formula>"Napkin Hs"</formula>
    </cfRule>
  </conditionalFormatting>
  <conditionalFormatting sqref="C119">
    <cfRule type="cellIs" dxfId="2167" priority="2795" stopIfTrue="1" operator="equal">
      <formula>"Towel"</formula>
    </cfRule>
    <cfRule type="cellIs" dxfId="2166" priority="2796" stopIfTrue="1" operator="equal">
      <formula>"Napkin Hs"</formula>
    </cfRule>
  </conditionalFormatting>
  <conditionalFormatting sqref="C119">
    <cfRule type="cellIs" dxfId="2165" priority="2793" stopIfTrue="1" operator="equal">
      <formula>"Towel"</formula>
    </cfRule>
    <cfRule type="cellIs" dxfId="2164" priority="2794" stopIfTrue="1" operator="equal">
      <formula>"Napkin Hs"</formula>
    </cfRule>
  </conditionalFormatting>
  <conditionalFormatting sqref="C119">
    <cfRule type="cellIs" dxfId="2163" priority="2791" stopIfTrue="1" operator="equal">
      <formula>"Towel"</formula>
    </cfRule>
    <cfRule type="cellIs" dxfId="2162" priority="2792" stopIfTrue="1" operator="equal">
      <formula>"Napkin Hs"</formula>
    </cfRule>
  </conditionalFormatting>
  <conditionalFormatting sqref="C119">
    <cfRule type="cellIs" dxfId="2161" priority="2789" stopIfTrue="1" operator="equal">
      <formula>"Towel"</formula>
    </cfRule>
    <cfRule type="cellIs" dxfId="2160" priority="2790" stopIfTrue="1" operator="equal">
      <formula>"Napkin Hs"</formula>
    </cfRule>
  </conditionalFormatting>
  <conditionalFormatting sqref="C119">
    <cfRule type="cellIs" dxfId="2159" priority="2787" stopIfTrue="1" operator="equal">
      <formula>"Towel"</formula>
    </cfRule>
    <cfRule type="cellIs" dxfId="2158" priority="2788" stopIfTrue="1" operator="equal">
      <formula>"Napkin Hs"</formula>
    </cfRule>
  </conditionalFormatting>
  <conditionalFormatting sqref="C119">
    <cfRule type="cellIs" dxfId="2157" priority="2785" stopIfTrue="1" operator="equal">
      <formula>"Towel"</formula>
    </cfRule>
    <cfRule type="cellIs" dxfId="2156" priority="2786" stopIfTrue="1" operator="equal">
      <formula>"Napkin Hs"</formula>
    </cfRule>
  </conditionalFormatting>
  <conditionalFormatting sqref="C119">
    <cfRule type="cellIs" dxfId="2155" priority="2783" stopIfTrue="1" operator="equal">
      <formula>"Towel"</formula>
    </cfRule>
    <cfRule type="cellIs" dxfId="2154" priority="2784" stopIfTrue="1" operator="equal">
      <formula>"Napkin Hs"</formula>
    </cfRule>
  </conditionalFormatting>
  <conditionalFormatting sqref="C119">
    <cfRule type="cellIs" dxfId="2153" priority="2781" stopIfTrue="1" operator="equal">
      <formula>"Towel"</formula>
    </cfRule>
    <cfRule type="cellIs" dxfId="2152" priority="2782" stopIfTrue="1" operator="equal">
      <formula>"Napkin Hs"</formula>
    </cfRule>
  </conditionalFormatting>
  <conditionalFormatting sqref="C119">
    <cfRule type="cellIs" dxfId="2151" priority="2779" stopIfTrue="1" operator="equal">
      <formula>"Towel"</formula>
    </cfRule>
    <cfRule type="cellIs" dxfId="2150" priority="2780" stopIfTrue="1" operator="equal">
      <formula>"Napkin Hs"</formula>
    </cfRule>
  </conditionalFormatting>
  <conditionalFormatting sqref="C119">
    <cfRule type="cellIs" dxfId="2149" priority="2777" stopIfTrue="1" operator="equal">
      <formula>"Towel"</formula>
    </cfRule>
    <cfRule type="cellIs" dxfId="2148" priority="2778" stopIfTrue="1" operator="equal">
      <formula>"Napkin Hs"</formula>
    </cfRule>
  </conditionalFormatting>
  <conditionalFormatting sqref="C119">
    <cfRule type="cellIs" dxfId="2147" priority="2775" stopIfTrue="1" operator="equal">
      <formula>"Towel"</formula>
    </cfRule>
    <cfRule type="cellIs" dxfId="2146" priority="2776" stopIfTrue="1" operator="equal">
      <formula>"Napkin Hs"</formula>
    </cfRule>
  </conditionalFormatting>
  <conditionalFormatting sqref="C119">
    <cfRule type="cellIs" dxfId="2145" priority="2773" stopIfTrue="1" operator="equal">
      <formula>"Towel"</formula>
    </cfRule>
    <cfRule type="cellIs" dxfId="2144" priority="2774" stopIfTrue="1" operator="equal">
      <formula>"Napkin Hs"</formula>
    </cfRule>
  </conditionalFormatting>
  <conditionalFormatting sqref="C119">
    <cfRule type="cellIs" dxfId="2143" priority="2771" stopIfTrue="1" operator="equal">
      <formula>"Towel"</formula>
    </cfRule>
    <cfRule type="cellIs" dxfId="2142" priority="2772" stopIfTrue="1" operator="equal">
      <formula>"Napkin Hs"</formula>
    </cfRule>
  </conditionalFormatting>
  <conditionalFormatting sqref="C119">
    <cfRule type="cellIs" dxfId="2141" priority="2769" stopIfTrue="1" operator="equal">
      <formula>"Towel"</formula>
    </cfRule>
    <cfRule type="cellIs" dxfId="2140" priority="2770" stopIfTrue="1" operator="equal">
      <formula>"Napkin Hs"</formula>
    </cfRule>
  </conditionalFormatting>
  <conditionalFormatting sqref="C119">
    <cfRule type="cellIs" dxfId="2139" priority="2767" stopIfTrue="1" operator="equal">
      <formula>"Towel"</formula>
    </cfRule>
    <cfRule type="cellIs" dxfId="2138" priority="2768" stopIfTrue="1" operator="equal">
      <formula>"Napkin Hs"</formula>
    </cfRule>
  </conditionalFormatting>
  <conditionalFormatting sqref="C119">
    <cfRule type="cellIs" dxfId="2137" priority="2766" stopIfTrue="1" operator="equal">
      <formula>"Napkin Hs"</formula>
    </cfRule>
  </conditionalFormatting>
  <conditionalFormatting sqref="C119">
    <cfRule type="cellIs" dxfId="2136" priority="2765" stopIfTrue="1" operator="equal">
      <formula>"Towel"</formula>
    </cfRule>
  </conditionalFormatting>
  <conditionalFormatting sqref="C119">
    <cfRule type="cellIs" dxfId="2135" priority="2764" stopIfTrue="1" operator="equal">
      <formula>"Napkin Hs"</formula>
    </cfRule>
  </conditionalFormatting>
  <conditionalFormatting sqref="C119">
    <cfRule type="cellIs" dxfId="2134" priority="2761" stopIfTrue="1" operator="equal">
      <formula>"Towel"</formula>
    </cfRule>
    <cfRule type="cellIs" dxfId="2133" priority="2762" stopIfTrue="1" operator="equal">
      <formula>"Napkin Hs"</formula>
    </cfRule>
  </conditionalFormatting>
  <conditionalFormatting sqref="C119">
    <cfRule type="cellIs" dxfId="2132" priority="2763" stopIfTrue="1" operator="equal">
      <formula>"Towel"</formula>
    </cfRule>
  </conditionalFormatting>
  <conditionalFormatting sqref="B118:C118">
    <cfRule type="cellIs" dxfId="2131" priority="2760" stopIfTrue="1" operator="equal">
      <formula>"Napkin Hs"</formula>
    </cfRule>
  </conditionalFormatting>
  <conditionalFormatting sqref="B118:C118">
    <cfRule type="cellIs" dxfId="2130" priority="2759" stopIfTrue="1" operator="equal">
      <formula>"Towel"</formula>
    </cfRule>
  </conditionalFormatting>
  <conditionalFormatting sqref="C118">
    <cfRule type="cellIs" dxfId="2129" priority="2758" stopIfTrue="1" operator="equal">
      <formula>"Napkin Hs"</formula>
    </cfRule>
  </conditionalFormatting>
  <conditionalFormatting sqref="C118">
    <cfRule type="cellIs" dxfId="2128" priority="2757" stopIfTrue="1" operator="equal">
      <formula>"Towel"</formula>
    </cfRule>
  </conditionalFormatting>
  <conditionalFormatting sqref="C118">
    <cfRule type="cellIs" dxfId="2127" priority="2755" stopIfTrue="1" operator="equal">
      <formula>"Towel"</formula>
    </cfRule>
    <cfRule type="cellIs" dxfId="2126" priority="2756" stopIfTrue="1" operator="equal">
      <formula>"Napkin Hs"</formula>
    </cfRule>
  </conditionalFormatting>
  <conditionalFormatting sqref="B118:C118">
    <cfRule type="cellIs" dxfId="2125" priority="2753" stopIfTrue="1" operator="equal">
      <formula>"Towel"</formula>
    </cfRule>
    <cfRule type="cellIs" dxfId="2124" priority="2754" stopIfTrue="1" operator="equal">
      <formula>"Napkin Hs"</formula>
    </cfRule>
  </conditionalFormatting>
  <conditionalFormatting sqref="C118">
    <cfRule type="cellIs" dxfId="2123" priority="2749" stopIfTrue="1" operator="equal">
      <formula>"Towel"</formula>
    </cfRule>
    <cfRule type="cellIs" dxfId="2122" priority="2750" stopIfTrue="1" operator="equal">
      <formula>"Napkin Hs"</formula>
    </cfRule>
  </conditionalFormatting>
  <conditionalFormatting sqref="C118">
    <cfRule type="cellIs" dxfId="2121" priority="2751" stopIfTrue="1" operator="equal">
      <formula>"Towel"</formula>
    </cfRule>
    <cfRule type="cellIs" dxfId="2120" priority="2752" stopIfTrue="1" operator="equal">
      <formula>"Napkin Hs"</formula>
    </cfRule>
  </conditionalFormatting>
  <conditionalFormatting sqref="B118:C118">
    <cfRule type="cellIs" dxfId="2119" priority="2748" stopIfTrue="1" operator="equal">
      <formula>"Napkin Hs"</formula>
    </cfRule>
  </conditionalFormatting>
  <conditionalFormatting sqref="B118:C118">
    <cfRule type="cellIs" dxfId="2118" priority="2747" stopIfTrue="1" operator="equal">
      <formula>"Towel"</formula>
    </cfRule>
  </conditionalFormatting>
  <conditionalFormatting sqref="C118">
    <cfRule type="cellIs" dxfId="2117" priority="2746" stopIfTrue="1" operator="equal">
      <formula>"Napkin Hs"</formula>
    </cfRule>
  </conditionalFormatting>
  <conditionalFormatting sqref="C118">
    <cfRule type="cellIs" dxfId="2116" priority="2745" stopIfTrue="1" operator="equal">
      <formula>"Towel"</formula>
    </cfRule>
  </conditionalFormatting>
  <conditionalFormatting sqref="C118">
    <cfRule type="cellIs" dxfId="2115" priority="2743" stopIfTrue="1" operator="equal">
      <formula>"Towel"</formula>
    </cfRule>
    <cfRule type="cellIs" dxfId="2114" priority="2744" stopIfTrue="1" operator="equal">
      <formula>"Napkin Hs"</formula>
    </cfRule>
  </conditionalFormatting>
  <conditionalFormatting sqref="B118:C118">
    <cfRule type="cellIs" dxfId="2113" priority="2741" stopIfTrue="1" operator="equal">
      <formula>"Towel"</formula>
    </cfRule>
    <cfRule type="cellIs" dxfId="2112" priority="2742" stopIfTrue="1" operator="equal">
      <formula>"Napkin Hs"</formula>
    </cfRule>
  </conditionalFormatting>
  <conditionalFormatting sqref="C118">
    <cfRule type="cellIs" dxfId="2111" priority="2739" stopIfTrue="1" operator="equal">
      <formula>"Towel"</formula>
    </cfRule>
    <cfRule type="cellIs" dxfId="2110" priority="2740" stopIfTrue="1" operator="equal">
      <formula>"Napkin Hs"</formula>
    </cfRule>
  </conditionalFormatting>
  <conditionalFormatting sqref="C118">
    <cfRule type="cellIs" dxfId="2109" priority="2737" stopIfTrue="1" operator="equal">
      <formula>"Towel"</formula>
    </cfRule>
    <cfRule type="cellIs" dxfId="2108" priority="2738" stopIfTrue="1" operator="equal">
      <formula>"Napkin Hs"</formula>
    </cfRule>
  </conditionalFormatting>
  <conditionalFormatting sqref="B118:C118">
    <cfRule type="cellIs" dxfId="2107" priority="2735" stopIfTrue="1" operator="equal">
      <formula>"Towel"</formula>
    </cfRule>
    <cfRule type="cellIs" dxfId="2106" priority="2736" stopIfTrue="1" operator="equal">
      <formula>"Napkin Hs"</formula>
    </cfRule>
  </conditionalFormatting>
  <conditionalFormatting sqref="C118">
    <cfRule type="cellIs" dxfId="2105" priority="2733" stopIfTrue="1" operator="equal">
      <formula>"Towel"</formula>
    </cfRule>
    <cfRule type="cellIs" dxfId="2104" priority="2734" stopIfTrue="1" operator="equal">
      <formula>"Napkin Hs"</formula>
    </cfRule>
  </conditionalFormatting>
  <conditionalFormatting sqref="C118">
    <cfRule type="cellIs" dxfId="2103" priority="2731" stopIfTrue="1" operator="equal">
      <formula>"Towel"</formula>
    </cfRule>
    <cfRule type="cellIs" dxfId="2102" priority="2732" stopIfTrue="1" operator="equal">
      <formula>"Napkin Hs"</formula>
    </cfRule>
  </conditionalFormatting>
  <conditionalFormatting sqref="B118:C118">
    <cfRule type="cellIs" dxfId="2101" priority="2729" stopIfTrue="1" operator="equal">
      <formula>"Towel"</formula>
    </cfRule>
    <cfRule type="cellIs" dxfId="2100" priority="2730" stopIfTrue="1" operator="equal">
      <formula>"Napkin Hs"</formula>
    </cfRule>
  </conditionalFormatting>
  <conditionalFormatting sqref="C118">
    <cfRule type="cellIs" dxfId="2099" priority="2727" stopIfTrue="1" operator="equal">
      <formula>"Towel"</formula>
    </cfRule>
    <cfRule type="cellIs" dxfId="2098" priority="2728" stopIfTrue="1" operator="equal">
      <formula>"Napkin Hs"</formula>
    </cfRule>
  </conditionalFormatting>
  <conditionalFormatting sqref="C118">
    <cfRule type="cellIs" dxfId="2097" priority="2725" stopIfTrue="1" operator="equal">
      <formula>"Towel"</formula>
    </cfRule>
    <cfRule type="cellIs" dxfId="2096" priority="2726" stopIfTrue="1" operator="equal">
      <formula>"Napkin Hs"</formula>
    </cfRule>
  </conditionalFormatting>
  <conditionalFormatting sqref="B118:C118">
    <cfRule type="cellIs" dxfId="2095" priority="2723" stopIfTrue="1" operator="equal">
      <formula>"Towel"</formula>
    </cfRule>
    <cfRule type="cellIs" dxfId="2094" priority="2724" stopIfTrue="1" operator="equal">
      <formula>"Napkin Hs"</formula>
    </cfRule>
  </conditionalFormatting>
  <conditionalFormatting sqref="C118">
    <cfRule type="cellIs" dxfId="2093" priority="2721" stopIfTrue="1" operator="equal">
      <formula>"Towel"</formula>
    </cfRule>
    <cfRule type="cellIs" dxfId="2092" priority="2722" stopIfTrue="1" operator="equal">
      <formula>"Napkin Hs"</formula>
    </cfRule>
  </conditionalFormatting>
  <conditionalFormatting sqref="C118">
    <cfRule type="cellIs" dxfId="2091" priority="2719" stopIfTrue="1" operator="equal">
      <formula>"Towel"</formula>
    </cfRule>
    <cfRule type="cellIs" dxfId="2090" priority="2720" stopIfTrue="1" operator="equal">
      <formula>"Napkin Hs"</formula>
    </cfRule>
  </conditionalFormatting>
  <conditionalFormatting sqref="B118:C118">
    <cfRule type="cellIs" dxfId="2089" priority="2717" stopIfTrue="1" operator="equal">
      <formula>"Towel"</formula>
    </cfRule>
    <cfRule type="cellIs" dxfId="2088" priority="2718" stopIfTrue="1" operator="equal">
      <formula>"Napkin Hs"</formula>
    </cfRule>
  </conditionalFormatting>
  <conditionalFormatting sqref="C118">
    <cfRule type="cellIs" dxfId="2087" priority="2715" stopIfTrue="1" operator="equal">
      <formula>"Towel"</formula>
    </cfRule>
    <cfRule type="cellIs" dxfId="2086" priority="2716" stopIfTrue="1" operator="equal">
      <formula>"Napkin Hs"</formula>
    </cfRule>
  </conditionalFormatting>
  <conditionalFormatting sqref="C118">
    <cfRule type="cellIs" dxfId="2085" priority="2713" stopIfTrue="1" operator="equal">
      <formula>"Towel"</formula>
    </cfRule>
    <cfRule type="cellIs" dxfId="2084" priority="2714" stopIfTrue="1" operator="equal">
      <formula>"Napkin Hs"</formula>
    </cfRule>
  </conditionalFormatting>
  <conditionalFormatting sqref="B118:C118">
    <cfRule type="cellIs" dxfId="2083" priority="2712" stopIfTrue="1" operator="equal">
      <formula>"Napkin Hs"</formula>
    </cfRule>
  </conditionalFormatting>
  <conditionalFormatting sqref="B118:C118">
    <cfRule type="cellIs" dxfId="2082" priority="2711" stopIfTrue="1" operator="equal">
      <formula>"Towel"</formula>
    </cfRule>
  </conditionalFormatting>
  <conditionalFormatting sqref="C118">
    <cfRule type="cellIs" dxfId="2081" priority="2710" stopIfTrue="1" operator="equal">
      <formula>"Napkin Hs"</formula>
    </cfRule>
  </conditionalFormatting>
  <conditionalFormatting sqref="C118">
    <cfRule type="cellIs" dxfId="2080" priority="2707" stopIfTrue="1" operator="equal">
      <formula>"Towel"</formula>
    </cfRule>
    <cfRule type="cellIs" dxfId="2079" priority="2708" stopIfTrue="1" operator="equal">
      <formula>"Napkin Hs"</formula>
    </cfRule>
  </conditionalFormatting>
  <conditionalFormatting sqref="C118">
    <cfRule type="cellIs" dxfId="2078" priority="2709" stopIfTrue="1" operator="equal">
      <formula>"Towel"</formula>
    </cfRule>
  </conditionalFormatting>
  <conditionalFormatting sqref="B118:C118">
    <cfRule type="cellIs" dxfId="2077" priority="2706" stopIfTrue="1" operator="equal">
      <formula>"Napkin Hs"</formula>
    </cfRule>
  </conditionalFormatting>
  <conditionalFormatting sqref="B118:C118">
    <cfRule type="cellIs" dxfId="2076" priority="2705" stopIfTrue="1" operator="equal">
      <formula>"Towel"</formula>
    </cfRule>
  </conditionalFormatting>
  <conditionalFormatting sqref="C118">
    <cfRule type="cellIs" dxfId="2075" priority="2704" stopIfTrue="1" operator="equal">
      <formula>"Napkin Hs"</formula>
    </cfRule>
  </conditionalFormatting>
  <conditionalFormatting sqref="C118">
    <cfRule type="cellIs" dxfId="2074" priority="2701" stopIfTrue="1" operator="equal">
      <formula>"Towel"</formula>
    </cfRule>
    <cfRule type="cellIs" dxfId="2073" priority="2702" stopIfTrue="1" operator="equal">
      <formula>"Napkin Hs"</formula>
    </cfRule>
  </conditionalFormatting>
  <conditionalFormatting sqref="C118">
    <cfRule type="cellIs" dxfId="2072" priority="2703" stopIfTrue="1" operator="equal">
      <formula>"Towel"</formula>
    </cfRule>
  </conditionalFormatting>
  <conditionalFormatting sqref="B118:C118">
    <cfRule type="cellIs" dxfId="2071" priority="2700" stopIfTrue="1" operator="equal">
      <formula>"Napkin Hs"</formula>
    </cfRule>
  </conditionalFormatting>
  <conditionalFormatting sqref="B118:C118">
    <cfRule type="cellIs" dxfId="2070" priority="2699" stopIfTrue="1" operator="equal">
      <formula>"Towel"</formula>
    </cfRule>
  </conditionalFormatting>
  <conditionalFormatting sqref="C118">
    <cfRule type="cellIs" dxfId="2069" priority="2698" stopIfTrue="1" operator="equal">
      <formula>"Napkin Hs"</formula>
    </cfRule>
  </conditionalFormatting>
  <conditionalFormatting sqref="C118">
    <cfRule type="cellIs" dxfId="2068" priority="2695" stopIfTrue="1" operator="equal">
      <formula>"Towel"</formula>
    </cfRule>
    <cfRule type="cellIs" dxfId="2067" priority="2696" stopIfTrue="1" operator="equal">
      <formula>"Napkin Hs"</formula>
    </cfRule>
  </conditionalFormatting>
  <conditionalFormatting sqref="C118">
    <cfRule type="cellIs" dxfId="2066" priority="2697" stopIfTrue="1" operator="equal">
      <formula>"Towel"</formula>
    </cfRule>
  </conditionalFormatting>
  <conditionalFormatting sqref="B117:C117">
    <cfRule type="cellIs" dxfId="2065" priority="2693" stopIfTrue="1" operator="equal">
      <formula>"Towel"</formula>
    </cfRule>
    <cfRule type="cellIs" dxfId="2064" priority="2694" stopIfTrue="1" operator="equal">
      <formula>"Napkin Hs"</formula>
    </cfRule>
  </conditionalFormatting>
  <conditionalFormatting sqref="C117">
    <cfRule type="cellIs" dxfId="2063" priority="2691" stopIfTrue="1" operator="equal">
      <formula>"Towel"</formula>
    </cfRule>
    <cfRule type="cellIs" dxfId="2062" priority="2692" stopIfTrue="1" operator="equal">
      <formula>"Napkin Hs"</formula>
    </cfRule>
  </conditionalFormatting>
  <conditionalFormatting sqref="C117">
    <cfRule type="cellIs" dxfId="2061" priority="2689" stopIfTrue="1" operator="equal">
      <formula>"Towel"</formula>
    </cfRule>
    <cfRule type="cellIs" dxfId="2060" priority="2690" stopIfTrue="1" operator="equal">
      <formula>"Napkin Hs"</formula>
    </cfRule>
  </conditionalFormatting>
  <conditionalFormatting sqref="B117:C117">
    <cfRule type="cellIs" dxfId="2059" priority="2688" stopIfTrue="1" operator="equal">
      <formula>"Napkin Hs"</formula>
    </cfRule>
  </conditionalFormatting>
  <conditionalFormatting sqref="B117:C117">
    <cfRule type="cellIs" dxfId="2058" priority="2687" stopIfTrue="1" operator="equal">
      <formula>"Towel"</formula>
    </cfRule>
  </conditionalFormatting>
  <conditionalFormatting sqref="C117">
    <cfRule type="cellIs" dxfId="2057" priority="2686" stopIfTrue="1" operator="equal">
      <formula>"Napkin Hs"</formula>
    </cfRule>
  </conditionalFormatting>
  <conditionalFormatting sqref="C117">
    <cfRule type="cellIs" dxfId="2056" priority="2685" stopIfTrue="1" operator="equal">
      <formula>"Towel"</formula>
    </cfRule>
  </conditionalFormatting>
  <conditionalFormatting sqref="C117">
    <cfRule type="cellIs" dxfId="2055" priority="2683" stopIfTrue="1" operator="equal">
      <formula>"Towel"</formula>
    </cfRule>
    <cfRule type="cellIs" dxfId="2054" priority="2684" stopIfTrue="1" operator="equal">
      <formula>"Napkin Hs"</formula>
    </cfRule>
  </conditionalFormatting>
  <conditionalFormatting sqref="B117:C117">
    <cfRule type="cellIs" dxfId="2053" priority="2681" stopIfTrue="1" operator="equal">
      <formula>"Towel"</formula>
    </cfRule>
    <cfRule type="cellIs" dxfId="2052" priority="2682" stopIfTrue="1" operator="equal">
      <formula>"Napkin Hs"</formula>
    </cfRule>
  </conditionalFormatting>
  <conditionalFormatting sqref="C117">
    <cfRule type="cellIs" dxfId="2051" priority="2677" stopIfTrue="1" operator="equal">
      <formula>"Towel"</formula>
    </cfRule>
    <cfRule type="cellIs" dxfId="2050" priority="2678" stopIfTrue="1" operator="equal">
      <formula>"Napkin Hs"</formula>
    </cfRule>
  </conditionalFormatting>
  <conditionalFormatting sqref="C117">
    <cfRule type="cellIs" dxfId="2049" priority="2679" stopIfTrue="1" operator="equal">
      <formula>"Towel"</formula>
    </cfRule>
    <cfRule type="cellIs" dxfId="2048" priority="2680" stopIfTrue="1" operator="equal">
      <formula>"Napkin Hs"</formula>
    </cfRule>
  </conditionalFormatting>
  <conditionalFormatting sqref="B117:C117">
    <cfRule type="cellIs" dxfId="2047" priority="2676" stopIfTrue="1" operator="equal">
      <formula>"Napkin Hs"</formula>
    </cfRule>
  </conditionalFormatting>
  <conditionalFormatting sqref="B117:C117">
    <cfRule type="cellIs" dxfId="2046" priority="2675" stopIfTrue="1" operator="equal">
      <formula>"Towel"</formula>
    </cfRule>
  </conditionalFormatting>
  <conditionalFormatting sqref="C117">
    <cfRule type="cellIs" dxfId="2045" priority="2674" stopIfTrue="1" operator="equal">
      <formula>"Napkin Hs"</formula>
    </cfRule>
  </conditionalFormatting>
  <conditionalFormatting sqref="C117">
    <cfRule type="cellIs" dxfId="2044" priority="2673" stopIfTrue="1" operator="equal">
      <formula>"Towel"</formula>
    </cfRule>
  </conditionalFormatting>
  <conditionalFormatting sqref="C117">
    <cfRule type="cellIs" dxfId="2043" priority="2671" stopIfTrue="1" operator="equal">
      <formula>"Towel"</formula>
    </cfRule>
    <cfRule type="cellIs" dxfId="2042" priority="2672" stopIfTrue="1" operator="equal">
      <formula>"Napkin Hs"</formula>
    </cfRule>
  </conditionalFormatting>
  <conditionalFormatting sqref="B117:C117">
    <cfRule type="cellIs" dxfId="2041" priority="2669" stopIfTrue="1" operator="equal">
      <formula>"Towel"</formula>
    </cfRule>
    <cfRule type="cellIs" dxfId="2040" priority="2670" stopIfTrue="1" operator="equal">
      <formula>"Napkin Hs"</formula>
    </cfRule>
  </conditionalFormatting>
  <conditionalFormatting sqref="C117">
    <cfRule type="cellIs" dxfId="2039" priority="2667" stopIfTrue="1" operator="equal">
      <formula>"Towel"</formula>
    </cfRule>
    <cfRule type="cellIs" dxfId="2038" priority="2668" stopIfTrue="1" operator="equal">
      <formula>"Napkin Hs"</formula>
    </cfRule>
  </conditionalFormatting>
  <conditionalFormatting sqref="C117">
    <cfRule type="cellIs" dxfId="2037" priority="2665" stopIfTrue="1" operator="equal">
      <formula>"Towel"</formula>
    </cfRule>
    <cfRule type="cellIs" dxfId="2036" priority="2666" stopIfTrue="1" operator="equal">
      <formula>"Napkin Hs"</formula>
    </cfRule>
  </conditionalFormatting>
  <conditionalFormatting sqref="B117:C117">
    <cfRule type="cellIs" dxfId="2035" priority="2663" stopIfTrue="1" operator="equal">
      <formula>"Towel"</formula>
    </cfRule>
    <cfRule type="cellIs" dxfId="2034" priority="2664" stopIfTrue="1" operator="equal">
      <formula>"Napkin Hs"</formula>
    </cfRule>
  </conditionalFormatting>
  <conditionalFormatting sqref="C117">
    <cfRule type="cellIs" dxfId="2033" priority="2661" stopIfTrue="1" operator="equal">
      <formula>"Towel"</formula>
    </cfRule>
    <cfRule type="cellIs" dxfId="2032" priority="2662" stopIfTrue="1" operator="equal">
      <formula>"Napkin Hs"</formula>
    </cfRule>
  </conditionalFormatting>
  <conditionalFormatting sqref="C117">
    <cfRule type="cellIs" dxfId="2031" priority="2659" stopIfTrue="1" operator="equal">
      <formula>"Towel"</formula>
    </cfRule>
    <cfRule type="cellIs" dxfId="2030" priority="2660" stopIfTrue="1" operator="equal">
      <formula>"Napkin Hs"</formula>
    </cfRule>
  </conditionalFormatting>
  <conditionalFormatting sqref="B117:C117">
    <cfRule type="cellIs" dxfId="2029" priority="2657" stopIfTrue="1" operator="equal">
      <formula>"Towel"</formula>
    </cfRule>
    <cfRule type="cellIs" dxfId="2028" priority="2658" stopIfTrue="1" operator="equal">
      <formula>"Napkin Hs"</formula>
    </cfRule>
  </conditionalFormatting>
  <conditionalFormatting sqref="C117">
    <cfRule type="cellIs" dxfId="2027" priority="2655" stopIfTrue="1" operator="equal">
      <formula>"Towel"</formula>
    </cfRule>
    <cfRule type="cellIs" dxfId="2026" priority="2656" stopIfTrue="1" operator="equal">
      <formula>"Napkin Hs"</formula>
    </cfRule>
  </conditionalFormatting>
  <conditionalFormatting sqref="C117">
    <cfRule type="cellIs" dxfId="2025" priority="2653" stopIfTrue="1" operator="equal">
      <formula>"Towel"</formula>
    </cfRule>
    <cfRule type="cellIs" dxfId="2024" priority="2654" stopIfTrue="1" operator="equal">
      <formula>"Napkin Hs"</formula>
    </cfRule>
  </conditionalFormatting>
  <conditionalFormatting sqref="B117:C117">
    <cfRule type="cellIs" dxfId="2023" priority="2651" stopIfTrue="1" operator="equal">
      <formula>"Towel"</formula>
    </cfRule>
    <cfRule type="cellIs" dxfId="2022" priority="2652" stopIfTrue="1" operator="equal">
      <formula>"Napkin Hs"</formula>
    </cfRule>
  </conditionalFormatting>
  <conditionalFormatting sqref="C117">
    <cfRule type="cellIs" dxfId="2021" priority="2649" stopIfTrue="1" operator="equal">
      <formula>"Towel"</formula>
    </cfRule>
    <cfRule type="cellIs" dxfId="2020" priority="2650" stopIfTrue="1" operator="equal">
      <formula>"Napkin Hs"</formula>
    </cfRule>
  </conditionalFormatting>
  <conditionalFormatting sqref="C117">
    <cfRule type="cellIs" dxfId="2019" priority="2647" stopIfTrue="1" operator="equal">
      <formula>"Towel"</formula>
    </cfRule>
    <cfRule type="cellIs" dxfId="2018" priority="2648" stopIfTrue="1" operator="equal">
      <formula>"Napkin Hs"</formula>
    </cfRule>
  </conditionalFormatting>
  <conditionalFormatting sqref="B117:C117">
    <cfRule type="cellIs" dxfId="2017" priority="2645" stopIfTrue="1" operator="equal">
      <formula>"Towel"</formula>
    </cfRule>
    <cfRule type="cellIs" dxfId="2016" priority="2646" stopIfTrue="1" operator="equal">
      <formula>"Napkin Hs"</formula>
    </cfRule>
  </conditionalFormatting>
  <conditionalFormatting sqref="C117">
    <cfRule type="cellIs" dxfId="2015" priority="2643" stopIfTrue="1" operator="equal">
      <formula>"Towel"</formula>
    </cfRule>
    <cfRule type="cellIs" dxfId="2014" priority="2644" stopIfTrue="1" operator="equal">
      <formula>"Napkin Hs"</formula>
    </cfRule>
  </conditionalFormatting>
  <conditionalFormatting sqref="C117">
    <cfRule type="cellIs" dxfId="2013" priority="2641" stopIfTrue="1" operator="equal">
      <formula>"Towel"</formula>
    </cfRule>
    <cfRule type="cellIs" dxfId="2012" priority="2642" stopIfTrue="1" operator="equal">
      <formula>"Napkin Hs"</formula>
    </cfRule>
  </conditionalFormatting>
  <conditionalFormatting sqref="B117:C117">
    <cfRule type="cellIs" dxfId="2011" priority="2640" stopIfTrue="1" operator="equal">
      <formula>"Napkin Hs"</formula>
    </cfRule>
  </conditionalFormatting>
  <conditionalFormatting sqref="B117:C117">
    <cfRule type="cellIs" dxfId="2010" priority="2639" stopIfTrue="1" operator="equal">
      <formula>"Towel"</formula>
    </cfRule>
  </conditionalFormatting>
  <conditionalFormatting sqref="C117">
    <cfRule type="cellIs" dxfId="2009" priority="2638" stopIfTrue="1" operator="equal">
      <formula>"Napkin Hs"</formula>
    </cfRule>
  </conditionalFormatting>
  <conditionalFormatting sqref="C117">
    <cfRule type="cellIs" dxfId="2008" priority="2635" stopIfTrue="1" operator="equal">
      <formula>"Towel"</formula>
    </cfRule>
    <cfRule type="cellIs" dxfId="2007" priority="2636" stopIfTrue="1" operator="equal">
      <formula>"Napkin Hs"</formula>
    </cfRule>
  </conditionalFormatting>
  <conditionalFormatting sqref="C117">
    <cfRule type="cellIs" dxfId="2006" priority="2637" stopIfTrue="1" operator="equal">
      <formula>"Towel"</formula>
    </cfRule>
  </conditionalFormatting>
  <conditionalFormatting sqref="B117:C117">
    <cfRule type="cellIs" dxfId="2005" priority="2634" stopIfTrue="1" operator="equal">
      <formula>"Napkin Hs"</formula>
    </cfRule>
  </conditionalFormatting>
  <conditionalFormatting sqref="B117:C117">
    <cfRule type="cellIs" dxfId="2004" priority="2633" stopIfTrue="1" operator="equal">
      <formula>"Towel"</formula>
    </cfRule>
  </conditionalFormatting>
  <conditionalFormatting sqref="C117">
    <cfRule type="cellIs" dxfId="2003" priority="2632" stopIfTrue="1" operator="equal">
      <formula>"Napkin Hs"</formula>
    </cfRule>
  </conditionalFormatting>
  <conditionalFormatting sqref="C117">
    <cfRule type="cellIs" dxfId="2002" priority="2631" stopIfTrue="1" operator="equal">
      <formula>"Towel"</formula>
    </cfRule>
  </conditionalFormatting>
  <conditionalFormatting sqref="C117">
    <cfRule type="cellIs" dxfId="2001" priority="2629" stopIfTrue="1" operator="equal">
      <formula>"Towel"</formula>
    </cfRule>
    <cfRule type="cellIs" dxfId="2000" priority="2630" stopIfTrue="1" operator="equal">
      <formula>"Napkin Hs"</formula>
    </cfRule>
  </conditionalFormatting>
  <conditionalFormatting sqref="B117:C117">
    <cfRule type="cellIs" dxfId="1999" priority="2627" stopIfTrue="1" operator="equal">
      <formula>"Towel"</formula>
    </cfRule>
    <cfRule type="cellIs" dxfId="1998" priority="2628" stopIfTrue="1" operator="equal">
      <formula>"Napkin Hs"</formula>
    </cfRule>
  </conditionalFormatting>
  <conditionalFormatting sqref="C117">
    <cfRule type="cellIs" dxfId="1997" priority="2623" stopIfTrue="1" operator="equal">
      <formula>"Towel"</formula>
    </cfRule>
    <cfRule type="cellIs" dxfId="1996" priority="2624" stopIfTrue="1" operator="equal">
      <formula>"Napkin Hs"</formula>
    </cfRule>
  </conditionalFormatting>
  <conditionalFormatting sqref="C117">
    <cfRule type="cellIs" dxfId="1995" priority="2625" stopIfTrue="1" operator="equal">
      <formula>"Towel"</formula>
    </cfRule>
    <cfRule type="cellIs" dxfId="1994" priority="2626" stopIfTrue="1" operator="equal">
      <formula>"Napkin Hs"</formula>
    </cfRule>
  </conditionalFormatting>
  <conditionalFormatting sqref="B117:C117">
    <cfRule type="cellIs" dxfId="1993" priority="2622" stopIfTrue="1" operator="equal">
      <formula>"Napkin Hs"</formula>
    </cfRule>
  </conditionalFormatting>
  <conditionalFormatting sqref="B117:C117">
    <cfRule type="cellIs" dxfId="1992" priority="2621" stopIfTrue="1" operator="equal">
      <formula>"Towel"</formula>
    </cfRule>
  </conditionalFormatting>
  <conditionalFormatting sqref="C117">
    <cfRule type="cellIs" dxfId="1991" priority="2620" stopIfTrue="1" operator="equal">
      <formula>"Napkin Hs"</formula>
    </cfRule>
  </conditionalFormatting>
  <conditionalFormatting sqref="C117">
    <cfRule type="cellIs" dxfId="1990" priority="2619" stopIfTrue="1" operator="equal">
      <formula>"Towel"</formula>
    </cfRule>
  </conditionalFormatting>
  <conditionalFormatting sqref="C117">
    <cfRule type="cellIs" dxfId="1989" priority="2617" stopIfTrue="1" operator="equal">
      <formula>"Towel"</formula>
    </cfRule>
    <cfRule type="cellIs" dxfId="1988" priority="2618" stopIfTrue="1" operator="equal">
      <formula>"Napkin Hs"</formula>
    </cfRule>
  </conditionalFormatting>
  <conditionalFormatting sqref="B117:C117">
    <cfRule type="cellIs" dxfId="1987" priority="2615" stopIfTrue="1" operator="equal">
      <formula>"Towel"</formula>
    </cfRule>
    <cfRule type="cellIs" dxfId="1986" priority="2616" stopIfTrue="1" operator="equal">
      <formula>"Napkin Hs"</formula>
    </cfRule>
  </conditionalFormatting>
  <conditionalFormatting sqref="C117">
    <cfRule type="cellIs" dxfId="1985" priority="2613" stopIfTrue="1" operator="equal">
      <formula>"Towel"</formula>
    </cfRule>
    <cfRule type="cellIs" dxfId="1984" priority="2614" stopIfTrue="1" operator="equal">
      <formula>"Napkin Hs"</formula>
    </cfRule>
  </conditionalFormatting>
  <conditionalFormatting sqref="C117">
    <cfRule type="cellIs" dxfId="1983" priority="2611" stopIfTrue="1" operator="equal">
      <formula>"Towel"</formula>
    </cfRule>
    <cfRule type="cellIs" dxfId="1982" priority="2612" stopIfTrue="1" operator="equal">
      <formula>"Napkin Hs"</formula>
    </cfRule>
  </conditionalFormatting>
  <conditionalFormatting sqref="B117:C117">
    <cfRule type="cellIs" dxfId="1981" priority="2609" stopIfTrue="1" operator="equal">
      <formula>"Towel"</formula>
    </cfRule>
    <cfRule type="cellIs" dxfId="1980" priority="2610" stopIfTrue="1" operator="equal">
      <formula>"Napkin Hs"</formula>
    </cfRule>
  </conditionalFormatting>
  <conditionalFormatting sqref="C117">
    <cfRule type="cellIs" dxfId="1979" priority="2607" stopIfTrue="1" operator="equal">
      <formula>"Towel"</formula>
    </cfRule>
    <cfRule type="cellIs" dxfId="1978" priority="2608" stopIfTrue="1" operator="equal">
      <formula>"Napkin Hs"</formula>
    </cfRule>
  </conditionalFormatting>
  <conditionalFormatting sqref="C117">
    <cfRule type="cellIs" dxfId="1977" priority="2605" stopIfTrue="1" operator="equal">
      <formula>"Towel"</formula>
    </cfRule>
    <cfRule type="cellIs" dxfId="1976" priority="2606" stopIfTrue="1" operator="equal">
      <formula>"Napkin Hs"</formula>
    </cfRule>
  </conditionalFormatting>
  <conditionalFormatting sqref="B117:C117">
    <cfRule type="cellIs" dxfId="1975" priority="2603" stopIfTrue="1" operator="equal">
      <formula>"Towel"</formula>
    </cfRule>
    <cfRule type="cellIs" dxfId="1974" priority="2604" stopIfTrue="1" operator="equal">
      <formula>"Napkin Hs"</formula>
    </cfRule>
  </conditionalFormatting>
  <conditionalFormatting sqref="C117">
    <cfRule type="cellIs" dxfId="1973" priority="2601" stopIfTrue="1" operator="equal">
      <formula>"Towel"</formula>
    </cfRule>
    <cfRule type="cellIs" dxfId="1972" priority="2602" stopIfTrue="1" operator="equal">
      <formula>"Napkin Hs"</formula>
    </cfRule>
  </conditionalFormatting>
  <conditionalFormatting sqref="C117">
    <cfRule type="cellIs" dxfId="1971" priority="2599" stopIfTrue="1" operator="equal">
      <formula>"Towel"</formula>
    </cfRule>
    <cfRule type="cellIs" dxfId="1970" priority="2600" stopIfTrue="1" operator="equal">
      <formula>"Napkin Hs"</formula>
    </cfRule>
  </conditionalFormatting>
  <conditionalFormatting sqref="B117:C117">
    <cfRule type="cellIs" dxfId="1969" priority="2597" stopIfTrue="1" operator="equal">
      <formula>"Towel"</formula>
    </cfRule>
    <cfRule type="cellIs" dxfId="1968" priority="2598" stopIfTrue="1" operator="equal">
      <formula>"Napkin Hs"</formula>
    </cfRule>
  </conditionalFormatting>
  <conditionalFormatting sqref="C117">
    <cfRule type="cellIs" dxfId="1967" priority="2595" stopIfTrue="1" operator="equal">
      <formula>"Towel"</formula>
    </cfRule>
    <cfRule type="cellIs" dxfId="1966" priority="2596" stopIfTrue="1" operator="equal">
      <formula>"Napkin Hs"</formula>
    </cfRule>
  </conditionalFormatting>
  <conditionalFormatting sqref="C117">
    <cfRule type="cellIs" dxfId="1965" priority="2593" stopIfTrue="1" operator="equal">
      <formula>"Towel"</formula>
    </cfRule>
    <cfRule type="cellIs" dxfId="1964" priority="2594" stopIfTrue="1" operator="equal">
      <formula>"Napkin Hs"</formula>
    </cfRule>
  </conditionalFormatting>
  <conditionalFormatting sqref="B117:C117">
    <cfRule type="cellIs" dxfId="1963" priority="2591" stopIfTrue="1" operator="equal">
      <formula>"Towel"</formula>
    </cfRule>
    <cfRule type="cellIs" dxfId="1962" priority="2592" stopIfTrue="1" operator="equal">
      <formula>"Napkin Hs"</formula>
    </cfRule>
  </conditionalFormatting>
  <conditionalFormatting sqref="C117">
    <cfRule type="cellIs" dxfId="1961" priority="2589" stopIfTrue="1" operator="equal">
      <formula>"Towel"</formula>
    </cfRule>
    <cfRule type="cellIs" dxfId="1960" priority="2590" stopIfTrue="1" operator="equal">
      <formula>"Napkin Hs"</formula>
    </cfRule>
  </conditionalFormatting>
  <conditionalFormatting sqref="C117">
    <cfRule type="cellIs" dxfId="1959" priority="2587" stopIfTrue="1" operator="equal">
      <formula>"Towel"</formula>
    </cfRule>
    <cfRule type="cellIs" dxfId="1958" priority="2588" stopIfTrue="1" operator="equal">
      <formula>"Napkin Hs"</formula>
    </cfRule>
  </conditionalFormatting>
  <conditionalFormatting sqref="B117:C117">
    <cfRule type="cellIs" dxfId="1957" priority="2586" stopIfTrue="1" operator="equal">
      <formula>"Napkin Hs"</formula>
    </cfRule>
  </conditionalFormatting>
  <conditionalFormatting sqref="B117:C117">
    <cfRule type="cellIs" dxfId="1956" priority="2585" stopIfTrue="1" operator="equal">
      <formula>"Towel"</formula>
    </cfRule>
  </conditionalFormatting>
  <conditionalFormatting sqref="C117">
    <cfRule type="cellIs" dxfId="1955" priority="2584" stopIfTrue="1" operator="equal">
      <formula>"Napkin Hs"</formula>
    </cfRule>
  </conditionalFormatting>
  <conditionalFormatting sqref="C117">
    <cfRule type="cellIs" dxfId="1954" priority="2581" stopIfTrue="1" operator="equal">
      <formula>"Towel"</formula>
    </cfRule>
    <cfRule type="cellIs" dxfId="1953" priority="2582" stopIfTrue="1" operator="equal">
      <formula>"Napkin Hs"</formula>
    </cfRule>
  </conditionalFormatting>
  <conditionalFormatting sqref="C117">
    <cfRule type="cellIs" dxfId="1952" priority="2583" stopIfTrue="1" operator="equal">
      <formula>"Towel"</formula>
    </cfRule>
  </conditionalFormatting>
  <conditionalFormatting sqref="B117:C117">
    <cfRule type="cellIs" dxfId="1951" priority="2580" stopIfTrue="1" operator="equal">
      <formula>"Napkin Hs"</formula>
    </cfRule>
  </conditionalFormatting>
  <conditionalFormatting sqref="B117:C117">
    <cfRule type="cellIs" dxfId="1950" priority="2579" stopIfTrue="1" operator="equal">
      <formula>"Towel"</formula>
    </cfRule>
  </conditionalFormatting>
  <conditionalFormatting sqref="C117">
    <cfRule type="cellIs" dxfId="1949" priority="2578" stopIfTrue="1" operator="equal">
      <formula>"Napkin Hs"</formula>
    </cfRule>
  </conditionalFormatting>
  <conditionalFormatting sqref="C117">
    <cfRule type="cellIs" dxfId="1948" priority="2575" stopIfTrue="1" operator="equal">
      <formula>"Towel"</formula>
    </cfRule>
    <cfRule type="cellIs" dxfId="1947" priority="2576" stopIfTrue="1" operator="equal">
      <formula>"Napkin Hs"</formula>
    </cfRule>
  </conditionalFormatting>
  <conditionalFormatting sqref="C117">
    <cfRule type="cellIs" dxfId="1946" priority="2577" stopIfTrue="1" operator="equal">
      <formula>"Towel"</formula>
    </cfRule>
  </conditionalFormatting>
  <conditionalFormatting sqref="B117:C117">
    <cfRule type="cellIs" dxfId="1945" priority="2574" stopIfTrue="1" operator="equal">
      <formula>"Napkin Hs"</formula>
    </cfRule>
  </conditionalFormatting>
  <conditionalFormatting sqref="B117:C117">
    <cfRule type="cellIs" dxfId="1944" priority="2573" stopIfTrue="1" operator="equal">
      <formula>"Towel"</formula>
    </cfRule>
  </conditionalFormatting>
  <conditionalFormatting sqref="C117">
    <cfRule type="cellIs" dxfId="1943" priority="2572" stopIfTrue="1" operator="equal">
      <formula>"Napkin Hs"</formula>
    </cfRule>
  </conditionalFormatting>
  <conditionalFormatting sqref="C117">
    <cfRule type="cellIs" dxfId="1942" priority="2569" stopIfTrue="1" operator="equal">
      <formula>"Towel"</formula>
    </cfRule>
    <cfRule type="cellIs" dxfId="1941" priority="2570" stopIfTrue="1" operator="equal">
      <formula>"Napkin Hs"</formula>
    </cfRule>
  </conditionalFormatting>
  <conditionalFormatting sqref="C117">
    <cfRule type="cellIs" dxfId="1940" priority="2571" stopIfTrue="1" operator="equal">
      <formula>"Towel"</formula>
    </cfRule>
  </conditionalFormatting>
  <conditionalFormatting sqref="B116:C116">
    <cfRule type="cellIs" dxfId="1939" priority="2567" stopIfTrue="1" operator="equal">
      <formula>"Towel"</formula>
    </cfRule>
    <cfRule type="cellIs" dxfId="1938" priority="2568" stopIfTrue="1" operator="equal">
      <formula>"Napkin Hs"</formula>
    </cfRule>
  </conditionalFormatting>
  <conditionalFormatting sqref="C116">
    <cfRule type="cellIs" dxfId="1937" priority="2565" stopIfTrue="1" operator="equal">
      <formula>"Towel"</formula>
    </cfRule>
    <cfRule type="cellIs" dxfId="1936" priority="2566" stopIfTrue="1" operator="equal">
      <formula>"Napkin Hs"</formula>
    </cfRule>
  </conditionalFormatting>
  <conditionalFormatting sqref="C116">
    <cfRule type="cellIs" dxfId="1935" priority="2563" stopIfTrue="1" operator="equal">
      <formula>"Towel"</formula>
    </cfRule>
    <cfRule type="cellIs" dxfId="1934" priority="2564" stopIfTrue="1" operator="equal">
      <formula>"Napkin Hs"</formula>
    </cfRule>
  </conditionalFormatting>
  <conditionalFormatting sqref="B116:C116">
    <cfRule type="cellIs" dxfId="1933" priority="2562" stopIfTrue="1" operator="equal">
      <formula>"Napkin Hs"</formula>
    </cfRule>
  </conditionalFormatting>
  <conditionalFormatting sqref="B116:C116">
    <cfRule type="cellIs" dxfId="1932" priority="2561" stopIfTrue="1" operator="equal">
      <formula>"Towel"</formula>
    </cfRule>
  </conditionalFormatting>
  <conditionalFormatting sqref="C116">
    <cfRule type="cellIs" dxfId="1931" priority="2560" stopIfTrue="1" operator="equal">
      <formula>"Napkin Hs"</formula>
    </cfRule>
  </conditionalFormatting>
  <conditionalFormatting sqref="C116">
    <cfRule type="cellIs" dxfId="1930" priority="2559" stopIfTrue="1" operator="equal">
      <formula>"Towel"</formula>
    </cfRule>
  </conditionalFormatting>
  <conditionalFormatting sqref="C116">
    <cfRule type="cellIs" dxfId="1929" priority="2557" stopIfTrue="1" operator="equal">
      <formula>"Towel"</formula>
    </cfRule>
    <cfRule type="cellIs" dxfId="1928" priority="2558" stopIfTrue="1" operator="equal">
      <formula>"Napkin Hs"</formula>
    </cfRule>
  </conditionalFormatting>
  <conditionalFormatting sqref="B116:C116">
    <cfRule type="cellIs" dxfId="1927" priority="2555" stopIfTrue="1" operator="equal">
      <formula>"Towel"</formula>
    </cfRule>
    <cfRule type="cellIs" dxfId="1926" priority="2556" stopIfTrue="1" operator="equal">
      <formula>"Napkin Hs"</formula>
    </cfRule>
  </conditionalFormatting>
  <conditionalFormatting sqref="C116">
    <cfRule type="cellIs" dxfId="1925" priority="2551" stopIfTrue="1" operator="equal">
      <formula>"Towel"</formula>
    </cfRule>
    <cfRule type="cellIs" dxfId="1924" priority="2552" stopIfTrue="1" operator="equal">
      <formula>"Napkin Hs"</formula>
    </cfRule>
  </conditionalFormatting>
  <conditionalFormatting sqref="C116">
    <cfRule type="cellIs" dxfId="1923" priority="2553" stopIfTrue="1" operator="equal">
      <formula>"Towel"</formula>
    </cfRule>
    <cfRule type="cellIs" dxfId="1922" priority="2554" stopIfTrue="1" operator="equal">
      <formula>"Napkin Hs"</formula>
    </cfRule>
  </conditionalFormatting>
  <conditionalFormatting sqref="B116:C116">
    <cfRule type="cellIs" dxfId="1921" priority="2550" stopIfTrue="1" operator="equal">
      <formula>"Napkin Hs"</formula>
    </cfRule>
  </conditionalFormatting>
  <conditionalFormatting sqref="B116:C116">
    <cfRule type="cellIs" dxfId="1920" priority="2549" stopIfTrue="1" operator="equal">
      <formula>"Towel"</formula>
    </cfRule>
  </conditionalFormatting>
  <conditionalFormatting sqref="C116">
    <cfRule type="cellIs" dxfId="1919" priority="2548" stopIfTrue="1" operator="equal">
      <formula>"Napkin Hs"</formula>
    </cfRule>
  </conditionalFormatting>
  <conditionalFormatting sqref="C116">
    <cfRule type="cellIs" dxfId="1918" priority="2547" stopIfTrue="1" operator="equal">
      <formula>"Towel"</formula>
    </cfRule>
  </conditionalFormatting>
  <conditionalFormatting sqref="C116">
    <cfRule type="cellIs" dxfId="1917" priority="2545" stopIfTrue="1" operator="equal">
      <formula>"Towel"</formula>
    </cfRule>
    <cfRule type="cellIs" dxfId="1916" priority="2546" stopIfTrue="1" operator="equal">
      <formula>"Napkin Hs"</formula>
    </cfRule>
  </conditionalFormatting>
  <conditionalFormatting sqref="B116:C116">
    <cfRule type="cellIs" dxfId="1915" priority="2543" stopIfTrue="1" operator="equal">
      <formula>"Towel"</formula>
    </cfRule>
    <cfRule type="cellIs" dxfId="1914" priority="2544" stopIfTrue="1" operator="equal">
      <formula>"Napkin Hs"</formula>
    </cfRule>
  </conditionalFormatting>
  <conditionalFormatting sqref="C116">
    <cfRule type="cellIs" dxfId="1913" priority="2541" stopIfTrue="1" operator="equal">
      <formula>"Towel"</formula>
    </cfRule>
    <cfRule type="cellIs" dxfId="1912" priority="2542" stopIfTrue="1" operator="equal">
      <formula>"Napkin Hs"</formula>
    </cfRule>
  </conditionalFormatting>
  <conditionalFormatting sqref="C116">
    <cfRule type="cellIs" dxfId="1911" priority="2539" stopIfTrue="1" operator="equal">
      <formula>"Towel"</formula>
    </cfRule>
    <cfRule type="cellIs" dxfId="1910" priority="2540" stopIfTrue="1" operator="equal">
      <formula>"Napkin Hs"</formula>
    </cfRule>
  </conditionalFormatting>
  <conditionalFormatting sqref="B116:C116">
    <cfRule type="cellIs" dxfId="1909" priority="2537" stopIfTrue="1" operator="equal">
      <formula>"Towel"</formula>
    </cfRule>
    <cfRule type="cellIs" dxfId="1908" priority="2538" stopIfTrue="1" operator="equal">
      <formula>"Napkin Hs"</formula>
    </cfRule>
  </conditionalFormatting>
  <conditionalFormatting sqref="C116">
    <cfRule type="cellIs" dxfId="1907" priority="2535" stopIfTrue="1" operator="equal">
      <formula>"Towel"</formula>
    </cfRule>
    <cfRule type="cellIs" dxfId="1906" priority="2536" stopIfTrue="1" operator="equal">
      <formula>"Napkin Hs"</formula>
    </cfRule>
  </conditionalFormatting>
  <conditionalFormatting sqref="C116">
    <cfRule type="cellIs" dxfId="1905" priority="2533" stopIfTrue="1" operator="equal">
      <formula>"Towel"</formula>
    </cfRule>
    <cfRule type="cellIs" dxfId="1904" priority="2534" stopIfTrue="1" operator="equal">
      <formula>"Napkin Hs"</formula>
    </cfRule>
  </conditionalFormatting>
  <conditionalFormatting sqref="B116:C116">
    <cfRule type="cellIs" dxfId="1903" priority="2531" stopIfTrue="1" operator="equal">
      <formula>"Towel"</formula>
    </cfRule>
    <cfRule type="cellIs" dxfId="1902" priority="2532" stopIfTrue="1" operator="equal">
      <formula>"Napkin Hs"</formula>
    </cfRule>
  </conditionalFormatting>
  <conditionalFormatting sqref="C116">
    <cfRule type="cellIs" dxfId="1901" priority="2529" stopIfTrue="1" operator="equal">
      <formula>"Towel"</formula>
    </cfRule>
    <cfRule type="cellIs" dxfId="1900" priority="2530" stopIfTrue="1" operator="equal">
      <formula>"Napkin Hs"</formula>
    </cfRule>
  </conditionalFormatting>
  <conditionalFormatting sqref="C116">
    <cfRule type="cellIs" dxfId="1899" priority="2527" stopIfTrue="1" operator="equal">
      <formula>"Towel"</formula>
    </cfRule>
    <cfRule type="cellIs" dxfId="1898" priority="2528" stopIfTrue="1" operator="equal">
      <formula>"Napkin Hs"</formula>
    </cfRule>
  </conditionalFormatting>
  <conditionalFormatting sqref="B116:C116">
    <cfRule type="cellIs" dxfId="1897" priority="2525" stopIfTrue="1" operator="equal">
      <formula>"Towel"</formula>
    </cfRule>
    <cfRule type="cellIs" dxfId="1896" priority="2526" stopIfTrue="1" operator="equal">
      <formula>"Napkin Hs"</formula>
    </cfRule>
  </conditionalFormatting>
  <conditionalFormatting sqref="C116">
    <cfRule type="cellIs" dxfId="1895" priority="2523" stopIfTrue="1" operator="equal">
      <formula>"Towel"</formula>
    </cfRule>
    <cfRule type="cellIs" dxfId="1894" priority="2524" stopIfTrue="1" operator="equal">
      <formula>"Napkin Hs"</formula>
    </cfRule>
  </conditionalFormatting>
  <conditionalFormatting sqref="C116">
    <cfRule type="cellIs" dxfId="1893" priority="2521" stopIfTrue="1" operator="equal">
      <formula>"Towel"</formula>
    </cfRule>
    <cfRule type="cellIs" dxfId="1892" priority="2522" stopIfTrue="1" operator="equal">
      <formula>"Napkin Hs"</formula>
    </cfRule>
  </conditionalFormatting>
  <conditionalFormatting sqref="B116:C116">
    <cfRule type="cellIs" dxfId="1891" priority="2519" stopIfTrue="1" operator="equal">
      <formula>"Towel"</formula>
    </cfRule>
    <cfRule type="cellIs" dxfId="1890" priority="2520" stopIfTrue="1" operator="equal">
      <formula>"Napkin Hs"</formula>
    </cfRule>
  </conditionalFormatting>
  <conditionalFormatting sqref="C116">
    <cfRule type="cellIs" dxfId="1889" priority="2517" stopIfTrue="1" operator="equal">
      <formula>"Towel"</formula>
    </cfRule>
    <cfRule type="cellIs" dxfId="1888" priority="2518" stopIfTrue="1" operator="equal">
      <formula>"Napkin Hs"</formula>
    </cfRule>
  </conditionalFormatting>
  <conditionalFormatting sqref="C116">
    <cfRule type="cellIs" dxfId="1887" priority="2515" stopIfTrue="1" operator="equal">
      <formula>"Towel"</formula>
    </cfRule>
    <cfRule type="cellIs" dxfId="1886" priority="2516" stopIfTrue="1" operator="equal">
      <formula>"Napkin Hs"</formula>
    </cfRule>
  </conditionalFormatting>
  <conditionalFormatting sqref="B116:C116">
    <cfRule type="cellIs" dxfId="1885" priority="2514" stopIfTrue="1" operator="equal">
      <formula>"Napkin Hs"</formula>
    </cfRule>
  </conditionalFormatting>
  <conditionalFormatting sqref="B116:C116">
    <cfRule type="cellIs" dxfId="1884" priority="2513" stopIfTrue="1" operator="equal">
      <formula>"Towel"</formula>
    </cfRule>
  </conditionalFormatting>
  <conditionalFormatting sqref="C116">
    <cfRule type="cellIs" dxfId="1883" priority="2512" stopIfTrue="1" operator="equal">
      <formula>"Napkin Hs"</formula>
    </cfRule>
  </conditionalFormatting>
  <conditionalFormatting sqref="C116">
    <cfRule type="cellIs" dxfId="1882" priority="2509" stopIfTrue="1" operator="equal">
      <formula>"Towel"</formula>
    </cfRule>
    <cfRule type="cellIs" dxfId="1881" priority="2510" stopIfTrue="1" operator="equal">
      <formula>"Napkin Hs"</formula>
    </cfRule>
  </conditionalFormatting>
  <conditionalFormatting sqref="C116">
    <cfRule type="cellIs" dxfId="1880" priority="2511" stopIfTrue="1" operator="equal">
      <formula>"Towel"</formula>
    </cfRule>
  </conditionalFormatting>
  <conditionalFormatting sqref="B116:C116">
    <cfRule type="cellIs" dxfId="1879" priority="2508" stopIfTrue="1" operator="equal">
      <formula>"Napkin Hs"</formula>
    </cfRule>
  </conditionalFormatting>
  <conditionalFormatting sqref="B116:C116">
    <cfRule type="cellIs" dxfId="1878" priority="2507" stopIfTrue="1" operator="equal">
      <formula>"Towel"</formula>
    </cfRule>
  </conditionalFormatting>
  <conditionalFormatting sqref="C116">
    <cfRule type="cellIs" dxfId="1877" priority="2506" stopIfTrue="1" operator="equal">
      <formula>"Napkin Hs"</formula>
    </cfRule>
  </conditionalFormatting>
  <conditionalFormatting sqref="C116">
    <cfRule type="cellIs" dxfId="1876" priority="2505" stopIfTrue="1" operator="equal">
      <formula>"Towel"</formula>
    </cfRule>
  </conditionalFormatting>
  <conditionalFormatting sqref="C116">
    <cfRule type="cellIs" dxfId="1875" priority="2503" stopIfTrue="1" operator="equal">
      <formula>"Towel"</formula>
    </cfRule>
    <cfRule type="cellIs" dxfId="1874" priority="2504" stopIfTrue="1" operator="equal">
      <formula>"Napkin Hs"</formula>
    </cfRule>
  </conditionalFormatting>
  <conditionalFormatting sqref="B116:C116">
    <cfRule type="cellIs" dxfId="1873" priority="2501" stopIfTrue="1" operator="equal">
      <formula>"Towel"</formula>
    </cfRule>
    <cfRule type="cellIs" dxfId="1872" priority="2502" stopIfTrue="1" operator="equal">
      <formula>"Napkin Hs"</formula>
    </cfRule>
  </conditionalFormatting>
  <conditionalFormatting sqref="C116">
    <cfRule type="cellIs" dxfId="1871" priority="2497" stopIfTrue="1" operator="equal">
      <formula>"Towel"</formula>
    </cfRule>
    <cfRule type="cellIs" dxfId="1870" priority="2498" stopIfTrue="1" operator="equal">
      <formula>"Napkin Hs"</formula>
    </cfRule>
  </conditionalFormatting>
  <conditionalFormatting sqref="C116">
    <cfRule type="cellIs" dxfId="1869" priority="2499" stopIfTrue="1" operator="equal">
      <formula>"Towel"</formula>
    </cfRule>
    <cfRule type="cellIs" dxfId="1868" priority="2500" stopIfTrue="1" operator="equal">
      <formula>"Napkin Hs"</formula>
    </cfRule>
  </conditionalFormatting>
  <conditionalFormatting sqref="B116:C116">
    <cfRule type="cellIs" dxfId="1867" priority="2496" stopIfTrue="1" operator="equal">
      <formula>"Napkin Hs"</formula>
    </cfRule>
  </conditionalFormatting>
  <conditionalFormatting sqref="B116:C116">
    <cfRule type="cellIs" dxfId="1866" priority="2495" stopIfTrue="1" operator="equal">
      <formula>"Towel"</formula>
    </cfRule>
  </conditionalFormatting>
  <conditionalFormatting sqref="C116">
    <cfRule type="cellIs" dxfId="1865" priority="2494" stopIfTrue="1" operator="equal">
      <formula>"Napkin Hs"</formula>
    </cfRule>
  </conditionalFormatting>
  <conditionalFormatting sqref="C116">
    <cfRule type="cellIs" dxfId="1864" priority="2493" stopIfTrue="1" operator="equal">
      <formula>"Towel"</formula>
    </cfRule>
  </conditionalFormatting>
  <conditionalFormatting sqref="C116">
    <cfRule type="cellIs" dxfId="1863" priority="2491" stopIfTrue="1" operator="equal">
      <formula>"Towel"</formula>
    </cfRule>
    <cfRule type="cellIs" dxfId="1862" priority="2492" stopIfTrue="1" operator="equal">
      <formula>"Napkin Hs"</formula>
    </cfRule>
  </conditionalFormatting>
  <conditionalFormatting sqref="B116:C116">
    <cfRule type="cellIs" dxfId="1861" priority="2489" stopIfTrue="1" operator="equal">
      <formula>"Towel"</formula>
    </cfRule>
    <cfRule type="cellIs" dxfId="1860" priority="2490" stopIfTrue="1" operator="equal">
      <formula>"Napkin Hs"</formula>
    </cfRule>
  </conditionalFormatting>
  <conditionalFormatting sqref="C116">
    <cfRule type="cellIs" dxfId="1859" priority="2487" stopIfTrue="1" operator="equal">
      <formula>"Towel"</formula>
    </cfRule>
    <cfRule type="cellIs" dxfId="1858" priority="2488" stopIfTrue="1" operator="equal">
      <formula>"Napkin Hs"</formula>
    </cfRule>
  </conditionalFormatting>
  <conditionalFormatting sqref="C116">
    <cfRule type="cellIs" dxfId="1857" priority="2485" stopIfTrue="1" operator="equal">
      <formula>"Towel"</formula>
    </cfRule>
    <cfRule type="cellIs" dxfId="1856" priority="2486" stopIfTrue="1" operator="equal">
      <formula>"Napkin Hs"</formula>
    </cfRule>
  </conditionalFormatting>
  <conditionalFormatting sqref="B116:C116">
    <cfRule type="cellIs" dxfId="1855" priority="2483" stopIfTrue="1" operator="equal">
      <formula>"Towel"</formula>
    </cfRule>
    <cfRule type="cellIs" dxfId="1854" priority="2484" stopIfTrue="1" operator="equal">
      <formula>"Napkin Hs"</formula>
    </cfRule>
  </conditionalFormatting>
  <conditionalFormatting sqref="C116">
    <cfRule type="cellIs" dxfId="1853" priority="2481" stopIfTrue="1" operator="equal">
      <formula>"Towel"</formula>
    </cfRule>
    <cfRule type="cellIs" dxfId="1852" priority="2482" stopIfTrue="1" operator="equal">
      <formula>"Napkin Hs"</formula>
    </cfRule>
  </conditionalFormatting>
  <conditionalFormatting sqref="C116">
    <cfRule type="cellIs" dxfId="1851" priority="2479" stopIfTrue="1" operator="equal">
      <formula>"Towel"</formula>
    </cfRule>
    <cfRule type="cellIs" dxfId="1850" priority="2480" stopIfTrue="1" operator="equal">
      <formula>"Napkin Hs"</formula>
    </cfRule>
  </conditionalFormatting>
  <conditionalFormatting sqref="B116:C116">
    <cfRule type="cellIs" dxfId="1849" priority="2477" stopIfTrue="1" operator="equal">
      <formula>"Towel"</formula>
    </cfRule>
    <cfRule type="cellIs" dxfId="1848" priority="2478" stopIfTrue="1" operator="equal">
      <formula>"Napkin Hs"</formula>
    </cfRule>
  </conditionalFormatting>
  <conditionalFormatting sqref="C116">
    <cfRule type="cellIs" dxfId="1847" priority="2475" stopIfTrue="1" operator="equal">
      <formula>"Towel"</formula>
    </cfRule>
    <cfRule type="cellIs" dxfId="1846" priority="2476" stopIfTrue="1" operator="equal">
      <formula>"Napkin Hs"</formula>
    </cfRule>
  </conditionalFormatting>
  <conditionalFormatting sqref="C116">
    <cfRule type="cellIs" dxfId="1845" priority="2473" stopIfTrue="1" operator="equal">
      <formula>"Towel"</formula>
    </cfRule>
    <cfRule type="cellIs" dxfId="1844" priority="2474" stopIfTrue="1" operator="equal">
      <formula>"Napkin Hs"</formula>
    </cfRule>
  </conditionalFormatting>
  <conditionalFormatting sqref="B116:C116">
    <cfRule type="cellIs" dxfId="1843" priority="2471" stopIfTrue="1" operator="equal">
      <formula>"Towel"</formula>
    </cfRule>
    <cfRule type="cellIs" dxfId="1842" priority="2472" stopIfTrue="1" operator="equal">
      <formula>"Napkin Hs"</formula>
    </cfRule>
  </conditionalFormatting>
  <conditionalFormatting sqref="C116">
    <cfRule type="cellIs" dxfId="1841" priority="2469" stopIfTrue="1" operator="equal">
      <formula>"Towel"</formula>
    </cfRule>
    <cfRule type="cellIs" dxfId="1840" priority="2470" stopIfTrue="1" operator="equal">
      <formula>"Napkin Hs"</formula>
    </cfRule>
  </conditionalFormatting>
  <conditionalFormatting sqref="C116">
    <cfRule type="cellIs" dxfId="1839" priority="2467" stopIfTrue="1" operator="equal">
      <formula>"Towel"</formula>
    </cfRule>
    <cfRule type="cellIs" dxfId="1838" priority="2468" stopIfTrue="1" operator="equal">
      <formula>"Napkin Hs"</formula>
    </cfRule>
  </conditionalFormatting>
  <conditionalFormatting sqref="B116:C116">
    <cfRule type="cellIs" dxfId="1837" priority="2465" stopIfTrue="1" operator="equal">
      <formula>"Towel"</formula>
    </cfRule>
    <cfRule type="cellIs" dxfId="1836" priority="2466" stopIfTrue="1" operator="equal">
      <formula>"Napkin Hs"</formula>
    </cfRule>
  </conditionalFormatting>
  <conditionalFormatting sqref="C116">
    <cfRule type="cellIs" dxfId="1835" priority="2463" stopIfTrue="1" operator="equal">
      <formula>"Towel"</formula>
    </cfRule>
    <cfRule type="cellIs" dxfId="1834" priority="2464" stopIfTrue="1" operator="equal">
      <formula>"Napkin Hs"</formula>
    </cfRule>
  </conditionalFormatting>
  <conditionalFormatting sqref="C116">
    <cfRule type="cellIs" dxfId="1833" priority="2461" stopIfTrue="1" operator="equal">
      <formula>"Towel"</formula>
    </cfRule>
    <cfRule type="cellIs" dxfId="1832" priority="2462" stopIfTrue="1" operator="equal">
      <formula>"Napkin Hs"</formula>
    </cfRule>
  </conditionalFormatting>
  <conditionalFormatting sqref="B116:C116">
    <cfRule type="cellIs" dxfId="1831" priority="2460" stopIfTrue="1" operator="equal">
      <formula>"Napkin Hs"</formula>
    </cfRule>
  </conditionalFormatting>
  <conditionalFormatting sqref="B116:C116">
    <cfRule type="cellIs" dxfId="1830" priority="2459" stopIfTrue="1" operator="equal">
      <formula>"Towel"</formula>
    </cfRule>
  </conditionalFormatting>
  <conditionalFormatting sqref="C116">
    <cfRule type="cellIs" dxfId="1829" priority="2458" stopIfTrue="1" operator="equal">
      <formula>"Napkin Hs"</formula>
    </cfRule>
  </conditionalFormatting>
  <conditionalFormatting sqref="C116">
    <cfRule type="cellIs" dxfId="1828" priority="2455" stopIfTrue="1" operator="equal">
      <formula>"Towel"</formula>
    </cfRule>
    <cfRule type="cellIs" dxfId="1827" priority="2456" stopIfTrue="1" operator="equal">
      <formula>"Napkin Hs"</formula>
    </cfRule>
  </conditionalFormatting>
  <conditionalFormatting sqref="C116">
    <cfRule type="cellIs" dxfId="1826" priority="2457" stopIfTrue="1" operator="equal">
      <formula>"Towel"</formula>
    </cfRule>
  </conditionalFormatting>
  <conditionalFormatting sqref="B116:C116">
    <cfRule type="cellIs" dxfId="1825" priority="2454" stopIfTrue="1" operator="equal">
      <formula>"Napkin Hs"</formula>
    </cfRule>
  </conditionalFormatting>
  <conditionalFormatting sqref="B116:C116">
    <cfRule type="cellIs" dxfId="1824" priority="2453" stopIfTrue="1" operator="equal">
      <formula>"Towel"</formula>
    </cfRule>
  </conditionalFormatting>
  <conditionalFormatting sqref="C116">
    <cfRule type="cellIs" dxfId="1823" priority="2452" stopIfTrue="1" operator="equal">
      <formula>"Napkin Hs"</formula>
    </cfRule>
  </conditionalFormatting>
  <conditionalFormatting sqref="C116">
    <cfRule type="cellIs" dxfId="1822" priority="2449" stopIfTrue="1" operator="equal">
      <formula>"Towel"</formula>
    </cfRule>
    <cfRule type="cellIs" dxfId="1821" priority="2450" stopIfTrue="1" operator="equal">
      <formula>"Napkin Hs"</formula>
    </cfRule>
  </conditionalFormatting>
  <conditionalFormatting sqref="C116">
    <cfRule type="cellIs" dxfId="1820" priority="2451" stopIfTrue="1" operator="equal">
      <formula>"Towel"</formula>
    </cfRule>
  </conditionalFormatting>
  <conditionalFormatting sqref="B116:C116">
    <cfRule type="cellIs" dxfId="1819" priority="2448" stopIfTrue="1" operator="equal">
      <formula>"Napkin Hs"</formula>
    </cfRule>
  </conditionalFormatting>
  <conditionalFormatting sqref="B116:C116">
    <cfRule type="cellIs" dxfId="1818" priority="2447" stopIfTrue="1" operator="equal">
      <formula>"Towel"</formula>
    </cfRule>
  </conditionalFormatting>
  <conditionalFormatting sqref="C116">
    <cfRule type="cellIs" dxfId="1817" priority="2446" stopIfTrue="1" operator="equal">
      <formula>"Napkin Hs"</formula>
    </cfRule>
  </conditionalFormatting>
  <conditionalFormatting sqref="C116">
    <cfRule type="cellIs" dxfId="1816" priority="2443" stopIfTrue="1" operator="equal">
      <formula>"Towel"</formula>
    </cfRule>
    <cfRule type="cellIs" dxfId="1815" priority="2444" stopIfTrue="1" operator="equal">
      <formula>"Napkin Hs"</formula>
    </cfRule>
  </conditionalFormatting>
  <conditionalFormatting sqref="C116">
    <cfRule type="cellIs" dxfId="1814" priority="2445" stopIfTrue="1" operator="equal">
      <formula>"Towel"</formula>
    </cfRule>
  </conditionalFormatting>
  <conditionalFormatting sqref="B123:C123">
    <cfRule type="cellIs" dxfId="1813" priority="2442" stopIfTrue="1" operator="equal">
      <formula>"Napkin Hs"</formula>
    </cfRule>
  </conditionalFormatting>
  <conditionalFormatting sqref="B123:C123">
    <cfRule type="cellIs" dxfId="1812" priority="2441" stopIfTrue="1" operator="equal">
      <formula>"Towel"</formula>
    </cfRule>
  </conditionalFormatting>
  <conditionalFormatting sqref="C123">
    <cfRule type="cellIs" dxfId="1811" priority="2440" stopIfTrue="1" operator="equal">
      <formula>"Napkin Hs"</formula>
    </cfRule>
  </conditionalFormatting>
  <conditionalFormatting sqref="C123">
    <cfRule type="cellIs" dxfId="1810" priority="2439" stopIfTrue="1" operator="equal">
      <formula>"Towel"</formula>
    </cfRule>
  </conditionalFormatting>
  <conditionalFormatting sqref="C123">
    <cfRule type="cellIs" dxfId="1809" priority="2437" stopIfTrue="1" operator="equal">
      <formula>"Towel"</formula>
    </cfRule>
    <cfRule type="cellIs" dxfId="1808" priority="2438" stopIfTrue="1" operator="equal">
      <formula>"Napkin Hs"</formula>
    </cfRule>
  </conditionalFormatting>
  <conditionalFormatting sqref="B122:C122">
    <cfRule type="cellIs" dxfId="1807" priority="2436" stopIfTrue="1" operator="equal">
      <formula>"Napkin Hs"</formula>
    </cfRule>
  </conditionalFormatting>
  <conditionalFormatting sqref="B122:C122">
    <cfRule type="cellIs" dxfId="1806" priority="2435" stopIfTrue="1" operator="equal">
      <formula>"Towel"</formula>
    </cfRule>
  </conditionalFormatting>
  <conditionalFormatting sqref="C122">
    <cfRule type="cellIs" dxfId="1805" priority="2434" stopIfTrue="1" operator="equal">
      <formula>"Napkin Hs"</formula>
    </cfRule>
  </conditionalFormatting>
  <conditionalFormatting sqref="C122">
    <cfRule type="cellIs" dxfId="1804" priority="2433" stopIfTrue="1" operator="equal">
      <formula>"Towel"</formula>
    </cfRule>
  </conditionalFormatting>
  <conditionalFormatting sqref="C122">
    <cfRule type="cellIs" dxfId="1803" priority="2431" stopIfTrue="1" operator="equal">
      <formula>"Towel"</formula>
    </cfRule>
    <cfRule type="cellIs" dxfId="1802" priority="2432" stopIfTrue="1" operator="equal">
      <formula>"Napkin Hs"</formula>
    </cfRule>
  </conditionalFormatting>
  <conditionalFormatting sqref="B122:C122">
    <cfRule type="cellIs" dxfId="1801" priority="2430" stopIfTrue="1" operator="equal">
      <formula>"Napkin Hs"</formula>
    </cfRule>
  </conditionalFormatting>
  <conditionalFormatting sqref="B122:C122">
    <cfRule type="cellIs" dxfId="1800" priority="2429" stopIfTrue="1" operator="equal">
      <formula>"Towel"</formula>
    </cfRule>
  </conditionalFormatting>
  <conditionalFormatting sqref="C122">
    <cfRule type="cellIs" dxfId="1799" priority="2428" stopIfTrue="1" operator="equal">
      <formula>"Napkin Hs"</formula>
    </cfRule>
  </conditionalFormatting>
  <conditionalFormatting sqref="C122">
    <cfRule type="cellIs" dxfId="1798" priority="2427" stopIfTrue="1" operator="equal">
      <formula>"Towel"</formula>
    </cfRule>
  </conditionalFormatting>
  <conditionalFormatting sqref="C122">
    <cfRule type="cellIs" dxfId="1797" priority="2425" stopIfTrue="1" operator="equal">
      <formula>"Towel"</formula>
    </cfRule>
    <cfRule type="cellIs" dxfId="1796" priority="2426" stopIfTrue="1" operator="equal">
      <formula>"Napkin Hs"</formula>
    </cfRule>
  </conditionalFormatting>
  <conditionalFormatting sqref="B122:C122">
    <cfRule type="cellIs" dxfId="1795" priority="2423" stopIfTrue="1" operator="equal">
      <formula>"Towel"</formula>
    </cfRule>
    <cfRule type="cellIs" dxfId="1794" priority="2424" stopIfTrue="1" operator="equal">
      <formula>"Napkin Hs"</formula>
    </cfRule>
  </conditionalFormatting>
  <conditionalFormatting sqref="C122">
    <cfRule type="cellIs" dxfId="1793" priority="2419" stopIfTrue="1" operator="equal">
      <formula>"Towel"</formula>
    </cfRule>
    <cfRule type="cellIs" dxfId="1792" priority="2420" stopIfTrue="1" operator="equal">
      <formula>"Napkin Hs"</formula>
    </cfRule>
  </conditionalFormatting>
  <conditionalFormatting sqref="C122">
    <cfRule type="cellIs" dxfId="1791" priority="2421" stopIfTrue="1" operator="equal">
      <formula>"Towel"</formula>
    </cfRule>
    <cfRule type="cellIs" dxfId="1790" priority="2422" stopIfTrue="1" operator="equal">
      <formula>"Napkin Hs"</formula>
    </cfRule>
  </conditionalFormatting>
  <conditionalFormatting sqref="B122:C122">
    <cfRule type="cellIs" dxfId="1789" priority="2418" stopIfTrue="1" operator="equal">
      <formula>"Napkin Hs"</formula>
    </cfRule>
  </conditionalFormatting>
  <conditionalFormatting sqref="B122:C122">
    <cfRule type="cellIs" dxfId="1788" priority="2417" stopIfTrue="1" operator="equal">
      <formula>"Towel"</formula>
    </cfRule>
  </conditionalFormatting>
  <conditionalFormatting sqref="C122">
    <cfRule type="cellIs" dxfId="1787" priority="2416" stopIfTrue="1" operator="equal">
      <formula>"Napkin Hs"</formula>
    </cfRule>
  </conditionalFormatting>
  <conditionalFormatting sqref="C122">
    <cfRule type="cellIs" dxfId="1786" priority="2415" stopIfTrue="1" operator="equal">
      <formula>"Towel"</formula>
    </cfRule>
  </conditionalFormatting>
  <conditionalFormatting sqref="C122">
    <cfRule type="cellIs" dxfId="1785" priority="2413" stopIfTrue="1" operator="equal">
      <formula>"Towel"</formula>
    </cfRule>
    <cfRule type="cellIs" dxfId="1784" priority="2414" stopIfTrue="1" operator="equal">
      <formula>"Napkin Hs"</formula>
    </cfRule>
  </conditionalFormatting>
  <conditionalFormatting sqref="B122:C122">
    <cfRule type="cellIs" dxfId="1783" priority="2411" stopIfTrue="1" operator="equal">
      <formula>"Towel"</formula>
    </cfRule>
    <cfRule type="cellIs" dxfId="1782" priority="2412" stopIfTrue="1" operator="equal">
      <formula>"Napkin Hs"</formula>
    </cfRule>
  </conditionalFormatting>
  <conditionalFormatting sqref="C122">
    <cfRule type="cellIs" dxfId="1781" priority="2409" stopIfTrue="1" operator="equal">
      <formula>"Towel"</formula>
    </cfRule>
    <cfRule type="cellIs" dxfId="1780" priority="2410" stopIfTrue="1" operator="equal">
      <formula>"Napkin Hs"</formula>
    </cfRule>
  </conditionalFormatting>
  <conditionalFormatting sqref="C122">
    <cfRule type="cellIs" dxfId="1779" priority="2407" stopIfTrue="1" operator="equal">
      <formula>"Towel"</formula>
    </cfRule>
    <cfRule type="cellIs" dxfId="1778" priority="2408" stopIfTrue="1" operator="equal">
      <formula>"Napkin Hs"</formula>
    </cfRule>
  </conditionalFormatting>
  <conditionalFormatting sqref="B122:C122">
    <cfRule type="cellIs" dxfId="1777" priority="2405" stopIfTrue="1" operator="equal">
      <formula>"Towel"</formula>
    </cfRule>
    <cfRule type="cellIs" dxfId="1776" priority="2406" stopIfTrue="1" operator="equal">
      <formula>"Napkin Hs"</formula>
    </cfRule>
  </conditionalFormatting>
  <conditionalFormatting sqref="C122">
    <cfRule type="cellIs" dxfId="1775" priority="2403" stopIfTrue="1" operator="equal">
      <formula>"Towel"</formula>
    </cfRule>
    <cfRule type="cellIs" dxfId="1774" priority="2404" stopIfTrue="1" operator="equal">
      <formula>"Napkin Hs"</formula>
    </cfRule>
  </conditionalFormatting>
  <conditionalFormatting sqref="C122">
    <cfRule type="cellIs" dxfId="1773" priority="2401" stopIfTrue="1" operator="equal">
      <formula>"Towel"</formula>
    </cfRule>
    <cfRule type="cellIs" dxfId="1772" priority="2402" stopIfTrue="1" operator="equal">
      <formula>"Napkin Hs"</formula>
    </cfRule>
  </conditionalFormatting>
  <conditionalFormatting sqref="B122:C122">
    <cfRule type="cellIs" dxfId="1771" priority="2399" stopIfTrue="1" operator="equal">
      <formula>"Towel"</formula>
    </cfRule>
    <cfRule type="cellIs" dxfId="1770" priority="2400" stopIfTrue="1" operator="equal">
      <formula>"Napkin Hs"</formula>
    </cfRule>
  </conditionalFormatting>
  <conditionalFormatting sqref="C122">
    <cfRule type="cellIs" dxfId="1769" priority="2397" stopIfTrue="1" operator="equal">
      <formula>"Towel"</formula>
    </cfRule>
    <cfRule type="cellIs" dxfId="1768" priority="2398" stopIfTrue="1" operator="equal">
      <formula>"Napkin Hs"</formula>
    </cfRule>
  </conditionalFormatting>
  <conditionalFormatting sqref="C122">
    <cfRule type="cellIs" dxfId="1767" priority="2395" stopIfTrue="1" operator="equal">
      <formula>"Towel"</formula>
    </cfRule>
    <cfRule type="cellIs" dxfId="1766" priority="2396" stopIfTrue="1" operator="equal">
      <formula>"Napkin Hs"</formula>
    </cfRule>
  </conditionalFormatting>
  <conditionalFormatting sqref="B122:C122">
    <cfRule type="cellIs" dxfId="1765" priority="2393" stopIfTrue="1" operator="equal">
      <formula>"Towel"</formula>
    </cfRule>
    <cfRule type="cellIs" dxfId="1764" priority="2394" stopIfTrue="1" operator="equal">
      <formula>"Napkin Hs"</formula>
    </cfRule>
  </conditionalFormatting>
  <conditionalFormatting sqref="C122">
    <cfRule type="cellIs" dxfId="1763" priority="2391" stopIfTrue="1" operator="equal">
      <formula>"Towel"</formula>
    </cfRule>
    <cfRule type="cellIs" dxfId="1762" priority="2392" stopIfTrue="1" operator="equal">
      <formula>"Napkin Hs"</formula>
    </cfRule>
  </conditionalFormatting>
  <conditionalFormatting sqref="C122">
    <cfRule type="cellIs" dxfId="1761" priority="2389" stopIfTrue="1" operator="equal">
      <formula>"Towel"</formula>
    </cfRule>
    <cfRule type="cellIs" dxfId="1760" priority="2390" stopIfTrue="1" operator="equal">
      <formula>"Napkin Hs"</formula>
    </cfRule>
  </conditionalFormatting>
  <conditionalFormatting sqref="B122:C122">
    <cfRule type="cellIs" dxfId="1759" priority="2387" stopIfTrue="1" operator="equal">
      <formula>"Towel"</formula>
    </cfRule>
    <cfRule type="cellIs" dxfId="1758" priority="2388" stopIfTrue="1" operator="equal">
      <formula>"Napkin Hs"</formula>
    </cfRule>
  </conditionalFormatting>
  <conditionalFormatting sqref="C122">
    <cfRule type="cellIs" dxfId="1757" priority="2385" stopIfTrue="1" operator="equal">
      <formula>"Towel"</formula>
    </cfRule>
    <cfRule type="cellIs" dxfId="1756" priority="2386" stopIfTrue="1" operator="equal">
      <formula>"Napkin Hs"</formula>
    </cfRule>
  </conditionalFormatting>
  <conditionalFormatting sqref="C122">
    <cfRule type="cellIs" dxfId="1755" priority="2383" stopIfTrue="1" operator="equal">
      <formula>"Towel"</formula>
    </cfRule>
    <cfRule type="cellIs" dxfId="1754" priority="2384" stopIfTrue="1" operator="equal">
      <formula>"Napkin Hs"</formula>
    </cfRule>
  </conditionalFormatting>
  <conditionalFormatting sqref="B122:C122">
    <cfRule type="cellIs" dxfId="1753" priority="2382" stopIfTrue="1" operator="equal">
      <formula>"Napkin Hs"</formula>
    </cfRule>
  </conditionalFormatting>
  <conditionalFormatting sqref="B122:C122">
    <cfRule type="cellIs" dxfId="1752" priority="2381" stopIfTrue="1" operator="equal">
      <formula>"Towel"</formula>
    </cfRule>
  </conditionalFormatting>
  <conditionalFormatting sqref="C122">
    <cfRule type="cellIs" dxfId="1751" priority="2380" stopIfTrue="1" operator="equal">
      <formula>"Napkin Hs"</formula>
    </cfRule>
  </conditionalFormatting>
  <conditionalFormatting sqref="C122">
    <cfRule type="cellIs" dxfId="1750" priority="2377" stopIfTrue="1" operator="equal">
      <formula>"Towel"</formula>
    </cfRule>
    <cfRule type="cellIs" dxfId="1749" priority="2378" stopIfTrue="1" operator="equal">
      <formula>"Napkin Hs"</formula>
    </cfRule>
  </conditionalFormatting>
  <conditionalFormatting sqref="C122">
    <cfRule type="cellIs" dxfId="1748" priority="2379" stopIfTrue="1" operator="equal">
      <formula>"Towel"</formula>
    </cfRule>
  </conditionalFormatting>
  <conditionalFormatting sqref="B122:C122">
    <cfRule type="cellIs" dxfId="1747" priority="2376" stopIfTrue="1" operator="equal">
      <formula>"Napkin Hs"</formula>
    </cfRule>
  </conditionalFormatting>
  <conditionalFormatting sqref="B122:C122">
    <cfRule type="cellIs" dxfId="1746" priority="2375" stopIfTrue="1" operator="equal">
      <formula>"Towel"</formula>
    </cfRule>
  </conditionalFormatting>
  <conditionalFormatting sqref="C122">
    <cfRule type="cellIs" dxfId="1745" priority="2374" stopIfTrue="1" operator="equal">
      <formula>"Napkin Hs"</formula>
    </cfRule>
  </conditionalFormatting>
  <conditionalFormatting sqref="C122">
    <cfRule type="cellIs" dxfId="1744" priority="2373" stopIfTrue="1" operator="equal">
      <formula>"Towel"</formula>
    </cfRule>
  </conditionalFormatting>
  <conditionalFormatting sqref="C122">
    <cfRule type="cellIs" dxfId="1743" priority="2371" stopIfTrue="1" operator="equal">
      <formula>"Towel"</formula>
    </cfRule>
    <cfRule type="cellIs" dxfId="1742" priority="2372" stopIfTrue="1" operator="equal">
      <formula>"Napkin Hs"</formula>
    </cfRule>
  </conditionalFormatting>
  <conditionalFormatting sqref="B122:C122">
    <cfRule type="cellIs" dxfId="1741" priority="2369" stopIfTrue="1" operator="equal">
      <formula>"Towel"</formula>
    </cfRule>
    <cfRule type="cellIs" dxfId="1740" priority="2370" stopIfTrue="1" operator="equal">
      <formula>"Napkin Hs"</formula>
    </cfRule>
  </conditionalFormatting>
  <conditionalFormatting sqref="C122">
    <cfRule type="cellIs" dxfId="1739" priority="2365" stopIfTrue="1" operator="equal">
      <formula>"Towel"</formula>
    </cfRule>
    <cfRule type="cellIs" dxfId="1738" priority="2366" stopIfTrue="1" operator="equal">
      <formula>"Napkin Hs"</formula>
    </cfRule>
  </conditionalFormatting>
  <conditionalFormatting sqref="C122">
    <cfRule type="cellIs" dxfId="1737" priority="2367" stopIfTrue="1" operator="equal">
      <formula>"Towel"</formula>
    </cfRule>
    <cfRule type="cellIs" dxfId="1736" priority="2368" stopIfTrue="1" operator="equal">
      <formula>"Napkin Hs"</formula>
    </cfRule>
  </conditionalFormatting>
  <conditionalFormatting sqref="B122:C122">
    <cfRule type="cellIs" dxfId="1735" priority="2364" stopIfTrue="1" operator="equal">
      <formula>"Napkin Hs"</formula>
    </cfRule>
  </conditionalFormatting>
  <conditionalFormatting sqref="B122:C122">
    <cfRule type="cellIs" dxfId="1734" priority="2363" stopIfTrue="1" operator="equal">
      <formula>"Towel"</formula>
    </cfRule>
  </conditionalFormatting>
  <conditionalFormatting sqref="C122">
    <cfRule type="cellIs" dxfId="1733" priority="2362" stopIfTrue="1" operator="equal">
      <formula>"Napkin Hs"</formula>
    </cfRule>
  </conditionalFormatting>
  <conditionalFormatting sqref="C122">
    <cfRule type="cellIs" dxfId="1732" priority="2361" stopIfTrue="1" operator="equal">
      <formula>"Towel"</formula>
    </cfRule>
  </conditionalFormatting>
  <conditionalFormatting sqref="C122">
    <cfRule type="cellIs" dxfId="1731" priority="2359" stopIfTrue="1" operator="equal">
      <formula>"Towel"</formula>
    </cfRule>
    <cfRule type="cellIs" dxfId="1730" priority="2360" stopIfTrue="1" operator="equal">
      <formula>"Napkin Hs"</formula>
    </cfRule>
  </conditionalFormatting>
  <conditionalFormatting sqref="B122:C122">
    <cfRule type="cellIs" dxfId="1729" priority="2357" stopIfTrue="1" operator="equal">
      <formula>"Towel"</formula>
    </cfRule>
    <cfRule type="cellIs" dxfId="1728" priority="2358" stopIfTrue="1" operator="equal">
      <formula>"Napkin Hs"</formula>
    </cfRule>
  </conditionalFormatting>
  <conditionalFormatting sqref="C122">
    <cfRule type="cellIs" dxfId="1727" priority="2355" stopIfTrue="1" operator="equal">
      <formula>"Towel"</formula>
    </cfRule>
    <cfRule type="cellIs" dxfId="1726" priority="2356" stopIfTrue="1" operator="equal">
      <formula>"Napkin Hs"</formula>
    </cfRule>
  </conditionalFormatting>
  <conditionalFormatting sqref="C122">
    <cfRule type="cellIs" dxfId="1725" priority="2353" stopIfTrue="1" operator="equal">
      <formula>"Towel"</formula>
    </cfRule>
    <cfRule type="cellIs" dxfId="1724" priority="2354" stopIfTrue="1" operator="equal">
      <formula>"Napkin Hs"</formula>
    </cfRule>
  </conditionalFormatting>
  <conditionalFormatting sqref="B122:C122">
    <cfRule type="cellIs" dxfId="1723" priority="2351" stopIfTrue="1" operator="equal">
      <formula>"Towel"</formula>
    </cfRule>
    <cfRule type="cellIs" dxfId="1722" priority="2352" stopIfTrue="1" operator="equal">
      <formula>"Napkin Hs"</formula>
    </cfRule>
  </conditionalFormatting>
  <conditionalFormatting sqref="C122">
    <cfRule type="cellIs" dxfId="1721" priority="2349" stopIfTrue="1" operator="equal">
      <formula>"Towel"</formula>
    </cfRule>
    <cfRule type="cellIs" dxfId="1720" priority="2350" stopIfTrue="1" operator="equal">
      <formula>"Napkin Hs"</formula>
    </cfRule>
  </conditionalFormatting>
  <conditionalFormatting sqref="C122">
    <cfRule type="cellIs" dxfId="1719" priority="2347" stopIfTrue="1" operator="equal">
      <formula>"Towel"</formula>
    </cfRule>
    <cfRule type="cellIs" dxfId="1718" priority="2348" stopIfTrue="1" operator="equal">
      <formula>"Napkin Hs"</formula>
    </cfRule>
  </conditionalFormatting>
  <conditionalFormatting sqref="B122:C122">
    <cfRule type="cellIs" dxfId="1717" priority="2345" stopIfTrue="1" operator="equal">
      <formula>"Towel"</formula>
    </cfRule>
    <cfRule type="cellIs" dxfId="1716" priority="2346" stopIfTrue="1" operator="equal">
      <formula>"Napkin Hs"</formula>
    </cfRule>
  </conditionalFormatting>
  <conditionalFormatting sqref="C122">
    <cfRule type="cellIs" dxfId="1715" priority="2343" stopIfTrue="1" operator="equal">
      <formula>"Towel"</formula>
    </cfRule>
    <cfRule type="cellIs" dxfId="1714" priority="2344" stopIfTrue="1" operator="equal">
      <formula>"Napkin Hs"</formula>
    </cfRule>
  </conditionalFormatting>
  <conditionalFormatting sqref="C122">
    <cfRule type="cellIs" dxfId="1713" priority="2341" stopIfTrue="1" operator="equal">
      <formula>"Towel"</formula>
    </cfRule>
    <cfRule type="cellIs" dxfId="1712" priority="2342" stopIfTrue="1" operator="equal">
      <formula>"Napkin Hs"</formula>
    </cfRule>
  </conditionalFormatting>
  <conditionalFormatting sqref="B122:C122">
    <cfRule type="cellIs" dxfId="1711" priority="2339" stopIfTrue="1" operator="equal">
      <formula>"Towel"</formula>
    </cfRule>
    <cfRule type="cellIs" dxfId="1710" priority="2340" stopIfTrue="1" operator="equal">
      <formula>"Napkin Hs"</formula>
    </cfRule>
  </conditionalFormatting>
  <conditionalFormatting sqref="C122">
    <cfRule type="cellIs" dxfId="1709" priority="2337" stopIfTrue="1" operator="equal">
      <formula>"Towel"</formula>
    </cfRule>
    <cfRule type="cellIs" dxfId="1708" priority="2338" stopIfTrue="1" operator="equal">
      <formula>"Napkin Hs"</formula>
    </cfRule>
  </conditionalFormatting>
  <conditionalFormatting sqref="C122">
    <cfRule type="cellIs" dxfId="1707" priority="2335" stopIfTrue="1" operator="equal">
      <formula>"Towel"</formula>
    </cfRule>
    <cfRule type="cellIs" dxfId="1706" priority="2336" stopIfTrue="1" operator="equal">
      <formula>"Napkin Hs"</formula>
    </cfRule>
  </conditionalFormatting>
  <conditionalFormatting sqref="B122:C122">
    <cfRule type="cellIs" dxfId="1705" priority="2333" stopIfTrue="1" operator="equal">
      <formula>"Towel"</formula>
    </cfRule>
    <cfRule type="cellIs" dxfId="1704" priority="2334" stopIfTrue="1" operator="equal">
      <formula>"Napkin Hs"</formula>
    </cfRule>
  </conditionalFormatting>
  <conditionalFormatting sqref="C122">
    <cfRule type="cellIs" dxfId="1703" priority="2331" stopIfTrue="1" operator="equal">
      <formula>"Towel"</formula>
    </cfRule>
    <cfRule type="cellIs" dxfId="1702" priority="2332" stopIfTrue="1" operator="equal">
      <formula>"Napkin Hs"</formula>
    </cfRule>
  </conditionalFormatting>
  <conditionalFormatting sqref="C122">
    <cfRule type="cellIs" dxfId="1701" priority="2329" stopIfTrue="1" operator="equal">
      <formula>"Towel"</formula>
    </cfRule>
    <cfRule type="cellIs" dxfId="1700" priority="2330" stopIfTrue="1" operator="equal">
      <formula>"Napkin Hs"</formula>
    </cfRule>
  </conditionalFormatting>
  <conditionalFormatting sqref="B122:C122">
    <cfRule type="cellIs" dxfId="1699" priority="2328" stopIfTrue="1" operator="equal">
      <formula>"Napkin Hs"</formula>
    </cfRule>
  </conditionalFormatting>
  <conditionalFormatting sqref="B122:C122">
    <cfRule type="cellIs" dxfId="1698" priority="2327" stopIfTrue="1" operator="equal">
      <formula>"Towel"</formula>
    </cfRule>
  </conditionalFormatting>
  <conditionalFormatting sqref="C122">
    <cfRule type="cellIs" dxfId="1697" priority="2326" stopIfTrue="1" operator="equal">
      <formula>"Napkin Hs"</formula>
    </cfRule>
  </conditionalFormatting>
  <conditionalFormatting sqref="C122">
    <cfRule type="cellIs" dxfId="1696" priority="2323" stopIfTrue="1" operator="equal">
      <formula>"Towel"</formula>
    </cfRule>
    <cfRule type="cellIs" dxfId="1695" priority="2324" stopIfTrue="1" operator="equal">
      <formula>"Napkin Hs"</formula>
    </cfRule>
  </conditionalFormatting>
  <conditionalFormatting sqref="C122">
    <cfRule type="cellIs" dxfId="1694" priority="2325" stopIfTrue="1" operator="equal">
      <formula>"Towel"</formula>
    </cfRule>
  </conditionalFormatting>
  <conditionalFormatting sqref="B122:C122">
    <cfRule type="cellIs" dxfId="1693" priority="2322" stopIfTrue="1" operator="equal">
      <formula>"Napkin Hs"</formula>
    </cfRule>
  </conditionalFormatting>
  <conditionalFormatting sqref="B122:C122">
    <cfRule type="cellIs" dxfId="1692" priority="2321" stopIfTrue="1" operator="equal">
      <formula>"Towel"</formula>
    </cfRule>
  </conditionalFormatting>
  <conditionalFormatting sqref="C122">
    <cfRule type="cellIs" dxfId="1691" priority="2320" stopIfTrue="1" operator="equal">
      <formula>"Napkin Hs"</formula>
    </cfRule>
  </conditionalFormatting>
  <conditionalFormatting sqref="C122">
    <cfRule type="cellIs" dxfId="1690" priority="2319" stopIfTrue="1" operator="equal">
      <formula>"Towel"</formula>
    </cfRule>
  </conditionalFormatting>
  <conditionalFormatting sqref="C122">
    <cfRule type="cellIs" dxfId="1689" priority="2317" stopIfTrue="1" operator="equal">
      <formula>"Towel"</formula>
    </cfRule>
    <cfRule type="cellIs" dxfId="1688" priority="2318" stopIfTrue="1" operator="equal">
      <formula>"Napkin Hs"</formula>
    </cfRule>
  </conditionalFormatting>
  <conditionalFormatting sqref="B122:C122">
    <cfRule type="cellIs" dxfId="1687" priority="2315" stopIfTrue="1" operator="equal">
      <formula>"Towel"</formula>
    </cfRule>
    <cfRule type="cellIs" dxfId="1686" priority="2316" stopIfTrue="1" operator="equal">
      <formula>"Napkin Hs"</formula>
    </cfRule>
  </conditionalFormatting>
  <conditionalFormatting sqref="C122">
    <cfRule type="cellIs" dxfId="1685" priority="2311" stopIfTrue="1" operator="equal">
      <formula>"Towel"</formula>
    </cfRule>
    <cfRule type="cellIs" dxfId="1684" priority="2312" stopIfTrue="1" operator="equal">
      <formula>"Napkin Hs"</formula>
    </cfRule>
  </conditionalFormatting>
  <conditionalFormatting sqref="C122">
    <cfRule type="cellIs" dxfId="1683" priority="2313" stopIfTrue="1" operator="equal">
      <formula>"Towel"</formula>
    </cfRule>
    <cfRule type="cellIs" dxfId="1682" priority="2314" stopIfTrue="1" operator="equal">
      <formula>"Napkin Hs"</formula>
    </cfRule>
  </conditionalFormatting>
  <conditionalFormatting sqref="B122:C122">
    <cfRule type="cellIs" dxfId="1681" priority="2310" stopIfTrue="1" operator="equal">
      <formula>"Napkin Hs"</formula>
    </cfRule>
  </conditionalFormatting>
  <conditionalFormatting sqref="B122:C122">
    <cfRule type="cellIs" dxfId="1680" priority="2309" stopIfTrue="1" operator="equal">
      <formula>"Towel"</formula>
    </cfRule>
  </conditionalFormatting>
  <conditionalFormatting sqref="C122">
    <cfRule type="cellIs" dxfId="1679" priority="2308" stopIfTrue="1" operator="equal">
      <formula>"Napkin Hs"</formula>
    </cfRule>
  </conditionalFormatting>
  <conditionalFormatting sqref="C122">
    <cfRule type="cellIs" dxfId="1678" priority="2307" stopIfTrue="1" operator="equal">
      <formula>"Towel"</formula>
    </cfRule>
  </conditionalFormatting>
  <conditionalFormatting sqref="C122">
    <cfRule type="cellIs" dxfId="1677" priority="2305" stopIfTrue="1" operator="equal">
      <formula>"Towel"</formula>
    </cfRule>
    <cfRule type="cellIs" dxfId="1676" priority="2306" stopIfTrue="1" operator="equal">
      <formula>"Napkin Hs"</formula>
    </cfRule>
  </conditionalFormatting>
  <conditionalFormatting sqref="B122:C122">
    <cfRule type="cellIs" dxfId="1675" priority="2303" stopIfTrue="1" operator="equal">
      <formula>"Towel"</formula>
    </cfRule>
    <cfRule type="cellIs" dxfId="1674" priority="2304" stopIfTrue="1" operator="equal">
      <formula>"Napkin Hs"</formula>
    </cfRule>
  </conditionalFormatting>
  <conditionalFormatting sqref="C122">
    <cfRule type="cellIs" dxfId="1673" priority="2301" stopIfTrue="1" operator="equal">
      <formula>"Towel"</formula>
    </cfRule>
    <cfRule type="cellIs" dxfId="1672" priority="2302" stopIfTrue="1" operator="equal">
      <formula>"Napkin Hs"</formula>
    </cfRule>
  </conditionalFormatting>
  <conditionalFormatting sqref="C122">
    <cfRule type="cellIs" dxfId="1671" priority="2299" stopIfTrue="1" operator="equal">
      <formula>"Towel"</formula>
    </cfRule>
    <cfRule type="cellIs" dxfId="1670" priority="2300" stopIfTrue="1" operator="equal">
      <formula>"Napkin Hs"</formula>
    </cfRule>
  </conditionalFormatting>
  <conditionalFormatting sqref="B122:C122">
    <cfRule type="cellIs" dxfId="1669" priority="2297" stopIfTrue="1" operator="equal">
      <formula>"Towel"</formula>
    </cfRule>
    <cfRule type="cellIs" dxfId="1668" priority="2298" stopIfTrue="1" operator="equal">
      <formula>"Napkin Hs"</formula>
    </cfRule>
  </conditionalFormatting>
  <conditionalFormatting sqref="C122">
    <cfRule type="cellIs" dxfId="1667" priority="2295" stopIfTrue="1" operator="equal">
      <formula>"Towel"</formula>
    </cfRule>
    <cfRule type="cellIs" dxfId="1666" priority="2296" stopIfTrue="1" operator="equal">
      <formula>"Napkin Hs"</formula>
    </cfRule>
  </conditionalFormatting>
  <conditionalFormatting sqref="C122">
    <cfRule type="cellIs" dxfId="1665" priority="2293" stopIfTrue="1" operator="equal">
      <formula>"Towel"</formula>
    </cfRule>
    <cfRule type="cellIs" dxfId="1664" priority="2294" stopIfTrue="1" operator="equal">
      <formula>"Napkin Hs"</formula>
    </cfRule>
  </conditionalFormatting>
  <conditionalFormatting sqref="B122:C122">
    <cfRule type="cellIs" dxfId="1663" priority="2291" stopIfTrue="1" operator="equal">
      <formula>"Towel"</formula>
    </cfRule>
    <cfRule type="cellIs" dxfId="1662" priority="2292" stopIfTrue="1" operator="equal">
      <formula>"Napkin Hs"</formula>
    </cfRule>
  </conditionalFormatting>
  <conditionalFormatting sqref="C122">
    <cfRule type="cellIs" dxfId="1661" priority="2289" stopIfTrue="1" operator="equal">
      <formula>"Towel"</formula>
    </cfRule>
    <cfRule type="cellIs" dxfId="1660" priority="2290" stopIfTrue="1" operator="equal">
      <formula>"Napkin Hs"</formula>
    </cfRule>
  </conditionalFormatting>
  <conditionalFormatting sqref="C122">
    <cfRule type="cellIs" dxfId="1659" priority="2287" stopIfTrue="1" operator="equal">
      <formula>"Towel"</formula>
    </cfRule>
    <cfRule type="cellIs" dxfId="1658" priority="2288" stopIfTrue="1" operator="equal">
      <formula>"Napkin Hs"</formula>
    </cfRule>
  </conditionalFormatting>
  <conditionalFormatting sqref="B122:C122">
    <cfRule type="cellIs" dxfId="1657" priority="2285" stopIfTrue="1" operator="equal">
      <formula>"Towel"</formula>
    </cfRule>
    <cfRule type="cellIs" dxfId="1656" priority="2286" stopIfTrue="1" operator="equal">
      <formula>"Napkin Hs"</formula>
    </cfRule>
  </conditionalFormatting>
  <conditionalFormatting sqref="C122">
    <cfRule type="cellIs" dxfId="1655" priority="2283" stopIfTrue="1" operator="equal">
      <formula>"Towel"</formula>
    </cfRule>
    <cfRule type="cellIs" dxfId="1654" priority="2284" stopIfTrue="1" operator="equal">
      <formula>"Napkin Hs"</formula>
    </cfRule>
  </conditionalFormatting>
  <conditionalFormatting sqref="C122">
    <cfRule type="cellIs" dxfId="1653" priority="2281" stopIfTrue="1" operator="equal">
      <formula>"Towel"</formula>
    </cfRule>
    <cfRule type="cellIs" dxfId="1652" priority="2282" stopIfTrue="1" operator="equal">
      <formula>"Napkin Hs"</formula>
    </cfRule>
  </conditionalFormatting>
  <conditionalFormatting sqref="B122:C122">
    <cfRule type="cellIs" dxfId="1651" priority="2279" stopIfTrue="1" operator="equal">
      <formula>"Towel"</formula>
    </cfRule>
    <cfRule type="cellIs" dxfId="1650" priority="2280" stopIfTrue="1" operator="equal">
      <formula>"Napkin Hs"</formula>
    </cfRule>
  </conditionalFormatting>
  <conditionalFormatting sqref="C122">
    <cfRule type="cellIs" dxfId="1649" priority="2277" stopIfTrue="1" operator="equal">
      <formula>"Towel"</formula>
    </cfRule>
    <cfRule type="cellIs" dxfId="1648" priority="2278" stopIfTrue="1" operator="equal">
      <formula>"Napkin Hs"</formula>
    </cfRule>
  </conditionalFormatting>
  <conditionalFormatting sqref="C122">
    <cfRule type="cellIs" dxfId="1647" priority="2275" stopIfTrue="1" operator="equal">
      <formula>"Towel"</formula>
    </cfRule>
    <cfRule type="cellIs" dxfId="1646" priority="2276" stopIfTrue="1" operator="equal">
      <formula>"Napkin Hs"</formula>
    </cfRule>
  </conditionalFormatting>
  <conditionalFormatting sqref="B122:C122">
    <cfRule type="cellIs" dxfId="1645" priority="2274" stopIfTrue="1" operator="equal">
      <formula>"Napkin Hs"</formula>
    </cfRule>
  </conditionalFormatting>
  <conditionalFormatting sqref="B122:C122">
    <cfRule type="cellIs" dxfId="1644" priority="2273" stopIfTrue="1" operator="equal">
      <formula>"Towel"</formula>
    </cfRule>
  </conditionalFormatting>
  <conditionalFormatting sqref="C122">
    <cfRule type="cellIs" dxfId="1643" priority="2272" stopIfTrue="1" operator="equal">
      <formula>"Napkin Hs"</formula>
    </cfRule>
  </conditionalFormatting>
  <conditionalFormatting sqref="C122">
    <cfRule type="cellIs" dxfId="1642" priority="2269" stopIfTrue="1" operator="equal">
      <formula>"Towel"</formula>
    </cfRule>
    <cfRule type="cellIs" dxfId="1641" priority="2270" stopIfTrue="1" operator="equal">
      <formula>"Napkin Hs"</formula>
    </cfRule>
  </conditionalFormatting>
  <conditionalFormatting sqref="C122">
    <cfRule type="cellIs" dxfId="1640" priority="2271" stopIfTrue="1" operator="equal">
      <formula>"Towel"</formula>
    </cfRule>
  </conditionalFormatting>
  <conditionalFormatting sqref="B122:C122">
    <cfRule type="cellIs" dxfId="1639" priority="2268" stopIfTrue="1" operator="equal">
      <formula>"Napkin Hs"</formula>
    </cfRule>
  </conditionalFormatting>
  <conditionalFormatting sqref="B122:C122">
    <cfRule type="cellIs" dxfId="1638" priority="2267" stopIfTrue="1" operator="equal">
      <formula>"Towel"</formula>
    </cfRule>
  </conditionalFormatting>
  <conditionalFormatting sqref="C122">
    <cfRule type="cellIs" dxfId="1637" priority="2266" stopIfTrue="1" operator="equal">
      <formula>"Napkin Hs"</formula>
    </cfRule>
  </conditionalFormatting>
  <conditionalFormatting sqref="C122">
    <cfRule type="cellIs" dxfId="1636" priority="2263" stopIfTrue="1" operator="equal">
      <formula>"Towel"</formula>
    </cfRule>
    <cfRule type="cellIs" dxfId="1635" priority="2264" stopIfTrue="1" operator="equal">
      <formula>"Napkin Hs"</formula>
    </cfRule>
  </conditionalFormatting>
  <conditionalFormatting sqref="C122">
    <cfRule type="cellIs" dxfId="1634" priority="2265" stopIfTrue="1" operator="equal">
      <formula>"Towel"</formula>
    </cfRule>
  </conditionalFormatting>
  <conditionalFormatting sqref="B122:C122">
    <cfRule type="cellIs" dxfId="1633" priority="2262" stopIfTrue="1" operator="equal">
      <formula>"Napkin Hs"</formula>
    </cfRule>
  </conditionalFormatting>
  <conditionalFormatting sqref="B122:C122">
    <cfRule type="cellIs" dxfId="1632" priority="2261" stopIfTrue="1" operator="equal">
      <formula>"Towel"</formula>
    </cfRule>
  </conditionalFormatting>
  <conditionalFormatting sqref="C122">
    <cfRule type="cellIs" dxfId="1631" priority="2260" stopIfTrue="1" operator="equal">
      <formula>"Napkin Hs"</formula>
    </cfRule>
  </conditionalFormatting>
  <conditionalFormatting sqref="C122">
    <cfRule type="cellIs" dxfId="1630" priority="2257" stopIfTrue="1" operator="equal">
      <formula>"Towel"</formula>
    </cfRule>
    <cfRule type="cellIs" dxfId="1629" priority="2258" stopIfTrue="1" operator="equal">
      <formula>"Napkin Hs"</formula>
    </cfRule>
  </conditionalFormatting>
  <conditionalFormatting sqref="C122">
    <cfRule type="cellIs" dxfId="1628" priority="2259" stopIfTrue="1" operator="equal">
      <formula>"Towel"</formula>
    </cfRule>
  </conditionalFormatting>
  <conditionalFormatting sqref="B120:C120">
    <cfRule type="cellIs" dxfId="1627" priority="2255" stopIfTrue="1" operator="equal">
      <formula>"Towel"</formula>
    </cfRule>
    <cfRule type="cellIs" dxfId="1626" priority="2256" stopIfTrue="1" operator="equal">
      <formula>"Napkin Hs"</formula>
    </cfRule>
  </conditionalFormatting>
  <conditionalFormatting sqref="C120">
    <cfRule type="cellIs" dxfId="1625" priority="2253" stopIfTrue="1" operator="equal">
      <formula>"Towel"</formula>
    </cfRule>
    <cfRule type="cellIs" dxfId="1624" priority="2254" stopIfTrue="1" operator="equal">
      <formula>"Napkin Hs"</formula>
    </cfRule>
  </conditionalFormatting>
  <conditionalFormatting sqref="C120">
    <cfRule type="cellIs" dxfId="1623" priority="2251" stopIfTrue="1" operator="equal">
      <formula>"Towel"</formula>
    </cfRule>
    <cfRule type="cellIs" dxfId="1622" priority="2252" stopIfTrue="1" operator="equal">
      <formula>"Napkin Hs"</formula>
    </cfRule>
  </conditionalFormatting>
  <conditionalFormatting sqref="B120:C120">
    <cfRule type="cellIs" dxfId="1621" priority="2250" stopIfTrue="1" operator="equal">
      <formula>"Napkin Hs"</formula>
    </cfRule>
  </conditionalFormatting>
  <conditionalFormatting sqref="B120:C120">
    <cfRule type="cellIs" dxfId="1620" priority="2249" stopIfTrue="1" operator="equal">
      <formula>"Towel"</formula>
    </cfRule>
  </conditionalFormatting>
  <conditionalFormatting sqref="C120">
    <cfRule type="cellIs" dxfId="1619" priority="2248" stopIfTrue="1" operator="equal">
      <formula>"Napkin Hs"</formula>
    </cfRule>
  </conditionalFormatting>
  <conditionalFormatting sqref="C120">
    <cfRule type="cellIs" dxfId="1618" priority="2247" stopIfTrue="1" operator="equal">
      <formula>"Towel"</formula>
    </cfRule>
  </conditionalFormatting>
  <conditionalFormatting sqref="C120">
    <cfRule type="cellIs" dxfId="1617" priority="2245" stopIfTrue="1" operator="equal">
      <formula>"Towel"</formula>
    </cfRule>
    <cfRule type="cellIs" dxfId="1616" priority="2246" stopIfTrue="1" operator="equal">
      <formula>"Napkin Hs"</formula>
    </cfRule>
  </conditionalFormatting>
  <conditionalFormatting sqref="B120:C120">
    <cfRule type="cellIs" dxfId="1615" priority="2243" stopIfTrue="1" operator="equal">
      <formula>"Towel"</formula>
    </cfRule>
    <cfRule type="cellIs" dxfId="1614" priority="2244" stopIfTrue="1" operator="equal">
      <formula>"Napkin Hs"</formula>
    </cfRule>
  </conditionalFormatting>
  <conditionalFormatting sqref="C120">
    <cfRule type="cellIs" dxfId="1613" priority="2239" stopIfTrue="1" operator="equal">
      <formula>"Towel"</formula>
    </cfRule>
    <cfRule type="cellIs" dxfId="1612" priority="2240" stopIfTrue="1" operator="equal">
      <formula>"Napkin Hs"</formula>
    </cfRule>
  </conditionalFormatting>
  <conditionalFormatting sqref="C120">
    <cfRule type="cellIs" dxfId="1611" priority="2241" stopIfTrue="1" operator="equal">
      <formula>"Towel"</formula>
    </cfRule>
    <cfRule type="cellIs" dxfId="1610" priority="2242" stopIfTrue="1" operator="equal">
      <formula>"Napkin Hs"</formula>
    </cfRule>
  </conditionalFormatting>
  <conditionalFormatting sqref="B120:C120">
    <cfRule type="cellIs" dxfId="1609" priority="2238" stopIfTrue="1" operator="equal">
      <formula>"Napkin Hs"</formula>
    </cfRule>
  </conditionalFormatting>
  <conditionalFormatting sqref="B120:C120">
    <cfRule type="cellIs" dxfId="1608" priority="2237" stopIfTrue="1" operator="equal">
      <formula>"Towel"</formula>
    </cfRule>
  </conditionalFormatting>
  <conditionalFormatting sqref="C120">
    <cfRule type="cellIs" dxfId="1607" priority="2236" stopIfTrue="1" operator="equal">
      <formula>"Napkin Hs"</formula>
    </cfRule>
  </conditionalFormatting>
  <conditionalFormatting sqref="C120">
    <cfRule type="cellIs" dxfId="1606" priority="2235" stopIfTrue="1" operator="equal">
      <formula>"Towel"</formula>
    </cfRule>
  </conditionalFormatting>
  <conditionalFormatting sqref="C120">
    <cfRule type="cellIs" dxfId="1605" priority="2233" stopIfTrue="1" operator="equal">
      <formula>"Towel"</formula>
    </cfRule>
    <cfRule type="cellIs" dxfId="1604" priority="2234" stopIfTrue="1" operator="equal">
      <formula>"Napkin Hs"</formula>
    </cfRule>
  </conditionalFormatting>
  <conditionalFormatting sqref="B120:C120">
    <cfRule type="cellIs" dxfId="1603" priority="2231" stopIfTrue="1" operator="equal">
      <formula>"Towel"</formula>
    </cfRule>
    <cfRule type="cellIs" dxfId="1602" priority="2232" stopIfTrue="1" operator="equal">
      <formula>"Napkin Hs"</formula>
    </cfRule>
  </conditionalFormatting>
  <conditionalFormatting sqref="C120">
    <cfRule type="cellIs" dxfId="1601" priority="2229" stopIfTrue="1" operator="equal">
      <formula>"Towel"</formula>
    </cfRule>
    <cfRule type="cellIs" dxfId="1600" priority="2230" stopIfTrue="1" operator="equal">
      <formula>"Napkin Hs"</formula>
    </cfRule>
  </conditionalFormatting>
  <conditionalFormatting sqref="C120">
    <cfRule type="cellIs" dxfId="1599" priority="2227" stopIfTrue="1" operator="equal">
      <formula>"Towel"</formula>
    </cfRule>
    <cfRule type="cellIs" dxfId="1598" priority="2228" stopIfTrue="1" operator="equal">
      <formula>"Napkin Hs"</formula>
    </cfRule>
  </conditionalFormatting>
  <conditionalFormatting sqref="B120:C120">
    <cfRule type="cellIs" dxfId="1597" priority="2225" stopIfTrue="1" operator="equal">
      <formula>"Towel"</formula>
    </cfRule>
    <cfRule type="cellIs" dxfId="1596" priority="2226" stopIfTrue="1" operator="equal">
      <formula>"Napkin Hs"</formula>
    </cfRule>
  </conditionalFormatting>
  <conditionalFormatting sqref="C120">
    <cfRule type="cellIs" dxfId="1595" priority="2223" stopIfTrue="1" operator="equal">
      <formula>"Towel"</formula>
    </cfRule>
    <cfRule type="cellIs" dxfId="1594" priority="2224" stopIfTrue="1" operator="equal">
      <formula>"Napkin Hs"</formula>
    </cfRule>
  </conditionalFormatting>
  <conditionalFormatting sqref="C120">
    <cfRule type="cellIs" dxfId="1593" priority="2221" stopIfTrue="1" operator="equal">
      <formula>"Towel"</formula>
    </cfRule>
    <cfRule type="cellIs" dxfId="1592" priority="2222" stopIfTrue="1" operator="equal">
      <formula>"Napkin Hs"</formula>
    </cfRule>
  </conditionalFormatting>
  <conditionalFormatting sqref="B120:C120">
    <cfRule type="cellIs" dxfId="1591" priority="2219" stopIfTrue="1" operator="equal">
      <formula>"Towel"</formula>
    </cfRule>
    <cfRule type="cellIs" dxfId="1590" priority="2220" stopIfTrue="1" operator="equal">
      <formula>"Napkin Hs"</formula>
    </cfRule>
  </conditionalFormatting>
  <conditionalFormatting sqref="C120">
    <cfRule type="cellIs" dxfId="1589" priority="2217" stopIfTrue="1" operator="equal">
      <formula>"Towel"</formula>
    </cfRule>
    <cfRule type="cellIs" dxfId="1588" priority="2218" stopIfTrue="1" operator="equal">
      <formula>"Napkin Hs"</formula>
    </cfRule>
  </conditionalFormatting>
  <conditionalFormatting sqref="C120">
    <cfRule type="cellIs" dxfId="1587" priority="2215" stopIfTrue="1" operator="equal">
      <formula>"Towel"</formula>
    </cfRule>
    <cfRule type="cellIs" dxfId="1586" priority="2216" stopIfTrue="1" operator="equal">
      <formula>"Napkin Hs"</formula>
    </cfRule>
  </conditionalFormatting>
  <conditionalFormatting sqref="B120:C120">
    <cfRule type="cellIs" dxfId="1585" priority="2213" stopIfTrue="1" operator="equal">
      <formula>"Towel"</formula>
    </cfRule>
    <cfRule type="cellIs" dxfId="1584" priority="2214" stopIfTrue="1" operator="equal">
      <formula>"Napkin Hs"</formula>
    </cfRule>
  </conditionalFormatting>
  <conditionalFormatting sqref="C120">
    <cfRule type="cellIs" dxfId="1583" priority="2211" stopIfTrue="1" operator="equal">
      <formula>"Towel"</formula>
    </cfRule>
    <cfRule type="cellIs" dxfId="1582" priority="2212" stopIfTrue="1" operator="equal">
      <formula>"Napkin Hs"</formula>
    </cfRule>
  </conditionalFormatting>
  <conditionalFormatting sqref="C120">
    <cfRule type="cellIs" dxfId="1581" priority="2209" stopIfTrue="1" operator="equal">
      <formula>"Towel"</formula>
    </cfRule>
    <cfRule type="cellIs" dxfId="1580" priority="2210" stopIfTrue="1" operator="equal">
      <formula>"Napkin Hs"</formula>
    </cfRule>
  </conditionalFormatting>
  <conditionalFormatting sqref="B120:C120">
    <cfRule type="cellIs" dxfId="1579" priority="2207" stopIfTrue="1" operator="equal">
      <formula>"Towel"</formula>
    </cfRule>
    <cfRule type="cellIs" dxfId="1578" priority="2208" stopIfTrue="1" operator="equal">
      <formula>"Napkin Hs"</formula>
    </cfRule>
  </conditionalFormatting>
  <conditionalFormatting sqref="C120">
    <cfRule type="cellIs" dxfId="1577" priority="2205" stopIfTrue="1" operator="equal">
      <formula>"Towel"</formula>
    </cfRule>
    <cfRule type="cellIs" dxfId="1576" priority="2206" stopIfTrue="1" operator="equal">
      <formula>"Napkin Hs"</formula>
    </cfRule>
  </conditionalFormatting>
  <conditionalFormatting sqref="C120">
    <cfRule type="cellIs" dxfId="1575" priority="2203" stopIfTrue="1" operator="equal">
      <formula>"Towel"</formula>
    </cfRule>
    <cfRule type="cellIs" dxfId="1574" priority="2204" stopIfTrue="1" operator="equal">
      <formula>"Napkin Hs"</formula>
    </cfRule>
  </conditionalFormatting>
  <conditionalFormatting sqref="B120:C120">
    <cfRule type="cellIs" dxfId="1573" priority="2202" stopIfTrue="1" operator="equal">
      <formula>"Napkin Hs"</formula>
    </cfRule>
  </conditionalFormatting>
  <conditionalFormatting sqref="B120:C120">
    <cfRule type="cellIs" dxfId="1572" priority="2201" stopIfTrue="1" operator="equal">
      <formula>"Towel"</formula>
    </cfRule>
  </conditionalFormatting>
  <conditionalFormatting sqref="C120">
    <cfRule type="cellIs" dxfId="1571" priority="2200" stopIfTrue="1" operator="equal">
      <formula>"Napkin Hs"</formula>
    </cfRule>
  </conditionalFormatting>
  <conditionalFormatting sqref="C120">
    <cfRule type="cellIs" dxfId="1570" priority="2197" stopIfTrue="1" operator="equal">
      <formula>"Towel"</formula>
    </cfRule>
    <cfRule type="cellIs" dxfId="1569" priority="2198" stopIfTrue="1" operator="equal">
      <formula>"Napkin Hs"</formula>
    </cfRule>
  </conditionalFormatting>
  <conditionalFormatting sqref="C120">
    <cfRule type="cellIs" dxfId="1568" priority="2199" stopIfTrue="1" operator="equal">
      <formula>"Towel"</formula>
    </cfRule>
  </conditionalFormatting>
  <conditionalFormatting sqref="B120:C120">
    <cfRule type="cellIs" dxfId="1567" priority="2196" stopIfTrue="1" operator="equal">
      <formula>"Napkin Hs"</formula>
    </cfRule>
  </conditionalFormatting>
  <conditionalFormatting sqref="B120:C120">
    <cfRule type="cellIs" dxfId="1566" priority="2195" stopIfTrue="1" operator="equal">
      <formula>"Towel"</formula>
    </cfRule>
  </conditionalFormatting>
  <conditionalFormatting sqref="C120">
    <cfRule type="cellIs" dxfId="1565" priority="2194" stopIfTrue="1" operator="equal">
      <formula>"Napkin Hs"</formula>
    </cfRule>
  </conditionalFormatting>
  <conditionalFormatting sqref="C120">
    <cfRule type="cellIs" dxfId="1564" priority="2193" stopIfTrue="1" operator="equal">
      <formula>"Towel"</formula>
    </cfRule>
  </conditionalFormatting>
  <conditionalFormatting sqref="C120">
    <cfRule type="cellIs" dxfId="1563" priority="2191" stopIfTrue="1" operator="equal">
      <formula>"Towel"</formula>
    </cfRule>
    <cfRule type="cellIs" dxfId="1562" priority="2192" stopIfTrue="1" operator="equal">
      <formula>"Napkin Hs"</formula>
    </cfRule>
  </conditionalFormatting>
  <conditionalFormatting sqref="B120:C120">
    <cfRule type="cellIs" dxfId="1561" priority="2189" stopIfTrue="1" operator="equal">
      <formula>"Towel"</formula>
    </cfRule>
    <cfRule type="cellIs" dxfId="1560" priority="2190" stopIfTrue="1" operator="equal">
      <formula>"Napkin Hs"</formula>
    </cfRule>
  </conditionalFormatting>
  <conditionalFormatting sqref="C120">
    <cfRule type="cellIs" dxfId="1559" priority="2185" stopIfTrue="1" operator="equal">
      <formula>"Towel"</formula>
    </cfRule>
    <cfRule type="cellIs" dxfId="1558" priority="2186" stopIfTrue="1" operator="equal">
      <formula>"Napkin Hs"</formula>
    </cfRule>
  </conditionalFormatting>
  <conditionalFormatting sqref="C120">
    <cfRule type="cellIs" dxfId="1557" priority="2187" stopIfTrue="1" operator="equal">
      <formula>"Towel"</formula>
    </cfRule>
    <cfRule type="cellIs" dxfId="1556" priority="2188" stopIfTrue="1" operator="equal">
      <formula>"Napkin Hs"</formula>
    </cfRule>
  </conditionalFormatting>
  <conditionalFormatting sqref="B120:C120">
    <cfRule type="cellIs" dxfId="1555" priority="2184" stopIfTrue="1" operator="equal">
      <formula>"Napkin Hs"</formula>
    </cfRule>
  </conditionalFormatting>
  <conditionalFormatting sqref="B120:C120">
    <cfRule type="cellIs" dxfId="1554" priority="2183" stopIfTrue="1" operator="equal">
      <formula>"Towel"</formula>
    </cfRule>
  </conditionalFormatting>
  <conditionalFormatting sqref="C120">
    <cfRule type="cellIs" dxfId="1553" priority="2182" stopIfTrue="1" operator="equal">
      <formula>"Napkin Hs"</formula>
    </cfRule>
  </conditionalFormatting>
  <conditionalFormatting sqref="C120">
    <cfRule type="cellIs" dxfId="1552" priority="2181" stopIfTrue="1" operator="equal">
      <formula>"Towel"</formula>
    </cfRule>
  </conditionalFormatting>
  <conditionalFormatting sqref="C120">
    <cfRule type="cellIs" dxfId="1551" priority="2179" stopIfTrue="1" operator="equal">
      <formula>"Towel"</formula>
    </cfRule>
    <cfRule type="cellIs" dxfId="1550" priority="2180" stopIfTrue="1" operator="equal">
      <formula>"Napkin Hs"</formula>
    </cfRule>
  </conditionalFormatting>
  <conditionalFormatting sqref="B120:C120">
    <cfRule type="cellIs" dxfId="1549" priority="2177" stopIfTrue="1" operator="equal">
      <formula>"Towel"</formula>
    </cfRule>
    <cfRule type="cellIs" dxfId="1548" priority="2178" stopIfTrue="1" operator="equal">
      <formula>"Napkin Hs"</formula>
    </cfRule>
  </conditionalFormatting>
  <conditionalFormatting sqref="C120">
    <cfRule type="cellIs" dxfId="1547" priority="2175" stopIfTrue="1" operator="equal">
      <formula>"Towel"</formula>
    </cfRule>
    <cfRule type="cellIs" dxfId="1546" priority="2176" stopIfTrue="1" operator="equal">
      <formula>"Napkin Hs"</formula>
    </cfRule>
  </conditionalFormatting>
  <conditionalFormatting sqref="C120">
    <cfRule type="cellIs" dxfId="1545" priority="2173" stopIfTrue="1" operator="equal">
      <formula>"Towel"</formula>
    </cfRule>
    <cfRule type="cellIs" dxfId="1544" priority="2174" stopIfTrue="1" operator="equal">
      <formula>"Napkin Hs"</formula>
    </cfRule>
  </conditionalFormatting>
  <conditionalFormatting sqref="B120:C120">
    <cfRule type="cellIs" dxfId="1543" priority="2171" stopIfTrue="1" operator="equal">
      <formula>"Towel"</formula>
    </cfRule>
    <cfRule type="cellIs" dxfId="1542" priority="2172" stopIfTrue="1" operator="equal">
      <formula>"Napkin Hs"</formula>
    </cfRule>
  </conditionalFormatting>
  <conditionalFormatting sqref="C120">
    <cfRule type="cellIs" dxfId="1541" priority="2169" stopIfTrue="1" operator="equal">
      <formula>"Towel"</formula>
    </cfRule>
    <cfRule type="cellIs" dxfId="1540" priority="2170" stopIfTrue="1" operator="equal">
      <formula>"Napkin Hs"</formula>
    </cfRule>
  </conditionalFormatting>
  <conditionalFormatting sqref="C120">
    <cfRule type="cellIs" dxfId="1539" priority="2167" stopIfTrue="1" operator="equal">
      <formula>"Towel"</formula>
    </cfRule>
    <cfRule type="cellIs" dxfId="1538" priority="2168" stopIfTrue="1" operator="equal">
      <formula>"Napkin Hs"</formula>
    </cfRule>
  </conditionalFormatting>
  <conditionalFormatting sqref="B120:C120">
    <cfRule type="cellIs" dxfId="1537" priority="2165" stopIfTrue="1" operator="equal">
      <formula>"Towel"</formula>
    </cfRule>
    <cfRule type="cellIs" dxfId="1536" priority="2166" stopIfTrue="1" operator="equal">
      <formula>"Napkin Hs"</formula>
    </cfRule>
  </conditionalFormatting>
  <conditionalFormatting sqref="C120">
    <cfRule type="cellIs" dxfId="1535" priority="2163" stopIfTrue="1" operator="equal">
      <formula>"Towel"</formula>
    </cfRule>
    <cfRule type="cellIs" dxfId="1534" priority="2164" stopIfTrue="1" operator="equal">
      <formula>"Napkin Hs"</formula>
    </cfRule>
  </conditionalFormatting>
  <conditionalFormatting sqref="C120">
    <cfRule type="cellIs" dxfId="1533" priority="2161" stopIfTrue="1" operator="equal">
      <formula>"Towel"</formula>
    </cfRule>
    <cfRule type="cellIs" dxfId="1532" priority="2162" stopIfTrue="1" operator="equal">
      <formula>"Napkin Hs"</formula>
    </cfRule>
  </conditionalFormatting>
  <conditionalFormatting sqref="B120:C120">
    <cfRule type="cellIs" dxfId="1531" priority="2159" stopIfTrue="1" operator="equal">
      <formula>"Towel"</formula>
    </cfRule>
    <cfRule type="cellIs" dxfId="1530" priority="2160" stopIfTrue="1" operator="equal">
      <formula>"Napkin Hs"</formula>
    </cfRule>
  </conditionalFormatting>
  <conditionalFormatting sqref="C120">
    <cfRule type="cellIs" dxfId="1529" priority="2157" stopIfTrue="1" operator="equal">
      <formula>"Towel"</formula>
    </cfRule>
    <cfRule type="cellIs" dxfId="1528" priority="2158" stopIfTrue="1" operator="equal">
      <formula>"Napkin Hs"</formula>
    </cfRule>
  </conditionalFormatting>
  <conditionalFormatting sqref="C120">
    <cfRule type="cellIs" dxfId="1527" priority="2155" stopIfTrue="1" operator="equal">
      <formula>"Towel"</formula>
    </cfRule>
    <cfRule type="cellIs" dxfId="1526" priority="2156" stopIfTrue="1" operator="equal">
      <formula>"Napkin Hs"</formula>
    </cfRule>
  </conditionalFormatting>
  <conditionalFormatting sqref="B120:C120">
    <cfRule type="cellIs" dxfId="1525" priority="2153" stopIfTrue="1" operator="equal">
      <formula>"Towel"</formula>
    </cfRule>
    <cfRule type="cellIs" dxfId="1524" priority="2154" stopIfTrue="1" operator="equal">
      <formula>"Napkin Hs"</formula>
    </cfRule>
  </conditionalFormatting>
  <conditionalFormatting sqref="C120">
    <cfRule type="cellIs" dxfId="1523" priority="2151" stopIfTrue="1" operator="equal">
      <formula>"Towel"</formula>
    </cfRule>
    <cfRule type="cellIs" dxfId="1522" priority="2152" stopIfTrue="1" operator="equal">
      <formula>"Napkin Hs"</formula>
    </cfRule>
  </conditionalFormatting>
  <conditionalFormatting sqref="C120">
    <cfRule type="cellIs" dxfId="1521" priority="2149" stopIfTrue="1" operator="equal">
      <formula>"Towel"</formula>
    </cfRule>
    <cfRule type="cellIs" dxfId="1520" priority="2150" stopIfTrue="1" operator="equal">
      <formula>"Napkin Hs"</formula>
    </cfRule>
  </conditionalFormatting>
  <conditionalFormatting sqref="B120:C120">
    <cfRule type="cellIs" dxfId="1519" priority="2148" stopIfTrue="1" operator="equal">
      <formula>"Napkin Hs"</formula>
    </cfRule>
  </conditionalFormatting>
  <conditionalFormatting sqref="B120:C120">
    <cfRule type="cellIs" dxfId="1518" priority="2147" stopIfTrue="1" operator="equal">
      <formula>"Towel"</formula>
    </cfRule>
  </conditionalFormatting>
  <conditionalFormatting sqref="C120">
    <cfRule type="cellIs" dxfId="1517" priority="2146" stopIfTrue="1" operator="equal">
      <formula>"Napkin Hs"</formula>
    </cfRule>
  </conditionalFormatting>
  <conditionalFormatting sqref="C120">
    <cfRule type="cellIs" dxfId="1516" priority="2143" stopIfTrue="1" operator="equal">
      <formula>"Towel"</formula>
    </cfRule>
    <cfRule type="cellIs" dxfId="1515" priority="2144" stopIfTrue="1" operator="equal">
      <formula>"Napkin Hs"</formula>
    </cfRule>
  </conditionalFormatting>
  <conditionalFormatting sqref="C120">
    <cfRule type="cellIs" dxfId="1514" priority="2145" stopIfTrue="1" operator="equal">
      <formula>"Towel"</formula>
    </cfRule>
  </conditionalFormatting>
  <conditionalFormatting sqref="B120:C120">
    <cfRule type="cellIs" dxfId="1513" priority="2142" stopIfTrue="1" operator="equal">
      <formula>"Napkin Hs"</formula>
    </cfRule>
  </conditionalFormatting>
  <conditionalFormatting sqref="B120:C120">
    <cfRule type="cellIs" dxfId="1512" priority="2141" stopIfTrue="1" operator="equal">
      <formula>"Towel"</formula>
    </cfRule>
  </conditionalFormatting>
  <conditionalFormatting sqref="C120">
    <cfRule type="cellIs" dxfId="1511" priority="2140" stopIfTrue="1" operator="equal">
      <formula>"Napkin Hs"</formula>
    </cfRule>
  </conditionalFormatting>
  <conditionalFormatting sqref="C120">
    <cfRule type="cellIs" dxfId="1510" priority="2137" stopIfTrue="1" operator="equal">
      <formula>"Towel"</formula>
    </cfRule>
    <cfRule type="cellIs" dxfId="1509" priority="2138" stopIfTrue="1" operator="equal">
      <formula>"Napkin Hs"</formula>
    </cfRule>
  </conditionalFormatting>
  <conditionalFormatting sqref="C120">
    <cfRule type="cellIs" dxfId="1508" priority="2139" stopIfTrue="1" operator="equal">
      <formula>"Towel"</formula>
    </cfRule>
  </conditionalFormatting>
  <conditionalFormatting sqref="B120:C120">
    <cfRule type="cellIs" dxfId="1507" priority="2136" stopIfTrue="1" operator="equal">
      <formula>"Napkin Hs"</formula>
    </cfRule>
  </conditionalFormatting>
  <conditionalFormatting sqref="B120:C120">
    <cfRule type="cellIs" dxfId="1506" priority="2135" stopIfTrue="1" operator="equal">
      <formula>"Towel"</formula>
    </cfRule>
  </conditionalFormatting>
  <conditionalFormatting sqref="C120">
    <cfRule type="cellIs" dxfId="1505" priority="2134" stopIfTrue="1" operator="equal">
      <formula>"Napkin Hs"</formula>
    </cfRule>
  </conditionalFormatting>
  <conditionalFormatting sqref="C120">
    <cfRule type="cellIs" dxfId="1504" priority="2131" stopIfTrue="1" operator="equal">
      <formula>"Towel"</formula>
    </cfRule>
    <cfRule type="cellIs" dxfId="1503" priority="2132" stopIfTrue="1" operator="equal">
      <formula>"Napkin Hs"</formula>
    </cfRule>
  </conditionalFormatting>
  <conditionalFormatting sqref="C120">
    <cfRule type="cellIs" dxfId="1502" priority="2133" stopIfTrue="1" operator="equal">
      <formula>"Towel"</formula>
    </cfRule>
  </conditionalFormatting>
  <conditionalFormatting sqref="B121:C121">
    <cfRule type="cellIs" dxfId="1501" priority="2129" stopIfTrue="1" operator="equal">
      <formula>"Towel"</formula>
    </cfRule>
    <cfRule type="cellIs" dxfId="1500" priority="2130" stopIfTrue="1" operator="equal">
      <formula>"Napkin Hs"</formula>
    </cfRule>
  </conditionalFormatting>
  <conditionalFormatting sqref="C121">
    <cfRule type="cellIs" dxfId="1499" priority="2127" stopIfTrue="1" operator="equal">
      <formula>"Towel"</formula>
    </cfRule>
    <cfRule type="cellIs" dxfId="1498" priority="2128" stopIfTrue="1" operator="equal">
      <formula>"Napkin Hs"</formula>
    </cfRule>
  </conditionalFormatting>
  <conditionalFormatting sqref="C121">
    <cfRule type="cellIs" dxfId="1497" priority="2125" stopIfTrue="1" operator="equal">
      <formula>"Towel"</formula>
    </cfRule>
    <cfRule type="cellIs" dxfId="1496" priority="2126" stopIfTrue="1" operator="equal">
      <formula>"Napkin Hs"</formula>
    </cfRule>
  </conditionalFormatting>
  <conditionalFormatting sqref="B121:C121">
    <cfRule type="cellIs" dxfId="1495" priority="2124" stopIfTrue="1" operator="equal">
      <formula>"Napkin Hs"</formula>
    </cfRule>
  </conditionalFormatting>
  <conditionalFormatting sqref="B121:C121">
    <cfRule type="cellIs" dxfId="1494" priority="2123" stopIfTrue="1" operator="equal">
      <formula>"Towel"</formula>
    </cfRule>
  </conditionalFormatting>
  <conditionalFormatting sqref="C121">
    <cfRule type="cellIs" dxfId="1493" priority="2122" stopIfTrue="1" operator="equal">
      <formula>"Napkin Hs"</formula>
    </cfRule>
  </conditionalFormatting>
  <conditionalFormatting sqref="C121">
    <cfRule type="cellIs" dxfId="1492" priority="2121" stopIfTrue="1" operator="equal">
      <formula>"Towel"</formula>
    </cfRule>
  </conditionalFormatting>
  <conditionalFormatting sqref="C121">
    <cfRule type="cellIs" dxfId="1491" priority="2119" stopIfTrue="1" operator="equal">
      <formula>"Towel"</formula>
    </cfRule>
    <cfRule type="cellIs" dxfId="1490" priority="2120" stopIfTrue="1" operator="equal">
      <formula>"Napkin Hs"</formula>
    </cfRule>
  </conditionalFormatting>
  <conditionalFormatting sqref="B121:C121">
    <cfRule type="cellIs" dxfId="1489" priority="2117" stopIfTrue="1" operator="equal">
      <formula>"Towel"</formula>
    </cfRule>
    <cfRule type="cellIs" dxfId="1488" priority="2118" stopIfTrue="1" operator="equal">
      <formula>"Napkin Hs"</formula>
    </cfRule>
  </conditionalFormatting>
  <conditionalFormatting sqref="C121">
    <cfRule type="cellIs" dxfId="1487" priority="2113" stopIfTrue="1" operator="equal">
      <formula>"Towel"</formula>
    </cfRule>
    <cfRule type="cellIs" dxfId="1486" priority="2114" stopIfTrue="1" operator="equal">
      <formula>"Napkin Hs"</formula>
    </cfRule>
  </conditionalFormatting>
  <conditionalFormatting sqref="C121">
    <cfRule type="cellIs" dxfId="1485" priority="2115" stopIfTrue="1" operator="equal">
      <formula>"Towel"</formula>
    </cfRule>
    <cfRule type="cellIs" dxfId="1484" priority="2116" stopIfTrue="1" operator="equal">
      <formula>"Napkin Hs"</formula>
    </cfRule>
  </conditionalFormatting>
  <conditionalFormatting sqref="B121:C121">
    <cfRule type="cellIs" dxfId="1483" priority="2112" stopIfTrue="1" operator="equal">
      <formula>"Napkin Hs"</formula>
    </cfRule>
  </conditionalFormatting>
  <conditionalFormatting sqref="B121:C121">
    <cfRule type="cellIs" dxfId="1482" priority="2111" stopIfTrue="1" operator="equal">
      <formula>"Towel"</formula>
    </cfRule>
  </conditionalFormatting>
  <conditionalFormatting sqref="C121">
    <cfRule type="cellIs" dxfId="1481" priority="2110" stopIfTrue="1" operator="equal">
      <formula>"Napkin Hs"</formula>
    </cfRule>
  </conditionalFormatting>
  <conditionalFormatting sqref="C121">
    <cfRule type="cellIs" dxfId="1480" priority="2109" stopIfTrue="1" operator="equal">
      <formula>"Towel"</formula>
    </cfRule>
  </conditionalFormatting>
  <conditionalFormatting sqref="C121">
    <cfRule type="cellIs" dxfId="1479" priority="2107" stopIfTrue="1" operator="equal">
      <formula>"Towel"</formula>
    </cfRule>
    <cfRule type="cellIs" dxfId="1478" priority="2108" stopIfTrue="1" operator="equal">
      <formula>"Napkin Hs"</formula>
    </cfRule>
  </conditionalFormatting>
  <conditionalFormatting sqref="B121:C121">
    <cfRule type="cellIs" dxfId="1477" priority="2105" stopIfTrue="1" operator="equal">
      <formula>"Towel"</formula>
    </cfRule>
    <cfRule type="cellIs" dxfId="1476" priority="2106" stopIfTrue="1" operator="equal">
      <formula>"Napkin Hs"</formula>
    </cfRule>
  </conditionalFormatting>
  <conditionalFormatting sqref="C121">
    <cfRule type="cellIs" dxfId="1475" priority="2103" stopIfTrue="1" operator="equal">
      <formula>"Towel"</formula>
    </cfRule>
    <cfRule type="cellIs" dxfId="1474" priority="2104" stopIfTrue="1" operator="equal">
      <formula>"Napkin Hs"</formula>
    </cfRule>
  </conditionalFormatting>
  <conditionalFormatting sqref="C121">
    <cfRule type="cellIs" dxfId="1473" priority="2101" stopIfTrue="1" operator="equal">
      <formula>"Towel"</formula>
    </cfRule>
    <cfRule type="cellIs" dxfId="1472" priority="2102" stopIfTrue="1" operator="equal">
      <formula>"Napkin Hs"</formula>
    </cfRule>
  </conditionalFormatting>
  <conditionalFormatting sqref="B121:C121">
    <cfRule type="cellIs" dxfId="1471" priority="2099" stopIfTrue="1" operator="equal">
      <formula>"Towel"</formula>
    </cfRule>
    <cfRule type="cellIs" dxfId="1470" priority="2100" stopIfTrue="1" operator="equal">
      <formula>"Napkin Hs"</formula>
    </cfRule>
  </conditionalFormatting>
  <conditionalFormatting sqref="C121">
    <cfRule type="cellIs" dxfId="1469" priority="2097" stopIfTrue="1" operator="equal">
      <formula>"Towel"</formula>
    </cfRule>
    <cfRule type="cellIs" dxfId="1468" priority="2098" stopIfTrue="1" operator="equal">
      <formula>"Napkin Hs"</formula>
    </cfRule>
  </conditionalFormatting>
  <conditionalFormatting sqref="C121">
    <cfRule type="cellIs" dxfId="1467" priority="2095" stopIfTrue="1" operator="equal">
      <formula>"Towel"</formula>
    </cfRule>
    <cfRule type="cellIs" dxfId="1466" priority="2096" stopIfTrue="1" operator="equal">
      <formula>"Napkin Hs"</formula>
    </cfRule>
  </conditionalFormatting>
  <conditionalFormatting sqref="B121:C121">
    <cfRule type="cellIs" dxfId="1465" priority="2093" stopIfTrue="1" operator="equal">
      <formula>"Towel"</formula>
    </cfRule>
    <cfRule type="cellIs" dxfId="1464" priority="2094" stopIfTrue="1" operator="equal">
      <formula>"Napkin Hs"</formula>
    </cfRule>
  </conditionalFormatting>
  <conditionalFormatting sqref="C121">
    <cfRule type="cellIs" dxfId="1463" priority="2091" stopIfTrue="1" operator="equal">
      <formula>"Towel"</formula>
    </cfRule>
    <cfRule type="cellIs" dxfId="1462" priority="2092" stopIfTrue="1" operator="equal">
      <formula>"Napkin Hs"</formula>
    </cfRule>
  </conditionalFormatting>
  <conditionalFormatting sqref="C121">
    <cfRule type="cellIs" dxfId="1461" priority="2089" stopIfTrue="1" operator="equal">
      <formula>"Towel"</formula>
    </cfRule>
    <cfRule type="cellIs" dxfId="1460" priority="2090" stopIfTrue="1" operator="equal">
      <formula>"Napkin Hs"</formula>
    </cfRule>
  </conditionalFormatting>
  <conditionalFormatting sqref="B121:C121">
    <cfRule type="cellIs" dxfId="1459" priority="2087" stopIfTrue="1" operator="equal">
      <formula>"Towel"</formula>
    </cfRule>
    <cfRule type="cellIs" dxfId="1458" priority="2088" stopIfTrue="1" operator="equal">
      <formula>"Napkin Hs"</formula>
    </cfRule>
  </conditionalFormatting>
  <conditionalFormatting sqref="C121">
    <cfRule type="cellIs" dxfId="1457" priority="2085" stopIfTrue="1" operator="equal">
      <formula>"Towel"</formula>
    </cfRule>
    <cfRule type="cellIs" dxfId="1456" priority="2086" stopIfTrue="1" operator="equal">
      <formula>"Napkin Hs"</formula>
    </cfRule>
  </conditionalFormatting>
  <conditionalFormatting sqref="C121">
    <cfRule type="cellIs" dxfId="1455" priority="2083" stopIfTrue="1" operator="equal">
      <formula>"Towel"</formula>
    </cfRule>
    <cfRule type="cellIs" dxfId="1454" priority="2084" stopIfTrue="1" operator="equal">
      <formula>"Napkin Hs"</formula>
    </cfRule>
  </conditionalFormatting>
  <conditionalFormatting sqref="B121:C121">
    <cfRule type="cellIs" dxfId="1453" priority="2081" stopIfTrue="1" operator="equal">
      <formula>"Towel"</formula>
    </cfRule>
    <cfRule type="cellIs" dxfId="1452" priority="2082" stopIfTrue="1" operator="equal">
      <formula>"Napkin Hs"</formula>
    </cfRule>
  </conditionalFormatting>
  <conditionalFormatting sqref="C121">
    <cfRule type="cellIs" dxfId="1451" priority="2079" stopIfTrue="1" operator="equal">
      <formula>"Towel"</formula>
    </cfRule>
    <cfRule type="cellIs" dxfId="1450" priority="2080" stopIfTrue="1" operator="equal">
      <formula>"Napkin Hs"</formula>
    </cfRule>
  </conditionalFormatting>
  <conditionalFormatting sqref="C121">
    <cfRule type="cellIs" dxfId="1449" priority="2077" stopIfTrue="1" operator="equal">
      <formula>"Towel"</formula>
    </cfRule>
    <cfRule type="cellIs" dxfId="1448" priority="2078" stopIfTrue="1" operator="equal">
      <formula>"Napkin Hs"</formula>
    </cfRule>
  </conditionalFormatting>
  <conditionalFormatting sqref="B121:C121">
    <cfRule type="cellIs" dxfId="1447" priority="2076" stopIfTrue="1" operator="equal">
      <formula>"Napkin Hs"</formula>
    </cfRule>
  </conditionalFormatting>
  <conditionalFormatting sqref="B121:C121">
    <cfRule type="cellIs" dxfId="1446" priority="2075" stopIfTrue="1" operator="equal">
      <formula>"Towel"</formula>
    </cfRule>
  </conditionalFormatting>
  <conditionalFormatting sqref="C121">
    <cfRule type="cellIs" dxfId="1445" priority="2074" stopIfTrue="1" operator="equal">
      <formula>"Napkin Hs"</formula>
    </cfRule>
  </conditionalFormatting>
  <conditionalFormatting sqref="C121">
    <cfRule type="cellIs" dxfId="1444" priority="2071" stopIfTrue="1" operator="equal">
      <formula>"Towel"</formula>
    </cfRule>
    <cfRule type="cellIs" dxfId="1443" priority="2072" stopIfTrue="1" operator="equal">
      <formula>"Napkin Hs"</formula>
    </cfRule>
  </conditionalFormatting>
  <conditionalFormatting sqref="C121">
    <cfRule type="cellIs" dxfId="1442" priority="2073" stopIfTrue="1" operator="equal">
      <formula>"Towel"</formula>
    </cfRule>
  </conditionalFormatting>
  <conditionalFormatting sqref="B121:C121">
    <cfRule type="cellIs" dxfId="1441" priority="2070" stopIfTrue="1" operator="equal">
      <formula>"Napkin Hs"</formula>
    </cfRule>
  </conditionalFormatting>
  <conditionalFormatting sqref="B121:C121">
    <cfRule type="cellIs" dxfId="1440" priority="2069" stopIfTrue="1" operator="equal">
      <formula>"Towel"</formula>
    </cfRule>
  </conditionalFormatting>
  <conditionalFormatting sqref="C121">
    <cfRule type="cellIs" dxfId="1439" priority="2068" stopIfTrue="1" operator="equal">
      <formula>"Napkin Hs"</formula>
    </cfRule>
  </conditionalFormatting>
  <conditionalFormatting sqref="C121">
    <cfRule type="cellIs" dxfId="1438" priority="2067" stopIfTrue="1" operator="equal">
      <formula>"Towel"</formula>
    </cfRule>
  </conditionalFormatting>
  <conditionalFormatting sqref="C121">
    <cfRule type="cellIs" dxfId="1437" priority="2065" stopIfTrue="1" operator="equal">
      <formula>"Towel"</formula>
    </cfRule>
    <cfRule type="cellIs" dxfId="1436" priority="2066" stopIfTrue="1" operator="equal">
      <formula>"Napkin Hs"</formula>
    </cfRule>
  </conditionalFormatting>
  <conditionalFormatting sqref="B121:C121">
    <cfRule type="cellIs" dxfId="1435" priority="2063" stopIfTrue="1" operator="equal">
      <formula>"Towel"</formula>
    </cfRule>
    <cfRule type="cellIs" dxfId="1434" priority="2064" stopIfTrue="1" operator="equal">
      <formula>"Napkin Hs"</formula>
    </cfRule>
  </conditionalFormatting>
  <conditionalFormatting sqref="C121">
    <cfRule type="cellIs" dxfId="1433" priority="2059" stopIfTrue="1" operator="equal">
      <formula>"Towel"</formula>
    </cfRule>
    <cfRule type="cellIs" dxfId="1432" priority="2060" stopIfTrue="1" operator="equal">
      <formula>"Napkin Hs"</formula>
    </cfRule>
  </conditionalFormatting>
  <conditionalFormatting sqref="C121">
    <cfRule type="cellIs" dxfId="1431" priority="2061" stopIfTrue="1" operator="equal">
      <formula>"Towel"</formula>
    </cfRule>
    <cfRule type="cellIs" dxfId="1430" priority="2062" stopIfTrue="1" operator="equal">
      <formula>"Napkin Hs"</formula>
    </cfRule>
  </conditionalFormatting>
  <conditionalFormatting sqref="B121:C121">
    <cfRule type="cellIs" dxfId="1429" priority="2058" stopIfTrue="1" operator="equal">
      <formula>"Napkin Hs"</formula>
    </cfRule>
  </conditionalFormatting>
  <conditionalFormatting sqref="B121:C121">
    <cfRule type="cellIs" dxfId="1428" priority="2057" stopIfTrue="1" operator="equal">
      <formula>"Towel"</formula>
    </cfRule>
  </conditionalFormatting>
  <conditionalFormatting sqref="C121">
    <cfRule type="cellIs" dxfId="1427" priority="2056" stopIfTrue="1" operator="equal">
      <formula>"Napkin Hs"</formula>
    </cfRule>
  </conditionalFormatting>
  <conditionalFormatting sqref="C121">
    <cfRule type="cellIs" dxfId="1426" priority="2055" stopIfTrue="1" operator="equal">
      <formula>"Towel"</formula>
    </cfRule>
  </conditionalFormatting>
  <conditionalFormatting sqref="C121">
    <cfRule type="cellIs" dxfId="1425" priority="2053" stopIfTrue="1" operator="equal">
      <formula>"Towel"</formula>
    </cfRule>
    <cfRule type="cellIs" dxfId="1424" priority="2054" stopIfTrue="1" operator="equal">
      <formula>"Napkin Hs"</formula>
    </cfRule>
  </conditionalFormatting>
  <conditionalFormatting sqref="B121:C121">
    <cfRule type="cellIs" dxfId="1423" priority="2051" stopIfTrue="1" operator="equal">
      <formula>"Towel"</formula>
    </cfRule>
    <cfRule type="cellIs" dxfId="1422" priority="2052" stopIfTrue="1" operator="equal">
      <formula>"Napkin Hs"</formula>
    </cfRule>
  </conditionalFormatting>
  <conditionalFormatting sqref="C121">
    <cfRule type="cellIs" dxfId="1421" priority="2049" stopIfTrue="1" operator="equal">
      <formula>"Towel"</formula>
    </cfRule>
    <cfRule type="cellIs" dxfId="1420" priority="2050" stopIfTrue="1" operator="equal">
      <formula>"Napkin Hs"</formula>
    </cfRule>
  </conditionalFormatting>
  <conditionalFormatting sqref="C121">
    <cfRule type="cellIs" dxfId="1419" priority="2047" stopIfTrue="1" operator="equal">
      <formula>"Towel"</formula>
    </cfRule>
    <cfRule type="cellIs" dxfId="1418" priority="2048" stopIfTrue="1" operator="equal">
      <formula>"Napkin Hs"</formula>
    </cfRule>
  </conditionalFormatting>
  <conditionalFormatting sqref="B121:C121">
    <cfRule type="cellIs" dxfId="1417" priority="2045" stopIfTrue="1" operator="equal">
      <formula>"Towel"</formula>
    </cfRule>
    <cfRule type="cellIs" dxfId="1416" priority="2046" stopIfTrue="1" operator="equal">
      <formula>"Napkin Hs"</formula>
    </cfRule>
  </conditionalFormatting>
  <conditionalFormatting sqref="C121">
    <cfRule type="cellIs" dxfId="1415" priority="2043" stopIfTrue="1" operator="equal">
      <formula>"Towel"</formula>
    </cfRule>
    <cfRule type="cellIs" dxfId="1414" priority="2044" stopIfTrue="1" operator="equal">
      <formula>"Napkin Hs"</formula>
    </cfRule>
  </conditionalFormatting>
  <conditionalFormatting sqref="C121">
    <cfRule type="cellIs" dxfId="1413" priority="2041" stopIfTrue="1" operator="equal">
      <formula>"Towel"</formula>
    </cfRule>
    <cfRule type="cellIs" dxfId="1412" priority="2042" stopIfTrue="1" operator="equal">
      <formula>"Napkin Hs"</formula>
    </cfRule>
  </conditionalFormatting>
  <conditionalFormatting sqref="B121:C121">
    <cfRule type="cellIs" dxfId="1411" priority="2039" stopIfTrue="1" operator="equal">
      <formula>"Towel"</formula>
    </cfRule>
    <cfRule type="cellIs" dxfId="1410" priority="2040" stopIfTrue="1" operator="equal">
      <formula>"Napkin Hs"</formula>
    </cfRule>
  </conditionalFormatting>
  <conditionalFormatting sqref="C121">
    <cfRule type="cellIs" dxfId="1409" priority="2037" stopIfTrue="1" operator="equal">
      <formula>"Towel"</formula>
    </cfRule>
    <cfRule type="cellIs" dxfId="1408" priority="2038" stopIfTrue="1" operator="equal">
      <formula>"Napkin Hs"</formula>
    </cfRule>
  </conditionalFormatting>
  <conditionalFormatting sqref="C121">
    <cfRule type="cellIs" dxfId="1407" priority="2035" stopIfTrue="1" operator="equal">
      <formula>"Towel"</formula>
    </cfRule>
    <cfRule type="cellIs" dxfId="1406" priority="2036" stopIfTrue="1" operator="equal">
      <formula>"Napkin Hs"</formula>
    </cfRule>
  </conditionalFormatting>
  <conditionalFormatting sqref="B121:C121">
    <cfRule type="cellIs" dxfId="1405" priority="2033" stopIfTrue="1" operator="equal">
      <formula>"Towel"</formula>
    </cfRule>
    <cfRule type="cellIs" dxfId="1404" priority="2034" stopIfTrue="1" operator="equal">
      <formula>"Napkin Hs"</formula>
    </cfRule>
  </conditionalFormatting>
  <conditionalFormatting sqref="C121">
    <cfRule type="cellIs" dxfId="1403" priority="2031" stopIfTrue="1" operator="equal">
      <formula>"Towel"</formula>
    </cfRule>
    <cfRule type="cellIs" dxfId="1402" priority="2032" stopIfTrue="1" operator="equal">
      <formula>"Napkin Hs"</formula>
    </cfRule>
  </conditionalFormatting>
  <conditionalFormatting sqref="C121">
    <cfRule type="cellIs" dxfId="1401" priority="2029" stopIfTrue="1" operator="equal">
      <formula>"Towel"</formula>
    </cfRule>
    <cfRule type="cellIs" dxfId="1400" priority="2030" stopIfTrue="1" operator="equal">
      <formula>"Napkin Hs"</formula>
    </cfRule>
  </conditionalFormatting>
  <conditionalFormatting sqref="B121:C121">
    <cfRule type="cellIs" dxfId="1399" priority="2027" stopIfTrue="1" operator="equal">
      <formula>"Towel"</formula>
    </cfRule>
    <cfRule type="cellIs" dxfId="1398" priority="2028" stopIfTrue="1" operator="equal">
      <formula>"Napkin Hs"</formula>
    </cfRule>
  </conditionalFormatting>
  <conditionalFormatting sqref="C121">
    <cfRule type="cellIs" dxfId="1397" priority="2025" stopIfTrue="1" operator="equal">
      <formula>"Towel"</formula>
    </cfRule>
    <cfRule type="cellIs" dxfId="1396" priority="2026" stopIfTrue="1" operator="equal">
      <formula>"Napkin Hs"</formula>
    </cfRule>
  </conditionalFormatting>
  <conditionalFormatting sqref="C121">
    <cfRule type="cellIs" dxfId="1395" priority="2023" stopIfTrue="1" operator="equal">
      <formula>"Towel"</formula>
    </cfRule>
    <cfRule type="cellIs" dxfId="1394" priority="2024" stopIfTrue="1" operator="equal">
      <formula>"Napkin Hs"</formula>
    </cfRule>
  </conditionalFormatting>
  <conditionalFormatting sqref="B121:C121">
    <cfRule type="cellIs" dxfId="1393" priority="2022" stopIfTrue="1" operator="equal">
      <formula>"Napkin Hs"</formula>
    </cfRule>
  </conditionalFormatting>
  <conditionalFormatting sqref="B121:C121">
    <cfRule type="cellIs" dxfId="1392" priority="2021" stopIfTrue="1" operator="equal">
      <formula>"Towel"</formula>
    </cfRule>
  </conditionalFormatting>
  <conditionalFormatting sqref="C121">
    <cfRule type="cellIs" dxfId="1391" priority="2020" stopIfTrue="1" operator="equal">
      <formula>"Napkin Hs"</formula>
    </cfRule>
  </conditionalFormatting>
  <conditionalFormatting sqref="C121">
    <cfRule type="cellIs" dxfId="1390" priority="2017" stopIfTrue="1" operator="equal">
      <formula>"Towel"</formula>
    </cfRule>
    <cfRule type="cellIs" dxfId="1389" priority="2018" stopIfTrue="1" operator="equal">
      <formula>"Napkin Hs"</formula>
    </cfRule>
  </conditionalFormatting>
  <conditionalFormatting sqref="C121">
    <cfRule type="cellIs" dxfId="1388" priority="2019" stopIfTrue="1" operator="equal">
      <formula>"Towel"</formula>
    </cfRule>
  </conditionalFormatting>
  <conditionalFormatting sqref="B121:C121">
    <cfRule type="cellIs" dxfId="1387" priority="2016" stopIfTrue="1" operator="equal">
      <formula>"Napkin Hs"</formula>
    </cfRule>
  </conditionalFormatting>
  <conditionalFormatting sqref="B121:C121">
    <cfRule type="cellIs" dxfId="1386" priority="2015" stopIfTrue="1" operator="equal">
      <formula>"Towel"</formula>
    </cfRule>
  </conditionalFormatting>
  <conditionalFormatting sqref="C121">
    <cfRule type="cellIs" dxfId="1385" priority="2014" stopIfTrue="1" operator="equal">
      <formula>"Napkin Hs"</formula>
    </cfRule>
  </conditionalFormatting>
  <conditionalFormatting sqref="C121">
    <cfRule type="cellIs" dxfId="1384" priority="2011" stopIfTrue="1" operator="equal">
      <formula>"Towel"</formula>
    </cfRule>
    <cfRule type="cellIs" dxfId="1383" priority="2012" stopIfTrue="1" operator="equal">
      <formula>"Napkin Hs"</formula>
    </cfRule>
  </conditionalFormatting>
  <conditionalFormatting sqref="C121">
    <cfRule type="cellIs" dxfId="1382" priority="2013" stopIfTrue="1" operator="equal">
      <formula>"Towel"</formula>
    </cfRule>
  </conditionalFormatting>
  <conditionalFormatting sqref="B121:C121">
    <cfRule type="cellIs" dxfId="1381" priority="2010" stopIfTrue="1" operator="equal">
      <formula>"Napkin Hs"</formula>
    </cfRule>
  </conditionalFormatting>
  <conditionalFormatting sqref="B121:C121">
    <cfRule type="cellIs" dxfId="1380" priority="2009" stopIfTrue="1" operator="equal">
      <formula>"Towel"</formula>
    </cfRule>
  </conditionalFormatting>
  <conditionalFormatting sqref="C121">
    <cfRule type="cellIs" dxfId="1379" priority="2008" stopIfTrue="1" operator="equal">
      <formula>"Napkin Hs"</formula>
    </cfRule>
  </conditionalFormatting>
  <conditionalFormatting sqref="C121">
    <cfRule type="cellIs" dxfId="1378" priority="2005" stopIfTrue="1" operator="equal">
      <formula>"Towel"</formula>
    </cfRule>
    <cfRule type="cellIs" dxfId="1377" priority="2006" stopIfTrue="1" operator="equal">
      <formula>"Napkin Hs"</formula>
    </cfRule>
  </conditionalFormatting>
  <conditionalFormatting sqref="C121">
    <cfRule type="cellIs" dxfId="1376" priority="2007" stopIfTrue="1" operator="equal">
      <formula>"Towel"</formula>
    </cfRule>
  </conditionalFormatting>
  <conditionalFormatting sqref="C127">
    <cfRule type="cellIs" dxfId="1375" priority="1435" stopIfTrue="1" operator="equal">
      <formula>"Towel"</formula>
    </cfRule>
    <cfRule type="cellIs" dxfId="1374" priority="1436" stopIfTrue="1" operator="equal">
      <formula>"Napkin Hs"</formula>
    </cfRule>
  </conditionalFormatting>
  <conditionalFormatting sqref="B126:C126">
    <cfRule type="cellIs" dxfId="1373" priority="1434" stopIfTrue="1" operator="equal">
      <formula>"Napkin Hs"</formula>
    </cfRule>
  </conditionalFormatting>
  <conditionalFormatting sqref="B126:C126">
    <cfRule type="cellIs" dxfId="1372" priority="1433" stopIfTrue="1" operator="equal">
      <formula>"Towel"</formula>
    </cfRule>
  </conditionalFormatting>
  <conditionalFormatting sqref="C126">
    <cfRule type="cellIs" dxfId="1371" priority="1432" stopIfTrue="1" operator="equal">
      <formula>"Napkin Hs"</formula>
    </cfRule>
  </conditionalFormatting>
  <conditionalFormatting sqref="C126">
    <cfRule type="cellIs" dxfId="1370" priority="1431" stopIfTrue="1" operator="equal">
      <formula>"Towel"</formula>
    </cfRule>
  </conditionalFormatting>
  <conditionalFormatting sqref="C126">
    <cfRule type="cellIs" dxfId="1369" priority="1429" stopIfTrue="1" operator="equal">
      <formula>"Towel"</formula>
    </cfRule>
    <cfRule type="cellIs" dxfId="1368" priority="1430" stopIfTrue="1" operator="equal">
      <formula>"Napkin Hs"</formula>
    </cfRule>
  </conditionalFormatting>
  <conditionalFormatting sqref="C126">
    <cfRule type="cellIs" dxfId="1367" priority="1423" stopIfTrue="1" operator="equal">
      <formula>"Towel"</formula>
    </cfRule>
    <cfRule type="cellIs" dxfId="1366" priority="1424" stopIfTrue="1" operator="equal">
      <formula>"Napkin Hs"</formula>
    </cfRule>
  </conditionalFormatting>
  <conditionalFormatting sqref="B126:C126">
    <cfRule type="cellIs" dxfId="1365" priority="1421" stopIfTrue="1" operator="equal">
      <formula>"Towel"</formula>
    </cfRule>
    <cfRule type="cellIs" dxfId="1364" priority="1422" stopIfTrue="1" operator="equal">
      <formula>"Napkin Hs"</formula>
    </cfRule>
  </conditionalFormatting>
  <conditionalFormatting sqref="C126">
    <cfRule type="cellIs" dxfId="1363" priority="1419" stopIfTrue="1" operator="equal">
      <formula>"Towel"</formula>
    </cfRule>
    <cfRule type="cellIs" dxfId="1362" priority="1420" stopIfTrue="1" operator="equal">
      <formula>"Napkin Hs"</formula>
    </cfRule>
  </conditionalFormatting>
  <conditionalFormatting sqref="C126">
    <cfRule type="cellIs" dxfId="1361" priority="1417" stopIfTrue="1" operator="equal">
      <formula>"Towel"</formula>
    </cfRule>
    <cfRule type="cellIs" dxfId="1360" priority="1418" stopIfTrue="1" operator="equal">
      <formula>"Napkin Hs"</formula>
    </cfRule>
  </conditionalFormatting>
  <conditionalFormatting sqref="C126">
    <cfRule type="cellIs" dxfId="1359" priority="1411" stopIfTrue="1" operator="equal">
      <formula>"Towel"</formula>
    </cfRule>
    <cfRule type="cellIs" dxfId="1358" priority="1412" stopIfTrue="1" operator="equal">
      <formula>"Napkin Hs"</formula>
    </cfRule>
  </conditionalFormatting>
  <conditionalFormatting sqref="B126:C126">
    <cfRule type="cellIs" dxfId="1357" priority="1409" stopIfTrue="1" operator="equal">
      <formula>"Towel"</formula>
    </cfRule>
    <cfRule type="cellIs" dxfId="1356" priority="1410" stopIfTrue="1" operator="equal">
      <formula>"Napkin Hs"</formula>
    </cfRule>
  </conditionalFormatting>
  <conditionalFormatting sqref="C126">
    <cfRule type="cellIs" dxfId="1355" priority="1407" stopIfTrue="1" operator="equal">
      <formula>"Towel"</formula>
    </cfRule>
    <cfRule type="cellIs" dxfId="1354" priority="1408" stopIfTrue="1" operator="equal">
      <formula>"Napkin Hs"</formula>
    </cfRule>
  </conditionalFormatting>
  <conditionalFormatting sqref="C126">
    <cfRule type="cellIs" dxfId="1353" priority="1405" stopIfTrue="1" operator="equal">
      <formula>"Towel"</formula>
    </cfRule>
    <cfRule type="cellIs" dxfId="1352" priority="1406" stopIfTrue="1" operator="equal">
      <formula>"Napkin Hs"</formula>
    </cfRule>
  </conditionalFormatting>
  <conditionalFormatting sqref="B126:C126">
    <cfRule type="cellIs" dxfId="1351" priority="1403" stopIfTrue="1" operator="equal">
      <formula>"Towel"</formula>
    </cfRule>
    <cfRule type="cellIs" dxfId="1350" priority="1404" stopIfTrue="1" operator="equal">
      <formula>"Napkin Hs"</formula>
    </cfRule>
  </conditionalFormatting>
  <conditionalFormatting sqref="C126">
    <cfRule type="cellIs" dxfId="1349" priority="1401" stopIfTrue="1" operator="equal">
      <formula>"Towel"</formula>
    </cfRule>
    <cfRule type="cellIs" dxfId="1348" priority="1402" stopIfTrue="1" operator="equal">
      <formula>"Napkin Hs"</formula>
    </cfRule>
  </conditionalFormatting>
  <conditionalFormatting sqref="C126">
    <cfRule type="cellIs" dxfId="1347" priority="1399" stopIfTrue="1" operator="equal">
      <formula>"Towel"</formula>
    </cfRule>
    <cfRule type="cellIs" dxfId="1346" priority="1400" stopIfTrue="1" operator="equal">
      <formula>"Napkin Hs"</formula>
    </cfRule>
  </conditionalFormatting>
  <conditionalFormatting sqref="C126">
    <cfRule type="cellIs" dxfId="1345" priority="1393" stopIfTrue="1" operator="equal">
      <formula>"Towel"</formula>
    </cfRule>
    <cfRule type="cellIs" dxfId="1344" priority="1394" stopIfTrue="1" operator="equal">
      <formula>"Napkin Hs"</formula>
    </cfRule>
  </conditionalFormatting>
  <conditionalFormatting sqref="C126">
    <cfRule type="cellIs" dxfId="1343" priority="1387" stopIfTrue="1" operator="equal">
      <formula>"Towel"</formula>
    </cfRule>
    <cfRule type="cellIs" dxfId="1342" priority="1388" stopIfTrue="1" operator="equal">
      <formula>"Napkin Hs"</formula>
    </cfRule>
  </conditionalFormatting>
  <conditionalFormatting sqref="C126">
    <cfRule type="cellIs" dxfId="1341" priority="1381" stopIfTrue="1" operator="equal">
      <formula>"Towel"</formula>
    </cfRule>
    <cfRule type="cellIs" dxfId="1340" priority="1382" stopIfTrue="1" operator="equal">
      <formula>"Napkin Hs"</formula>
    </cfRule>
  </conditionalFormatting>
  <conditionalFormatting sqref="C126">
    <cfRule type="cellIs" dxfId="1339" priority="1375" stopIfTrue="1" operator="equal">
      <formula>"Towel"</formula>
    </cfRule>
    <cfRule type="cellIs" dxfId="1338" priority="1376" stopIfTrue="1" operator="equal">
      <formula>"Napkin Hs"</formula>
    </cfRule>
  </conditionalFormatting>
  <conditionalFormatting sqref="B126:C126">
    <cfRule type="cellIs" dxfId="1337" priority="1374" stopIfTrue="1" operator="equal">
      <formula>"Napkin Hs"</formula>
    </cfRule>
  </conditionalFormatting>
  <conditionalFormatting sqref="B126:C126">
    <cfRule type="cellIs" dxfId="1336" priority="1373" stopIfTrue="1" operator="equal">
      <formula>"Towel"</formula>
    </cfRule>
  </conditionalFormatting>
  <conditionalFormatting sqref="C126">
    <cfRule type="cellIs" dxfId="1335" priority="1372" stopIfTrue="1" operator="equal">
      <formula>"Napkin Hs"</formula>
    </cfRule>
  </conditionalFormatting>
  <conditionalFormatting sqref="C126">
    <cfRule type="cellIs" dxfId="1334" priority="1371" stopIfTrue="1" operator="equal">
      <formula>"Towel"</formula>
    </cfRule>
  </conditionalFormatting>
  <conditionalFormatting sqref="C126">
    <cfRule type="cellIs" dxfId="1333" priority="1369" stopIfTrue="1" operator="equal">
      <formula>"Towel"</formula>
    </cfRule>
    <cfRule type="cellIs" dxfId="1332" priority="1370" stopIfTrue="1" operator="equal">
      <formula>"Napkin Hs"</formula>
    </cfRule>
  </conditionalFormatting>
  <conditionalFormatting sqref="B126:C126">
    <cfRule type="cellIs" dxfId="1331" priority="1367" stopIfTrue="1" operator="equal">
      <formula>"Towel"</formula>
    </cfRule>
    <cfRule type="cellIs" dxfId="1330" priority="1368" stopIfTrue="1" operator="equal">
      <formula>"Napkin Hs"</formula>
    </cfRule>
  </conditionalFormatting>
  <conditionalFormatting sqref="C126">
    <cfRule type="cellIs" dxfId="1329" priority="1363" stopIfTrue="1" operator="equal">
      <formula>"Towel"</formula>
    </cfRule>
    <cfRule type="cellIs" dxfId="1328" priority="1364" stopIfTrue="1" operator="equal">
      <formula>"Napkin Hs"</formula>
    </cfRule>
  </conditionalFormatting>
  <conditionalFormatting sqref="C126">
    <cfRule type="cellIs" dxfId="1327" priority="1365" stopIfTrue="1" operator="equal">
      <formula>"Towel"</formula>
    </cfRule>
    <cfRule type="cellIs" dxfId="1326" priority="1366" stopIfTrue="1" operator="equal">
      <formula>"Napkin Hs"</formula>
    </cfRule>
  </conditionalFormatting>
  <conditionalFormatting sqref="B126:C126">
    <cfRule type="cellIs" dxfId="1325" priority="1362" stopIfTrue="1" operator="equal">
      <formula>"Napkin Hs"</formula>
    </cfRule>
  </conditionalFormatting>
  <conditionalFormatting sqref="B126:C126">
    <cfRule type="cellIs" dxfId="1324" priority="1361" stopIfTrue="1" operator="equal">
      <formula>"Towel"</formula>
    </cfRule>
  </conditionalFormatting>
  <conditionalFormatting sqref="C126">
    <cfRule type="cellIs" dxfId="1323" priority="1360" stopIfTrue="1" operator="equal">
      <formula>"Napkin Hs"</formula>
    </cfRule>
  </conditionalFormatting>
  <conditionalFormatting sqref="C126">
    <cfRule type="cellIs" dxfId="1322" priority="1359" stopIfTrue="1" operator="equal">
      <formula>"Towel"</formula>
    </cfRule>
  </conditionalFormatting>
  <conditionalFormatting sqref="C126">
    <cfRule type="cellIs" dxfId="1321" priority="1357" stopIfTrue="1" operator="equal">
      <formula>"Towel"</formula>
    </cfRule>
    <cfRule type="cellIs" dxfId="1320" priority="1358" stopIfTrue="1" operator="equal">
      <formula>"Napkin Hs"</formula>
    </cfRule>
  </conditionalFormatting>
  <conditionalFormatting sqref="B126:C126">
    <cfRule type="cellIs" dxfId="1319" priority="1355" stopIfTrue="1" operator="equal">
      <formula>"Towel"</formula>
    </cfRule>
    <cfRule type="cellIs" dxfId="1318" priority="1356" stopIfTrue="1" operator="equal">
      <formula>"Napkin Hs"</formula>
    </cfRule>
  </conditionalFormatting>
  <conditionalFormatting sqref="C126">
    <cfRule type="cellIs" dxfId="1317" priority="1353" stopIfTrue="1" operator="equal">
      <formula>"Towel"</formula>
    </cfRule>
    <cfRule type="cellIs" dxfId="1316" priority="1354" stopIfTrue="1" operator="equal">
      <formula>"Napkin Hs"</formula>
    </cfRule>
  </conditionalFormatting>
  <conditionalFormatting sqref="C126">
    <cfRule type="cellIs" dxfId="1315" priority="1351" stopIfTrue="1" operator="equal">
      <formula>"Towel"</formula>
    </cfRule>
    <cfRule type="cellIs" dxfId="1314" priority="1352" stopIfTrue="1" operator="equal">
      <formula>"Napkin Hs"</formula>
    </cfRule>
  </conditionalFormatting>
  <conditionalFormatting sqref="B126:C126">
    <cfRule type="cellIs" dxfId="1313" priority="1349" stopIfTrue="1" operator="equal">
      <formula>"Towel"</formula>
    </cfRule>
    <cfRule type="cellIs" dxfId="1312" priority="1350" stopIfTrue="1" operator="equal">
      <formula>"Napkin Hs"</formula>
    </cfRule>
  </conditionalFormatting>
  <conditionalFormatting sqref="C126">
    <cfRule type="cellIs" dxfId="1311" priority="1347" stopIfTrue="1" operator="equal">
      <formula>"Towel"</formula>
    </cfRule>
    <cfRule type="cellIs" dxfId="1310" priority="1348" stopIfTrue="1" operator="equal">
      <formula>"Napkin Hs"</formula>
    </cfRule>
  </conditionalFormatting>
  <conditionalFormatting sqref="C126">
    <cfRule type="cellIs" dxfId="1309" priority="1345" stopIfTrue="1" operator="equal">
      <formula>"Towel"</formula>
    </cfRule>
    <cfRule type="cellIs" dxfId="1308" priority="1346" stopIfTrue="1" operator="equal">
      <formula>"Napkin Hs"</formula>
    </cfRule>
  </conditionalFormatting>
  <conditionalFormatting sqref="B126:C126">
    <cfRule type="cellIs" dxfId="1307" priority="1343" stopIfTrue="1" operator="equal">
      <formula>"Towel"</formula>
    </cfRule>
    <cfRule type="cellIs" dxfId="1306" priority="1344" stopIfTrue="1" operator="equal">
      <formula>"Napkin Hs"</formula>
    </cfRule>
  </conditionalFormatting>
  <conditionalFormatting sqref="C126">
    <cfRule type="cellIs" dxfId="1305" priority="1341" stopIfTrue="1" operator="equal">
      <formula>"Towel"</formula>
    </cfRule>
    <cfRule type="cellIs" dxfId="1304" priority="1342" stopIfTrue="1" operator="equal">
      <formula>"Napkin Hs"</formula>
    </cfRule>
  </conditionalFormatting>
  <conditionalFormatting sqref="C126">
    <cfRule type="cellIs" dxfId="1303" priority="1339" stopIfTrue="1" operator="equal">
      <formula>"Towel"</formula>
    </cfRule>
    <cfRule type="cellIs" dxfId="1302" priority="1340" stopIfTrue="1" operator="equal">
      <formula>"Napkin Hs"</formula>
    </cfRule>
  </conditionalFormatting>
  <conditionalFormatting sqref="B126:C126">
    <cfRule type="cellIs" dxfId="1301" priority="1337" stopIfTrue="1" operator="equal">
      <formula>"Towel"</formula>
    </cfRule>
    <cfRule type="cellIs" dxfId="1300" priority="1338" stopIfTrue="1" operator="equal">
      <formula>"Napkin Hs"</formula>
    </cfRule>
  </conditionalFormatting>
  <conditionalFormatting sqref="C126">
    <cfRule type="cellIs" dxfId="1299" priority="1335" stopIfTrue="1" operator="equal">
      <formula>"Towel"</formula>
    </cfRule>
    <cfRule type="cellIs" dxfId="1298" priority="1336" stopIfTrue="1" operator="equal">
      <formula>"Napkin Hs"</formula>
    </cfRule>
  </conditionalFormatting>
  <conditionalFormatting sqref="C126">
    <cfRule type="cellIs" dxfId="1297" priority="1333" stopIfTrue="1" operator="equal">
      <formula>"Towel"</formula>
    </cfRule>
    <cfRule type="cellIs" dxfId="1296" priority="1334" stopIfTrue="1" operator="equal">
      <formula>"Napkin Hs"</formula>
    </cfRule>
  </conditionalFormatting>
  <conditionalFormatting sqref="B126:C126">
    <cfRule type="cellIs" dxfId="1295" priority="1331" stopIfTrue="1" operator="equal">
      <formula>"Towel"</formula>
    </cfRule>
    <cfRule type="cellIs" dxfId="1294" priority="1332" stopIfTrue="1" operator="equal">
      <formula>"Napkin Hs"</formula>
    </cfRule>
  </conditionalFormatting>
  <conditionalFormatting sqref="C126">
    <cfRule type="cellIs" dxfId="1293" priority="1329" stopIfTrue="1" operator="equal">
      <formula>"Towel"</formula>
    </cfRule>
    <cfRule type="cellIs" dxfId="1292" priority="1330" stopIfTrue="1" operator="equal">
      <formula>"Napkin Hs"</formula>
    </cfRule>
  </conditionalFormatting>
  <conditionalFormatting sqref="C126">
    <cfRule type="cellIs" dxfId="1291" priority="1327" stopIfTrue="1" operator="equal">
      <formula>"Towel"</formula>
    </cfRule>
    <cfRule type="cellIs" dxfId="1290" priority="1328" stopIfTrue="1" operator="equal">
      <formula>"Napkin Hs"</formula>
    </cfRule>
  </conditionalFormatting>
  <conditionalFormatting sqref="B126:C126">
    <cfRule type="cellIs" dxfId="1289" priority="1326" stopIfTrue="1" operator="equal">
      <formula>"Napkin Hs"</formula>
    </cfRule>
  </conditionalFormatting>
  <conditionalFormatting sqref="B126:C126">
    <cfRule type="cellIs" dxfId="1288" priority="1325" stopIfTrue="1" operator="equal">
      <formula>"Towel"</formula>
    </cfRule>
  </conditionalFormatting>
  <conditionalFormatting sqref="C126">
    <cfRule type="cellIs" dxfId="1287" priority="1324" stopIfTrue="1" operator="equal">
      <formula>"Napkin Hs"</formula>
    </cfRule>
  </conditionalFormatting>
  <conditionalFormatting sqref="C126">
    <cfRule type="cellIs" dxfId="1286" priority="1321" stopIfTrue="1" operator="equal">
      <formula>"Towel"</formula>
    </cfRule>
    <cfRule type="cellIs" dxfId="1285" priority="1322" stopIfTrue="1" operator="equal">
      <formula>"Napkin Hs"</formula>
    </cfRule>
  </conditionalFormatting>
  <conditionalFormatting sqref="C126">
    <cfRule type="cellIs" dxfId="1284" priority="1323" stopIfTrue="1" operator="equal">
      <formula>"Towel"</formula>
    </cfRule>
  </conditionalFormatting>
  <conditionalFormatting sqref="B126:C126">
    <cfRule type="cellIs" dxfId="1283" priority="1320" stopIfTrue="1" operator="equal">
      <formula>"Napkin Hs"</formula>
    </cfRule>
  </conditionalFormatting>
  <conditionalFormatting sqref="B126:C126">
    <cfRule type="cellIs" dxfId="1282" priority="1319" stopIfTrue="1" operator="equal">
      <formula>"Towel"</formula>
    </cfRule>
  </conditionalFormatting>
  <conditionalFormatting sqref="C126">
    <cfRule type="cellIs" dxfId="1281" priority="1318" stopIfTrue="1" operator="equal">
      <formula>"Napkin Hs"</formula>
    </cfRule>
  </conditionalFormatting>
  <conditionalFormatting sqref="C126">
    <cfRule type="cellIs" dxfId="1280" priority="1317" stopIfTrue="1" operator="equal">
      <formula>"Towel"</formula>
    </cfRule>
  </conditionalFormatting>
  <conditionalFormatting sqref="C126">
    <cfRule type="cellIs" dxfId="1279" priority="1315" stopIfTrue="1" operator="equal">
      <formula>"Towel"</formula>
    </cfRule>
    <cfRule type="cellIs" dxfId="1278" priority="1316" stopIfTrue="1" operator="equal">
      <formula>"Napkin Hs"</formula>
    </cfRule>
  </conditionalFormatting>
  <conditionalFormatting sqref="B126:C126">
    <cfRule type="cellIs" dxfId="1277" priority="1313" stopIfTrue="1" operator="equal">
      <formula>"Towel"</formula>
    </cfRule>
    <cfRule type="cellIs" dxfId="1276" priority="1314" stopIfTrue="1" operator="equal">
      <formula>"Napkin Hs"</formula>
    </cfRule>
  </conditionalFormatting>
  <conditionalFormatting sqref="C126">
    <cfRule type="cellIs" dxfId="1275" priority="1309" stopIfTrue="1" operator="equal">
      <formula>"Towel"</formula>
    </cfRule>
    <cfRule type="cellIs" dxfId="1274" priority="1310" stopIfTrue="1" operator="equal">
      <formula>"Napkin Hs"</formula>
    </cfRule>
  </conditionalFormatting>
  <conditionalFormatting sqref="C126">
    <cfRule type="cellIs" dxfId="1273" priority="1311" stopIfTrue="1" operator="equal">
      <formula>"Towel"</formula>
    </cfRule>
    <cfRule type="cellIs" dxfId="1272" priority="1312" stopIfTrue="1" operator="equal">
      <formula>"Napkin Hs"</formula>
    </cfRule>
  </conditionalFormatting>
  <conditionalFormatting sqref="B126:C126">
    <cfRule type="cellIs" dxfId="1271" priority="1308" stopIfTrue="1" operator="equal">
      <formula>"Napkin Hs"</formula>
    </cfRule>
  </conditionalFormatting>
  <conditionalFormatting sqref="B126:C126">
    <cfRule type="cellIs" dxfId="1270" priority="1307" stopIfTrue="1" operator="equal">
      <formula>"Towel"</formula>
    </cfRule>
  </conditionalFormatting>
  <conditionalFormatting sqref="C126">
    <cfRule type="cellIs" dxfId="1269" priority="1306" stopIfTrue="1" operator="equal">
      <formula>"Napkin Hs"</formula>
    </cfRule>
  </conditionalFormatting>
  <conditionalFormatting sqref="C126">
    <cfRule type="cellIs" dxfId="1268" priority="1305" stopIfTrue="1" operator="equal">
      <formula>"Towel"</formula>
    </cfRule>
  </conditionalFormatting>
  <conditionalFormatting sqref="C126">
    <cfRule type="cellIs" dxfId="1267" priority="1303" stopIfTrue="1" operator="equal">
      <formula>"Towel"</formula>
    </cfRule>
    <cfRule type="cellIs" dxfId="1266" priority="1304" stopIfTrue="1" operator="equal">
      <formula>"Napkin Hs"</formula>
    </cfRule>
  </conditionalFormatting>
  <conditionalFormatting sqref="B126:C126">
    <cfRule type="cellIs" dxfId="1265" priority="1301" stopIfTrue="1" operator="equal">
      <formula>"Towel"</formula>
    </cfRule>
    <cfRule type="cellIs" dxfId="1264" priority="1302" stopIfTrue="1" operator="equal">
      <formula>"Napkin Hs"</formula>
    </cfRule>
  </conditionalFormatting>
  <conditionalFormatting sqref="C126">
    <cfRule type="cellIs" dxfId="1263" priority="1299" stopIfTrue="1" operator="equal">
      <formula>"Towel"</formula>
    </cfRule>
    <cfRule type="cellIs" dxfId="1262" priority="1300" stopIfTrue="1" operator="equal">
      <formula>"Napkin Hs"</formula>
    </cfRule>
  </conditionalFormatting>
  <conditionalFormatting sqref="C126">
    <cfRule type="cellIs" dxfId="1261" priority="1297" stopIfTrue="1" operator="equal">
      <formula>"Towel"</formula>
    </cfRule>
    <cfRule type="cellIs" dxfId="1260" priority="1298" stopIfTrue="1" operator="equal">
      <formula>"Napkin Hs"</formula>
    </cfRule>
  </conditionalFormatting>
  <conditionalFormatting sqref="B126:C126">
    <cfRule type="cellIs" dxfId="1259" priority="1295" stopIfTrue="1" operator="equal">
      <formula>"Towel"</formula>
    </cfRule>
    <cfRule type="cellIs" dxfId="1258" priority="1296" stopIfTrue="1" operator="equal">
      <formula>"Napkin Hs"</formula>
    </cfRule>
  </conditionalFormatting>
  <conditionalFormatting sqref="C126">
    <cfRule type="cellIs" dxfId="1257" priority="1293" stopIfTrue="1" operator="equal">
      <formula>"Towel"</formula>
    </cfRule>
    <cfRule type="cellIs" dxfId="1256" priority="1294" stopIfTrue="1" operator="equal">
      <formula>"Napkin Hs"</formula>
    </cfRule>
  </conditionalFormatting>
  <conditionalFormatting sqref="C126">
    <cfRule type="cellIs" dxfId="1255" priority="1291" stopIfTrue="1" operator="equal">
      <formula>"Towel"</formula>
    </cfRule>
    <cfRule type="cellIs" dxfId="1254" priority="1292" stopIfTrue="1" operator="equal">
      <formula>"Napkin Hs"</formula>
    </cfRule>
  </conditionalFormatting>
  <conditionalFormatting sqref="B126:C126">
    <cfRule type="cellIs" dxfId="1253" priority="1289" stopIfTrue="1" operator="equal">
      <formula>"Towel"</formula>
    </cfRule>
    <cfRule type="cellIs" dxfId="1252" priority="1290" stopIfTrue="1" operator="equal">
      <formula>"Napkin Hs"</formula>
    </cfRule>
  </conditionalFormatting>
  <conditionalFormatting sqref="C126">
    <cfRule type="cellIs" dxfId="1251" priority="1287" stopIfTrue="1" operator="equal">
      <formula>"Towel"</formula>
    </cfRule>
    <cfRule type="cellIs" dxfId="1250" priority="1288" stopIfTrue="1" operator="equal">
      <formula>"Napkin Hs"</formula>
    </cfRule>
  </conditionalFormatting>
  <conditionalFormatting sqref="C126">
    <cfRule type="cellIs" dxfId="1249" priority="1285" stopIfTrue="1" operator="equal">
      <formula>"Towel"</formula>
    </cfRule>
    <cfRule type="cellIs" dxfId="1248" priority="1286" stopIfTrue="1" operator="equal">
      <formula>"Napkin Hs"</formula>
    </cfRule>
  </conditionalFormatting>
  <conditionalFormatting sqref="B126:C126">
    <cfRule type="cellIs" dxfId="1247" priority="1283" stopIfTrue="1" operator="equal">
      <formula>"Towel"</formula>
    </cfRule>
    <cfRule type="cellIs" dxfId="1246" priority="1284" stopIfTrue="1" operator="equal">
      <formula>"Napkin Hs"</formula>
    </cfRule>
  </conditionalFormatting>
  <conditionalFormatting sqref="C126">
    <cfRule type="cellIs" dxfId="1245" priority="1281" stopIfTrue="1" operator="equal">
      <formula>"Towel"</formula>
    </cfRule>
    <cfRule type="cellIs" dxfId="1244" priority="1282" stopIfTrue="1" operator="equal">
      <formula>"Napkin Hs"</formula>
    </cfRule>
  </conditionalFormatting>
  <conditionalFormatting sqref="C126">
    <cfRule type="cellIs" dxfId="1243" priority="1279" stopIfTrue="1" operator="equal">
      <formula>"Towel"</formula>
    </cfRule>
    <cfRule type="cellIs" dxfId="1242" priority="1280" stopIfTrue="1" operator="equal">
      <formula>"Napkin Hs"</formula>
    </cfRule>
  </conditionalFormatting>
  <conditionalFormatting sqref="B126:C126">
    <cfRule type="cellIs" dxfId="1241" priority="1277" stopIfTrue="1" operator="equal">
      <formula>"Towel"</formula>
    </cfRule>
    <cfRule type="cellIs" dxfId="1240" priority="1278" stopIfTrue="1" operator="equal">
      <formula>"Napkin Hs"</formula>
    </cfRule>
  </conditionalFormatting>
  <conditionalFormatting sqref="C126">
    <cfRule type="cellIs" dxfId="1239" priority="1275" stopIfTrue="1" operator="equal">
      <formula>"Towel"</formula>
    </cfRule>
    <cfRule type="cellIs" dxfId="1238" priority="1276" stopIfTrue="1" operator="equal">
      <formula>"Napkin Hs"</formula>
    </cfRule>
  </conditionalFormatting>
  <conditionalFormatting sqref="C126">
    <cfRule type="cellIs" dxfId="1237" priority="1273" stopIfTrue="1" operator="equal">
      <formula>"Towel"</formula>
    </cfRule>
    <cfRule type="cellIs" dxfId="1236" priority="1274" stopIfTrue="1" operator="equal">
      <formula>"Napkin Hs"</formula>
    </cfRule>
  </conditionalFormatting>
  <conditionalFormatting sqref="B126:C126">
    <cfRule type="cellIs" dxfId="1235" priority="1272" stopIfTrue="1" operator="equal">
      <formula>"Napkin Hs"</formula>
    </cfRule>
  </conditionalFormatting>
  <conditionalFormatting sqref="B126:C126">
    <cfRule type="cellIs" dxfId="1234" priority="1271" stopIfTrue="1" operator="equal">
      <formula>"Towel"</formula>
    </cfRule>
  </conditionalFormatting>
  <conditionalFormatting sqref="C126">
    <cfRule type="cellIs" dxfId="1233" priority="1270" stopIfTrue="1" operator="equal">
      <formula>"Napkin Hs"</formula>
    </cfRule>
  </conditionalFormatting>
  <conditionalFormatting sqref="C126">
    <cfRule type="cellIs" dxfId="1232" priority="1267" stopIfTrue="1" operator="equal">
      <formula>"Towel"</formula>
    </cfRule>
    <cfRule type="cellIs" dxfId="1231" priority="1268" stopIfTrue="1" operator="equal">
      <formula>"Napkin Hs"</formula>
    </cfRule>
  </conditionalFormatting>
  <conditionalFormatting sqref="C126">
    <cfRule type="cellIs" dxfId="1230" priority="1269" stopIfTrue="1" operator="equal">
      <formula>"Towel"</formula>
    </cfRule>
  </conditionalFormatting>
  <conditionalFormatting sqref="B126:C126">
    <cfRule type="cellIs" dxfId="1229" priority="1266" stopIfTrue="1" operator="equal">
      <formula>"Napkin Hs"</formula>
    </cfRule>
  </conditionalFormatting>
  <conditionalFormatting sqref="B126:C126">
    <cfRule type="cellIs" dxfId="1228" priority="1265" stopIfTrue="1" operator="equal">
      <formula>"Towel"</formula>
    </cfRule>
  </conditionalFormatting>
  <conditionalFormatting sqref="C126">
    <cfRule type="cellIs" dxfId="1227" priority="1264" stopIfTrue="1" operator="equal">
      <formula>"Napkin Hs"</formula>
    </cfRule>
  </conditionalFormatting>
  <conditionalFormatting sqref="C126">
    <cfRule type="cellIs" dxfId="1226" priority="1261" stopIfTrue="1" operator="equal">
      <formula>"Towel"</formula>
    </cfRule>
    <cfRule type="cellIs" dxfId="1225" priority="1262" stopIfTrue="1" operator="equal">
      <formula>"Napkin Hs"</formula>
    </cfRule>
  </conditionalFormatting>
  <conditionalFormatting sqref="C126">
    <cfRule type="cellIs" dxfId="1224" priority="1263" stopIfTrue="1" operator="equal">
      <formula>"Towel"</formula>
    </cfRule>
  </conditionalFormatting>
  <conditionalFormatting sqref="B126:C126">
    <cfRule type="cellIs" dxfId="1223" priority="1260" stopIfTrue="1" operator="equal">
      <formula>"Napkin Hs"</formula>
    </cfRule>
  </conditionalFormatting>
  <conditionalFormatting sqref="B126:C126">
    <cfRule type="cellIs" dxfId="1222" priority="1259" stopIfTrue="1" operator="equal">
      <formula>"Towel"</formula>
    </cfRule>
  </conditionalFormatting>
  <conditionalFormatting sqref="C126">
    <cfRule type="cellIs" dxfId="1221" priority="1258" stopIfTrue="1" operator="equal">
      <formula>"Napkin Hs"</formula>
    </cfRule>
  </conditionalFormatting>
  <conditionalFormatting sqref="C126">
    <cfRule type="cellIs" dxfId="1220" priority="1255" stopIfTrue="1" operator="equal">
      <formula>"Towel"</formula>
    </cfRule>
    <cfRule type="cellIs" dxfId="1219" priority="1256" stopIfTrue="1" operator="equal">
      <formula>"Napkin Hs"</formula>
    </cfRule>
  </conditionalFormatting>
  <conditionalFormatting sqref="C126">
    <cfRule type="cellIs" dxfId="1218" priority="1257" stopIfTrue="1" operator="equal">
      <formula>"Towel"</formula>
    </cfRule>
  </conditionalFormatting>
  <conditionalFormatting sqref="B124:C125">
    <cfRule type="cellIs" dxfId="1217" priority="1253" stopIfTrue="1" operator="equal">
      <formula>"Towel"</formula>
    </cfRule>
    <cfRule type="cellIs" dxfId="1216" priority="1254" stopIfTrue="1" operator="equal">
      <formula>"Napkin Hs"</formula>
    </cfRule>
  </conditionalFormatting>
  <conditionalFormatting sqref="C124:C125">
    <cfRule type="cellIs" dxfId="1215" priority="1251" stopIfTrue="1" operator="equal">
      <formula>"Towel"</formula>
    </cfRule>
    <cfRule type="cellIs" dxfId="1214" priority="1252" stopIfTrue="1" operator="equal">
      <formula>"Napkin Hs"</formula>
    </cfRule>
  </conditionalFormatting>
  <conditionalFormatting sqref="C124:C125">
    <cfRule type="cellIs" dxfId="1213" priority="1249" stopIfTrue="1" operator="equal">
      <formula>"Towel"</formula>
    </cfRule>
    <cfRule type="cellIs" dxfId="1212" priority="1250" stopIfTrue="1" operator="equal">
      <formula>"Napkin Hs"</formula>
    </cfRule>
  </conditionalFormatting>
  <conditionalFormatting sqref="B124:C125">
    <cfRule type="cellIs" dxfId="1211" priority="1248" stopIfTrue="1" operator="equal">
      <formula>"Napkin Hs"</formula>
    </cfRule>
  </conditionalFormatting>
  <conditionalFormatting sqref="B124:C125">
    <cfRule type="cellIs" dxfId="1210" priority="1247" stopIfTrue="1" operator="equal">
      <formula>"Towel"</formula>
    </cfRule>
  </conditionalFormatting>
  <conditionalFormatting sqref="C124:C125">
    <cfRule type="cellIs" dxfId="1209" priority="1246" stopIfTrue="1" operator="equal">
      <formula>"Napkin Hs"</formula>
    </cfRule>
  </conditionalFormatting>
  <conditionalFormatting sqref="C124:C125">
    <cfRule type="cellIs" dxfId="1208" priority="1245" stopIfTrue="1" operator="equal">
      <formula>"Towel"</formula>
    </cfRule>
  </conditionalFormatting>
  <conditionalFormatting sqref="C124:C125">
    <cfRule type="cellIs" dxfId="1207" priority="1243" stopIfTrue="1" operator="equal">
      <formula>"Towel"</formula>
    </cfRule>
    <cfRule type="cellIs" dxfId="1206" priority="1244" stopIfTrue="1" operator="equal">
      <formula>"Napkin Hs"</formula>
    </cfRule>
  </conditionalFormatting>
  <conditionalFormatting sqref="B124:C125">
    <cfRule type="cellIs" dxfId="1205" priority="1241" stopIfTrue="1" operator="equal">
      <formula>"Towel"</formula>
    </cfRule>
    <cfRule type="cellIs" dxfId="1204" priority="1242" stopIfTrue="1" operator="equal">
      <formula>"Napkin Hs"</formula>
    </cfRule>
  </conditionalFormatting>
  <conditionalFormatting sqref="C124:C125">
    <cfRule type="cellIs" dxfId="1203" priority="1237" stopIfTrue="1" operator="equal">
      <formula>"Towel"</formula>
    </cfRule>
    <cfRule type="cellIs" dxfId="1202" priority="1238" stopIfTrue="1" operator="equal">
      <formula>"Napkin Hs"</formula>
    </cfRule>
  </conditionalFormatting>
  <conditionalFormatting sqref="C124:C125">
    <cfRule type="cellIs" dxfId="1201" priority="1239" stopIfTrue="1" operator="equal">
      <formula>"Towel"</formula>
    </cfRule>
    <cfRule type="cellIs" dxfId="1200" priority="1240" stopIfTrue="1" operator="equal">
      <formula>"Napkin Hs"</formula>
    </cfRule>
  </conditionalFormatting>
  <conditionalFormatting sqref="B124:C125">
    <cfRule type="cellIs" dxfId="1199" priority="1236" stopIfTrue="1" operator="equal">
      <formula>"Napkin Hs"</formula>
    </cfRule>
  </conditionalFormatting>
  <conditionalFormatting sqref="B124:C125">
    <cfRule type="cellIs" dxfId="1198" priority="1235" stopIfTrue="1" operator="equal">
      <formula>"Towel"</formula>
    </cfRule>
  </conditionalFormatting>
  <conditionalFormatting sqref="C124:C125">
    <cfRule type="cellIs" dxfId="1197" priority="1234" stopIfTrue="1" operator="equal">
      <formula>"Napkin Hs"</formula>
    </cfRule>
  </conditionalFormatting>
  <conditionalFormatting sqref="C124:C125">
    <cfRule type="cellIs" dxfId="1196" priority="1233" stopIfTrue="1" operator="equal">
      <formula>"Towel"</formula>
    </cfRule>
  </conditionalFormatting>
  <conditionalFormatting sqref="C124:C125">
    <cfRule type="cellIs" dxfId="1195" priority="1231" stopIfTrue="1" operator="equal">
      <formula>"Towel"</formula>
    </cfRule>
    <cfRule type="cellIs" dxfId="1194" priority="1232" stopIfTrue="1" operator="equal">
      <formula>"Napkin Hs"</formula>
    </cfRule>
  </conditionalFormatting>
  <conditionalFormatting sqref="B124:C125">
    <cfRule type="cellIs" dxfId="1193" priority="1229" stopIfTrue="1" operator="equal">
      <formula>"Towel"</formula>
    </cfRule>
    <cfRule type="cellIs" dxfId="1192" priority="1230" stopIfTrue="1" operator="equal">
      <formula>"Napkin Hs"</formula>
    </cfRule>
  </conditionalFormatting>
  <conditionalFormatting sqref="C124:C125">
    <cfRule type="cellIs" dxfId="1191" priority="1227" stopIfTrue="1" operator="equal">
      <formula>"Towel"</formula>
    </cfRule>
    <cfRule type="cellIs" dxfId="1190" priority="1228" stopIfTrue="1" operator="equal">
      <formula>"Napkin Hs"</formula>
    </cfRule>
  </conditionalFormatting>
  <conditionalFormatting sqref="C124:C125">
    <cfRule type="cellIs" dxfId="1189" priority="1225" stopIfTrue="1" operator="equal">
      <formula>"Towel"</formula>
    </cfRule>
    <cfRule type="cellIs" dxfId="1188" priority="1226" stopIfTrue="1" operator="equal">
      <formula>"Napkin Hs"</formula>
    </cfRule>
  </conditionalFormatting>
  <conditionalFormatting sqref="B124:C125">
    <cfRule type="cellIs" dxfId="1187" priority="1223" stopIfTrue="1" operator="equal">
      <formula>"Towel"</formula>
    </cfRule>
    <cfRule type="cellIs" dxfId="1186" priority="1224" stopIfTrue="1" operator="equal">
      <formula>"Napkin Hs"</formula>
    </cfRule>
  </conditionalFormatting>
  <conditionalFormatting sqref="C124:C125">
    <cfRule type="cellIs" dxfId="1185" priority="1221" stopIfTrue="1" operator="equal">
      <formula>"Towel"</formula>
    </cfRule>
    <cfRule type="cellIs" dxfId="1184" priority="1222" stopIfTrue="1" operator="equal">
      <formula>"Napkin Hs"</formula>
    </cfRule>
  </conditionalFormatting>
  <conditionalFormatting sqref="C124:C125">
    <cfRule type="cellIs" dxfId="1183" priority="1219" stopIfTrue="1" operator="equal">
      <formula>"Towel"</formula>
    </cfRule>
    <cfRule type="cellIs" dxfId="1182" priority="1220" stopIfTrue="1" operator="equal">
      <formula>"Napkin Hs"</formula>
    </cfRule>
  </conditionalFormatting>
  <conditionalFormatting sqref="B124:C125">
    <cfRule type="cellIs" dxfId="1181" priority="1217" stopIfTrue="1" operator="equal">
      <formula>"Towel"</formula>
    </cfRule>
    <cfRule type="cellIs" dxfId="1180" priority="1218" stopIfTrue="1" operator="equal">
      <formula>"Napkin Hs"</formula>
    </cfRule>
  </conditionalFormatting>
  <conditionalFormatting sqref="C124:C125">
    <cfRule type="cellIs" dxfId="1179" priority="1215" stopIfTrue="1" operator="equal">
      <formula>"Towel"</formula>
    </cfRule>
    <cfRule type="cellIs" dxfId="1178" priority="1216" stopIfTrue="1" operator="equal">
      <formula>"Napkin Hs"</formula>
    </cfRule>
  </conditionalFormatting>
  <conditionalFormatting sqref="C124:C125">
    <cfRule type="cellIs" dxfId="1177" priority="1213" stopIfTrue="1" operator="equal">
      <formula>"Towel"</formula>
    </cfRule>
    <cfRule type="cellIs" dxfId="1176" priority="1214" stopIfTrue="1" operator="equal">
      <formula>"Napkin Hs"</formula>
    </cfRule>
  </conditionalFormatting>
  <conditionalFormatting sqref="B124:C125">
    <cfRule type="cellIs" dxfId="1175" priority="1211" stopIfTrue="1" operator="equal">
      <formula>"Towel"</formula>
    </cfRule>
    <cfRule type="cellIs" dxfId="1174" priority="1212" stopIfTrue="1" operator="equal">
      <formula>"Napkin Hs"</formula>
    </cfRule>
  </conditionalFormatting>
  <conditionalFormatting sqref="C124:C125">
    <cfRule type="cellIs" dxfId="1173" priority="1209" stopIfTrue="1" operator="equal">
      <formula>"Towel"</formula>
    </cfRule>
    <cfRule type="cellIs" dxfId="1172" priority="1210" stopIfTrue="1" operator="equal">
      <formula>"Napkin Hs"</formula>
    </cfRule>
  </conditionalFormatting>
  <conditionalFormatting sqref="C124:C125">
    <cfRule type="cellIs" dxfId="1171" priority="1207" stopIfTrue="1" operator="equal">
      <formula>"Towel"</formula>
    </cfRule>
    <cfRule type="cellIs" dxfId="1170" priority="1208" stopIfTrue="1" operator="equal">
      <formula>"Napkin Hs"</formula>
    </cfRule>
  </conditionalFormatting>
  <conditionalFormatting sqref="B124:C125">
    <cfRule type="cellIs" dxfId="1169" priority="1205" stopIfTrue="1" operator="equal">
      <formula>"Towel"</formula>
    </cfRule>
    <cfRule type="cellIs" dxfId="1168" priority="1206" stopIfTrue="1" operator="equal">
      <formula>"Napkin Hs"</formula>
    </cfRule>
  </conditionalFormatting>
  <conditionalFormatting sqref="C124:C125">
    <cfRule type="cellIs" dxfId="1167" priority="1203" stopIfTrue="1" operator="equal">
      <formula>"Towel"</formula>
    </cfRule>
    <cfRule type="cellIs" dxfId="1166" priority="1204" stopIfTrue="1" operator="equal">
      <formula>"Napkin Hs"</formula>
    </cfRule>
  </conditionalFormatting>
  <conditionalFormatting sqref="C124:C125">
    <cfRule type="cellIs" dxfId="1165" priority="1201" stopIfTrue="1" operator="equal">
      <formula>"Towel"</formula>
    </cfRule>
    <cfRule type="cellIs" dxfId="1164" priority="1202" stopIfTrue="1" operator="equal">
      <formula>"Napkin Hs"</formula>
    </cfRule>
  </conditionalFormatting>
  <conditionalFormatting sqref="B124:C125">
    <cfRule type="cellIs" dxfId="1163" priority="1200" stopIfTrue="1" operator="equal">
      <formula>"Napkin Hs"</formula>
    </cfRule>
  </conditionalFormatting>
  <conditionalFormatting sqref="B124:C125">
    <cfRule type="cellIs" dxfId="1162" priority="1199" stopIfTrue="1" operator="equal">
      <formula>"Towel"</formula>
    </cfRule>
  </conditionalFormatting>
  <conditionalFormatting sqref="C124:C125">
    <cfRule type="cellIs" dxfId="1161" priority="1198" stopIfTrue="1" operator="equal">
      <formula>"Napkin Hs"</formula>
    </cfRule>
  </conditionalFormatting>
  <conditionalFormatting sqref="C124:C125">
    <cfRule type="cellIs" dxfId="1160" priority="1195" stopIfTrue="1" operator="equal">
      <formula>"Towel"</formula>
    </cfRule>
    <cfRule type="cellIs" dxfId="1159" priority="1196" stopIfTrue="1" operator="equal">
      <formula>"Napkin Hs"</formula>
    </cfRule>
  </conditionalFormatting>
  <conditionalFormatting sqref="C124:C125">
    <cfRule type="cellIs" dxfId="1158" priority="1197" stopIfTrue="1" operator="equal">
      <formula>"Towel"</formula>
    </cfRule>
  </conditionalFormatting>
  <conditionalFormatting sqref="B124:C125">
    <cfRule type="cellIs" dxfId="1157" priority="1194" stopIfTrue="1" operator="equal">
      <formula>"Napkin Hs"</formula>
    </cfRule>
  </conditionalFormatting>
  <conditionalFormatting sqref="B124:C125">
    <cfRule type="cellIs" dxfId="1156" priority="1193" stopIfTrue="1" operator="equal">
      <formula>"Towel"</formula>
    </cfRule>
  </conditionalFormatting>
  <conditionalFormatting sqref="C124:C125">
    <cfRule type="cellIs" dxfId="1155" priority="1192" stopIfTrue="1" operator="equal">
      <formula>"Napkin Hs"</formula>
    </cfRule>
  </conditionalFormatting>
  <conditionalFormatting sqref="C124:C125">
    <cfRule type="cellIs" dxfId="1154" priority="1191" stopIfTrue="1" operator="equal">
      <formula>"Towel"</formula>
    </cfRule>
  </conditionalFormatting>
  <conditionalFormatting sqref="C124:C125">
    <cfRule type="cellIs" dxfId="1153" priority="1189" stopIfTrue="1" operator="equal">
      <formula>"Towel"</formula>
    </cfRule>
    <cfRule type="cellIs" dxfId="1152" priority="1190" stopIfTrue="1" operator="equal">
      <formula>"Napkin Hs"</formula>
    </cfRule>
  </conditionalFormatting>
  <conditionalFormatting sqref="B124:C125">
    <cfRule type="cellIs" dxfId="1151" priority="1187" stopIfTrue="1" operator="equal">
      <formula>"Towel"</formula>
    </cfRule>
    <cfRule type="cellIs" dxfId="1150" priority="1188" stopIfTrue="1" operator="equal">
      <formula>"Napkin Hs"</formula>
    </cfRule>
  </conditionalFormatting>
  <conditionalFormatting sqref="C124:C125">
    <cfRule type="cellIs" dxfId="1149" priority="1183" stopIfTrue="1" operator="equal">
      <formula>"Towel"</formula>
    </cfRule>
    <cfRule type="cellIs" dxfId="1148" priority="1184" stopIfTrue="1" operator="equal">
      <formula>"Napkin Hs"</formula>
    </cfRule>
  </conditionalFormatting>
  <conditionalFormatting sqref="C124:C125">
    <cfRule type="cellIs" dxfId="1147" priority="1185" stopIfTrue="1" operator="equal">
      <formula>"Towel"</formula>
    </cfRule>
    <cfRule type="cellIs" dxfId="1146" priority="1186" stopIfTrue="1" operator="equal">
      <formula>"Napkin Hs"</formula>
    </cfRule>
  </conditionalFormatting>
  <conditionalFormatting sqref="B124:C125">
    <cfRule type="cellIs" dxfId="1145" priority="1182" stopIfTrue="1" operator="equal">
      <formula>"Napkin Hs"</formula>
    </cfRule>
  </conditionalFormatting>
  <conditionalFormatting sqref="B124:C125">
    <cfRule type="cellIs" dxfId="1144" priority="1181" stopIfTrue="1" operator="equal">
      <formula>"Towel"</formula>
    </cfRule>
  </conditionalFormatting>
  <conditionalFormatting sqref="C124:C125">
    <cfRule type="cellIs" dxfId="1143" priority="1180" stopIfTrue="1" operator="equal">
      <formula>"Napkin Hs"</formula>
    </cfRule>
  </conditionalFormatting>
  <conditionalFormatting sqref="C124:C125">
    <cfRule type="cellIs" dxfId="1142" priority="1179" stopIfTrue="1" operator="equal">
      <formula>"Towel"</formula>
    </cfRule>
  </conditionalFormatting>
  <conditionalFormatting sqref="C124:C125">
    <cfRule type="cellIs" dxfId="1141" priority="1177" stopIfTrue="1" operator="equal">
      <formula>"Towel"</formula>
    </cfRule>
    <cfRule type="cellIs" dxfId="1140" priority="1178" stopIfTrue="1" operator="equal">
      <formula>"Napkin Hs"</formula>
    </cfRule>
  </conditionalFormatting>
  <conditionalFormatting sqref="B124:C125">
    <cfRule type="cellIs" dxfId="1139" priority="1175" stopIfTrue="1" operator="equal">
      <formula>"Towel"</formula>
    </cfRule>
    <cfRule type="cellIs" dxfId="1138" priority="1176" stopIfTrue="1" operator="equal">
      <formula>"Napkin Hs"</formula>
    </cfRule>
  </conditionalFormatting>
  <conditionalFormatting sqref="C124:C125">
    <cfRule type="cellIs" dxfId="1137" priority="1173" stopIfTrue="1" operator="equal">
      <formula>"Towel"</formula>
    </cfRule>
    <cfRule type="cellIs" dxfId="1136" priority="1174" stopIfTrue="1" operator="equal">
      <formula>"Napkin Hs"</formula>
    </cfRule>
  </conditionalFormatting>
  <conditionalFormatting sqref="C124:C125">
    <cfRule type="cellIs" dxfId="1135" priority="1171" stopIfTrue="1" operator="equal">
      <formula>"Towel"</formula>
    </cfRule>
    <cfRule type="cellIs" dxfId="1134" priority="1172" stopIfTrue="1" operator="equal">
      <formula>"Napkin Hs"</formula>
    </cfRule>
  </conditionalFormatting>
  <conditionalFormatting sqref="B124:C125">
    <cfRule type="cellIs" dxfId="1133" priority="1169" stopIfTrue="1" operator="equal">
      <formula>"Towel"</formula>
    </cfRule>
    <cfRule type="cellIs" dxfId="1132" priority="1170" stopIfTrue="1" operator="equal">
      <formula>"Napkin Hs"</formula>
    </cfRule>
  </conditionalFormatting>
  <conditionalFormatting sqref="C124:C125">
    <cfRule type="cellIs" dxfId="1131" priority="1167" stopIfTrue="1" operator="equal">
      <formula>"Towel"</formula>
    </cfRule>
    <cfRule type="cellIs" dxfId="1130" priority="1168" stopIfTrue="1" operator="equal">
      <formula>"Napkin Hs"</formula>
    </cfRule>
  </conditionalFormatting>
  <conditionalFormatting sqref="C124:C125">
    <cfRule type="cellIs" dxfId="1129" priority="1165" stopIfTrue="1" operator="equal">
      <formula>"Towel"</formula>
    </cfRule>
    <cfRule type="cellIs" dxfId="1128" priority="1166" stopIfTrue="1" operator="equal">
      <formula>"Napkin Hs"</formula>
    </cfRule>
  </conditionalFormatting>
  <conditionalFormatting sqref="B124:C125">
    <cfRule type="cellIs" dxfId="1127" priority="1163" stopIfTrue="1" operator="equal">
      <formula>"Towel"</formula>
    </cfRule>
    <cfRule type="cellIs" dxfId="1126" priority="1164" stopIfTrue="1" operator="equal">
      <formula>"Napkin Hs"</formula>
    </cfRule>
  </conditionalFormatting>
  <conditionalFormatting sqref="C124:C125">
    <cfRule type="cellIs" dxfId="1125" priority="1161" stopIfTrue="1" operator="equal">
      <formula>"Towel"</formula>
    </cfRule>
    <cfRule type="cellIs" dxfId="1124" priority="1162" stopIfTrue="1" operator="equal">
      <formula>"Napkin Hs"</formula>
    </cfRule>
  </conditionalFormatting>
  <conditionalFormatting sqref="C124:C125">
    <cfRule type="cellIs" dxfId="1123" priority="1159" stopIfTrue="1" operator="equal">
      <formula>"Towel"</formula>
    </cfRule>
    <cfRule type="cellIs" dxfId="1122" priority="1160" stopIfTrue="1" operator="equal">
      <formula>"Napkin Hs"</formula>
    </cfRule>
  </conditionalFormatting>
  <conditionalFormatting sqref="B124:C125">
    <cfRule type="cellIs" dxfId="1121" priority="1157" stopIfTrue="1" operator="equal">
      <formula>"Towel"</formula>
    </cfRule>
    <cfRule type="cellIs" dxfId="1120" priority="1158" stopIfTrue="1" operator="equal">
      <formula>"Napkin Hs"</formula>
    </cfRule>
  </conditionalFormatting>
  <conditionalFormatting sqref="C124:C125">
    <cfRule type="cellIs" dxfId="1119" priority="1155" stopIfTrue="1" operator="equal">
      <formula>"Towel"</formula>
    </cfRule>
    <cfRule type="cellIs" dxfId="1118" priority="1156" stopIfTrue="1" operator="equal">
      <formula>"Napkin Hs"</formula>
    </cfRule>
  </conditionalFormatting>
  <conditionalFormatting sqref="C124:C125">
    <cfRule type="cellIs" dxfId="1117" priority="1153" stopIfTrue="1" operator="equal">
      <formula>"Towel"</formula>
    </cfRule>
    <cfRule type="cellIs" dxfId="1116" priority="1154" stopIfTrue="1" operator="equal">
      <formula>"Napkin Hs"</formula>
    </cfRule>
  </conditionalFormatting>
  <conditionalFormatting sqref="B124:C125">
    <cfRule type="cellIs" dxfId="1115" priority="1151" stopIfTrue="1" operator="equal">
      <formula>"Towel"</formula>
    </cfRule>
    <cfRule type="cellIs" dxfId="1114" priority="1152" stopIfTrue="1" operator="equal">
      <formula>"Napkin Hs"</formula>
    </cfRule>
  </conditionalFormatting>
  <conditionalFormatting sqref="C124:C125">
    <cfRule type="cellIs" dxfId="1113" priority="1149" stopIfTrue="1" operator="equal">
      <formula>"Towel"</formula>
    </cfRule>
    <cfRule type="cellIs" dxfId="1112" priority="1150" stopIfTrue="1" operator="equal">
      <formula>"Napkin Hs"</formula>
    </cfRule>
  </conditionalFormatting>
  <conditionalFormatting sqref="C124:C125">
    <cfRule type="cellIs" dxfId="1111" priority="1147" stopIfTrue="1" operator="equal">
      <formula>"Towel"</formula>
    </cfRule>
    <cfRule type="cellIs" dxfId="1110" priority="1148" stopIfTrue="1" operator="equal">
      <formula>"Napkin Hs"</formula>
    </cfRule>
  </conditionalFormatting>
  <conditionalFormatting sqref="B124:C125">
    <cfRule type="cellIs" dxfId="1109" priority="1146" stopIfTrue="1" operator="equal">
      <formula>"Napkin Hs"</formula>
    </cfRule>
  </conditionalFormatting>
  <conditionalFormatting sqref="B124:C125">
    <cfRule type="cellIs" dxfId="1108" priority="1145" stopIfTrue="1" operator="equal">
      <formula>"Towel"</formula>
    </cfRule>
  </conditionalFormatting>
  <conditionalFormatting sqref="C124:C125">
    <cfRule type="cellIs" dxfId="1107" priority="1144" stopIfTrue="1" operator="equal">
      <formula>"Napkin Hs"</formula>
    </cfRule>
  </conditionalFormatting>
  <conditionalFormatting sqref="C124:C125">
    <cfRule type="cellIs" dxfId="1106" priority="1141" stopIfTrue="1" operator="equal">
      <formula>"Towel"</formula>
    </cfRule>
    <cfRule type="cellIs" dxfId="1105" priority="1142" stopIfTrue="1" operator="equal">
      <formula>"Napkin Hs"</formula>
    </cfRule>
  </conditionalFormatting>
  <conditionalFormatting sqref="C124:C125">
    <cfRule type="cellIs" dxfId="1104" priority="1143" stopIfTrue="1" operator="equal">
      <formula>"Towel"</formula>
    </cfRule>
  </conditionalFormatting>
  <conditionalFormatting sqref="B124:C125">
    <cfRule type="cellIs" dxfId="1103" priority="1140" stopIfTrue="1" operator="equal">
      <formula>"Napkin Hs"</formula>
    </cfRule>
  </conditionalFormatting>
  <conditionalFormatting sqref="B124:C125">
    <cfRule type="cellIs" dxfId="1102" priority="1139" stopIfTrue="1" operator="equal">
      <formula>"Towel"</formula>
    </cfRule>
  </conditionalFormatting>
  <conditionalFormatting sqref="C124:C125">
    <cfRule type="cellIs" dxfId="1101" priority="1138" stopIfTrue="1" operator="equal">
      <formula>"Napkin Hs"</formula>
    </cfRule>
  </conditionalFormatting>
  <conditionalFormatting sqref="C124:C125">
    <cfRule type="cellIs" dxfId="1100" priority="1135" stopIfTrue="1" operator="equal">
      <formula>"Towel"</formula>
    </cfRule>
    <cfRule type="cellIs" dxfId="1099" priority="1136" stopIfTrue="1" operator="equal">
      <formula>"Napkin Hs"</formula>
    </cfRule>
  </conditionalFormatting>
  <conditionalFormatting sqref="C124:C125">
    <cfRule type="cellIs" dxfId="1098" priority="1137" stopIfTrue="1" operator="equal">
      <formula>"Towel"</formula>
    </cfRule>
  </conditionalFormatting>
  <conditionalFormatting sqref="B124:C125">
    <cfRule type="cellIs" dxfId="1097" priority="1134" stopIfTrue="1" operator="equal">
      <formula>"Napkin Hs"</formula>
    </cfRule>
  </conditionalFormatting>
  <conditionalFormatting sqref="B124:C125">
    <cfRule type="cellIs" dxfId="1096" priority="1133" stopIfTrue="1" operator="equal">
      <formula>"Towel"</formula>
    </cfRule>
  </conditionalFormatting>
  <conditionalFormatting sqref="C124:C125">
    <cfRule type="cellIs" dxfId="1095" priority="1132" stopIfTrue="1" operator="equal">
      <formula>"Napkin Hs"</formula>
    </cfRule>
  </conditionalFormatting>
  <conditionalFormatting sqref="C124:C125">
    <cfRule type="cellIs" dxfId="1094" priority="1129" stopIfTrue="1" operator="equal">
      <formula>"Towel"</formula>
    </cfRule>
    <cfRule type="cellIs" dxfId="1093" priority="1130" stopIfTrue="1" operator="equal">
      <formula>"Napkin Hs"</formula>
    </cfRule>
  </conditionalFormatting>
  <conditionalFormatting sqref="C124:C125">
    <cfRule type="cellIs" dxfId="1092" priority="1131" stopIfTrue="1" operator="equal">
      <formula>"Towel"</formula>
    </cfRule>
  </conditionalFormatting>
  <conditionalFormatting sqref="B127:C127">
    <cfRule type="cellIs" dxfId="1091" priority="1440" stopIfTrue="1" operator="equal">
      <formula>"Napkin Hs"</formula>
    </cfRule>
  </conditionalFormatting>
  <conditionalFormatting sqref="B127:C127">
    <cfRule type="cellIs" dxfId="1090" priority="1439" stopIfTrue="1" operator="equal">
      <formula>"Towel"</formula>
    </cfRule>
  </conditionalFormatting>
  <conditionalFormatting sqref="C127">
    <cfRule type="cellIs" dxfId="1089" priority="1438" stopIfTrue="1" operator="equal">
      <formula>"Napkin Hs"</formula>
    </cfRule>
  </conditionalFormatting>
  <conditionalFormatting sqref="C127">
    <cfRule type="cellIs" dxfId="1088" priority="1437" stopIfTrue="1" operator="equal">
      <formula>"Towel"</formula>
    </cfRule>
  </conditionalFormatting>
  <conditionalFormatting sqref="B126:C126">
    <cfRule type="cellIs" dxfId="1087" priority="1428" stopIfTrue="1" operator="equal">
      <formula>"Napkin Hs"</formula>
    </cfRule>
  </conditionalFormatting>
  <conditionalFormatting sqref="B126:C126">
    <cfRule type="cellIs" dxfId="1086" priority="1427" stopIfTrue="1" operator="equal">
      <formula>"Towel"</formula>
    </cfRule>
  </conditionalFormatting>
  <conditionalFormatting sqref="C126">
    <cfRule type="cellIs" dxfId="1085" priority="1426" stopIfTrue="1" operator="equal">
      <formula>"Napkin Hs"</formula>
    </cfRule>
  </conditionalFormatting>
  <conditionalFormatting sqref="C126">
    <cfRule type="cellIs" dxfId="1084" priority="1425" stopIfTrue="1" operator="equal">
      <formula>"Towel"</formula>
    </cfRule>
  </conditionalFormatting>
  <conditionalFormatting sqref="B126:C126">
    <cfRule type="cellIs" dxfId="1083" priority="1416" stopIfTrue="1" operator="equal">
      <formula>"Napkin Hs"</formula>
    </cfRule>
  </conditionalFormatting>
  <conditionalFormatting sqref="B126:C126">
    <cfRule type="cellIs" dxfId="1082" priority="1415" stopIfTrue="1" operator="equal">
      <formula>"Towel"</formula>
    </cfRule>
  </conditionalFormatting>
  <conditionalFormatting sqref="C126">
    <cfRule type="cellIs" dxfId="1081" priority="1414" stopIfTrue="1" operator="equal">
      <formula>"Napkin Hs"</formula>
    </cfRule>
  </conditionalFormatting>
  <conditionalFormatting sqref="C126">
    <cfRule type="cellIs" dxfId="1080" priority="1413" stopIfTrue="1" operator="equal">
      <formula>"Towel"</formula>
    </cfRule>
  </conditionalFormatting>
  <conditionalFormatting sqref="B126:C126">
    <cfRule type="cellIs" dxfId="1079" priority="1397" stopIfTrue="1" operator="equal">
      <formula>"Towel"</formula>
    </cfRule>
    <cfRule type="cellIs" dxfId="1078" priority="1398" stopIfTrue="1" operator="equal">
      <formula>"Napkin Hs"</formula>
    </cfRule>
  </conditionalFormatting>
  <conditionalFormatting sqref="C126">
    <cfRule type="cellIs" dxfId="1077" priority="1395" stopIfTrue="1" operator="equal">
      <formula>"Towel"</formula>
    </cfRule>
    <cfRule type="cellIs" dxfId="1076" priority="1396" stopIfTrue="1" operator="equal">
      <formula>"Napkin Hs"</formula>
    </cfRule>
  </conditionalFormatting>
  <conditionalFormatting sqref="B126:C126">
    <cfRule type="cellIs" dxfId="1075" priority="1391" stopIfTrue="1" operator="equal">
      <formula>"Towel"</formula>
    </cfRule>
    <cfRule type="cellIs" dxfId="1074" priority="1392" stopIfTrue="1" operator="equal">
      <formula>"Napkin Hs"</formula>
    </cfRule>
  </conditionalFormatting>
  <conditionalFormatting sqref="C126">
    <cfRule type="cellIs" dxfId="1073" priority="1389" stopIfTrue="1" operator="equal">
      <formula>"Towel"</formula>
    </cfRule>
    <cfRule type="cellIs" dxfId="1072" priority="1390" stopIfTrue="1" operator="equal">
      <formula>"Napkin Hs"</formula>
    </cfRule>
  </conditionalFormatting>
  <conditionalFormatting sqref="B126:C126">
    <cfRule type="cellIs" dxfId="1071" priority="1385" stopIfTrue="1" operator="equal">
      <formula>"Towel"</formula>
    </cfRule>
    <cfRule type="cellIs" dxfId="1070" priority="1386" stopIfTrue="1" operator="equal">
      <formula>"Napkin Hs"</formula>
    </cfRule>
  </conditionalFormatting>
  <conditionalFormatting sqref="C126">
    <cfRule type="cellIs" dxfId="1069" priority="1383" stopIfTrue="1" operator="equal">
      <formula>"Towel"</formula>
    </cfRule>
    <cfRule type="cellIs" dxfId="1068" priority="1384" stopIfTrue="1" operator="equal">
      <formula>"Napkin Hs"</formula>
    </cfRule>
  </conditionalFormatting>
  <conditionalFormatting sqref="B126:C126">
    <cfRule type="cellIs" dxfId="1067" priority="1380" stopIfTrue="1" operator="equal">
      <formula>"Napkin Hs"</formula>
    </cfRule>
  </conditionalFormatting>
  <conditionalFormatting sqref="B126:C126">
    <cfRule type="cellIs" dxfId="1066" priority="1379" stopIfTrue="1" operator="equal">
      <formula>"Towel"</formula>
    </cfRule>
  </conditionalFormatting>
  <conditionalFormatting sqref="C126">
    <cfRule type="cellIs" dxfId="1065" priority="1378" stopIfTrue="1" operator="equal">
      <formula>"Napkin Hs"</formula>
    </cfRule>
  </conditionalFormatting>
  <conditionalFormatting sqref="C126">
    <cfRule type="cellIs" dxfId="1064" priority="1377" stopIfTrue="1" operator="equal">
      <formula>"Towel"</formula>
    </cfRule>
  </conditionalFormatting>
  <conditionalFormatting sqref="B129:C131">
    <cfRule type="cellIs" dxfId="1063" priority="1128" stopIfTrue="1" operator="equal">
      <formula>"Napkin Hs"</formula>
    </cfRule>
  </conditionalFormatting>
  <conditionalFormatting sqref="B129:C131">
    <cfRule type="cellIs" dxfId="1062" priority="1127" stopIfTrue="1" operator="equal">
      <formula>"Towel"</formula>
    </cfRule>
  </conditionalFormatting>
  <conditionalFormatting sqref="C129:C131">
    <cfRule type="cellIs" dxfId="1061" priority="1126" stopIfTrue="1" operator="equal">
      <formula>"Napkin Hs"</formula>
    </cfRule>
  </conditionalFormatting>
  <conditionalFormatting sqref="C129:C131">
    <cfRule type="cellIs" dxfId="1060" priority="1125" stopIfTrue="1" operator="equal">
      <formula>"Towel"</formula>
    </cfRule>
  </conditionalFormatting>
  <conditionalFormatting sqref="C129:C131">
    <cfRule type="cellIs" dxfId="1059" priority="1123" stopIfTrue="1" operator="equal">
      <formula>"Towel"</formula>
    </cfRule>
    <cfRule type="cellIs" dxfId="1058" priority="1124" stopIfTrue="1" operator="equal">
      <formula>"Napkin Hs"</formula>
    </cfRule>
  </conditionalFormatting>
  <conditionalFormatting sqref="B131:C131">
    <cfRule type="cellIs" dxfId="1057" priority="1050" stopIfTrue="1" operator="equal">
      <formula>"Napkin Hs"</formula>
    </cfRule>
  </conditionalFormatting>
  <conditionalFormatting sqref="B131:C131">
    <cfRule type="cellIs" dxfId="1056" priority="1049" stopIfTrue="1" operator="equal">
      <formula>"Towel"</formula>
    </cfRule>
  </conditionalFormatting>
  <conditionalFormatting sqref="C131">
    <cfRule type="cellIs" dxfId="1055" priority="1048" stopIfTrue="1" operator="equal">
      <formula>"Napkin Hs"</formula>
    </cfRule>
  </conditionalFormatting>
  <conditionalFormatting sqref="C131">
    <cfRule type="cellIs" dxfId="1054" priority="1047" stopIfTrue="1" operator="equal">
      <formula>"Towel"</formula>
    </cfRule>
  </conditionalFormatting>
  <conditionalFormatting sqref="C131">
    <cfRule type="cellIs" dxfId="1053" priority="1045" stopIfTrue="1" operator="equal">
      <formula>"Towel"</formula>
    </cfRule>
    <cfRule type="cellIs" dxfId="1052" priority="1046" stopIfTrue="1" operator="equal">
      <formula>"Napkin Hs"</formula>
    </cfRule>
  </conditionalFormatting>
  <conditionalFormatting sqref="C130">
    <cfRule type="cellIs" dxfId="1051" priority="1044" stopIfTrue="1" operator="equal">
      <formula>"Napkin Hs"</formula>
    </cfRule>
  </conditionalFormatting>
  <conditionalFormatting sqref="C130">
    <cfRule type="cellIs" dxfId="1050" priority="1043" stopIfTrue="1" operator="equal">
      <formula>"Towel"</formula>
    </cfRule>
  </conditionalFormatting>
  <conditionalFormatting sqref="C130">
    <cfRule type="cellIs" dxfId="1049" priority="1042" stopIfTrue="1" operator="equal">
      <formula>"Napkin Hs"</formula>
    </cfRule>
  </conditionalFormatting>
  <conditionalFormatting sqref="C130">
    <cfRule type="cellIs" dxfId="1048" priority="1041" stopIfTrue="1" operator="equal">
      <formula>"Towel"</formula>
    </cfRule>
  </conditionalFormatting>
  <conditionalFormatting sqref="C130">
    <cfRule type="cellIs" dxfId="1047" priority="1039" stopIfTrue="1" operator="equal">
      <formula>"Towel"</formula>
    </cfRule>
    <cfRule type="cellIs" dxfId="1046" priority="1040" stopIfTrue="1" operator="equal">
      <formula>"Napkin Hs"</formula>
    </cfRule>
  </conditionalFormatting>
  <conditionalFormatting sqref="C130">
    <cfRule type="cellIs" dxfId="1045" priority="1038" stopIfTrue="1" operator="equal">
      <formula>"Napkin Hs"</formula>
    </cfRule>
  </conditionalFormatting>
  <conditionalFormatting sqref="C130">
    <cfRule type="cellIs" dxfId="1044" priority="1037" stopIfTrue="1" operator="equal">
      <formula>"Towel"</formula>
    </cfRule>
  </conditionalFormatting>
  <conditionalFormatting sqref="C130">
    <cfRule type="cellIs" dxfId="1043" priority="1036" stopIfTrue="1" operator="equal">
      <formula>"Napkin Hs"</formula>
    </cfRule>
  </conditionalFormatting>
  <conditionalFormatting sqref="C130">
    <cfRule type="cellIs" dxfId="1042" priority="1035" stopIfTrue="1" operator="equal">
      <formula>"Towel"</formula>
    </cfRule>
  </conditionalFormatting>
  <conditionalFormatting sqref="C130">
    <cfRule type="cellIs" dxfId="1041" priority="1033" stopIfTrue="1" operator="equal">
      <formula>"Towel"</formula>
    </cfRule>
    <cfRule type="cellIs" dxfId="1040" priority="1034" stopIfTrue="1" operator="equal">
      <formula>"Napkin Hs"</formula>
    </cfRule>
  </conditionalFormatting>
  <conditionalFormatting sqref="C130">
    <cfRule type="cellIs" dxfId="1039" priority="1031" stopIfTrue="1" operator="equal">
      <formula>"Towel"</formula>
    </cfRule>
    <cfRule type="cellIs" dxfId="1038" priority="1032" stopIfTrue="1" operator="equal">
      <formula>"Napkin Hs"</formula>
    </cfRule>
  </conditionalFormatting>
  <conditionalFormatting sqref="C130">
    <cfRule type="cellIs" dxfId="1037" priority="1027" stopIfTrue="1" operator="equal">
      <formula>"Towel"</formula>
    </cfRule>
    <cfRule type="cellIs" dxfId="1036" priority="1028" stopIfTrue="1" operator="equal">
      <formula>"Napkin Hs"</formula>
    </cfRule>
  </conditionalFormatting>
  <conditionalFormatting sqref="C130">
    <cfRule type="cellIs" dxfId="1035" priority="1029" stopIfTrue="1" operator="equal">
      <formula>"Towel"</formula>
    </cfRule>
    <cfRule type="cellIs" dxfId="1034" priority="1030" stopIfTrue="1" operator="equal">
      <formula>"Napkin Hs"</formula>
    </cfRule>
  </conditionalFormatting>
  <conditionalFormatting sqref="C130">
    <cfRule type="cellIs" dxfId="1033" priority="1026" stopIfTrue="1" operator="equal">
      <formula>"Napkin Hs"</formula>
    </cfRule>
  </conditionalFormatting>
  <conditionalFormatting sqref="C130">
    <cfRule type="cellIs" dxfId="1032" priority="1025" stopIfTrue="1" operator="equal">
      <formula>"Towel"</formula>
    </cfRule>
  </conditionalFormatting>
  <conditionalFormatting sqref="C130">
    <cfRule type="cellIs" dxfId="1031" priority="1024" stopIfTrue="1" operator="equal">
      <formula>"Napkin Hs"</formula>
    </cfRule>
  </conditionalFormatting>
  <conditionalFormatting sqref="C130">
    <cfRule type="cellIs" dxfId="1030" priority="1023" stopIfTrue="1" operator="equal">
      <formula>"Towel"</formula>
    </cfRule>
  </conditionalFormatting>
  <conditionalFormatting sqref="C130">
    <cfRule type="cellIs" dxfId="1029" priority="1021" stopIfTrue="1" operator="equal">
      <formula>"Towel"</formula>
    </cfRule>
    <cfRule type="cellIs" dxfId="1028" priority="1022" stopIfTrue="1" operator="equal">
      <formula>"Napkin Hs"</formula>
    </cfRule>
  </conditionalFormatting>
  <conditionalFormatting sqref="C130">
    <cfRule type="cellIs" dxfId="1027" priority="1019" stopIfTrue="1" operator="equal">
      <formula>"Towel"</formula>
    </cfRule>
    <cfRule type="cellIs" dxfId="1026" priority="1020" stopIfTrue="1" operator="equal">
      <formula>"Napkin Hs"</formula>
    </cfRule>
  </conditionalFormatting>
  <conditionalFormatting sqref="C130">
    <cfRule type="cellIs" dxfId="1025" priority="1017" stopIfTrue="1" operator="equal">
      <formula>"Towel"</formula>
    </cfRule>
    <cfRule type="cellIs" dxfId="1024" priority="1018" stopIfTrue="1" operator="equal">
      <formula>"Napkin Hs"</formula>
    </cfRule>
  </conditionalFormatting>
  <conditionalFormatting sqref="C130">
    <cfRule type="cellIs" dxfId="1023" priority="1015" stopIfTrue="1" operator="equal">
      <formula>"Towel"</formula>
    </cfRule>
    <cfRule type="cellIs" dxfId="1022" priority="1016" stopIfTrue="1" operator="equal">
      <formula>"Napkin Hs"</formula>
    </cfRule>
  </conditionalFormatting>
  <conditionalFormatting sqref="C130">
    <cfRule type="cellIs" dxfId="1021" priority="1013" stopIfTrue="1" operator="equal">
      <formula>"Towel"</formula>
    </cfRule>
    <cfRule type="cellIs" dxfId="1020" priority="1014" stopIfTrue="1" operator="equal">
      <formula>"Napkin Hs"</formula>
    </cfRule>
  </conditionalFormatting>
  <conditionalFormatting sqref="C130">
    <cfRule type="cellIs" dxfId="1019" priority="1011" stopIfTrue="1" operator="equal">
      <formula>"Towel"</formula>
    </cfRule>
    <cfRule type="cellIs" dxfId="1018" priority="1012" stopIfTrue="1" operator="equal">
      <formula>"Napkin Hs"</formula>
    </cfRule>
  </conditionalFormatting>
  <conditionalFormatting sqref="C130">
    <cfRule type="cellIs" dxfId="1017" priority="1009" stopIfTrue="1" operator="equal">
      <formula>"Towel"</formula>
    </cfRule>
    <cfRule type="cellIs" dxfId="1016" priority="1010" stopIfTrue="1" operator="equal">
      <formula>"Napkin Hs"</formula>
    </cfRule>
  </conditionalFormatting>
  <conditionalFormatting sqref="C130">
    <cfRule type="cellIs" dxfId="1015" priority="1007" stopIfTrue="1" operator="equal">
      <formula>"Towel"</formula>
    </cfRule>
    <cfRule type="cellIs" dxfId="1014" priority="1008" stopIfTrue="1" operator="equal">
      <formula>"Napkin Hs"</formula>
    </cfRule>
  </conditionalFormatting>
  <conditionalFormatting sqref="C130">
    <cfRule type="cellIs" dxfId="1013" priority="1005" stopIfTrue="1" operator="equal">
      <formula>"Towel"</formula>
    </cfRule>
    <cfRule type="cellIs" dxfId="1012" priority="1006" stopIfTrue="1" operator="equal">
      <formula>"Napkin Hs"</formula>
    </cfRule>
  </conditionalFormatting>
  <conditionalFormatting sqref="C130">
    <cfRule type="cellIs" dxfId="1011" priority="1003" stopIfTrue="1" operator="equal">
      <formula>"Towel"</formula>
    </cfRule>
    <cfRule type="cellIs" dxfId="1010" priority="1004" stopIfTrue="1" operator="equal">
      <formula>"Napkin Hs"</formula>
    </cfRule>
  </conditionalFormatting>
  <conditionalFormatting sqref="C130">
    <cfRule type="cellIs" dxfId="1009" priority="1001" stopIfTrue="1" operator="equal">
      <formula>"Towel"</formula>
    </cfRule>
    <cfRule type="cellIs" dxfId="1008" priority="1002" stopIfTrue="1" operator="equal">
      <formula>"Napkin Hs"</formula>
    </cfRule>
  </conditionalFormatting>
  <conditionalFormatting sqref="C130">
    <cfRule type="cellIs" dxfId="1007" priority="999" stopIfTrue="1" operator="equal">
      <formula>"Towel"</formula>
    </cfRule>
    <cfRule type="cellIs" dxfId="1006" priority="1000" stopIfTrue="1" operator="equal">
      <formula>"Napkin Hs"</formula>
    </cfRule>
  </conditionalFormatting>
  <conditionalFormatting sqref="C130">
    <cfRule type="cellIs" dxfId="1005" priority="997" stopIfTrue="1" operator="equal">
      <formula>"Towel"</formula>
    </cfRule>
    <cfRule type="cellIs" dxfId="1004" priority="998" stopIfTrue="1" operator="equal">
      <formula>"Napkin Hs"</formula>
    </cfRule>
  </conditionalFormatting>
  <conditionalFormatting sqref="C130">
    <cfRule type="cellIs" dxfId="1003" priority="995" stopIfTrue="1" operator="equal">
      <formula>"Towel"</formula>
    </cfRule>
    <cfRule type="cellIs" dxfId="1002" priority="996" stopIfTrue="1" operator="equal">
      <formula>"Napkin Hs"</formula>
    </cfRule>
  </conditionalFormatting>
  <conditionalFormatting sqref="C130">
    <cfRule type="cellIs" dxfId="1001" priority="993" stopIfTrue="1" operator="equal">
      <formula>"Towel"</formula>
    </cfRule>
    <cfRule type="cellIs" dxfId="1000" priority="994" stopIfTrue="1" operator="equal">
      <formula>"Napkin Hs"</formula>
    </cfRule>
  </conditionalFormatting>
  <conditionalFormatting sqref="C130">
    <cfRule type="cellIs" dxfId="999" priority="991" stopIfTrue="1" operator="equal">
      <formula>"Towel"</formula>
    </cfRule>
    <cfRule type="cellIs" dxfId="998" priority="992" stopIfTrue="1" operator="equal">
      <formula>"Napkin Hs"</formula>
    </cfRule>
  </conditionalFormatting>
  <conditionalFormatting sqref="C130">
    <cfRule type="cellIs" dxfId="997" priority="990" stopIfTrue="1" operator="equal">
      <formula>"Napkin Hs"</formula>
    </cfRule>
  </conditionalFormatting>
  <conditionalFormatting sqref="C130">
    <cfRule type="cellIs" dxfId="996" priority="989" stopIfTrue="1" operator="equal">
      <formula>"Towel"</formula>
    </cfRule>
  </conditionalFormatting>
  <conditionalFormatting sqref="C130">
    <cfRule type="cellIs" dxfId="995" priority="988" stopIfTrue="1" operator="equal">
      <formula>"Napkin Hs"</formula>
    </cfRule>
  </conditionalFormatting>
  <conditionalFormatting sqref="C130">
    <cfRule type="cellIs" dxfId="994" priority="985" stopIfTrue="1" operator="equal">
      <formula>"Towel"</formula>
    </cfRule>
    <cfRule type="cellIs" dxfId="993" priority="986" stopIfTrue="1" operator="equal">
      <formula>"Napkin Hs"</formula>
    </cfRule>
  </conditionalFormatting>
  <conditionalFormatting sqref="C130">
    <cfRule type="cellIs" dxfId="992" priority="987" stopIfTrue="1" operator="equal">
      <formula>"Towel"</formula>
    </cfRule>
  </conditionalFormatting>
  <conditionalFormatting sqref="C130">
    <cfRule type="cellIs" dxfId="991" priority="984" stopIfTrue="1" operator="equal">
      <formula>"Napkin Hs"</formula>
    </cfRule>
  </conditionalFormatting>
  <conditionalFormatting sqref="C130">
    <cfRule type="cellIs" dxfId="990" priority="983" stopIfTrue="1" operator="equal">
      <formula>"Towel"</formula>
    </cfRule>
  </conditionalFormatting>
  <conditionalFormatting sqref="C130">
    <cfRule type="cellIs" dxfId="989" priority="982" stopIfTrue="1" operator="equal">
      <formula>"Napkin Hs"</formula>
    </cfRule>
  </conditionalFormatting>
  <conditionalFormatting sqref="C130">
    <cfRule type="cellIs" dxfId="988" priority="981" stopIfTrue="1" operator="equal">
      <formula>"Towel"</formula>
    </cfRule>
  </conditionalFormatting>
  <conditionalFormatting sqref="C130">
    <cfRule type="cellIs" dxfId="987" priority="979" stopIfTrue="1" operator="equal">
      <formula>"Towel"</formula>
    </cfRule>
    <cfRule type="cellIs" dxfId="986" priority="980" stopIfTrue="1" operator="equal">
      <formula>"Napkin Hs"</formula>
    </cfRule>
  </conditionalFormatting>
  <conditionalFormatting sqref="C130">
    <cfRule type="cellIs" dxfId="985" priority="977" stopIfTrue="1" operator="equal">
      <formula>"Towel"</formula>
    </cfRule>
    <cfRule type="cellIs" dxfId="984" priority="978" stopIfTrue="1" operator="equal">
      <formula>"Napkin Hs"</formula>
    </cfRule>
  </conditionalFormatting>
  <conditionalFormatting sqref="C130">
    <cfRule type="cellIs" dxfId="983" priority="973" stopIfTrue="1" operator="equal">
      <formula>"Towel"</formula>
    </cfRule>
    <cfRule type="cellIs" dxfId="982" priority="974" stopIfTrue="1" operator="equal">
      <formula>"Napkin Hs"</formula>
    </cfRule>
  </conditionalFormatting>
  <conditionalFormatting sqref="C130">
    <cfRule type="cellIs" dxfId="981" priority="975" stopIfTrue="1" operator="equal">
      <formula>"Towel"</formula>
    </cfRule>
    <cfRule type="cellIs" dxfId="980" priority="976" stopIfTrue="1" operator="equal">
      <formula>"Napkin Hs"</formula>
    </cfRule>
  </conditionalFormatting>
  <conditionalFormatting sqref="C130">
    <cfRule type="cellIs" dxfId="979" priority="972" stopIfTrue="1" operator="equal">
      <formula>"Napkin Hs"</formula>
    </cfRule>
  </conditionalFormatting>
  <conditionalFormatting sqref="C130">
    <cfRule type="cellIs" dxfId="978" priority="971" stopIfTrue="1" operator="equal">
      <formula>"Towel"</formula>
    </cfRule>
  </conditionalFormatting>
  <conditionalFormatting sqref="C130">
    <cfRule type="cellIs" dxfId="977" priority="970" stopIfTrue="1" operator="equal">
      <formula>"Napkin Hs"</formula>
    </cfRule>
  </conditionalFormatting>
  <conditionalFormatting sqref="C130">
    <cfRule type="cellIs" dxfId="976" priority="969" stopIfTrue="1" operator="equal">
      <formula>"Towel"</formula>
    </cfRule>
  </conditionalFormatting>
  <conditionalFormatting sqref="C130">
    <cfRule type="cellIs" dxfId="975" priority="967" stopIfTrue="1" operator="equal">
      <formula>"Towel"</formula>
    </cfRule>
    <cfRule type="cellIs" dxfId="974" priority="968" stopIfTrue="1" operator="equal">
      <formula>"Napkin Hs"</formula>
    </cfRule>
  </conditionalFormatting>
  <conditionalFormatting sqref="C130">
    <cfRule type="cellIs" dxfId="973" priority="965" stopIfTrue="1" operator="equal">
      <formula>"Towel"</formula>
    </cfRule>
    <cfRule type="cellIs" dxfId="972" priority="966" stopIfTrue="1" operator="equal">
      <formula>"Napkin Hs"</formula>
    </cfRule>
  </conditionalFormatting>
  <conditionalFormatting sqref="C130">
    <cfRule type="cellIs" dxfId="971" priority="963" stopIfTrue="1" operator="equal">
      <formula>"Towel"</formula>
    </cfRule>
    <cfRule type="cellIs" dxfId="970" priority="964" stopIfTrue="1" operator="equal">
      <formula>"Napkin Hs"</formula>
    </cfRule>
  </conditionalFormatting>
  <conditionalFormatting sqref="C130">
    <cfRule type="cellIs" dxfId="969" priority="961" stopIfTrue="1" operator="equal">
      <formula>"Towel"</formula>
    </cfRule>
    <cfRule type="cellIs" dxfId="968" priority="962" stopIfTrue="1" operator="equal">
      <formula>"Napkin Hs"</formula>
    </cfRule>
  </conditionalFormatting>
  <conditionalFormatting sqref="C130">
    <cfRule type="cellIs" dxfId="967" priority="959" stopIfTrue="1" operator="equal">
      <formula>"Towel"</formula>
    </cfRule>
    <cfRule type="cellIs" dxfId="966" priority="960" stopIfTrue="1" operator="equal">
      <formula>"Napkin Hs"</formula>
    </cfRule>
  </conditionalFormatting>
  <conditionalFormatting sqref="C130">
    <cfRule type="cellIs" dxfId="965" priority="957" stopIfTrue="1" operator="equal">
      <formula>"Towel"</formula>
    </cfRule>
    <cfRule type="cellIs" dxfId="964" priority="958" stopIfTrue="1" operator="equal">
      <formula>"Napkin Hs"</formula>
    </cfRule>
  </conditionalFormatting>
  <conditionalFormatting sqref="C130">
    <cfRule type="cellIs" dxfId="963" priority="955" stopIfTrue="1" operator="equal">
      <formula>"Towel"</formula>
    </cfRule>
    <cfRule type="cellIs" dxfId="962" priority="956" stopIfTrue="1" operator="equal">
      <formula>"Napkin Hs"</formula>
    </cfRule>
  </conditionalFormatting>
  <conditionalFormatting sqref="C130">
    <cfRule type="cellIs" dxfId="961" priority="953" stopIfTrue="1" operator="equal">
      <formula>"Towel"</formula>
    </cfRule>
    <cfRule type="cellIs" dxfId="960" priority="954" stopIfTrue="1" operator="equal">
      <formula>"Napkin Hs"</formula>
    </cfRule>
  </conditionalFormatting>
  <conditionalFormatting sqref="C130">
    <cfRule type="cellIs" dxfId="959" priority="951" stopIfTrue="1" operator="equal">
      <formula>"Towel"</formula>
    </cfRule>
    <cfRule type="cellIs" dxfId="958" priority="952" stopIfTrue="1" operator="equal">
      <formula>"Napkin Hs"</formula>
    </cfRule>
  </conditionalFormatting>
  <conditionalFormatting sqref="C130">
    <cfRule type="cellIs" dxfId="957" priority="949" stopIfTrue="1" operator="equal">
      <formula>"Towel"</formula>
    </cfRule>
    <cfRule type="cellIs" dxfId="956" priority="950" stopIfTrue="1" operator="equal">
      <formula>"Napkin Hs"</formula>
    </cfRule>
  </conditionalFormatting>
  <conditionalFormatting sqref="C130">
    <cfRule type="cellIs" dxfId="955" priority="947" stopIfTrue="1" operator="equal">
      <formula>"Towel"</formula>
    </cfRule>
    <cfRule type="cellIs" dxfId="954" priority="948" stopIfTrue="1" operator="equal">
      <formula>"Napkin Hs"</formula>
    </cfRule>
  </conditionalFormatting>
  <conditionalFormatting sqref="C130">
    <cfRule type="cellIs" dxfId="953" priority="945" stopIfTrue="1" operator="equal">
      <formula>"Towel"</formula>
    </cfRule>
    <cfRule type="cellIs" dxfId="952" priority="946" stopIfTrue="1" operator="equal">
      <formula>"Napkin Hs"</formula>
    </cfRule>
  </conditionalFormatting>
  <conditionalFormatting sqref="C130">
    <cfRule type="cellIs" dxfId="951" priority="943" stopIfTrue="1" operator="equal">
      <formula>"Towel"</formula>
    </cfRule>
    <cfRule type="cellIs" dxfId="950" priority="944" stopIfTrue="1" operator="equal">
      <formula>"Napkin Hs"</formula>
    </cfRule>
  </conditionalFormatting>
  <conditionalFormatting sqref="C130">
    <cfRule type="cellIs" dxfId="949" priority="941" stopIfTrue="1" operator="equal">
      <formula>"Towel"</formula>
    </cfRule>
    <cfRule type="cellIs" dxfId="948" priority="942" stopIfTrue="1" operator="equal">
      <formula>"Napkin Hs"</formula>
    </cfRule>
  </conditionalFormatting>
  <conditionalFormatting sqref="C130">
    <cfRule type="cellIs" dxfId="947" priority="939" stopIfTrue="1" operator="equal">
      <formula>"Towel"</formula>
    </cfRule>
    <cfRule type="cellIs" dxfId="946" priority="940" stopIfTrue="1" operator="equal">
      <formula>"Napkin Hs"</formula>
    </cfRule>
  </conditionalFormatting>
  <conditionalFormatting sqref="C130">
    <cfRule type="cellIs" dxfId="945" priority="937" stopIfTrue="1" operator="equal">
      <formula>"Towel"</formula>
    </cfRule>
    <cfRule type="cellIs" dxfId="944" priority="938" stopIfTrue="1" operator="equal">
      <formula>"Napkin Hs"</formula>
    </cfRule>
  </conditionalFormatting>
  <conditionalFormatting sqref="C130">
    <cfRule type="cellIs" dxfId="943" priority="936" stopIfTrue="1" operator="equal">
      <formula>"Napkin Hs"</formula>
    </cfRule>
  </conditionalFormatting>
  <conditionalFormatting sqref="C130">
    <cfRule type="cellIs" dxfId="942" priority="935" stopIfTrue="1" operator="equal">
      <formula>"Towel"</formula>
    </cfRule>
  </conditionalFormatting>
  <conditionalFormatting sqref="C130">
    <cfRule type="cellIs" dxfId="941" priority="934" stopIfTrue="1" operator="equal">
      <formula>"Napkin Hs"</formula>
    </cfRule>
  </conditionalFormatting>
  <conditionalFormatting sqref="C130">
    <cfRule type="cellIs" dxfId="940" priority="931" stopIfTrue="1" operator="equal">
      <formula>"Towel"</formula>
    </cfRule>
    <cfRule type="cellIs" dxfId="939" priority="932" stopIfTrue="1" operator="equal">
      <formula>"Napkin Hs"</formula>
    </cfRule>
  </conditionalFormatting>
  <conditionalFormatting sqref="C130">
    <cfRule type="cellIs" dxfId="938" priority="933" stopIfTrue="1" operator="equal">
      <formula>"Towel"</formula>
    </cfRule>
  </conditionalFormatting>
  <conditionalFormatting sqref="C130">
    <cfRule type="cellIs" dxfId="937" priority="930" stopIfTrue="1" operator="equal">
      <formula>"Napkin Hs"</formula>
    </cfRule>
  </conditionalFormatting>
  <conditionalFormatting sqref="C130">
    <cfRule type="cellIs" dxfId="936" priority="929" stopIfTrue="1" operator="equal">
      <formula>"Towel"</formula>
    </cfRule>
  </conditionalFormatting>
  <conditionalFormatting sqref="C130">
    <cfRule type="cellIs" dxfId="935" priority="928" stopIfTrue="1" operator="equal">
      <formula>"Napkin Hs"</formula>
    </cfRule>
  </conditionalFormatting>
  <conditionalFormatting sqref="C130">
    <cfRule type="cellIs" dxfId="934" priority="927" stopIfTrue="1" operator="equal">
      <formula>"Towel"</formula>
    </cfRule>
  </conditionalFormatting>
  <conditionalFormatting sqref="C130">
    <cfRule type="cellIs" dxfId="933" priority="925" stopIfTrue="1" operator="equal">
      <formula>"Towel"</formula>
    </cfRule>
    <cfRule type="cellIs" dxfId="932" priority="926" stopIfTrue="1" operator="equal">
      <formula>"Napkin Hs"</formula>
    </cfRule>
  </conditionalFormatting>
  <conditionalFormatting sqref="C130">
    <cfRule type="cellIs" dxfId="931" priority="923" stopIfTrue="1" operator="equal">
      <formula>"Towel"</formula>
    </cfRule>
    <cfRule type="cellIs" dxfId="930" priority="924" stopIfTrue="1" operator="equal">
      <formula>"Napkin Hs"</formula>
    </cfRule>
  </conditionalFormatting>
  <conditionalFormatting sqref="C130">
    <cfRule type="cellIs" dxfId="929" priority="919" stopIfTrue="1" operator="equal">
      <formula>"Towel"</formula>
    </cfRule>
    <cfRule type="cellIs" dxfId="928" priority="920" stopIfTrue="1" operator="equal">
      <formula>"Napkin Hs"</formula>
    </cfRule>
  </conditionalFormatting>
  <conditionalFormatting sqref="C130">
    <cfRule type="cellIs" dxfId="927" priority="921" stopIfTrue="1" operator="equal">
      <formula>"Towel"</formula>
    </cfRule>
    <cfRule type="cellIs" dxfId="926" priority="922" stopIfTrue="1" operator="equal">
      <formula>"Napkin Hs"</formula>
    </cfRule>
  </conditionalFormatting>
  <conditionalFormatting sqref="C130">
    <cfRule type="cellIs" dxfId="925" priority="918" stopIfTrue="1" operator="equal">
      <formula>"Napkin Hs"</formula>
    </cfRule>
  </conditionalFormatting>
  <conditionalFormatting sqref="C130">
    <cfRule type="cellIs" dxfId="924" priority="917" stopIfTrue="1" operator="equal">
      <formula>"Towel"</formula>
    </cfRule>
  </conditionalFormatting>
  <conditionalFormatting sqref="C130">
    <cfRule type="cellIs" dxfId="923" priority="916" stopIfTrue="1" operator="equal">
      <formula>"Napkin Hs"</formula>
    </cfRule>
  </conditionalFormatting>
  <conditionalFormatting sqref="C130">
    <cfRule type="cellIs" dxfId="922" priority="915" stopIfTrue="1" operator="equal">
      <formula>"Towel"</formula>
    </cfRule>
  </conditionalFormatting>
  <conditionalFormatting sqref="C130">
    <cfRule type="cellIs" dxfId="921" priority="913" stopIfTrue="1" operator="equal">
      <formula>"Towel"</formula>
    </cfRule>
    <cfRule type="cellIs" dxfId="920" priority="914" stopIfTrue="1" operator="equal">
      <formula>"Napkin Hs"</formula>
    </cfRule>
  </conditionalFormatting>
  <conditionalFormatting sqref="C130">
    <cfRule type="cellIs" dxfId="919" priority="911" stopIfTrue="1" operator="equal">
      <formula>"Towel"</formula>
    </cfRule>
    <cfRule type="cellIs" dxfId="918" priority="912" stopIfTrue="1" operator="equal">
      <formula>"Napkin Hs"</formula>
    </cfRule>
  </conditionalFormatting>
  <conditionalFormatting sqref="C130">
    <cfRule type="cellIs" dxfId="917" priority="909" stopIfTrue="1" operator="equal">
      <formula>"Towel"</formula>
    </cfRule>
    <cfRule type="cellIs" dxfId="916" priority="910" stopIfTrue="1" operator="equal">
      <formula>"Napkin Hs"</formula>
    </cfRule>
  </conditionalFormatting>
  <conditionalFormatting sqref="C130">
    <cfRule type="cellIs" dxfId="915" priority="907" stopIfTrue="1" operator="equal">
      <formula>"Towel"</formula>
    </cfRule>
    <cfRule type="cellIs" dxfId="914" priority="908" stopIfTrue="1" operator="equal">
      <formula>"Napkin Hs"</formula>
    </cfRule>
  </conditionalFormatting>
  <conditionalFormatting sqref="C130">
    <cfRule type="cellIs" dxfId="913" priority="905" stopIfTrue="1" operator="equal">
      <formula>"Towel"</formula>
    </cfRule>
    <cfRule type="cellIs" dxfId="912" priority="906" stopIfTrue="1" operator="equal">
      <formula>"Napkin Hs"</formula>
    </cfRule>
  </conditionalFormatting>
  <conditionalFormatting sqref="C130">
    <cfRule type="cellIs" dxfId="911" priority="903" stopIfTrue="1" operator="equal">
      <formula>"Towel"</formula>
    </cfRule>
    <cfRule type="cellIs" dxfId="910" priority="904" stopIfTrue="1" operator="equal">
      <formula>"Napkin Hs"</formula>
    </cfRule>
  </conditionalFormatting>
  <conditionalFormatting sqref="C130">
    <cfRule type="cellIs" dxfId="909" priority="901" stopIfTrue="1" operator="equal">
      <formula>"Towel"</formula>
    </cfRule>
    <cfRule type="cellIs" dxfId="908" priority="902" stopIfTrue="1" operator="equal">
      <formula>"Napkin Hs"</formula>
    </cfRule>
  </conditionalFormatting>
  <conditionalFormatting sqref="C130">
    <cfRule type="cellIs" dxfId="907" priority="899" stopIfTrue="1" operator="equal">
      <formula>"Towel"</formula>
    </cfRule>
    <cfRule type="cellIs" dxfId="906" priority="900" stopIfTrue="1" operator="equal">
      <formula>"Napkin Hs"</formula>
    </cfRule>
  </conditionalFormatting>
  <conditionalFormatting sqref="C130">
    <cfRule type="cellIs" dxfId="905" priority="897" stopIfTrue="1" operator="equal">
      <formula>"Towel"</formula>
    </cfRule>
    <cfRule type="cellIs" dxfId="904" priority="898" stopIfTrue="1" operator="equal">
      <formula>"Napkin Hs"</formula>
    </cfRule>
  </conditionalFormatting>
  <conditionalFormatting sqref="C130">
    <cfRule type="cellIs" dxfId="903" priority="895" stopIfTrue="1" operator="equal">
      <formula>"Towel"</formula>
    </cfRule>
    <cfRule type="cellIs" dxfId="902" priority="896" stopIfTrue="1" operator="equal">
      <formula>"Napkin Hs"</formula>
    </cfRule>
  </conditionalFormatting>
  <conditionalFormatting sqref="C130">
    <cfRule type="cellIs" dxfId="901" priority="893" stopIfTrue="1" operator="equal">
      <formula>"Towel"</formula>
    </cfRule>
    <cfRule type="cellIs" dxfId="900" priority="894" stopIfTrue="1" operator="equal">
      <formula>"Napkin Hs"</formula>
    </cfRule>
  </conditionalFormatting>
  <conditionalFormatting sqref="C130">
    <cfRule type="cellIs" dxfId="899" priority="891" stopIfTrue="1" operator="equal">
      <formula>"Towel"</formula>
    </cfRule>
    <cfRule type="cellIs" dxfId="898" priority="892" stopIfTrue="1" operator="equal">
      <formula>"Napkin Hs"</formula>
    </cfRule>
  </conditionalFormatting>
  <conditionalFormatting sqref="C130">
    <cfRule type="cellIs" dxfId="897" priority="889" stopIfTrue="1" operator="equal">
      <formula>"Towel"</formula>
    </cfRule>
    <cfRule type="cellIs" dxfId="896" priority="890" stopIfTrue="1" operator="equal">
      <formula>"Napkin Hs"</formula>
    </cfRule>
  </conditionalFormatting>
  <conditionalFormatting sqref="C130">
    <cfRule type="cellIs" dxfId="895" priority="887" stopIfTrue="1" operator="equal">
      <formula>"Towel"</formula>
    </cfRule>
    <cfRule type="cellIs" dxfId="894" priority="888" stopIfTrue="1" operator="equal">
      <formula>"Napkin Hs"</formula>
    </cfRule>
  </conditionalFormatting>
  <conditionalFormatting sqref="C130">
    <cfRule type="cellIs" dxfId="893" priority="885" stopIfTrue="1" operator="equal">
      <formula>"Towel"</formula>
    </cfRule>
    <cfRule type="cellIs" dxfId="892" priority="886" stopIfTrue="1" operator="equal">
      <formula>"Napkin Hs"</formula>
    </cfRule>
  </conditionalFormatting>
  <conditionalFormatting sqref="C130">
    <cfRule type="cellIs" dxfId="891" priority="883" stopIfTrue="1" operator="equal">
      <formula>"Towel"</formula>
    </cfRule>
    <cfRule type="cellIs" dxfId="890" priority="884" stopIfTrue="1" operator="equal">
      <formula>"Napkin Hs"</formula>
    </cfRule>
  </conditionalFormatting>
  <conditionalFormatting sqref="C130">
    <cfRule type="cellIs" dxfId="889" priority="882" stopIfTrue="1" operator="equal">
      <formula>"Napkin Hs"</formula>
    </cfRule>
  </conditionalFormatting>
  <conditionalFormatting sqref="C130">
    <cfRule type="cellIs" dxfId="888" priority="881" stopIfTrue="1" operator="equal">
      <formula>"Towel"</formula>
    </cfRule>
  </conditionalFormatting>
  <conditionalFormatting sqref="C130">
    <cfRule type="cellIs" dxfId="887" priority="880" stopIfTrue="1" operator="equal">
      <formula>"Napkin Hs"</formula>
    </cfRule>
  </conditionalFormatting>
  <conditionalFormatting sqref="C130">
    <cfRule type="cellIs" dxfId="886" priority="877" stopIfTrue="1" operator="equal">
      <formula>"Towel"</formula>
    </cfRule>
    <cfRule type="cellIs" dxfId="885" priority="878" stopIfTrue="1" operator="equal">
      <formula>"Napkin Hs"</formula>
    </cfRule>
  </conditionalFormatting>
  <conditionalFormatting sqref="C130">
    <cfRule type="cellIs" dxfId="884" priority="879" stopIfTrue="1" operator="equal">
      <formula>"Towel"</formula>
    </cfRule>
  </conditionalFormatting>
  <conditionalFormatting sqref="C130">
    <cfRule type="cellIs" dxfId="883" priority="876" stopIfTrue="1" operator="equal">
      <formula>"Napkin Hs"</formula>
    </cfRule>
  </conditionalFormatting>
  <conditionalFormatting sqref="C130">
    <cfRule type="cellIs" dxfId="882" priority="875" stopIfTrue="1" operator="equal">
      <formula>"Towel"</formula>
    </cfRule>
  </conditionalFormatting>
  <conditionalFormatting sqref="C130">
    <cfRule type="cellIs" dxfId="881" priority="874" stopIfTrue="1" operator="equal">
      <formula>"Napkin Hs"</formula>
    </cfRule>
  </conditionalFormatting>
  <conditionalFormatting sqref="C130">
    <cfRule type="cellIs" dxfId="880" priority="871" stopIfTrue="1" operator="equal">
      <formula>"Towel"</formula>
    </cfRule>
    <cfRule type="cellIs" dxfId="879" priority="872" stopIfTrue="1" operator="equal">
      <formula>"Napkin Hs"</formula>
    </cfRule>
  </conditionalFormatting>
  <conditionalFormatting sqref="C130">
    <cfRule type="cellIs" dxfId="878" priority="873" stopIfTrue="1" operator="equal">
      <formula>"Towel"</formula>
    </cfRule>
  </conditionalFormatting>
  <conditionalFormatting sqref="C130">
    <cfRule type="cellIs" dxfId="877" priority="870" stopIfTrue="1" operator="equal">
      <formula>"Napkin Hs"</formula>
    </cfRule>
  </conditionalFormatting>
  <conditionalFormatting sqref="C130">
    <cfRule type="cellIs" dxfId="876" priority="869" stopIfTrue="1" operator="equal">
      <formula>"Towel"</formula>
    </cfRule>
  </conditionalFormatting>
  <conditionalFormatting sqref="C130">
    <cfRule type="cellIs" dxfId="875" priority="868" stopIfTrue="1" operator="equal">
      <formula>"Napkin Hs"</formula>
    </cfRule>
  </conditionalFormatting>
  <conditionalFormatting sqref="C130">
    <cfRule type="cellIs" dxfId="874" priority="865" stopIfTrue="1" operator="equal">
      <formula>"Towel"</formula>
    </cfRule>
    <cfRule type="cellIs" dxfId="873" priority="866" stopIfTrue="1" operator="equal">
      <formula>"Napkin Hs"</formula>
    </cfRule>
  </conditionalFormatting>
  <conditionalFormatting sqref="C130">
    <cfRule type="cellIs" dxfId="872" priority="867" stopIfTrue="1" operator="equal">
      <formula>"Towel"</formula>
    </cfRule>
  </conditionalFormatting>
  <conditionalFormatting sqref="B129:C129 B130">
    <cfRule type="cellIs" dxfId="871" priority="863" stopIfTrue="1" operator="equal">
      <formula>"Towel"</formula>
    </cfRule>
    <cfRule type="cellIs" dxfId="870" priority="864" stopIfTrue="1" operator="equal">
      <formula>"Napkin Hs"</formula>
    </cfRule>
  </conditionalFormatting>
  <conditionalFormatting sqref="C129">
    <cfRule type="cellIs" dxfId="869" priority="861" stopIfTrue="1" operator="equal">
      <formula>"Towel"</formula>
    </cfRule>
    <cfRule type="cellIs" dxfId="868" priority="862" stopIfTrue="1" operator="equal">
      <formula>"Napkin Hs"</formula>
    </cfRule>
  </conditionalFormatting>
  <conditionalFormatting sqref="C129">
    <cfRule type="cellIs" dxfId="867" priority="859" stopIfTrue="1" operator="equal">
      <formula>"Towel"</formula>
    </cfRule>
    <cfRule type="cellIs" dxfId="866" priority="860" stopIfTrue="1" operator="equal">
      <formula>"Napkin Hs"</formula>
    </cfRule>
  </conditionalFormatting>
  <conditionalFormatting sqref="B129:C129 B130">
    <cfRule type="cellIs" dxfId="865" priority="858" stopIfTrue="1" operator="equal">
      <formula>"Napkin Hs"</formula>
    </cfRule>
  </conditionalFormatting>
  <conditionalFormatting sqref="B129:C129 B130">
    <cfRule type="cellIs" dxfId="864" priority="857" stopIfTrue="1" operator="equal">
      <formula>"Towel"</formula>
    </cfRule>
  </conditionalFormatting>
  <conditionalFormatting sqref="C129">
    <cfRule type="cellIs" dxfId="863" priority="856" stopIfTrue="1" operator="equal">
      <formula>"Napkin Hs"</formula>
    </cfRule>
  </conditionalFormatting>
  <conditionalFormatting sqref="C129">
    <cfRule type="cellIs" dxfId="862" priority="855" stopIfTrue="1" operator="equal">
      <formula>"Towel"</formula>
    </cfRule>
  </conditionalFormatting>
  <conditionalFormatting sqref="C129">
    <cfRule type="cellIs" dxfId="861" priority="853" stopIfTrue="1" operator="equal">
      <formula>"Towel"</formula>
    </cfRule>
    <cfRule type="cellIs" dxfId="860" priority="854" stopIfTrue="1" operator="equal">
      <formula>"Napkin Hs"</formula>
    </cfRule>
  </conditionalFormatting>
  <conditionalFormatting sqref="B129:C129 B130">
    <cfRule type="cellIs" dxfId="859" priority="851" stopIfTrue="1" operator="equal">
      <formula>"Towel"</formula>
    </cfRule>
    <cfRule type="cellIs" dxfId="858" priority="852" stopIfTrue="1" operator="equal">
      <formula>"Napkin Hs"</formula>
    </cfRule>
  </conditionalFormatting>
  <conditionalFormatting sqref="C129">
    <cfRule type="cellIs" dxfId="857" priority="847" stopIfTrue="1" operator="equal">
      <formula>"Towel"</formula>
    </cfRule>
    <cfRule type="cellIs" dxfId="856" priority="848" stopIfTrue="1" operator="equal">
      <formula>"Napkin Hs"</formula>
    </cfRule>
  </conditionalFormatting>
  <conditionalFormatting sqref="C129">
    <cfRule type="cellIs" dxfId="855" priority="849" stopIfTrue="1" operator="equal">
      <formula>"Towel"</formula>
    </cfRule>
    <cfRule type="cellIs" dxfId="854" priority="850" stopIfTrue="1" operator="equal">
      <formula>"Napkin Hs"</formula>
    </cfRule>
  </conditionalFormatting>
  <conditionalFormatting sqref="B129:C129 B130">
    <cfRule type="cellIs" dxfId="853" priority="846" stopIfTrue="1" operator="equal">
      <formula>"Napkin Hs"</formula>
    </cfRule>
  </conditionalFormatting>
  <conditionalFormatting sqref="B129:C129 B130">
    <cfRule type="cellIs" dxfId="852" priority="845" stopIfTrue="1" operator="equal">
      <formula>"Towel"</formula>
    </cfRule>
  </conditionalFormatting>
  <conditionalFormatting sqref="C129">
    <cfRule type="cellIs" dxfId="851" priority="844" stopIfTrue="1" operator="equal">
      <formula>"Napkin Hs"</formula>
    </cfRule>
  </conditionalFormatting>
  <conditionalFormatting sqref="C129">
    <cfRule type="cellIs" dxfId="850" priority="843" stopIfTrue="1" operator="equal">
      <formula>"Towel"</formula>
    </cfRule>
  </conditionalFormatting>
  <conditionalFormatting sqref="C129">
    <cfRule type="cellIs" dxfId="849" priority="841" stopIfTrue="1" operator="equal">
      <formula>"Towel"</formula>
    </cfRule>
    <cfRule type="cellIs" dxfId="848" priority="842" stopIfTrue="1" operator="equal">
      <formula>"Napkin Hs"</formula>
    </cfRule>
  </conditionalFormatting>
  <conditionalFormatting sqref="B129:C129 B130">
    <cfRule type="cellIs" dxfId="847" priority="839" stopIfTrue="1" operator="equal">
      <formula>"Towel"</formula>
    </cfRule>
    <cfRule type="cellIs" dxfId="846" priority="840" stopIfTrue="1" operator="equal">
      <formula>"Napkin Hs"</formula>
    </cfRule>
  </conditionalFormatting>
  <conditionalFormatting sqref="C129">
    <cfRule type="cellIs" dxfId="845" priority="837" stopIfTrue="1" operator="equal">
      <formula>"Towel"</formula>
    </cfRule>
    <cfRule type="cellIs" dxfId="844" priority="838" stopIfTrue="1" operator="equal">
      <formula>"Napkin Hs"</formula>
    </cfRule>
  </conditionalFormatting>
  <conditionalFormatting sqref="C129">
    <cfRule type="cellIs" dxfId="843" priority="835" stopIfTrue="1" operator="equal">
      <formula>"Towel"</formula>
    </cfRule>
    <cfRule type="cellIs" dxfId="842" priority="836" stopIfTrue="1" operator="equal">
      <formula>"Napkin Hs"</formula>
    </cfRule>
  </conditionalFormatting>
  <conditionalFormatting sqref="B129:C129 B130">
    <cfRule type="cellIs" dxfId="841" priority="833" stopIfTrue="1" operator="equal">
      <formula>"Towel"</formula>
    </cfRule>
    <cfRule type="cellIs" dxfId="840" priority="834" stopIfTrue="1" operator="equal">
      <formula>"Napkin Hs"</formula>
    </cfRule>
  </conditionalFormatting>
  <conditionalFormatting sqref="C129">
    <cfRule type="cellIs" dxfId="839" priority="831" stopIfTrue="1" operator="equal">
      <formula>"Towel"</formula>
    </cfRule>
    <cfRule type="cellIs" dxfId="838" priority="832" stopIfTrue="1" operator="equal">
      <formula>"Napkin Hs"</formula>
    </cfRule>
  </conditionalFormatting>
  <conditionalFormatting sqref="C129">
    <cfRule type="cellIs" dxfId="837" priority="829" stopIfTrue="1" operator="equal">
      <formula>"Towel"</formula>
    </cfRule>
    <cfRule type="cellIs" dxfId="836" priority="830" stopIfTrue="1" operator="equal">
      <formula>"Napkin Hs"</formula>
    </cfRule>
  </conditionalFormatting>
  <conditionalFormatting sqref="B129:C129 B130">
    <cfRule type="cellIs" dxfId="835" priority="827" stopIfTrue="1" operator="equal">
      <formula>"Towel"</formula>
    </cfRule>
    <cfRule type="cellIs" dxfId="834" priority="828" stopIfTrue="1" operator="equal">
      <formula>"Napkin Hs"</formula>
    </cfRule>
  </conditionalFormatting>
  <conditionalFormatting sqref="C129">
    <cfRule type="cellIs" dxfId="833" priority="825" stopIfTrue="1" operator="equal">
      <formula>"Towel"</formula>
    </cfRule>
    <cfRule type="cellIs" dxfId="832" priority="826" stopIfTrue="1" operator="equal">
      <formula>"Napkin Hs"</formula>
    </cfRule>
  </conditionalFormatting>
  <conditionalFormatting sqref="C129">
    <cfRule type="cellIs" dxfId="831" priority="823" stopIfTrue="1" operator="equal">
      <formula>"Towel"</formula>
    </cfRule>
    <cfRule type="cellIs" dxfId="830" priority="824" stopIfTrue="1" operator="equal">
      <formula>"Napkin Hs"</formula>
    </cfRule>
  </conditionalFormatting>
  <conditionalFormatting sqref="B129:C129 B130">
    <cfRule type="cellIs" dxfId="829" priority="821" stopIfTrue="1" operator="equal">
      <formula>"Towel"</formula>
    </cfRule>
    <cfRule type="cellIs" dxfId="828" priority="822" stopIfTrue="1" operator="equal">
      <formula>"Napkin Hs"</formula>
    </cfRule>
  </conditionalFormatting>
  <conditionalFormatting sqref="C129">
    <cfRule type="cellIs" dxfId="827" priority="819" stopIfTrue="1" operator="equal">
      <formula>"Towel"</formula>
    </cfRule>
    <cfRule type="cellIs" dxfId="826" priority="820" stopIfTrue="1" operator="equal">
      <formula>"Napkin Hs"</formula>
    </cfRule>
  </conditionalFormatting>
  <conditionalFormatting sqref="C129">
    <cfRule type="cellIs" dxfId="825" priority="817" stopIfTrue="1" operator="equal">
      <formula>"Towel"</formula>
    </cfRule>
    <cfRule type="cellIs" dxfId="824" priority="818" stopIfTrue="1" operator="equal">
      <formula>"Napkin Hs"</formula>
    </cfRule>
  </conditionalFormatting>
  <conditionalFormatting sqref="B129:C129 B130">
    <cfRule type="cellIs" dxfId="823" priority="815" stopIfTrue="1" operator="equal">
      <formula>"Towel"</formula>
    </cfRule>
    <cfRule type="cellIs" dxfId="822" priority="816" stopIfTrue="1" operator="equal">
      <formula>"Napkin Hs"</formula>
    </cfRule>
  </conditionalFormatting>
  <conditionalFormatting sqref="C129">
    <cfRule type="cellIs" dxfId="821" priority="813" stopIfTrue="1" operator="equal">
      <formula>"Towel"</formula>
    </cfRule>
    <cfRule type="cellIs" dxfId="820" priority="814" stopIfTrue="1" operator="equal">
      <formula>"Napkin Hs"</formula>
    </cfRule>
  </conditionalFormatting>
  <conditionalFormatting sqref="C129">
    <cfRule type="cellIs" dxfId="819" priority="811" stopIfTrue="1" operator="equal">
      <formula>"Towel"</formula>
    </cfRule>
    <cfRule type="cellIs" dxfId="818" priority="812" stopIfTrue="1" operator="equal">
      <formula>"Napkin Hs"</formula>
    </cfRule>
  </conditionalFormatting>
  <conditionalFormatting sqref="B129:C129 B130">
    <cfRule type="cellIs" dxfId="817" priority="810" stopIfTrue="1" operator="equal">
      <formula>"Napkin Hs"</formula>
    </cfRule>
  </conditionalFormatting>
  <conditionalFormatting sqref="B129:C129 B130">
    <cfRule type="cellIs" dxfId="816" priority="809" stopIfTrue="1" operator="equal">
      <formula>"Towel"</formula>
    </cfRule>
  </conditionalFormatting>
  <conditionalFormatting sqref="C129">
    <cfRule type="cellIs" dxfId="815" priority="808" stopIfTrue="1" operator="equal">
      <formula>"Napkin Hs"</formula>
    </cfRule>
  </conditionalFormatting>
  <conditionalFormatting sqref="C129">
    <cfRule type="cellIs" dxfId="814" priority="805" stopIfTrue="1" operator="equal">
      <formula>"Towel"</formula>
    </cfRule>
    <cfRule type="cellIs" dxfId="813" priority="806" stopIfTrue="1" operator="equal">
      <formula>"Napkin Hs"</formula>
    </cfRule>
  </conditionalFormatting>
  <conditionalFormatting sqref="C129">
    <cfRule type="cellIs" dxfId="812" priority="807" stopIfTrue="1" operator="equal">
      <formula>"Towel"</formula>
    </cfRule>
  </conditionalFormatting>
  <conditionalFormatting sqref="B129:C129 B130">
    <cfRule type="cellIs" dxfId="811" priority="804" stopIfTrue="1" operator="equal">
      <formula>"Napkin Hs"</formula>
    </cfRule>
  </conditionalFormatting>
  <conditionalFormatting sqref="B129:C129 B130">
    <cfRule type="cellIs" dxfId="810" priority="803" stopIfTrue="1" operator="equal">
      <formula>"Towel"</formula>
    </cfRule>
  </conditionalFormatting>
  <conditionalFormatting sqref="C129">
    <cfRule type="cellIs" dxfId="809" priority="802" stopIfTrue="1" operator="equal">
      <formula>"Napkin Hs"</formula>
    </cfRule>
  </conditionalFormatting>
  <conditionalFormatting sqref="C129">
    <cfRule type="cellIs" dxfId="808" priority="801" stopIfTrue="1" operator="equal">
      <formula>"Towel"</formula>
    </cfRule>
  </conditionalFormatting>
  <conditionalFormatting sqref="C129">
    <cfRule type="cellIs" dxfId="807" priority="799" stopIfTrue="1" operator="equal">
      <formula>"Towel"</formula>
    </cfRule>
    <cfRule type="cellIs" dxfId="806" priority="800" stopIfTrue="1" operator="equal">
      <formula>"Napkin Hs"</formula>
    </cfRule>
  </conditionalFormatting>
  <conditionalFormatting sqref="B129:C129 B130">
    <cfRule type="cellIs" dxfId="805" priority="797" stopIfTrue="1" operator="equal">
      <formula>"Towel"</formula>
    </cfRule>
    <cfRule type="cellIs" dxfId="804" priority="798" stopIfTrue="1" operator="equal">
      <formula>"Napkin Hs"</formula>
    </cfRule>
  </conditionalFormatting>
  <conditionalFormatting sqref="C129">
    <cfRule type="cellIs" dxfId="803" priority="793" stopIfTrue="1" operator="equal">
      <formula>"Towel"</formula>
    </cfRule>
    <cfRule type="cellIs" dxfId="802" priority="794" stopIfTrue="1" operator="equal">
      <formula>"Napkin Hs"</formula>
    </cfRule>
  </conditionalFormatting>
  <conditionalFormatting sqref="C129">
    <cfRule type="cellIs" dxfId="801" priority="795" stopIfTrue="1" operator="equal">
      <formula>"Towel"</formula>
    </cfRule>
    <cfRule type="cellIs" dxfId="800" priority="796" stopIfTrue="1" operator="equal">
      <formula>"Napkin Hs"</formula>
    </cfRule>
  </conditionalFormatting>
  <conditionalFormatting sqref="B129:C129 B130">
    <cfRule type="cellIs" dxfId="799" priority="792" stopIfTrue="1" operator="equal">
      <formula>"Napkin Hs"</formula>
    </cfRule>
  </conditionalFormatting>
  <conditionalFormatting sqref="B129:C129 B130">
    <cfRule type="cellIs" dxfId="798" priority="791" stopIfTrue="1" operator="equal">
      <formula>"Towel"</formula>
    </cfRule>
  </conditionalFormatting>
  <conditionalFormatting sqref="C129">
    <cfRule type="cellIs" dxfId="797" priority="790" stopIfTrue="1" operator="equal">
      <formula>"Napkin Hs"</formula>
    </cfRule>
  </conditionalFormatting>
  <conditionalFormatting sqref="C129">
    <cfRule type="cellIs" dxfId="796" priority="789" stopIfTrue="1" operator="equal">
      <formula>"Towel"</formula>
    </cfRule>
  </conditionalFormatting>
  <conditionalFormatting sqref="C129">
    <cfRule type="cellIs" dxfId="795" priority="787" stopIfTrue="1" operator="equal">
      <formula>"Towel"</formula>
    </cfRule>
    <cfRule type="cellIs" dxfId="794" priority="788" stopIfTrue="1" operator="equal">
      <formula>"Napkin Hs"</formula>
    </cfRule>
  </conditionalFormatting>
  <conditionalFormatting sqref="B129:C129 B130">
    <cfRule type="cellIs" dxfId="793" priority="785" stopIfTrue="1" operator="equal">
      <formula>"Towel"</formula>
    </cfRule>
    <cfRule type="cellIs" dxfId="792" priority="786" stopIfTrue="1" operator="equal">
      <formula>"Napkin Hs"</formula>
    </cfRule>
  </conditionalFormatting>
  <conditionalFormatting sqref="C129">
    <cfRule type="cellIs" dxfId="791" priority="783" stopIfTrue="1" operator="equal">
      <formula>"Towel"</formula>
    </cfRule>
    <cfRule type="cellIs" dxfId="790" priority="784" stopIfTrue="1" operator="equal">
      <formula>"Napkin Hs"</formula>
    </cfRule>
  </conditionalFormatting>
  <conditionalFormatting sqref="C129">
    <cfRule type="cellIs" dxfId="789" priority="781" stopIfTrue="1" operator="equal">
      <formula>"Towel"</formula>
    </cfRule>
    <cfRule type="cellIs" dxfId="788" priority="782" stopIfTrue="1" operator="equal">
      <formula>"Napkin Hs"</formula>
    </cfRule>
  </conditionalFormatting>
  <conditionalFormatting sqref="B129:C129 B130">
    <cfRule type="cellIs" dxfId="787" priority="779" stopIfTrue="1" operator="equal">
      <formula>"Towel"</formula>
    </cfRule>
    <cfRule type="cellIs" dxfId="786" priority="780" stopIfTrue="1" operator="equal">
      <formula>"Napkin Hs"</formula>
    </cfRule>
  </conditionalFormatting>
  <conditionalFormatting sqref="C129">
    <cfRule type="cellIs" dxfId="785" priority="777" stopIfTrue="1" operator="equal">
      <formula>"Towel"</formula>
    </cfRule>
    <cfRule type="cellIs" dxfId="784" priority="778" stopIfTrue="1" operator="equal">
      <formula>"Napkin Hs"</formula>
    </cfRule>
  </conditionalFormatting>
  <conditionalFormatting sqref="C129">
    <cfRule type="cellIs" dxfId="783" priority="775" stopIfTrue="1" operator="equal">
      <formula>"Towel"</formula>
    </cfRule>
    <cfRule type="cellIs" dxfId="782" priority="776" stopIfTrue="1" operator="equal">
      <formula>"Napkin Hs"</formula>
    </cfRule>
  </conditionalFormatting>
  <conditionalFormatting sqref="B129:C129 B130">
    <cfRule type="cellIs" dxfId="781" priority="773" stopIfTrue="1" operator="equal">
      <formula>"Towel"</formula>
    </cfRule>
    <cfRule type="cellIs" dxfId="780" priority="774" stopIfTrue="1" operator="equal">
      <formula>"Napkin Hs"</formula>
    </cfRule>
  </conditionalFormatting>
  <conditionalFormatting sqref="C129">
    <cfRule type="cellIs" dxfId="779" priority="771" stopIfTrue="1" operator="equal">
      <formula>"Towel"</formula>
    </cfRule>
    <cfRule type="cellIs" dxfId="778" priority="772" stopIfTrue="1" operator="equal">
      <formula>"Napkin Hs"</formula>
    </cfRule>
  </conditionalFormatting>
  <conditionalFormatting sqref="C129">
    <cfRule type="cellIs" dxfId="777" priority="769" stopIfTrue="1" operator="equal">
      <formula>"Towel"</formula>
    </cfRule>
    <cfRule type="cellIs" dxfId="776" priority="770" stopIfTrue="1" operator="equal">
      <formula>"Napkin Hs"</formula>
    </cfRule>
  </conditionalFormatting>
  <conditionalFormatting sqref="B129:C129 B130">
    <cfRule type="cellIs" dxfId="775" priority="767" stopIfTrue="1" operator="equal">
      <formula>"Towel"</formula>
    </cfRule>
    <cfRule type="cellIs" dxfId="774" priority="768" stopIfTrue="1" operator="equal">
      <formula>"Napkin Hs"</formula>
    </cfRule>
  </conditionalFormatting>
  <conditionalFormatting sqref="C129">
    <cfRule type="cellIs" dxfId="773" priority="765" stopIfTrue="1" operator="equal">
      <formula>"Towel"</formula>
    </cfRule>
    <cfRule type="cellIs" dxfId="772" priority="766" stopIfTrue="1" operator="equal">
      <formula>"Napkin Hs"</formula>
    </cfRule>
  </conditionalFormatting>
  <conditionalFormatting sqref="C129">
    <cfRule type="cellIs" dxfId="771" priority="763" stopIfTrue="1" operator="equal">
      <formula>"Towel"</formula>
    </cfRule>
    <cfRule type="cellIs" dxfId="770" priority="764" stopIfTrue="1" operator="equal">
      <formula>"Napkin Hs"</formula>
    </cfRule>
  </conditionalFormatting>
  <conditionalFormatting sqref="B129:C129 B130">
    <cfRule type="cellIs" dxfId="769" priority="761" stopIfTrue="1" operator="equal">
      <formula>"Towel"</formula>
    </cfRule>
    <cfRule type="cellIs" dxfId="768" priority="762" stopIfTrue="1" operator="equal">
      <formula>"Napkin Hs"</formula>
    </cfRule>
  </conditionalFormatting>
  <conditionalFormatting sqref="C129">
    <cfRule type="cellIs" dxfId="767" priority="759" stopIfTrue="1" operator="equal">
      <formula>"Towel"</formula>
    </cfRule>
    <cfRule type="cellIs" dxfId="766" priority="760" stopIfTrue="1" operator="equal">
      <formula>"Napkin Hs"</formula>
    </cfRule>
  </conditionalFormatting>
  <conditionalFormatting sqref="C129">
    <cfRule type="cellIs" dxfId="765" priority="757" stopIfTrue="1" operator="equal">
      <formula>"Towel"</formula>
    </cfRule>
    <cfRule type="cellIs" dxfId="764" priority="758" stopIfTrue="1" operator="equal">
      <formula>"Napkin Hs"</formula>
    </cfRule>
  </conditionalFormatting>
  <conditionalFormatting sqref="B129:C129 B130">
    <cfRule type="cellIs" dxfId="763" priority="756" stopIfTrue="1" operator="equal">
      <formula>"Napkin Hs"</formula>
    </cfRule>
  </conditionalFormatting>
  <conditionalFormatting sqref="B129:C129 B130">
    <cfRule type="cellIs" dxfId="762" priority="755" stopIfTrue="1" operator="equal">
      <formula>"Towel"</formula>
    </cfRule>
  </conditionalFormatting>
  <conditionalFormatting sqref="C129">
    <cfRule type="cellIs" dxfId="761" priority="754" stopIfTrue="1" operator="equal">
      <formula>"Napkin Hs"</formula>
    </cfRule>
  </conditionalFormatting>
  <conditionalFormatting sqref="C129">
    <cfRule type="cellIs" dxfId="760" priority="751" stopIfTrue="1" operator="equal">
      <formula>"Towel"</formula>
    </cfRule>
    <cfRule type="cellIs" dxfId="759" priority="752" stopIfTrue="1" operator="equal">
      <formula>"Napkin Hs"</formula>
    </cfRule>
  </conditionalFormatting>
  <conditionalFormatting sqref="C129">
    <cfRule type="cellIs" dxfId="758" priority="753" stopIfTrue="1" operator="equal">
      <formula>"Towel"</formula>
    </cfRule>
  </conditionalFormatting>
  <conditionalFormatting sqref="B129:C129 B130">
    <cfRule type="cellIs" dxfId="757" priority="750" stopIfTrue="1" operator="equal">
      <formula>"Napkin Hs"</formula>
    </cfRule>
  </conditionalFormatting>
  <conditionalFormatting sqref="B129:C129 B130">
    <cfRule type="cellIs" dxfId="756" priority="749" stopIfTrue="1" operator="equal">
      <formula>"Towel"</formula>
    </cfRule>
  </conditionalFormatting>
  <conditionalFormatting sqref="C129">
    <cfRule type="cellIs" dxfId="755" priority="748" stopIfTrue="1" operator="equal">
      <formula>"Napkin Hs"</formula>
    </cfRule>
  </conditionalFormatting>
  <conditionalFormatting sqref="C129">
    <cfRule type="cellIs" dxfId="754" priority="745" stopIfTrue="1" operator="equal">
      <formula>"Towel"</formula>
    </cfRule>
    <cfRule type="cellIs" dxfId="753" priority="746" stopIfTrue="1" operator="equal">
      <formula>"Napkin Hs"</formula>
    </cfRule>
  </conditionalFormatting>
  <conditionalFormatting sqref="C129">
    <cfRule type="cellIs" dxfId="752" priority="747" stopIfTrue="1" operator="equal">
      <formula>"Towel"</formula>
    </cfRule>
  </conditionalFormatting>
  <conditionalFormatting sqref="B129:C129 B130">
    <cfRule type="cellIs" dxfId="751" priority="744" stopIfTrue="1" operator="equal">
      <formula>"Napkin Hs"</formula>
    </cfRule>
  </conditionalFormatting>
  <conditionalFormatting sqref="B129:C129 B130">
    <cfRule type="cellIs" dxfId="750" priority="743" stopIfTrue="1" operator="equal">
      <formula>"Towel"</formula>
    </cfRule>
  </conditionalFormatting>
  <conditionalFormatting sqref="C129">
    <cfRule type="cellIs" dxfId="749" priority="742" stopIfTrue="1" operator="equal">
      <formula>"Napkin Hs"</formula>
    </cfRule>
  </conditionalFormatting>
  <conditionalFormatting sqref="C129">
    <cfRule type="cellIs" dxfId="748" priority="739" stopIfTrue="1" operator="equal">
      <formula>"Towel"</formula>
    </cfRule>
    <cfRule type="cellIs" dxfId="747" priority="740" stopIfTrue="1" operator="equal">
      <formula>"Napkin Hs"</formula>
    </cfRule>
  </conditionalFormatting>
  <conditionalFormatting sqref="C129">
    <cfRule type="cellIs" dxfId="746" priority="741" stopIfTrue="1" operator="equal">
      <formula>"Towel"</formula>
    </cfRule>
  </conditionalFormatting>
  <conditionalFormatting sqref="B128:C128">
    <cfRule type="cellIs" dxfId="745" priority="738" stopIfTrue="1" operator="equal">
      <formula>"Napkin Hs"</formula>
    </cfRule>
  </conditionalFormatting>
  <conditionalFormatting sqref="B128:C128">
    <cfRule type="cellIs" dxfId="744" priority="737" stopIfTrue="1" operator="equal">
      <formula>"Towel"</formula>
    </cfRule>
  </conditionalFormatting>
  <conditionalFormatting sqref="C128">
    <cfRule type="cellIs" dxfId="743" priority="736" stopIfTrue="1" operator="equal">
      <formula>"Napkin Hs"</formula>
    </cfRule>
  </conditionalFormatting>
  <conditionalFormatting sqref="C128">
    <cfRule type="cellIs" dxfId="742" priority="735" stopIfTrue="1" operator="equal">
      <formula>"Towel"</formula>
    </cfRule>
  </conditionalFormatting>
  <conditionalFormatting sqref="C128">
    <cfRule type="cellIs" dxfId="741" priority="733" stopIfTrue="1" operator="equal">
      <formula>"Towel"</formula>
    </cfRule>
    <cfRule type="cellIs" dxfId="740" priority="734" stopIfTrue="1" operator="equal">
      <formula>"Napkin Hs"</formula>
    </cfRule>
  </conditionalFormatting>
  <conditionalFormatting sqref="B128:C128">
    <cfRule type="cellIs" dxfId="739" priority="731" stopIfTrue="1" operator="equal">
      <formula>"Towel"</formula>
    </cfRule>
    <cfRule type="cellIs" dxfId="738" priority="732" stopIfTrue="1" operator="equal">
      <formula>"Napkin Hs"</formula>
    </cfRule>
  </conditionalFormatting>
  <conditionalFormatting sqref="C128">
    <cfRule type="cellIs" dxfId="737" priority="729" stopIfTrue="1" operator="equal">
      <formula>"Towel"</formula>
    </cfRule>
    <cfRule type="cellIs" dxfId="736" priority="730" stopIfTrue="1" operator="equal">
      <formula>"Napkin Hs"</formula>
    </cfRule>
  </conditionalFormatting>
  <conditionalFormatting sqref="C128">
    <cfRule type="cellIs" dxfId="735" priority="727" stopIfTrue="1" operator="equal">
      <formula>"Towel"</formula>
    </cfRule>
    <cfRule type="cellIs" dxfId="734" priority="728" stopIfTrue="1" operator="equal">
      <formula>"Napkin Hs"</formula>
    </cfRule>
  </conditionalFormatting>
  <conditionalFormatting sqref="B128:C128">
    <cfRule type="cellIs" dxfId="733" priority="726" stopIfTrue="1" operator="equal">
      <formula>"Napkin Hs"</formula>
    </cfRule>
  </conditionalFormatting>
  <conditionalFormatting sqref="B128:C128">
    <cfRule type="cellIs" dxfId="732" priority="725" stopIfTrue="1" operator="equal">
      <formula>"Towel"</formula>
    </cfRule>
  </conditionalFormatting>
  <conditionalFormatting sqref="C128">
    <cfRule type="cellIs" dxfId="731" priority="724" stopIfTrue="1" operator="equal">
      <formula>"Napkin Hs"</formula>
    </cfRule>
  </conditionalFormatting>
  <conditionalFormatting sqref="C128">
    <cfRule type="cellIs" dxfId="730" priority="723" stopIfTrue="1" operator="equal">
      <formula>"Towel"</formula>
    </cfRule>
  </conditionalFormatting>
  <conditionalFormatting sqref="C128">
    <cfRule type="cellIs" dxfId="729" priority="721" stopIfTrue="1" operator="equal">
      <formula>"Towel"</formula>
    </cfRule>
    <cfRule type="cellIs" dxfId="728" priority="722" stopIfTrue="1" operator="equal">
      <formula>"Napkin Hs"</formula>
    </cfRule>
  </conditionalFormatting>
  <conditionalFormatting sqref="B128:C128">
    <cfRule type="cellIs" dxfId="727" priority="719" stopIfTrue="1" operator="equal">
      <formula>"Towel"</formula>
    </cfRule>
    <cfRule type="cellIs" dxfId="726" priority="720" stopIfTrue="1" operator="equal">
      <formula>"Napkin Hs"</formula>
    </cfRule>
  </conditionalFormatting>
  <conditionalFormatting sqref="C128">
    <cfRule type="cellIs" dxfId="725" priority="715" stopIfTrue="1" operator="equal">
      <formula>"Towel"</formula>
    </cfRule>
    <cfRule type="cellIs" dxfId="724" priority="716" stopIfTrue="1" operator="equal">
      <formula>"Napkin Hs"</formula>
    </cfRule>
  </conditionalFormatting>
  <conditionalFormatting sqref="C128">
    <cfRule type="cellIs" dxfId="723" priority="717" stopIfTrue="1" operator="equal">
      <formula>"Towel"</formula>
    </cfRule>
    <cfRule type="cellIs" dxfId="722" priority="718" stopIfTrue="1" operator="equal">
      <formula>"Napkin Hs"</formula>
    </cfRule>
  </conditionalFormatting>
  <conditionalFormatting sqref="B128:C128">
    <cfRule type="cellIs" dxfId="721" priority="714" stopIfTrue="1" operator="equal">
      <formula>"Napkin Hs"</formula>
    </cfRule>
  </conditionalFormatting>
  <conditionalFormatting sqref="B128:C128">
    <cfRule type="cellIs" dxfId="720" priority="713" stopIfTrue="1" operator="equal">
      <formula>"Towel"</formula>
    </cfRule>
  </conditionalFormatting>
  <conditionalFormatting sqref="C128">
    <cfRule type="cellIs" dxfId="719" priority="712" stopIfTrue="1" operator="equal">
      <formula>"Napkin Hs"</formula>
    </cfRule>
  </conditionalFormatting>
  <conditionalFormatting sqref="C128">
    <cfRule type="cellIs" dxfId="718" priority="711" stopIfTrue="1" operator="equal">
      <formula>"Towel"</formula>
    </cfRule>
  </conditionalFormatting>
  <conditionalFormatting sqref="C128">
    <cfRule type="cellIs" dxfId="717" priority="709" stopIfTrue="1" operator="equal">
      <formula>"Towel"</formula>
    </cfRule>
    <cfRule type="cellIs" dxfId="716" priority="710" stopIfTrue="1" operator="equal">
      <formula>"Napkin Hs"</formula>
    </cfRule>
  </conditionalFormatting>
  <conditionalFormatting sqref="B128:C128">
    <cfRule type="cellIs" dxfId="715" priority="707" stopIfTrue="1" operator="equal">
      <formula>"Towel"</formula>
    </cfRule>
    <cfRule type="cellIs" dxfId="714" priority="708" stopIfTrue="1" operator="equal">
      <formula>"Napkin Hs"</formula>
    </cfRule>
  </conditionalFormatting>
  <conditionalFormatting sqref="C128">
    <cfRule type="cellIs" dxfId="713" priority="705" stopIfTrue="1" operator="equal">
      <formula>"Towel"</formula>
    </cfRule>
    <cfRule type="cellIs" dxfId="712" priority="706" stopIfTrue="1" operator="equal">
      <formula>"Napkin Hs"</formula>
    </cfRule>
  </conditionalFormatting>
  <conditionalFormatting sqref="C128">
    <cfRule type="cellIs" dxfId="711" priority="703" stopIfTrue="1" operator="equal">
      <formula>"Towel"</formula>
    </cfRule>
    <cfRule type="cellIs" dxfId="710" priority="704" stopIfTrue="1" operator="equal">
      <formula>"Napkin Hs"</formula>
    </cfRule>
  </conditionalFormatting>
  <conditionalFormatting sqref="B128:C128">
    <cfRule type="cellIs" dxfId="709" priority="701" stopIfTrue="1" operator="equal">
      <formula>"Towel"</formula>
    </cfRule>
    <cfRule type="cellIs" dxfId="708" priority="702" stopIfTrue="1" operator="equal">
      <formula>"Napkin Hs"</formula>
    </cfRule>
  </conditionalFormatting>
  <conditionalFormatting sqref="C128">
    <cfRule type="cellIs" dxfId="707" priority="699" stopIfTrue="1" operator="equal">
      <formula>"Towel"</formula>
    </cfRule>
    <cfRule type="cellIs" dxfId="706" priority="700" stopIfTrue="1" operator="equal">
      <formula>"Napkin Hs"</formula>
    </cfRule>
  </conditionalFormatting>
  <conditionalFormatting sqref="C128">
    <cfRule type="cellIs" dxfId="705" priority="697" stopIfTrue="1" operator="equal">
      <formula>"Towel"</formula>
    </cfRule>
    <cfRule type="cellIs" dxfId="704" priority="698" stopIfTrue="1" operator="equal">
      <formula>"Napkin Hs"</formula>
    </cfRule>
  </conditionalFormatting>
  <conditionalFormatting sqref="B128:C128">
    <cfRule type="cellIs" dxfId="703" priority="695" stopIfTrue="1" operator="equal">
      <formula>"Towel"</formula>
    </cfRule>
    <cfRule type="cellIs" dxfId="702" priority="696" stopIfTrue="1" operator="equal">
      <formula>"Napkin Hs"</formula>
    </cfRule>
  </conditionalFormatting>
  <conditionalFormatting sqref="C128">
    <cfRule type="cellIs" dxfId="701" priority="693" stopIfTrue="1" operator="equal">
      <formula>"Towel"</formula>
    </cfRule>
    <cfRule type="cellIs" dxfId="700" priority="694" stopIfTrue="1" operator="equal">
      <formula>"Napkin Hs"</formula>
    </cfRule>
  </conditionalFormatting>
  <conditionalFormatting sqref="C128">
    <cfRule type="cellIs" dxfId="699" priority="691" stopIfTrue="1" operator="equal">
      <formula>"Towel"</formula>
    </cfRule>
    <cfRule type="cellIs" dxfId="698" priority="692" stopIfTrue="1" operator="equal">
      <formula>"Napkin Hs"</formula>
    </cfRule>
  </conditionalFormatting>
  <conditionalFormatting sqref="B128:C128">
    <cfRule type="cellIs" dxfId="697" priority="689" stopIfTrue="1" operator="equal">
      <formula>"Towel"</formula>
    </cfRule>
    <cfRule type="cellIs" dxfId="696" priority="690" stopIfTrue="1" operator="equal">
      <formula>"Napkin Hs"</formula>
    </cfRule>
  </conditionalFormatting>
  <conditionalFormatting sqref="C128">
    <cfRule type="cellIs" dxfId="695" priority="687" stopIfTrue="1" operator="equal">
      <formula>"Towel"</formula>
    </cfRule>
    <cfRule type="cellIs" dxfId="694" priority="688" stopIfTrue="1" operator="equal">
      <formula>"Napkin Hs"</formula>
    </cfRule>
  </conditionalFormatting>
  <conditionalFormatting sqref="C128">
    <cfRule type="cellIs" dxfId="693" priority="685" stopIfTrue="1" operator="equal">
      <formula>"Towel"</formula>
    </cfRule>
    <cfRule type="cellIs" dxfId="692" priority="686" stopIfTrue="1" operator="equal">
      <formula>"Napkin Hs"</formula>
    </cfRule>
  </conditionalFormatting>
  <conditionalFormatting sqref="B128:C128">
    <cfRule type="cellIs" dxfId="691" priority="683" stopIfTrue="1" operator="equal">
      <formula>"Towel"</formula>
    </cfRule>
    <cfRule type="cellIs" dxfId="690" priority="684" stopIfTrue="1" operator="equal">
      <formula>"Napkin Hs"</formula>
    </cfRule>
  </conditionalFormatting>
  <conditionalFormatting sqref="C128">
    <cfRule type="cellIs" dxfId="689" priority="681" stopIfTrue="1" operator="equal">
      <formula>"Towel"</formula>
    </cfRule>
    <cfRule type="cellIs" dxfId="688" priority="682" stopIfTrue="1" operator="equal">
      <formula>"Napkin Hs"</formula>
    </cfRule>
  </conditionalFormatting>
  <conditionalFormatting sqref="C128">
    <cfRule type="cellIs" dxfId="687" priority="679" stopIfTrue="1" operator="equal">
      <formula>"Towel"</formula>
    </cfRule>
    <cfRule type="cellIs" dxfId="686" priority="680" stopIfTrue="1" operator="equal">
      <formula>"Napkin Hs"</formula>
    </cfRule>
  </conditionalFormatting>
  <conditionalFormatting sqref="B128:C128">
    <cfRule type="cellIs" dxfId="685" priority="678" stopIfTrue="1" operator="equal">
      <formula>"Napkin Hs"</formula>
    </cfRule>
  </conditionalFormatting>
  <conditionalFormatting sqref="B128:C128">
    <cfRule type="cellIs" dxfId="684" priority="677" stopIfTrue="1" operator="equal">
      <formula>"Towel"</formula>
    </cfRule>
  </conditionalFormatting>
  <conditionalFormatting sqref="C128">
    <cfRule type="cellIs" dxfId="683" priority="676" stopIfTrue="1" operator="equal">
      <formula>"Napkin Hs"</formula>
    </cfRule>
  </conditionalFormatting>
  <conditionalFormatting sqref="C128">
    <cfRule type="cellIs" dxfId="682" priority="673" stopIfTrue="1" operator="equal">
      <formula>"Towel"</formula>
    </cfRule>
    <cfRule type="cellIs" dxfId="681" priority="674" stopIfTrue="1" operator="equal">
      <formula>"Napkin Hs"</formula>
    </cfRule>
  </conditionalFormatting>
  <conditionalFormatting sqref="C128">
    <cfRule type="cellIs" dxfId="680" priority="675" stopIfTrue="1" operator="equal">
      <formula>"Towel"</formula>
    </cfRule>
  </conditionalFormatting>
  <conditionalFormatting sqref="B128:C128">
    <cfRule type="cellIs" dxfId="679" priority="672" stopIfTrue="1" operator="equal">
      <formula>"Napkin Hs"</formula>
    </cfRule>
  </conditionalFormatting>
  <conditionalFormatting sqref="B128:C128">
    <cfRule type="cellIs" dxfId="678" priority="671" stopIfTrue="1" operator="equal">
      <formula>"Towel"</formula>
    </cfRule>
  </conditionalFormatting>
  <conditionalFormatting sqref="C128">
    <cfRule type="cellIs" dxfId="677" priority="670" stopIfTrue="1" operator="equal">
      <formula>"Napkin Hs"</formula>
    </cfRule>
  </conditionalFormatting>
  <conditionalFormatting sqref="C128">
    <cfRule type="cellIs" dxfId="676" priority="669" stopIfTrue="1" operator="equal">
      <formula>"Towel"</formula>
    </cfRule>
  </conditionalFormatting>
  <conditionalFormatting sqref="C128">
    <cfRule type="cellIs" dxfId="675" priority="667" stopIfTrue="1" operator="equal">
      <formula>"Towel"</formula>
    </cfRule>
    <cfRule type="cellIs" dxfId="674" priority="668" stopIfTrue="1" operator="equal">
      <formula>"Napkin Hs"</formula>
    </cfRule>
  </conditionalFormatting>
  <conditionalFormatting sqref="B128:C128">
    <cfRule type="cellIs" dxfId="673" priority="665" stopIfTrue="1" operator="equal">
      <formula>"Towel"</formula>
    </cfRule>
    <cfRule type="cellIs" dxfId="672" priority="666" stopIfTrue="1" operator="equal">
      <formula>"Napkin Hs"</formula>
    </cfRule>
  </conditionalFormatting>
  <conditionalFormatting sqref="C128">
    <cfRule type="cellIs" dxfId="671" priority="661" stopIfTrue="1" operator="equal">
      <formula>"Towel"</formula>
    </cfRule>
    <cfRule type="cellIs" dxfId="670" priority="662" stopIfTrue="1" operator="equal">
      <formula>"Napkin Hs"</formula>
    </cfRule>
  </conditionalFormatting>
  <conditionalFormatting sqref="C128">
    <cfRule type="cellIs" dxfId="669" priority="663" stopIfTrue="1" operator="equal">
      <formula>"Towel"</formula>
    </cfRule>
    <cfRule type="cellIs" dxfId="668" priority="664" stopIfTrue="1" operator="equal">
      <formula>"Napkin Hs"</formula>
    </cfRule>
  </conditionalFormatting>
  <conditionalFormatting sqref="B128:C128">
    <cfRule type="cellIs" dxfId="667" priority="660" stopIfTrue="1" operator="equal">
      <formula>"Napkin Hs"</formula>
    </cfRule>
  </conditionalFormatting>
  <conditionalFormatting sqref="B128:C128">
    <cfRule type="cellIs" dxfId="666" priority="659" stopIfTrue="1" operator="equal">
      <formula>"Towel"</formula>
    </cfRule>
  </conditionalFormatting>
  <conditionalFormatting sqref="C128">
    <cfRule type="cellIs" dxfId="665" priority="658" stopIfTrue="1" operator="equal">
      <formula>"Napkin Hs"</formula>
    </cfRule>
  </conditionalFormatting>
  <conditionalFormatting sqref="C128">
    <cfRule type="cellIs" dxfId="664" priority="657" stopIfTrue="1" operator="equal">
      <formula>"Towel"</formula>
    </cfRule>
  </conditionalFormatting>
  <conditionalFormatting sqref="C128">
    <cfRule type="cellIs" dxfId="663" priority="655" stopIfTrue="1" operator="equal">
      <formula>"Towel"</formula>
    </cfRule>
    <cfRule type="cellIs" dxfId="662" priority="656" stopIfTrue="1" operator="equal">
      <formula>"Napkin Hs"</formula>
    </cfRule>
  </conditionalFormatting>
  <conditionalFormatting sqref="B128:C128">
    <cfRule type="cellIs" dxfId="661" priority="653" stopIfTrue="1" operator="equal">
      <formula>"Towel"</formula>
    </cfRule>
    <cfRule type="cellIs" dxfId="660" priority="654" stopIfTrue="1" operator="equal">
      <formula>"Napkin Hs"</formula>
    </cfRule>
  </conditionalFormatting>
  <conditionalFormatting sqref="C128">
    <cfRule type="cellIs" dxfId="659" priority="651" stopIfTrue="1" operator="equal">
      <formula>"Towel"</formula>
    </cfRule>
    <cfRule type="cellIs" dxfId="658" priority="652" stopIfTrue="1" operator="equal">
      <formula>"Napkin Hs"</formula>
    </cfRule>
  </conditionalFormatting>
  <conditionalFormatting sqref="C128">
    <cfRule type="cellIs" dxfId="657" priority="649" stopIfTrue="1" operator="equal">
      <formula>"Towel"</formula>
    </cfRule>
    <cfRule type="cellIs" dxfId="656" priority="650" stopIfTrue="1" operator="equal">
      <formula>"Napkin Hs"</formula>
    </cfRule>
  </conditionalFormatting>
  <conditionalFormatting sqref="B128:C128">
    <cfRule type="cellIs" dxfId="655" priority="647" stopIfTrue="1" operator="equal">
      <formula>"Towel"</formula>
    </cfRule>
    <cfRule type="cellIs" dxfId="654" priority="648" stopIfTrue="1" operator="equal">
      <formula>"Napkin Hs"</formula>
    </cfRule>
  </conditionalFormatting>
  <conditionalFormatting sqref="C128">
    <cfRule type="cellIs" dxfId="653" priority="645" stopIfTrue="1" operator="equal">
      <formula>"Towel"</formula>
    </cfRule>
    <cfRule type="cellIs" dxfId="652" priority="646" stopIfTrue="1" operator="equal">
      <formula>"Napkin Hs"</formula>
    </cfRule>
  </conditionalFormatting>
  <conditionalFormatting sqref="C128">
    <cfRule type="cellIs" dxfId="651" priority="643" stopIfTrue="1" operator="equal">
      <formula>"Towel"</formula>
    </cfRule>
    <cfRule type="cellIs" dxfId="650" priority="644" stopIfTrue="1" operator="equal">
      <formula>"Napkin Hs"</formula>
    </cfRule>
  </conditionalFormatting>
  <conditionalFormatting sqref="B128:C128">
    <cfRule type="cellIs" dxfId="649" priority="641" stopIfTrue="1" operator="equal">
      <formula>"Towel"</formula>
    </cfRule>
    <cfRule type="cellIs" dxfId="648" priority="642" stopIfTrue="1" operator="equal">
      <formula>"Napkin Hs"</formula>
    </cfRule>
  </conditionalFormatting>
  <conditionalFormatting sqref="C128">
    <cfRule type="cellIs" dxfId="647" priority="639" stopIfTrue="1" operator="equal">
      <formula>"Towel"</formula>
    </cfRule>
    <cfRule type="cellIs" dxfId="646" priority="640" stopIfTrue="1" operator="equal">
      <formula>"Napkin Hs"</formula>
    </cfRule>
  </conditionalFormatting>
  <conditionalFormatting sqref="C128">
    <cfRule type="cellIs" dxfId="645" priority="637" stopIfTrue="1" operator="equal">
      <formula>"Towel"</formula>
    </cfRule>
    <cfRule type="cellIs" dxfId="644" priority="638" stopIfTrue="1" operator="equal">
      <formula>"Napkin Hs"</formula>
    </cfRule>
  </conditionalFormatting>
  <conditionalFormatting sqref="B128:C128">
    <cfRule type="cellIs" dxfId="643" priority="635" stopIfTrue="1" operator="equal">
      <formula>"Towel"</formula>
    </cfRule>
    <cfRule type="cellIs" dxfId="642" priority="636" stopIfTrue="1" operator="equal">
      <formula>"Napkin Hs"</formula>
    </cfRule>
  </conditionalFormatting>
  <conditionalFormatting sqref="C128">
    <cfRule type="cellIs" dxfId="641" priority="633" stopIfTrue="1" operator="equal">
      <formula>"Towel"</formula>
    </cfRule>
    <cfRule type="cellIs" dxfId="640" priority="634" stopIfTrue="1" operator="equal">
      <formula>"Napkin Hs"</formula>
    </cfRule>
  </conditionalFormatting>
  <conditionalFormatting sqref="C128">
    <cfRule type="cellIs" dxfId="639" priority="631" stopIfTrue="1" operator="equal">
      <formula>"Towel"</formula>
    </cfRule>
    <cfRule type="cellIs" dxfId="638" priority="632" stopIfTrue="1" operator="equal">
      <formula>"Napkin Hs"</formula>
    </cfRule>
  </conditionalFormatting>
  <conditionalFormatting sqref="B128:C128">
    <cfRule type="cellIs" dxfId="637" priority="629" stopIfTrue="1" operator="equal">
      <formula>"Towel"</formula>
    </cfRule>
    <cfRule type="cellIs" dxfId="636" priority="630" stopIfTrue="1" operator="equal">
      <formula>"Napkin Hs"</formula>
    </cfRule>
  </conditionalFormatting>
  <conditionalFormatting sqref="C128">
    <cfRule type="cellIs" dxfId="635" priority="627" stopIfTrue="1" operator="equal">
      <formula>"Towel"</formula>
    </cfRule>
    <cfRule type="cellIs" dxfId="634" priority="628" stopIfTrue="1" operator="equal">
      <formula>"Napkin Hs"</formula>
    </cfRule>
  </conditionalFormatting>
  <conditionalFormatting sqref="C128">
    <cfRule type="cellIs" dxfId="633" priority="625" stopIfTrue="1" operator="equal">
      <formula>"Towel"</formula>
    </cfRule>
    <cfRule type="cellIs" dxfId="632" priority="626" stopIfTrue="1" operator="equal">
      <formula>"Napkin Hs"</formula>
    </cfRule>
  </conditionalFormatting>
  <conditionalFormatting sqref="B128:C128">
    <cfRule type="cellIs" dxfId="631" priority="624" stopIfTrue="1" operator="equal">
      <formula>"Napkin Hs"</formula>
    </cfRule>
  </conditionalFormatting>
  <conditionalFormatting sqref="B128:C128">
    <cfRule type="cellIs" dxfId="630" priority="623" stopIfTrue="1" operator="equal">
      <formula>"Towel"</formula>
    </cfRule>
  </conditionalFormatting>
  <conditionalFormatting sqref="C128">
    <cfRule type="cellIs" dxfId="629" priority="622" stopIfTrue="1" operator="equal">
      <formula>"Napkin Hs"</formula>
    </cfRule>
  </conditionalFormatting>
  <conditionalFormatting sqref="C128">
    <cfRule type="cellIs" dxfId="628" priority="619" stopIfTrue="1" operator="equal">
      <formula>"Towel"</formula>
    </cfRule>
    <cfRule type="cellIs" dxfId="627" priority="620" stopIfTrue="1" operator="equal">
      <formula>"Napkin Hs"</formula>
    </cfRule>
  </conditionalFormatting>
  <conditionalFormatting sqref="C128">
    <cfRule type="cellIs" dxfId="626" priority="621" stopIfTrue="1" operator="equal">
      <formula>"Towel"</formula>
    </cfRule>
  </conditionalFormatting>
  <conditionalFormatting sqref="B128:C128">
    <cfRule type="cellIs" dxfId="625" priority="618" stopIfTrue="1" operator="equal">
      <formula>"Napkin Hs"</formula>
    </cfRule>
  </conditionalFormatting>
  <conditionalFormatting sqref="B128:C128">
    <cfRule type="cellIs" dxfId="624" priority="617" stopIfTrue="1" operator="equal">
      <formula>"Towel"</formula>
    </cfRule>
  </conditionalFormatting>
  <conditionalFormatting sqref="C128">
    <cfRule type="cellIs" dxfId="623" priority="616" stopIfTrue="1" operator="equal">
      <formula>"Napkin Hs"</formula>
    </cfRule>
  </conditionalFormatting>
  <conditionalFormatting sqref="C128">
    <cfRule type="cellIs" dxfId="622" priority="613" stopIfTrue="1" operator="equal">
      <formula>"Towel"</formula>
    </cfRule>
    <cfRule type="cellIs" dxfId="621" priority="614" stopIfTrue="1" operator="equal">
      <formula>"Napkin Hs"</formula>
    </cfRule>
  </conditionalFormatting>
  <conditionalFormatting sqref="C128">
    <cfRule type="cellIs" dxfId="620" priority="615" stopIfTrue="1" operator="equal">
      <formula>"Towel"</formula>
    </cfRule>
  </conditionalFormatting>
  <conditionalFormatting sqref="B128:C128">
    <cfRule type="cellIs" dxfId="619" priority="612" stopIfTrue="1" operator="equal">
      <formula>"Napkin Hs"</formula>
    </cfRule>
  </conditionalFormatting>
  <conditionalFormatting sqref="B128:C128">
    <cfRule type="cellIs" dxfId="618" priority="611" stopIfTrue="1" operator="equal">
      <formula>"Towel"</formula>
    </cfRule>
  </conditionalFormatting>
  <conditionalFormatting sqref="C128">
    <cfRule type="cellIs" dxfId="617" priority="610" stopIfTrue="1" operator="equal">
      <formula>"Napkin Hs"</formula>
    </cfRule>
  </conditionalFormatting>
  <conditionalFormatting sqref="C128">
    <cfRule type="cellIs" dxfId="616" priority="607" stopIfTrue="1" operator="equal">
      <formula>"Towel"</formula>
    </cfRule>
    <cfRule type="cellIs" dxfId="615" priority="608" stopIfTrue="1" operator="equal">
      <formula>"Napkin Hs"</formula>
    </cfRule>
  </conditionalFormatting>
  <conditionalFormatting sqref="C128">
    <cfRule type="cellIs" dxfId="614" priority="609" stopIfTrue="1" operator="equal">
      <formula>"Towel"</formula>
    </cfRule>
  </conditionalFormatting>
  <conditionalFormatting sqref="B135:C135">
    <cfRule type="cellIs" dxfId="613" priority="606" stopIfTrue="1" operator="equal">
      <formula>"Napkin Hs"</formula>
    </cfRule>
  </conditionalFormatting>
  <conditionalFormatting sqref="B135:C135">
    <cfRule type="cellIs" dxfId="612" priority="605" stopIfTrue="1" operator="equal">
      <formula>"Towel"</formula>
    </cfRule>
  </conditionalFormatting>
  <conditionalFormatting sqref="C135">
    <cfRule type="cellIs" dxfId="611" priority="604" stopIfTrue="1" operator="equal">
      <formula>"Napkin Hs"</formula>
    </cfRule>
  </conditionalFormatting>
  <conditionalFormatting sqref="C135">
    <cfRule type="cellIs" dxfId="610" priority="603" stopIfTrue="1" operator="equal">
      <formula>"Towel"</formula>
    </cfRule>
  </conditionalFormatting>
  <conditionalFormatting sqref="C135">
    <cfRule type="cellIs" dxfId="609" priority="601" stopIfTrue="1" operator="equal">
      <formula>"Towel"</formula>
    </cfRule>
    <cfRule type="cellIs" dxfId="608" priority="602" stopIfTrue="1" operator="equal">
      <formula>"Napkin Hs"</formula>
    </cfRule>
  </conditionalFormatting>
  <conditionalFormatting sqref="B135:C135">
    <cfRule type="cellIs" dxfId="607" priority="600" stopIfTrue="1" operator="equal">
      <formula>"Napkin Hs"</formula>
    </cfRule>
  </conditionalFormatting>
  <conditionalFormatting sqref="B135:C135">
    <cfRule type="cellIs" dxfId="606" priority="599" stopIfTrue="1" operator="equal">
      <formula>"Towel"</formula>
    </cfRule>
  </conditionalFormatting>
  <conditionalFormatting sqref="C135">
    <cfRule type="cellIs" dxfId="605" priority="598" stopIfTrue="1" operator="equal">
      <formula>"Napkin Hs"</formula>
    </cfRule>
  </conditionalFormatting>
  <conditionalFormatting sqref="C135">
    <cfRule type="cellIs" dxfId="604" priority="597" stopIfTrue="1" operator="equal">
      <formula>"Towel"</formula>
    </cfRule>
  </conditionalFormatting>
  <conditionalFormatting sqref="C135">
    <cfRule type="cellIs" dxfId="603" priority="595" stopIfTrue="1" operator="equal">
      <formula>"Towel"</formula>
    </cfRule>
    <cfRule type="cellIs" dxfId="602" priority="596" stopIfTrue="1" operator="equal">
      <formula>"Napkin Hs"</formula>
    </cfRule>
  </conditionalFormatting>
  <conditionalFormatting sqref="B132:C132">
    <cfRule type="cellIs" dxfId="601" priority="594" stopIfTrue="1" operator="equal">
      <formula>"Napkin Hs"</formula>
    </cfRule>
  </conditionalFormatting>
  <conditionalFormatting sqref="B132:C132">
    <cfRule type="cellIs" dxfId="600" priority="593" stopIfTrue="1" operator="equal">
      <formula>"Towel"</formula>
    </cfRule>
  </conditionalFormatting>
  <conditionalFormatting sqref="C132">
    <cfRule type="cellIs" dxfId="599" priority="592" stopIfTrue="1" operator="equal">
      <formula>"Napkin Hs"</formula>
    </cfRule>
  </conditionalFormatting>
  <conditionalFormatting sqref="C132">
    <cfRule type="cellIs" dxfId="598" priority="591" stopIfTrue="1" operator="equal">
      <formula>"Towel"</formula>
    </cfRule>
  </conditionalFormatting>
  <conditionalFormatting sqref="C132">
    <cfRule type="cellIs" dxfId="597" priority="589" stopIfTrue="1" operator="equal">
      <formula>"Towel"</formula>
    </cfRule>
    <cfRule type="cellIs" dxfId="596" priority="590" stopIfTrue="1" operator="equal">
      <formula>"Napkin Hs"</formula>
    </cfRule>
  </conditionalFormatting>
  <conditionalFormatting sqref="B132:C132">
    <cfRule type="cellIs" dxfId="595" priority="587" stopIfTrue="1" operator="equal">
      <formula>"Towel"</formula>
    </cfRule>
    <cfRule type="cellIs" dxfId="594" priority="588" stopIfTrue="1" operator="equal">
      <formula>"Napkin Hs"</formula>
    </cfRule>
  </conditionalFormatting>
  <conditionalFormatting sqref="C132">
    <cfRule type="cellIs" dxfId="593" priority="585" stopIfTrue="1" operator="equal">
      <formula>"Towel"</formula>
    </cfRule>
    <cfRule type="cellIs" dxfId="592" priority="586" stopIfTrue="1" operator="equal">
      <formula>"Napkin Hs"</formula>
    </cfRule>
  </conditionalFormatting>
  <conditionalFormatting sqref="C132">
    <cfRule type="cellIs" dxfId="591" priority="583" stopIfTrue="1" operator="equal">
      <formula>"Towel"</formula>
    </cfRule>
    <cfRule type="cellIs" dxfId="590" priority="584" stopIfTrue="1" operator="equal">
      <formula>"Napkin Hs"</formula>
    </cfRule>
  </conditionalFormatting>
  <conditionalFormatting sqref="B132:C132">
    <cfRule type="cellIs" dxfId="589" priority="582" stopIfTrue="1" operator="equal">
      <formula>"Napkin Hs"</formula>
    </cfRule>
  </conditionalFormatting>
  <conditionalFormatting sqref="B132:C132">
    <cfRule type="cellIs" dxfId="588" priority="581" stopIfTrue="1" operator="equal">
      <formula>"Towel"</formula>
    </cfRule>
  </conditionalFormatting>
  <conditionalFormatting sqref="C132">
    <cfRule type="cellIs" dxfId="587" priority="580" stopIfTrue="1" operator="equal">
      <formula>"Napkin Hs"</formula>
    </cfRule>
  </conditionalFormatting>
  <conditionalFormatting sqref="C132">
    <cfRule type="cellIs" dxfId="586" priority="579" stopIfTrue="1" operator="equal">
      <formula>"Towel"</formula>
    </cfRule>
  </conditionalFormatting>
  <conditionalFormatting sqref="C132">
    <cfRule type="cellIs" dxfId="585" priority="577" stopIfTrue="1" operator="equal">
      <formula>"Towel"</formula>
    </cfRule>
    <cfRule type="cellIs" dxfId="584" priority="578" stopIfTrue="1" operator="equal">
      <formula>"Napkin Hs"</formula>
    </cfRule>
  </conditionalFormatting>
  <conditionalFormatting sqref="B132:C132">
    <cfRule type="cellIs" dxfId="583" priority="575" stopIfTrue="1" operator="equal">
      <formula>"Towel"</formula>
    </cfRule>
    <cfRule type="cellIs" dxfId="582" priority="576" stopIfTrue="1" operator="equal">
      <formula>"Napkin Hs"</formula>
    </cfRule>
  </conditionalFormatting>
  <conditionalFormatting sqref="C132">
    <cfRule type="cellIs" dxfId="581" priority="571" stopIfTrue="1" operator="equal">
      <formula>"Towel"</formula>
    </cfRule>
    <cfRule type="cellIs" dxfId="580" priority="572" stopIfTrue="1" operator="equal">
      <formula>"Napkin Hs"</formula>
    </cfRule>
  </conditionalFormatting>
  <conditionalFormatting sqref="C132">
    <cfRule type="cellIs" dxfId="579" priority="573" stopIfTrue="1" operator="equal">
      <formula>"Towel"</formula>
    </cfRule>
    <cfRule type="cellIs" dxfId="578" priority="574" stopIfTrue="1" operator="equal">
      <formula>"Napkin Hs"</formula>
    </cfRule>
  </conditionalFormatting>
  <conditionalFormatting sqref="B132:C132">
    <cfRule type="cellIs" dxfId="577" priority="570" stopIfTrue="1" operator="equal">
      <formula>"Napkin Hs"</formula>
    </cfRule>
  </conditionalFormatting>
  <conditionalFormatting sqref="B132:C132">
    <cfRule type="cellIs" dxfId="576" priority="569" stopIfTrue="1" operator="equal">
      <formula>"Towel"</formula>
    </cfRule>
  </conditionalFormatting>
  <conditionalFormatting sqref="C132">
    <cfRule type="cellIs" dxfId="575" priority="568" stopIfTrue="1" operator="equal">
      <formula>"Napkin Hs"</formula>
    </cfRule>
  </conditionalFormatting>
  <conditionalFormatting sqref="C132">
    <cfRule type="cellIs" dxfId="574" priority="567" stopIfTrue="1" operator="equal">
      <formula>"Towel"</formula>
    </cfRule>
  </conditionalFormatting>
  <conditionalFormatting sqref="C132">
    <cfRule type="cellIs" dxfId="573" priority="565" stopIfTrue="1" operator="equal">
      <formula>"Towel"</formula>
    </cfRule>
    <cfRule type="cellIs" dxfId="572" priority="566" stopIfTrue="1" operator="equal">
      <formula>"Napkin Hs"</formula>
    </cfRule>
  </conditionalFormatting>
  <conditionalFormatting sqref="B132:C132">
    <cfRule type="cellIs" dxfId="571" priority="563" stopIfTrue="1" operator="equal">
      <formula>"Towel"</formula>
    </cfRule>
    <cfRule type="cellIs" dxfId="570" priority="564" stopIfTrue="1" operator="equal">
      <formula>"Napkin Hs"</formula>
    </cfRule>
  </conditionalFormatting>
  <conditionalFormatting sqref="C132">
    <cfRule type="cellIs" dxfId="569" priority="561" stopIfTrue="1" operator="equal">
      <formula>"Towel"</formula>
    </cfRule>
    <cfRule type="cellIs" dxfId="568" priority="562" stopIfTrue="1" operator="equal">
      <formula>"Napkin Hs"</formula>
    </cfRule>
  </conditionalFormatting>
  <conditionalFormatting sqref="C132">
    <cfRule type="cellIs" dxfId="567" priority="559" stopIfTrue="1" operator="equal">
      <formula>"Towel"</formula>
    </cfRule>
    <cfRule type="cellIs" dxfId="566" priority="560" stopIfTrue="1" operator="equal">
      <formula>"Napkin Hs"</formula>
    </cfRule>
  </conditionalFormatting>
  <conditionalFormatting sqref="B132:C132">
    <cfRule type="cellIs" dxfId="565" priority="557" stopIfTrue="1" operator="equal">
      <formula>"Towel"</formula>
    </cfRule>
    <cfRule type="cellIs" dxfId="564" priority="558" stopIfTrue="1" operator="equal">
      <formula>"Napkin Hs"</formula>
    </cfRule>
  </conditionalFormatting>
  <conditionalFormatting sqref="C132">
    <cfRule type="cellIs" dxfId="563" priority="555" stopIfTrue="1" operator="equal">
      <formula>"Towel"</formula>
    </cfRule>
    <cfRule type="cellIs" dxfId="562" priority="556" stopIfTrue="1" operator="equal">
      <formula>"Napkin Hs"</formula>
    </cfRule>
  </conditionalFormatting>
  <conditionalFormatting sqref="C132">
    <cfRule type="cellIs" dxfId="561" priority="553" stopIfTrue="1" operator="equal">
      <formula>"Towel"</formula>
    </cfRule>
    <cfRule type="cellIs" dxfId="560" priority="554" stopIfTrue="1" operator="equal">
      <formula>"Napkin Hs"</formula>
    </cfRule>
  </conditionalFormatting>
  <conditionalFormatting sqref="B132:C132">
    <cfRule type="cellIs" dxfId="559" priority="551" stopIfTrue="1" operator="equal">
      <formula>"Towel"</formula>
    </cfRule>
    <cfRule type="cellIs" dxfId="558" priority="552" stopIfTrue="1" operator="equal">
      <formula>"Napkin Hs"</formula>
    </cfRule>
  </conditionalFormatting>
  <conditionalFormatting sqref="C132">
    <cfRule type="cellIs" dxfId="557" priority="549" stopIfTrue="1" operator="equal">
      <formula>"Towel"</formula>
    </cfRule>
    <cfRule type="cellIs" dxfId="556" priority="550" stopIfTrue="1" operator="equal">
      <formula>"Napkin Hs"</formula>
    </cfRule>
  </conditionalFormatting>
  <conditionalFormatting sqref="C132">
    <cfRule type="cellIs" dxfId="555" priority="547" stopIfTrue="1" operator="equal">
      <formula>"Towel"</formula>
    </cfRule>
    <cfRule type="cellIs" dxfId="554" priority="548" stopIfTrue="1" operator="equal">
      <formula>"Napkin Hs"</formula>
    </cfRule>
  </conditionalFormatting>
  <conditionalFormatting sqref="B132:C132">
    <cfRule type="cellIs" dxfId="553" priority="545" stopIfTrue="1" operator="equal">
      <formula>"Towel"</formula>
    </cfRule>
    <cfRule type="cellIs" dxfId="552" priority="546" stopIfTrue="1" operator="equal">
      <formula>"Napkin Hs"</formula>
    </cfRule>
  </conditionalFormatting>
  <conditionalFormatting sqref="C132">
    <cfRule type="cellIs" dxfId="551" priority="543" stopIfTrue="1" operator="equal">
      <formula>"Towel"</formula>
    </cfRule>
    <cfRule type="cellIs" dxfId="550" priority="544" stopIfTrue="1" operator="equal">
      <formula>"Napkin Hs"</formula>
    </cfRule>
  </conditionalFormatting>
  <conditionalFormatting sqref="C132">
    <cfRule type="cellIs" dxfId="549" priority="541" stopIfTrue="1" operator="equal">
      <formula>"Towel"</formula>
    </cfRule>
    <cfRule type="cellIs" dxfId="548" priority="542" stopIfTrue="1" operator="equal">
      <formula>"Napkin Hs"</formula>
    </cfRule>
  </conditionalFormatting>
  <conditionalFormatting sqref="B132:C132">
    <cfRule type="cellIs" dxfId="547" priority="539" stopIfTrue="1" operator="equal">
      <formula>"Towel"</formula>
    </cfRule>
    <cfRule type="cellIs" dxfId="546" priority="540" stopIfTrue="1" operator="equal">
      <formula>"Napkin Hs"</formula>
    </cfRule>
  </conditionalFormatting>
  <conditionalFormatting sqref="C132">
    <cfRule type="cellIs" dxfId="545" priority="537" stopIfTrue="1" operator="equal">
      <formula>"Towel"</formula>
    </cfRule>
    <cfRule type="cellIs" dxfId="544" priority="538" stopIfTrue="1" operator="equal">
      <formula>"Napkin Hs"</formula>
    </cfRule>
  </conditionalFormatting>
  <conditionalFormatting sqref="C132">
    <cfRule type="cellIs" dxfId="543" priority="535" stopIfTrue="1" operator="equal">
      <formula>"Towel"</formula>
    </cfRule>
    <cfRule type="cellIs" dxfId="542" priority="536" stopIfTrue="1" operator="equal">
      <formula>"Napkin Hs"</formula>
    </cfRule>
  </conditionalFormatting>
  <conditionalFormatting sqref="B132:C132">
    <cfRule type="cellIs" dxfId="541" priority="534" stopIfTrue="1" operator="equal">
      <formula>"Napkin Hs"</formula>
    </cfRule>
  </conditionalFormatting>
  <conditionalFormatting sqref="B132:C132">
    <cfRule type="cellIs" dxfId="540" priority="533" stopIfTrue="1" operator="equal">
      <formula>"Towel"</formula>
    </cfRule>
  </conditionalFormatting>
  <conditionalFormatting sqref="C132">
    <cfRule type="cellIs" dxfId="539" priority="532" stopIfTrue="1" operator="equal">
      <formula>"Napkin Hs"</formula>
    </cfRule>
  </conditionalFormatting>
  <conditionalFormatting sqref="C132">
    <cfRule type="cellIs" dxfId="538" priority="529" stopIfTrue="1" operator="equal">
      <formula>"Towel"</formula>
    </cfRule>
    <cfRule type="cellIs" dxfId="537" priority="530" stopIfTrue="1" operator="equal">
      <formula>"Napkin Hs"</formula>
    </cfRule>
  </conditionalFormatting>
  <conditionalFormatting sqref="C132">
    <cfRule type="cellIs" dxfId="536" priority="531" stopIfTrue="1" operator="equal">
      <formula>"Towel"</formula>
    </cfRule>
  </conditionalFormatting>
  <conditionalFormatting sqref="B132:C132">
    <cfRule type="cellIs" dxfId="535" priority="528" stopIfTrue="1" operator="equal">
      <formula>"Napkin Hs"</formula>
    </cfRule>
  </conditionalFormatting>
  <conditionalFormatting sqref="B132:C132">
    <cfRule type="cellIs" dxfId="534" priority="527" stopIfTrue="1" operator="equal">
      <formula>"Towel"</formula>
    </cfRule>
  </conditionalFormatting>
  <conditionalFormatting sqref="C132">
    <cfRule type="cellIs" dxfId="533" priority="526" stopIfTrue="1" operator="equal">
      <formula>"Napkin Hs"</formula>
    </cfRule>
  </conditionalFormatting>
  <conditionalFormatting sqref="C132">
    <cfRule type="cellIs" dxfId="532" priority="525" stopIfTrue="1" operator="equal">
      <formula>"Towel"</formula>
    </cfRule>
  </conditionalFormatting>
  <conditionalFormatting sqref="C132">
    <cfRule type="cellIs" dxfId="531" priority="523" stopIfTrue="1" operator="equal">
      <formula>"Towel"</formula>
    </cfRule>
    <cfRule type="cellIs" dxfId="530" priority="524" stopIfTrue="1" operator="equal">
      <formula>"Napkin Hs"</formula>
    </cfRule>
  </conditionalFormatting>
  <conditionalFormatting sqref="B132:C132">
    <cfRule type="cellIs" dxfId="529" priority="521" stopIfTrue="1" operator="equal">
      <formula>"Towel"</formula>
    </cfRule>
    <cfRule type="cellIs" dxfId="528" priority="522" stopIfTrue="1" operator="equal">
      <formula>"Napkin Hs"</formula>
    </cfRule>
  </conditionalFormatting>
  <conditionalFormatting sqref="C132">
    <cfRule type="cellIs" dxfId="527" priority="517" stopIfTrue="1" operator="equal">
      <formula>"Towel"</formula>
    </cfRule>
    <cfRule type="cellIs" dxfId="526" priority="518" stopIfTrue="1" operator="equal">
      <formula>"Napkin Hs"</formula>
    </cfRule>
  </conditionalFormatting>
  <conditionalFormatting sqref="C132">
    <cfRule type="cellIs" dxfId="525" priority="519" stopIfTrue="1" operator="equal">
      <formula>"Towel"</formula>
    </cfRule>
    <cfRule type="cellIs" dxfId="524" priority="520" stopIfTrue="1" operator="equal">
      <formula>"Napkin Hs"</formula>
    </cfRule>
  </conditionalFormatting>
  <conditionalFormatting sqref="B132:C132">
    <cfRule type="cellIs" dxfId="523" priority="516" stopIfTrue="1" operator="equal">
      <formula>"Napkin Hs"</formula>
    </cfRule>
  </conditionalFormatting>
  <conditionalFormatting sqref="B132:C132">
    <cfRule type="cellIs" dxfId="522" priority="515" stopIfTrue="1" operator="equal">
      <formula>"Towel"</formula>
    </cfRule>
  </conditionalFormatting>
  <conditionalFormatting sqref="C132">
    <cfRule type="cellIs" dxfId="521" priority="514" stopIfTrue="1" operator="equal">
      <formula>"Napkin Hs"</formula>
    </cfRule>
  </conditionalFormatting>
  <conditionalFormatting sqref="C132">
    <cfRule type="cellIs" dxfId="520" priority="513" stopIfTrue="1" operator="equal">
      <formula>"Towel"</formula>
    </cfRule>
  </conditionalFormatting>
  <conditionalFormatting sqref="C132">
    <cfRule type="cellIs" dxfId="519" priority="511" stopIfTrue="1" operator="equal">
      <formula>"Towel"</formula>
    </cfRule>
    <cfRule type="cellIs" dxfId="518" priority="512" stopIfTrue="1" operator="equal">
      <formula>"Napkin Hs"</formula>
    </cfRule>
  </conditionalFormatting>
  <conditionalFormatting sqref="B132:C132">
    <cfRule type="cellIs" dxfId="517" priority="509" stopIfTrue="1" operator="equal">
      <formula>"Towel"</formula>
    </cfRule>
    <cfRule type="cellIs" dxfId="516" priority="510" stopIfTrue="1" operator="equal">
      <formula>"Napkin Hs"</formula>
    </cfRule>
  </conditionalFormatting>
  <conditionalFormatting sqref="C132">
    <cfRule type="cellIs" dxfId="515" priority="507" stopIfTrue="1" operator="equal">
      <formula>"Towel"</formula>
    </cfRule>
    <cfRule type="cellIs" dxfId="514" priority="508" stopIfTrue="1" operator="equal">
      <formula>"Napkin Hs"</formula>
    </cfRule>
  </conditionalFormatting>
  <conditionalFormatting sqref="C132">
    <cfRule type="cellIs" dxfId="513" priority="505" stopIfTrue="1" operator="equal">
      <formula>"Towel"</formula>
    </cfRule>
    <cfRule type="cellIs" dxfId="512" priority="506" stopIfTrue="1" operator="equal">
      <formula>"Napkin Hs"</formula>
    </cfRule>
  </conditionalFormatting>
  <conditionalFormatting sqref="B132:C132">
    <cfRule type="cellIs" dxfId="511" priority="503" stopIfTrue="1" operator="equal">
      <formula>"Towel"</formula>
    </cfRule>
    <cfRule type="cellIs" dxfId="510" priority="504" stopIfTrue="1" operator="equal">
      <formula>"Napkin Hs"</formula>
    </cfRule>
  </conditionalFormatting>
  <conditionalFormatting sqref="C132">
    <cfRule type="cellIs" dxfId="509" priority="501" stopIfTrue="1" operator="equal">
      <formula>"Towel"</formula>
    </cfRule>
    <cfRule type="cellIs" dxfId="508" priority="502" stopIfTrue="1" operator="equal">
      <formula>"Napkin Hs"</formula>
    </cfRule>
  </conditionalFormatting>
  <conditionalFormatting sqref="C132">
    <cfRule type="cellIs" dxfId="507" priority="499" stopIfTrue="1" operator="equal">
      <formula>"Towel"</formula>
    </cfRule>
    <cfRule type="cellIs" dxfId="506" priority="500" stopIfTrue="1" operator="equal">
      <formula>"Napkin Hs"</formula>
    </cfRule>
  </conditionalFormatting>
  <conditionalFormatting sqref="B132:C132">
    <cfRule type="cellIs" dxfId="505" priority="497" stopIfTrue="1" operator="equal">
      <formula>"Towel"</formula>
    </cfRule>
    <cfRule type="cellIs" dxfId="504" priority="498" stopIfTrue="1" operator="equal">
      <formula>"Napkin Hs"</formula>
    </cfRule>
  </conditionalFormatting>
  <conditionalFormatting sqref="C132">
    <cfRule type="cellIs" dxfId="503" priority="495" stopIfTrue="1" operator="equal">
      <formula>"Towel"</formula>
    </cfRule>
    <cfRule type="cellIs" dxfId="502" priority="496" stopIfTrue="1" operator="equal">
      <formula>"Napkin Hs"</formula>
    </cfRule>
  </conditionalFormatting>
  <conditionalFormatting sqref="C132">
    <cfRule type="cellIs" dxfId="501" priority="493" stopIfTrue="1" operator="equal">
      <formula>"Towel"</formula>
    </cfRule>
    <cfRule type="cellIs" dxfId="500" priority="494" stopIfTrue="1" operator="equal">
      <formula>"Napkin Hs"</formula>
    </cfRule>
  </conditionalFormatting>
  <conditionalFormatting sqref="B132:C132">
    <cfRule type="cellIs" dxfId="499" priority="491" stopIfTrue="1" operator="equal">
      <formula>"Towel"</formula>
    </cfRule>
    <cfRule type="cellIs" dxfId="498" priority="492" stopIfTrue="1" operator="equal">
      <formula>"Napkin Hs"</formula>
    </cfRule>
  </conditionalFormatting>
  <conditionalFormatting sqref="C132">
    <cfRule type="cellIs" dxfId="497" priority="489" stopIfTrue="1" operator="equal">
      <formula>"Towel"</formula>
    </cfRule>
    <cfRule type="cellIs" dxfId="496" priority="490" stopIfTrue="1" operator="equal">
      <formula>"Napkin Hs"</formula>
    </cfRule>
  </conditionalFormatting>
  <conditionalFormatting sqref="C132">
    <cfRule type="cellIs" dxfId="495" priority="487" stopIfTrue="1" operator="equal">
      <formula>"Towel"</formula>
    </cfRule>
    <cfRule type="cellIs" dxfId="494" priority="488" stopIfTrue="1" operator="equal">
      <formula>"Napkin Hs"</formula>
    </cfRule>
  </conditionalFormatting>
  <conditionalFormatting sqref="B132:C132">
    <cfRule type="cellIs" dxfId="493" priority="485" stopIfTrue="1" operator="equal">
      <formula>"Towel"</formula>
    </cfRule>
    <cfRule type="cellIs" dxfId="492" priority="486" stopIfTrue="1" operator="equal">
      <formula>"Napkin Hs"</formula>
    </cfRule>
  </conditionalFormatting>
  <conditionalFormatting sqref="C132">
    <cfRule type="cellIs" dxfId="491" priority="483" stopIfTrue="1" operator="equal">
      <formula>"Towel"</formula>
    </cfRule>
    <cfRule type="cellIs" dxfId="490" priority="484" stopIfTrue="1" operator="equal">
      <formula>"Napkin Hs"</formula>
    </cfRule>
  </conditionalFormatting>
  <conditionalFormatting sqref="C132">
    <cfRule type="cellIs" dxfId="489" priority="481" stopIfTrue="1" operator="equal">
      <formula>"Towel"</formula>
    </cfRule>
    <cfRule type="cellIs" dxfId="488" priority="482" stopIfTrue="1" operator="equal">
      <formula>"Napkin Hs"</formula>
    </cfRule>
  </conditionalFormatting>
  <conditionalFormatting sqref="B132:C132">
    <cfRule type="cellIs" dxfId="487" priority="480" stopIfTrue="1" operator="equal">
      <formula>"Napkin Hs"</formula>
    </cfRule>
  </conditionalFormatting>
  <conditionalFormatting sqref="B132:C132">
    <cfRule type="cellIs" dxfId="486" priority="479" stopIfTrue="1" operator="equal">
      <formula>"Towel"</formula>
    </cfRule>
  </conditionalFormatting>
  <conditionalFormatting sqref="C132">
    <cfRule type="cellIs" dxfId="485" priority="478" stopIfTrue="1" operator="equal">
      <formula>"Napkin Hs"</formula>
    </cfRule>
  </conditionalFormatting>
  <conditionalFormatting sqref="C132">
    <cfRule type="cellIs" dxfId="484" priority="475" stopIfTrue="1" operator="equal">
      <formula>"Towel"</formula>
    </cfRule>
    <cfRule type="cellIs" dxfId="483" priority="476" stopIfTrue="1" operator="equal">
      <formula>"Napkin Hs"</formula>
    </cfRule>
  </conditionalFormatting>
  <conditionalFormatting sqref="C132">
    <cfRule type="cellIs" dxfId="482" priority="477" stopIfTrue="1" operator="equal">
      <formula>"Towel"</formula>
    </cfRule>
  </conditionalFormatting>
  <conditionalFormatting sqref="B132:C132">
    <cfRule type="cellIs" dxfId="481" priority="474" stopIfTrue="1" operator="equal">
      <formula>"Napkin Hs"</formula>
    </cfRule>
  </conditionalFormatting>
  <conditionalFormatting sqref="B132:C132">
    <cfRule type="cellIs" dxfId="480" priority="473" stopIfTrue="1" operator="equal">
      <formula>"Towel"</formula>
    </cfRule>
  </conditionalFormatting>
  <conditionalFormatting sqref="C132">
    <cfRule type="cellIs" dxfId="479" priority="472" stopIfTrue="1" operator="equal">
      <formula>"Napkin Hs"</formula>
    </cfRule>
  </conditionalFormatting>
  <conditionalFormatting sqref="C132">
    <cfRule type="cellIs" dxfId="478" priority="469" stopIfTrue="1" operator="equal">
      <formula>"Towel"</formula>
    </cfRule>
    <cfRule type="cellIs" dxfId="477" priority="470" stopIfTrue="1" operator="equal">
      <formula>"Napkin Hs"</formula>
    </cfRule>
  </conditionalFormatting>
  <conditionalFormatting sqref="C132">
    <cfRule type="cellIs" dxfId="476" priority="471" stopIfTrue="1" operator="equal">
      <formula>"Towel"</formula>
    </cfRule>
  </conditionalFormatting>
  <conditionalFormatting sqref="B132:C132">
    <cfRule type="cellIs" dxfId="475" priority="468" stopIfTrue="1" operator="equal">
      <formula>"Napkin Hs"</formula>
    </cfRule>
  </conditionalFormatting>
  <conditionalFormatting sqref="B132:C132">
    <cfRule type="cellIs" dxfId="474" priority="467" stopIfTrue="1" operator="equal">
      <formula>"Towel"</formula>
    </cfRule>
  </conditionalFormatting>
  <conditionalFormatting sqref="C132">
    <cfRule type="cellIs" dxfId="473" priority="466" stopIfTrue="1" operator="equal">
      <formula>"Napkin Hs"</formula>
    </cfRule>
  </conditionalFormatting>
  <conditionalFormatting sqref="C132">
    <cfRule type="cellIs" dxfId="472" priority="463" stopIfTrue="1" operator="equal">
      <formula>"Towel"</formula>
    </cfRule>
    <cfRule type="cellIs" dxfId="471" priority="464" stopIfTrue="1" operator="equal">
      <formula>"Napkin Hs"</formula>
    </cfRule>
  </conditionalFormatting>
  <conditionalFormatting sqref="C132">
    <cfRule type="cellIs" dxfId="470" priority="465" stopIfTrue="1" operator="equal">
      <formula>"Towel"</formula>
    </cfRule>
  </conditionalFormatting>
  <conditionalFormatting sqref="B133:C133">
    <cfRule type="cellIs" dxfId="469" priority="462" stopIfTrue="1" operator="equal">
      <formula>"Napkin Hs"</formula>
    </cfRule>
  </conditionalFormatting>
  <conditionalFormatting sqref="B133:C133">
    <cfRule type="cellIs" dxfId="468" priority="461" stopIfTrue="1" operator="equal">
      <formula>"Towel"</formula>
    </cfRule>
  </conditionalFormatting>
  <conditionalFormatting sqref="C133">
    <cfRule type="cellIs" dxfId="467" priority="460" stopIfTrue="1" operator="equal">
      <formula>"Napkin Hs"</formula>
    </cfRule>
  </conditionalFormatting>
  <conditionalFormatting sqref="C133">
    <cfRule type="cellIs" dxfId="466" priority="459" stopIfTrue="1" operator="equal">
      <formula>"Towel"</formula>
    </cfRule>
  </conditionalFormatting>
  <conditionalFormatting sqref="C133">
    <cfRule type="cellIs" dxfId="465" priority="457" stopIfTrue="1" operator="equal">
      <formula>"Towel"</formula>
    </cfRule>
    <cfRule type="cellIs" dxfId="464" priority="458" stopIfTrue="1" operator="equal">
      <formula>"Napkin Hs"</formula>
    </cfRule>
  </conditionalFormatting>
  <conditionalFormatting sqref="B133:C133">
    <cfRule type="cellIs" dxfId="463" priority="455" stopIfTrue="1" operator="equal">
      <formula>"Towel"</formula>
    </cfRule>
    <cfRule type="cellIs" dxfId="462" priority="456" stopIfTrue="1" operator="equal">
      <formula>"Napkin Hs"</formula>
    </cfRule>
  </conditionalFormatting>
  <conditionalFormatting sqref="C133">
    <cfRule type="cellIs" dxfId="461" priority="453" stopIfTrue="1" operator="equal">
      <formula>"Towel"</formula>
    </cfRule>
    <cfRule type="cellIs" dxfId="460" priority="454" stopIfTrue="1" operator="equal">
      <formula>"Napkin Hs"</formula>
    </cfRule>
  </conditionalFormatting>
  <conditionalFormatting sqref="C133">
    <cfRule type="cellIs" dxfId="459" priority="451" stopIfTrue="1" operator="equal">
      <formula>"Towel"</formula>
    </cfRule>
    <cfRule type="cellIs" dxfId="458" priority="452" stopIfTrue="1" operator="equal">
      <formula>"Napkin Hs"</formula>
    </cfRule>
  </conditionalFormatting>
  <conditionalFormatting sqref="B133:C133">
    <cfRule type="cellIs" dxfId="457" priority="450" stopIfTrue="1" operator="equal">
      <formula>"Napkin Hs"</formula>
    </cfRule>
  </conditionalFormatting>
  <conditionalFormatting sqref="B133:C133">
    <cfRule type="cellIs" dxfId="456" priority="449" stopIfTrue="1" operator="equal">
      <formula>"Towel"</formula>
    </cfRule>
  </conditionalFormatting>
  <conditionalFormatting sqref="C133">
    <cfRule type="cellIs" dxfId="455" priority="448" stopIfTrue="1" operator="equal">
      <formula>"Napkin Hs"</formula>
    </cfRule>
  </conditionalFormatting>
  <conditionalFormatting sqref="C133">
    <cfRule type="cellIs" dxfId="454" priority="447" stopIfTrue="1" operator="equal">
      <formula>"Towel"</formula>
    </cfRule>
  </conditionalFormatting>
  <conditionalFormatting sqref="C133">
    <cfRule type="cellIs" dxfId="453" priority="445" stopIfTrue="1" operator="equal">
      <formula>"Towel"</formula>
    </cfRule>
    <cfRule type="cellIs" dxfId="452" priority="446" stopIfTrue="1" operator="equal">
      <formula>"Napkin Hs"</formula>
    </cfRule>
  </conditionalFormatting>
  <conditionalFormatting sqref="B133:C133">
    <cfRule type="cellIs" dxfId="451" priority="443" stopIfTrue="1" operator="equal">
      <formula>"Towel"</formula>
    </cfRule>
    <cfRule type="cellIs" dxfId="450" priority="444" stopIfTrue="1" operator="equal">
      <formula>"Napkin Hs"</formula>
    </cfRule>
  </conditionalFormatting>
  <conditionalFormatting sqref="C133">
    <cfRule type="cellIs" dxfId="449" priority="439" stopIfTrue="1" operator="equal">
      <formula>"Towel"</formula>
    </cfRule>
    <cfRule type="cellIs" dxfId="448" priority="440" stopIfTrue="1" operator="equal">
      <formula>"Napkin Hs"</formula>
    </cfRule>
  </conditionalFormatting>
  <conditionalFormatting sqref="C133">
    <cfRule type="cellIs" dxfId="447" priority="441" stopIfTrue="1" operator="equal">
      <formula>"Towel"</formula>
    </cfRule>
    <cfRule type="cellIs" dxfId="446" priority="442" stopIfTrue="1" operator="equal">
      <formula>"Napkin Hs"</formula>
    </cfRule>
  </conditionalFormatting>
  <conditionalFormatting sqref="B133:C133">
    <cfRule type="cellIs" dxfId="445" priority="438" stopIfTrue="1" operator="equal">
      <formula>"Napkin Hs"</formula>
    </cfRule>
  </conditionalFormatting>
  <conditionalFormatting sqref="B133:C133">
    <cfRule type="cellIs" dxfId="444" priority="437" stopIfTrue="1" operator="equal">
      <formula>"Towel"</formula>
    </cfRule>
  </conditionalFormatting>
  <conditionalFormatting sqref="C133">
    <cfRule type="cellIs" dxfId="443" priority="436" stopIfTrue="1" operator="equal">
      <formula>"Napkin Hs"</formula>
    </cfRule>
  </conditionalFormatting>
  <conditionalFormatting sqref="C133">
    <cfRule type="cellIs" dxfId="442" priority="435" stopIfTrue="1" operator="equal">
      <formula>"Towel"</formula>
    </cfRule>
  </conditionalFormatting>
  <conditionalFormatting sqref="C133">
    <cfRule type="cellIs" dxfId="441" priority="433" stopIfTrue="1" operator="equal">
      <formula>"Towel"</formula>
    </cfRule>
    <cfRule type="cellIs" dxfId="440" priority="434" stopIfTrue="1" operator="equal">
      <formula>"Napkin Hs"</formula>
    </cfRule>
  </conditionalFormatting>
  <conditionalFormatting sqref="B133:C133">
    <cfRule type="cellIs" dxfId="439" priority="431" stopIfTrue="1" operator="equal">
      <formula>"Towel"</formula>
    </cfRule>
    <cfRule type="cellIs" dxfId="438" priority="432" stopIfTrue="1" operator="equal">
      <formula>"Napkin Hs"</formula>
    </cfRule>
  </conditionalFormatting>
  <conditionalFormatting sqref="C133">
    <cfRule type="cellIs" dxfId="437" priority="429" stopIfTrue="1" operator="equal">
      <formula>"Towel"</formula>
    </cfRule>
    <cfRule type="cellIs" dxfId="436" priority="430" stopIfTrue="1" operator="equal">
      <formula>"Napkin Hs"</formula>
    </cfRule>
  </conditionalFormatting>
  <conditionalFormatting sqref="C133">
    <cfRule type="cellIs" dxfId="435" priority="427" stopIfTrue="1" operator="equal">
      <formula>"Towel"</formula>
    </cfRule>
    <cfRule type="cellIs" dxfId="434" priority="428" stopIfTrue="1" operator="equal">
      <formula>"Napkin Hs"</formula>
    </cfRule>
  </conditionalFormatting>
  <conditionalFormatting sqref="B133:C133">
    <cfRule type="cellIs" dxfId="433" priority="425" stopIfTrue="1" operator="equal">
      <formula>"Towel"</formula>
    </cfRule>
    <cfRule type="cellIs" dxfId="432" priority="426" stopIfTrue="1" operator="equal">
      <formula>"Napkin Hs"</formula>
    </cfRule>
  </conditionalFormatting>
  <conditionalFormatting sqref="C133">
    <cfRule type="cellIs" dxfId="431" priority="423" stopIfTrue="1" operator="equal">
      <formula>"Towel"</formula>
    </cfRule>
    <cfRule type="cellIs" dxfId="430" priority="424" stopIfTrue="1" operator="equal">
      <formula>"Napkin Hs"</formula>
    </cfRule>
  </conditionalFormatting>
  <conditionalFormatting sqref="C133">
    <cfRule type="cellIs" dxfId="429" priority="421" stopIfTrue="1" operator="equal">
      <formula>"Towel"</formula>
    </cfRule>
    <cfRule type="cellIs" dxfId="428" priority="422" stopIfTrue="1" operator="equal">
      <formula>"Napkin Hs"</formula>
    </cfRule>
  </conditionalFormatting>
  <conditionalFormatting sqref="B133:C133">
    <cfRule type="cellIs" dxfId="427" priority="419" stopIfTrue="1" operator="equal">
      <formula>"Towel"</formula>
    </cfRule>
    <cfRule type="cellIs" dxfId="426" priority="420" stopIfTrue="1" operator="equal">
      <formula>"Napkin Hs"</formula>
    </cfRule>
  </conditionalFormatting>
  <conditionalFormatting sqref="C133">
    <cfRule type="cellIs" dxfId="425" priority="417" stopIfTrue="1" operator="equal">
      <formula>"Towel"</formula>
    </cfRule>
    <cfRule type="cellIs" dxfId="424" priority="418" stopIfTrue="1" operator="equal">
      <formula>"Napkin Hs"</formula>
    </cfRule>
  </conditionalFormatting>
  <conditionalFormatting sqref="C133">
    <cfRule type="cellIs" dxfId="423" priority="415" stopIfTrue="1" operator="equal">
      <formula>"Towel"</formula>
    </cfRule>
    <cfRule type="cellIs" dxfId="422" priority="416" stopIfTrue="1" operator="equal">
      <formula>"Napkin Hs"</formula>
    </cfRule>
  </conditionalFormatting>
  <conditionalFormatting sqref="B133:C133">
    <cfRule type="cellIs" dxfId="421" priority="413" stopIfTrue="1" operator="equal">
      <formula>"Towel"</formula>
    </cfRule>
    <cfRule type="cellIs" dxfId="420" priority="414" stopIfTrue="1" operator="equal">
      <formula>"Napkin Hs"</formula>
    </cfRule>
  </conditionalFormatting>
  <conditionalFormatting sqref="C133">
    <cfRule type="cellIs" dxfId="419" priority="411" stopIfTrue="1" operator="equal">
      <formula>"Towel"</formula>
    </cfRule>
    <cfRule type="cellIs" dxfId="418" priority="412" stopIfTrue="1" operator="equal">
      <formula>"Napkin Hs"</formula>
    </cfRule>
  </conditionalFormatting>
  <conditionalFormatting sqref="C133">
    <cfRule type="cellIs" dxfId="417" priority="409" stopIfTrue="1" operator="equal">
      <formula>"Towel"</formula>
    </cfRule>
    <cfRule type="cellIs" dxfId="416" priority="410" stopIfTrue="1" operator="equal">
      <formula>"Napkin Hs"</formula>
    </cfRule>
  </conditionalFormatting>
  <conditionalFormatting sqref="B133:C133">
    <cfRule type="cellIs" dxfId="415" priority="407" stopIfTrue="1" operator="equal">
      <formula>"Towel"</formula>
    </cfRule>
    <cfRule type="cellIs" dxfId="414" priority="408" stopIfTrue="1" operator="equal">
      <formula>"Napkin Hs"</formula>
    </cfRule>
  </conditionalFormatting>
  <conditionalFormatting sqref="C133">
    <cfRule type="cellIs" dxfId="413" priority="405" stopIfTrue="1" operator="equal">
      <formula>"Towel"</formula>
    </cfRule>
    <cfRule type="cellIs" dxfId="412" priority="406" stopIfTrue="1" operator="equal">
      <formula>"Napkin Hs"</formula>
    </cfRule>
  </conditionalFormatting>
  <conditionalFormatting sqref="C133">
    <cfRule type="cellIs" dxfId="411" priority="403" stopIfTrue="1" operator="equal">
      <formula>"Towel"</formula>
    </cfRule>
    <cfRule type="cellIs" dxfId="410" priority="404" stopIfTrue="1" operator="equal">
      <formula>"Napkin Hs"</formula>
    </cfRule>
  </conditionalFormatting>
  <conditionalFormatting sqref="B133:C133">
    <cfRule type="cellIs" dxfId="409" priority="402" stopIfTrue="1" operator="equal">
      <formula>"Napkin Hs"</formula>
    </cfRule>
  </conditionalFormatting>
  <conditionalFormatting sqref="B133:C133">
    <cfRule type="cellIs" dxfId="408" priority="401" stopIfTrue="1" operator="equal">
      <formula>"Towel"</formula>
    </cfRule>
  </conditionalFormatting>
  <conditionalFormatting sqref="C133">
    <cfRule type="cellIs" dxfId="407" priority="400" stopIfTrue="1" operator="equal">
      <formula>"Napkin Hs"</formula>
    </cfRule>
  </conditionalFormatting>
  <conditionalFormatting sqref="C133">
    <cfRule type="cellIs" dxfId="406" priority="397" stopIfTrue="1" operator="equal">
      <formula>"Towel"</formula>
    </cfRule>
    <cfRule type="cellIs" dxfId="405" priority="398" stopIfTrue="1" operator="equal">
      <formula>"Napkin Hs"</formula>
    </cfRule>
  </conditionalFormatting>
  <conditionalFormatting sqref="C133">
    <cfRule type="cellIs" dxfId="404" priority="399" stopIfTrue="1" operator="equal">
      <formula>"Towel"</formula>
    </cfRule>
  </conditionalFormatting>
  <conditionalFormatting sqref="B133:C133">
    <cfRule type="cellIs" dxfId="403" priority="396" stopIfTrue="1" operator="equal">
      <formula>"Napkin Hs"</formula>
    </cfRule>
  </conditionalFormatting>
  <conditionalFormatting sqref="B133:C133">
    <cfRule type="cellIs" dxfId="402" priority="395" stopIfTrue="1" operator="equal">
      <formula>"Towel"</formula>
    </cfRule>
  </conditionalFormatting>
  <conditionalFormatting sqref="C133">
    <cfRule type="cellIs" dxfId="401" priority="394" stopIfTrue="1" operator="equal">
      <formula>"Napkin Hs"</formula>
    </cfRule>
  </conditionalFormatting>
  <conditionalFormatting sqref="C133">
    <cfRule type="cellIs" dxfId="400" priority="393" stopIfTrue="1" operator="equal">
      <formula>"Towel"</formula>
    </cfRule>
  </conditionalFormatting>
  <conditionalFormatting sqref="C133">
    <cfRule type="cellIs" dxfId="399" priority="391" stopIfTrue="1" operator="equal">
      <formula>"Towel"</formula>
    </cfRule>
    <cfRule type="cellIs" dxfId="398" priority="392" stopIfTrue="1" operator="equal">
      <formula>"Napkin Hs"</formula>
    </cfRule>
  </conditionalFormatting>
  <conditionalFormatting sqref="B133:C133">
    <cfRule type="cellIs" dxfId="397" priority="389" stopIfTrue="1" operator="equal">
      <formula>"Towel"</formula>
    </cfRule>
    <cfRule type="cellIs" dxfId="396" priority="390" stopIfTrue="1" operator="equal">
      <formula>"Napkin Hs"</formula>
    </cfRule>
  </conditionalFormatting>
  <conditionalFormatting sqref="C133">
    <cfRule type="cellIs" dxfId="395" priority="385" stopIfTrue="1" operator="equal">
      <formula>"Towel"</formula>
    </cfRule>
    <cfRule type="cellIs" dxfId="394" priority="386" stopIfTrue="1" operator="equal">
      <formula>"Napkin Hs"</formula>
    </cfRule>
  </conditionalFormatting>
  <conditionalFormatting sqref="C133">
    <cfRule type="cellIs" dxfId="393" priority="387" stopIfTrue="1" operator="equal">
      <formula>"Towel"</formula>
    </cfRule>
    <cfRule type="cellIs" dxfId="392" priority="388" stopIfTrue="1" operator="equal">
      <formula>"Napkin Hs"</formula>
    </cfRule>
  </conditionalFormatting>
  <conditionalFormatting sqref="B133:C133">
    <cfRule type="cellIs" dxfId="391" priority="384" stopIfTrue="1" operator="equal">
      <formula>"Napkin Hs"</formula>
    </cfRule>
  </conditionalFormatting>
  <conditionalFormatting sqref="B133:C133">
    <cfRule type="cellIs" dxfId="390" priority="383" stopIfTrue="1" operator="equal">
      <formula>"Towel"</formula>
    </cfRule>
  </conditionalFormatting>
  <conditionalFormatting sqref="C133">
    <cfRule type="cellIs" dxfId="389" priority="382" stopIfTrue="1" operator="equal">
      <formula>"Napkin Hs"</formula>
    </cfRule>
  </conditionalFormatting>
  <conditionalFormatting sqref="C133">
    <cfRule type="cellIs" dxfId="388" priority="381" stopIfTrue="1" operator="equal">
      <formula>"Towel"</formula>
    </cfRule>
  </conditionalFormatting>
  <conditionalFormatting sqref="C133">
    <cfRule type="cellIs" dxfId="387" priority="379" stopIfTrue="1" operator="equal">
      <formula>"Towel"</formula>
    </cfRule>
    <cfRule type="cellIs" dxfId="386" priority="380" stopIfTrue="1" operator="equal">
      <formula>"Napkin Hs"</formula>
    </cfRule>
  </conditionalFormatting>
  <conditionalFormatting sqref="B133:C133">
    <cfRule type="cellIs" dxfId="385" priority="377" stopIfTrue="1" operator="equal">
      <formula>"Towel"</formula>
    </cfRule>
    <cfRule type="cellIs" dxfId="384" priority="378" stopIfTrue="1" operator="equal">
      <formula>"Napkin Hs"</formula>
    </cfRule>
  </conditionalFormatting>
  <conditionalFormatting sqref="C133">
    <cfRule type="cellIs" dxfId="383" priority="375" stopIfTrue="1" operator="equal">
      <formula>"Towel"</formula>
    </cfRule>
    <cfRule type="cellIs" dxfId="382" priority="376" stopIfTrue="1" operator="equal">
      <formula>"Napkin Hs"</formula>
    </cfRule>
  </conditionalFormatting>
  <conditionalFormatting sqref="C133">
    <cfRule type="cellIs" dxfId="381" priority="373" stopIfTrue="1" operator="equal">
      <formula>"Towel"</formula>
    </cfRule>
    <cfRule type="cellIs" dxfId="380" priority="374" stopIfTrue="1" operator="equal">
      <formula>"Napkin Hs"</formula>
    </cfRule>
  </conditionalFormatting>
  <conditionalFormatting sqref="B133:C133">
    <cfRule type="cellIs" dxfId="379" priority="371" stopIfTrue="1" operator="equal">
      <formula>"Towel"</formula>
    </cfRule>
    <cfRule type="cellIs" dxfId="378" priority="372" stopIfTrue="1" operator="equal">
      <formula>"Napkin Hs"</formula>
    </cfRule>
  </conditionalFormatting>
  <conditionalFormatting sqref="C133">
    <cfRule type="cellIs" dxfId="377" priority="369" stopIfTrue="1" operator="equal">
      <formula>"Towel"</formula>
    </cfRule>
    <cfRule type="cellIs" dxfId="376" priority="370" stopIfTrue="1" operator="equal">
      <formula>"Napkin Hs"</formula>
    </cfRule>
  </conditionalFormatting>
  <conditionalFormatting sqref="C133">
    <cfRule type="cellIs" dxfId="375" priority="367" stopIfTrue="1" operator="equal">
      <formula>"Towel"</formula>
    </cfRule>
    <cfRule type="cellIs" dxfId="374" priority="368" stopIfTrue="1" operator="equal">
      <formula>"Napkin Hs"</formula>
    </cfRule>
  </conditionalFormatting>
  <conditionalFormatting sqref="B133:C133">
    <cfRule type="cellIs" dxfId="373" priority="365" stopIfTrue="1" operator="equal">
      <formula>"Towel"</formula>
    </cfRule>
    <cfRule type="cellIs" dxfId="372" priority="366" stopIfTrue="1" operator="equal">
      <formula>"Napkin Hs"</formula>
    </cfRule>
  </conditionalFormatting>
  <conditionalFormatting sqref="C133">
    <cfRule type="cellIs" dxfId="371" priority="363" stopIfTrue="1" operator="equal">
      <formula>"Towel"</formula>
    </cfRule>
    <cfRule type="cellIs" dxfId="370" priority="364" stopIfTrue="1" operator="equal">
      <formula>"Napkin Hs"</formula>
    </cfRule>
  </conditionalFormatting>
  <conditionalFormatting sqref="C133">
    <cfRule type="cellIs" dxfId="369" priority="361" stopIfTrue="1" operator="equal">
      <formula>"Towel"</formula>
    </cfRule>
    <cfRule type="cellIs" dxfId="368" priority="362" stopIfTrue="1" operator="equal">
      <formula>"Napkin Hs"</formula>
    </cfRule>
  </conditionalFormatting>
  <conditionalFormatting sqref="B133:C133">
    <cfRule type="cellIs" dxfId="367" priority="359" stopIfTrue="1" operator="equal">
      <formula>"Towel"</formula>
    </cfRule>
    <cfRule type="cellIs" dxfId="366" priority="360" stopIfTrue="1" operator="equal">
      <formula>"Napkin Hs"</formula>
    </cfRule>
  </conditionalFormatting>
  <conditionalFormatting sqref="C133">
    <cfRule type="cellIs" dxfId="365" priority="357" stopIfTrue="1" operator="equal">
      <formula>"Towel"</formula>
    </cfRule>
    <cfRule type="cellIs" dxfId="364" priority="358" stopIfTrue="1" operator="equal">
      <formula>"Napkin Hs"</formula>
    </cfRule>
  </conditionalFormatting>
  <conditionalFormatting sqref="C133">
    <cfRule type="cellIs" dxfId="363" priority="355" stopIfTrue="1" operator="equal">
      <formula>"Towel"</formula>
    </cfRule>
    <cfRule type="cellIs" dxfId="362" priority="356" stopIfTrue="1" operator="equal">
      <formula>"Napkin Hs"</formula>
    </cfRule>
  </conditionalFormatting>
  <conditionalFormatting sqref="B133:C133">
    <cfRule type="cellIs" dxfId="361" priority="353" stopIfTrue="1" operator="equal">
      <formula>"Towel"</formula>
    </cfRule>
    <cfRule type="cellIs" dxfId="360" priority="354" stopIfTrue="1" operator="equal">
      <formula>"Napkin Hs"</formula>
    </cfRule>
  </conditionalFormatting>
  <conditionalFormatting sqref="C133">
    <cfRule type="cellIs" dxfId="359" priority="351" stopIfTrue="1" operator="equal">
      <formula>"Towel"</formula>
    </cfRule>
    <cfRule type="cellIs" dxfId="358" priority="352" stopIfTrue="1" operator="equal">
      <formula>"Napkin Hs"</formula>
    </cfRule>
  </conditionalFormatting>
  <conditionalFormatting sqref="C133">
    <cfRule type="cellIs" dxfId="357" priority="349" stopIfTrue="1" operator="equal">
      <formula>"Towel"</formula>
    </cfRule>
    <cfRule type="cellIs" dxfId="356" priority="350" stopIfTrue="1" operator="equal">
      <formula>"Napkin Hs"</formula>
    </cfRule>
  </conditionalFormatting>
  <conditionalFormatting sqref="B133:C133">
    <cfRule type="cellIs" dxfId="355" priority="348" stopIfTrue="1" operator="equal">
      <formula>"Napkin Hs"</formula>
    </cfRule>
  </conditionalFormatting>
  <conditionalFormatting sqref="B133:C133">
    <cfRule type="cellIs" dxfId="354" priority="347" stopIfTrue="1" operator="equal">
      <formula>"Towel"</formula>
    </cfRule>
  </conditionalFormatting>
  <conditionalFormatting sqref="C133">
    <cfRule type="cellIs" dxfId="353" priority="346" stopIfTrue="1" operator="equal">
      <formula>"Napkin Hs"</formula>
    </cfRule>
  </conditionalFormatting>
  <conditionalFormatting sqref="C133">
    <cfRule type="cellIs" dxfId="352" priority="343" stopIfTrue="1" operator="equal">
      <formula>"Towel"</formula>
    </cfRule>
    <cfRule type="cellIs" dxfId="351" priority="344" stopIfTrue="1" operator="equal">
      <formula>"Napkin Hs"</formula>
    </cfRule>
  </conditionalFormatting>
  <conditionalFormatting sqref="C133">
    <cfRule type="cellIs" dxfId="350" priority="345" stopIfTrue="1" operator="equal">
      <formula>"Towel"</formula>
    </cfRule>
  </conditionalFormatting>
  <conditionalFormatting sqref="B133:C133">
    <cfRule type="cellIs" dxfId="349" priority="342" stopIfTrue="1" operator="equal">
      <formula>"Napkin Hs"</formula>
    </cfRule>
  </conditionalFormatting>
  <conditionalFormatting sqref="B133:C133">
    <cfRule type="cellIs" dxfId="348" priority="341" stopIfTrue="1" operator="equal">
      <formula>"Towel"</formula>
    </cfRule>
  </conditionalFormatting>
  <conditionalFormatting sqref="C133">
    <cfRule type="cellIs" dxfId="347" priority="340" stopIfTrue="1" operator="equal">
      <formula>"Napkin Hs"</formula>
    </cfRule>
  </conditionalFormatting>
  <conditionalFormatting sqref="C133">
    <cfRule type="cellIs" dxfId="346" priority="337" stopIfTrue="1" operator="equal">
      <formula>"Towel"</formula>
    </cfRule>
    <cfRule type="cellIs" dxfId="345" priority="338" stopIfTrue="1" operator="equal">
      <formula>"Napkin Hs"</formula>
    </cfRule>
  </conditionalFormatting>
  <conditionalFormatting sqref="C133">
    <cfRule type="cellIs" dxfId="344" priority="339" stopIfTrue="1" operator="equal">
      <formula>"Towel"</formula>
    </cfRule>
  </conditionalFormatting>
  <conditionalFormatting sqref="B133:C133">
    <cfRule type="cellIs" dxfId="343" priority="336" stopIfTrue="1" operator="equal">
      <formula>"Napkin Hs"</formula>
    </cfRule>
  </conditionalFormatting>
  <conditionalFormatting sqref="B133:C133">
    <cfRule type="cellIs" dxfId="342" priority="335" stopIfTrue="1" operator="equal">
      <formula>"Towel"</formula>
    </cfRule>
  </conditionalFormatting>
  <conditionalFormatting sqref="C133">
    <cfRule type="cellIs" dxfId="341" priority="334" stopIfTrue="1" operator="equal">
      <formula>"Napkin Hs"</formula>
    </cfRule>
  </conditionalFormatting>
  <conditionalFormatting sqref="C133">
    <cfRule type="cellIs" dxfId="340" priority="331" stopIfTrue="1" operator="equal">
      <formula>"Towel"</formula>
    </cfRule>
    <cfRule type="cellIs" dxfId="339" priority="332" stopIfTrue="1" operator="equal">
      <formula>"Napkin Hs"</formula>
    </cfRule>
  </conditionalFormatting>
  <conditionalFormatting sqref="C133">
    <cfRule type="cellIs" dxfId="338" priority="333" stopIfTrue="1" operator="equal">
      <formula>"Towel"</formula>
    </cfRule>
  </conditionalFormatting>
  <conditionalFormatting sqref="B134:C134">
    <cfRule type="cellIs" dxfId="337" priority="330" stopIfTrue="1" operator="equal">
      <formula>"Napkin Hs"</formula>
    </cfRule>
  </conditionalFormatting>
  <conditionalFormatting sqref="B134:C134">
    <cfRule type="cellIs" dxfId="336" priority="329" stopIfTrue="1" operator="equal">
      <formula>"Towel"</formula>
    </cfRule>
  </conditionalFormatting>
  <conditionalFormatting sqref="C134">
    <cfRule type="cellIs" dxfId="335" priority="328" stopIfTrue="1" operator="equal">
      <formula>"Napkin Hs"</formula>
    </cfRule>
  </conditionalFormatting>
  <conditionalFormatting sqref="C134">
    <cfRule type="cellIs" dxfId="334" priority="325" stopIfTrue="1" operator="equal">
      <formula>"Towel"</formula>
    </cfRule>
    <cfRule type="cellIs" dxfId="333" priority="326" stopIfTrue="1" operator="equal">
      <formula>"Napkin Hs"</formula>
    </cfRule>
  </conditionalFormatting>
  <conditionalFormatting sqref="C134">
    <cfRule type="cellIs" dxfId="332" priority="327" stopIfTrue="1" operator="equal">
      <formula>"Towel"</formula>
    </cfRule>
  </conditionalFormatting>
  <conditionalFormatting sqref="B140:C140">
    <cfRule type="cellIs" dxfId="331" priority="324" stopIfTrue="1" operator="equal">
      <formula>"Napkin Hs"</formula>
    </cfRule>
  </conditionalFormatting>
  <conditionalFormatting sqref="B140:C140">
    <cfRule type="cellIs" dxfId="330" priority="323" stopIfTrue="1" operator="equal">
      <formula>"Towel"</formula>
    </cfRule>
  </conditionalFormatting>
  <conditionalFormatting sqref="C140">
    <cfRule type="cellIs" dxfId="329" priority="322" stopIfTrue="1" operator="equal">
      <formula>"Napkin Hs"</formula>
    </cfRule>
  </conditionalFormatting>
  <conditionalFormatting sqref="C140">
    <cfRule type="cellIs" dxfId="328" priority="321" stopIfTrue="1" operator="equal">
      <formula>"Towel"</formula>
    </cfRule>
  </conditionalFormatting>
  <conditionalFormatting sqref="C140">
    <cfRule type="cellIs" dxfId="327" priority="319" stopIfTrue="1" operator="equal">
      <formula>"Towel"</formula>
    </cfRule>
    <cfRule type="cellIs" dxfId="326" priority="320" stopIfTrue="1" operator="equal">
      <formula>"Napkin Hs"</formula>
    </cfRule>
  </conditionalFormatting>
  <conditionalFormatting sqref="B139:C139">
    <cfRule type="cellIs" dxfId="325" priority="318" stopIfTrue="1" operator="equal">
      <formula>"Napkin Hs"</formula>
    </cfRule>
  </conditionalFormatting>
  <conditionalFormatting sqref="B139:C139">
    <cfRule type="cellIs" dxfId="324" priority="317" stopIfTrue="1" operator="equal">
      <formula>"Towel"</formula>
    </cfRule>
  </conditionalFormatting>
  <conditionalFormatting sqref="C139">
    <cfRule type="cellIs" dxfId="323" priority="316" stopIfTrue="1" operator="equal">
      <formula>"Napkin Hs"</formula>
    </cfRule>
  </conditionalFormatting>
  <conditionalFormatting sqref="C139">
    <cfRule type="cellIs" dxfId="322" priority="315" stopIfTrue="1" operator="equal">
      <formula>"Towel"</formula>
    </cfRule>
  </conditionalFormatting>
  <conditionalFormatting sqref="C139">
    <cfRule type="cellIs" dxfId="321" priority="313" stopIfTrue="1" operator="equal">
      <formula>"Towel"</formula>
    </cfRule>
    <cfRule type="cellIs" dxfId="320" priority="314" stopIfTrue="1" operator="equal">
      <formula>"Napkin Hs"</formula>
    </cfRule>
  </conditionalFormatting>
  <conditionalFormatting sqref="B139:C139">
    <cfRule type="cellIs" dxfId="319" priority="312" stopIfTrue="1" operator="equal">
      <formula>"Napkin Hs"</formula>
    </cfRule>
  </conditionalFormatting>
  <conditionalFormatting sqref="B139:C139">
    <cfRule type="cellIs" dxfId="318" priority="311" stopIfTrue="1" operator="equal">
      <formula>"Towel"</formula>
    </cfRule>
  </conditionalFormatting>
  <conditionalFormatting sqref="C139">
    <cfRule type="cellIs" dxfId="317" priority="310" stopIfTrue="1" operator="equal">
      <formula>"Napkin Hs"</formula>
    </cfRule>
  </conditionalFormatting>
  <conditionalFormatting sqref="C139">
    <cfRule type="cellIs" dxfId="316" priority="309" stopIfTrue="1" operator="equal">
      <formula>"Towel"</formula>
    </cfRule>
  </conditionalFormatting>
  <conditionalFormatting sqref="C139">
    <cfRule type="cellIs" dxfId="315" priority="307" stopIfTrue="1" operator="equal">
      <formula>"Towel"</formula>
    </cfRule>
    <cfRule type="cellIs" dxfId="314" priority="308" stopIfTrue="1" operator="equal">
      <formula>"Napkin Hs"</formula>
    </cfRule>
  </conditionalFormatting>
  <conditionalFormatting sqref="B138:C138">
    <cfRule type="cellIs" dxfId="313" priority="306" stopIfTrue="1" operator="equal">
      <formula>"Napkin Hs"</formula>
    </cfRule>
  </conditionalFormatting>
  <conditionalFormatting sqref="B138:C138">
    <cfRule type="cellIs" dxfId="312" priority="305" stopIfTrue="1" operator="equal">
      <formula>"Towel"</formula>
    </cfRule>
  </conditionalFormatting>
  <conditionalFormatting sqref="C138">
    <cfRule type="cellIs" dxfId="311" priority="304" stopIfTrue="1" operator="equal">
      <formula>"Napkin Hs"</formula>
    </cfRule>
  </conditionalFormatting>
  <conditionalFormatting sqref="C138">
    <cfRule type="cellIs" dxfId="310" priority="301" stopIfTrue="1" operator="equal">
      <formula>"Towel"</formula>
    </cfRule>
    <cfRule type="cellIs" dxfId="309" priority="302" stopIfTrue="1" operator="equal">
      <formula>"Napkin Hs"</formula>
    </cfRule>
  </conditionalFormatting>
  <conditionalFormatting sqref="C138">
    <cfRule type="cellIs" dxfId="308" priority="303" stopIfTrue="1" operator="equal">
      <formula>"Towel"</formula>
    </cfRule>
  </conditionalFormatting>
  <conditionalFormatting sqref="B136:C137">
    <cfRule type="cellIs" dxfId="307" priority="300" stopIfTrue="1" operator="equal">
      <formula>"Napkin Hs"</formula>
    </cfRule>
  </conditionalFormatting>
  <conditionalFormatting sqref="B136:C137">
    <cfRule type="cellIs" dxfId="306" priority="299" stopIfTrue="1" operator="equal">
      <formula>"Towel"</formula>
    </cfRule>
  </conditionalFormatting>
  <conditionalFormatting sqref="C136:C137">
    <cfRule type="cellIs" dxfId="305" priority="298" stopIfTrue="1" operator="equal">
      <formula>"Napkin Hs"</formula>
    </cfRule>
  </conditionalFormatting>
  <conditionalFormatting sqref="C136:C137">
    <cfRule type="cellIs" dxfId="304" priority="295" stopIfTrue="1" operator="equal">
      <formula>"Towel"</formula>
    </cfRule>
    <cfRule type="cellIs" dxfId="303" priority="296" stopIfTrue="1" operator="equal">
      <formula>"Napkin Hs"</formula>
    </cfRule>
  </conditionalFormatting>
  <conditionalFormatting sqref="C136:C137">
    <cfRule type="cellIs" dxfId="302" priority="297" stopIfTrue="1" operator="equal">
      <formula>"Towel"</formula>
    </cfRule>
  </conditionalFormatting>
  <conditionalFormatting sqref="B144:C144 B148:C148">
    <cfRule type="cellIs" dxfId="301" priority="294" stopIfTrue="1" operator="equal">
      <formula>"Napkin Hs"</formula>
    </cfRule>
  </conditionalFormatting>
  <conditionalFormatting sqref="B144:C144 B148:C148">
    <cfRule type="cellIs" dxfId="300" priority="293" stopIfTrue="1" operator="equal">
      <formula>"Towel"</formula>
    </cfRule>
  </conditionalFormatting>
  <conditionalFormatting sqref="C144 C148">
    <cfRule type="cellIs" dxfId="299" priority="292" stopIfTrue="1" operator="equal">
      <formula>"Napkin Hs"</formula>
    </cfRule>
  </conditionalFormatting>
  <conditionalFormatting sqref="C144 C148">
    <cfRule type="cellIs" dxfId="298" priority="291" stopIfTrue="1" operator="equal">
      <formula>"Towel"</formula>
    </cfRule>
  </conditionalFormatting>
  <conditionalFormatting sqref="C144 C148">
    <cfRule type="cellIs" dxfId="297" priority="289" stopIfTrue="1" operator="equal">
      <formula>"Towel"</formula>
    </cfRule>
    <cfRule type="cellIs" dxfId="296" priority="290" stopIfTrue="1" operator="equal">
      <formula>"Napkin Hs"</formula>
    </cfRule>
  </conditionalFormatting>
  <conditionalFormatting sqref="B142:C142">
    <cfRule type="cellIs" dxfId="295" priority="288" stopIfTrue="1" operator="equal">
      <formula>"Napkin Hs"</formula>
    </cfRule>
  </conditionalFormatting>
  <conditionalFormatting sqref="B142:C142">
    <cfRule type="cellIs" dxfId="294" priority="287" stopIfTrue="1" operator="equal">
      <formula>"Towel"</formula>
    </cfRule>
  </conditionalFormatting>
  <conditionalFormatting sqref="C142">
    <cfRule type="cellIs" dxfId="293" priority="286" stopIfTrue="1" operator="equal">
      <formula>"Napkin Hs"</formula>
    </cfRule>
  </conditionalFormatting>
  <conditionalFormatting sqref="C142">
    <cfRule type="cellIs" dxfId="292" priority="283" stopIfTrue="1" operator="equal">
      <formula>"Towel"</formula>
    </cfRule>
    <cfRule type="cellIs" dxfId="291" priority="284" stopIfTrue="1" operator="equal">
      <formula>"Napkin Hs"</formula>
    </cfRule>
  </conditionalFormatting>
  <conditionalFormatting sqref="C142">
    <cfRule type="cellIs" dxfId="290" priority="285" stopIfTrue="1" operator="equal">
      <formula>"Towel"</formula>
    </cfRule>
  </conditionalFormatting>
  <conditionalFormatting sqref="B143:C143">
    <cfRule type="cellIs" dxfId="289" priority="282" stopIfTrue="1" operator="equal">
      <formula>"Napkin Hs"</formula>
    </cfRule>
  </conditionalFormatting>
  <conditionalFormatting sqref="B143:C143">
    <cfRule type="cellIs" dxfId="288" priority="281" stopIfTrue="1" operator="equal">
      <formula>"Towel"</formula>
    </cfRule>
  </conditionalFormatting>
  <conditionalFormatting sqref="C143">
    <cfRule type="cellIs" dxfId="287" priority="280" stopIfTrue="1" operator="equal">
      <formula>"Napkin Hs"</formula>
    </cfRule>
  </conditionalFormatting>
  <conditionalFormatting sqref="C143">
    <cfRule type="cellIs" dxfId="286" priority="279" stopIfTrue="1" operator="equal">
      <formula>"Towel"</formula>
    </cfRule>
  </conditionalFormatting>
  <conditionalFormatting sqref="C143">
    <cfRule type="cellIs" dxfId="285" priority="277" stopIfTrue="1" operator="equal">
      <formula>"Towel"</formula>
    </cfRule>
    <cfRule type="cellIs" dxfId="284" priority="278" stopIfTrue="1" operator="equal">
      <formula>"Napkin Hs"</formula>
    </cfRule>
  </conditionalFormatting>
  <conditionalFormatting sqref="B143:C143">
    <cfRule type="cellIs" dxfId="283" priority="275" stopIfTrue="1" operator="equal">
      <formula>"Towel"</formula>
    </cfRule>
    <cfRule type="cellIs" dxfId="282" priority="276" stopIfTrue="1" operator="equal">
      <formula>"Napkin Hs"</formula>
    </cfRule>
  </conditionalFormatting>
  <conditionalFormatting sqref="C143">
    <cfRule type="cellIs" dxfId="281" priority="273" stopIfTrue="1" operator="equal">
      <formula>"Towel"</formula>
    </cfRule>
    <cfRule type="cellIs" dxfId="280" priority="274" stopIfTrue="1" operator="equal">
      <formula>"Napkin Hs"</formula>
    </cfRule>
  </conditionalFormatting>
  <conditionalFormatting sqref="C143">
    <cfRule type="cellIs" dxfId="279" priority="271" stopIfTrue="1" operator="equal">
      <formula>"Towel"</formula>
    </cfRule>
    <cfRule type="cellIs" dxfId="278" priority="272" stopIfTrue="1" operator="equal">
      <formula>"Napkin Hs"</formula>
    </cfRule>
  </conditionalFormatting>
  <conditionalFormatting sqref="B143:C143">
    <cfRule type="cellIs" dxfId="277" priority="270" stopIfTrue="1" operator="equal">
      <formula>"Napkin Hs"</formula>
    </cfRule>
  </conditionalFormatting>
  <conditionalFormatting sqref="B143:C143">
    <cfRule type="cellIs" dxfId="276" priority="269" stopIfTrue="1" operator="equal">
      <formula>"Towel"</formula>
    </cfRule>
  </conditionalFormatting>
  <conditionalFormatting sqref="C143">
    <cfRule type="cellIs" dxfId="275" priority="268" stopIfTrue="1" operator="equal">
      <formula>"Napkin Hs"</formula>
    </cfRule>
  </conditionalFormatting>
  <conditionalFormatting sqref="C143">
    <cfRule type="cellIs" dxfId="274" priority="267" stopIfTrue="1" operator="equal">
      <formula>"Towel"</formula>
    </cfRule>
  </conditionalFormatting>
  <conditionalFormatting sqref="C143">
    <cfRule type="cellIs" dxfId="273" priority="265" stopIfTrue="1" operator="equal">
      <formula>"Towel"</formula>
    </cfRule>
    <cfRule type="cellIs" dxfId="272" priority="266" stopIfTrue="1" operator="equal">
      <formula>"Napkin Hs"</formula>
    </cfRule>
  </conditionalFormatting>
  <conditionalFormatting sqref="B143:C143">
    <cfRule type="cellIs" dxfId="271" priority="263" stopIfTrue="1" operator="equal">
      <formula>"Towel"</formula>
    </cfRule>
    <cfRule type="cellIs" dxfId="270" priority="264" stopIfTrue="1" operator="equal">
      <formula>"Napkin Hs"</formula>
    </cfRule>
  </conditionalFormatting>
  <conditionalFormatting sqref="C143">
    <cfRule type="cellIs" dxfId="269" priority="259" stopIfTrue="1" operator="equal">
      <formula>"Towel"</formula>
    </cfRule>
    <cfRule type="cellIs" dxfId="268" priority="260" stopIfTrue="1" operator="equal">
      <formula>"Napkin Hs"</formula>
    </cfRule>
  </conditionalFormatting>
  <conditionalFormatting sqref="C143">
    <cfRule type="cellIs" dxfId="267" priority="261" stopIfTrue="1" operator="equal">
      <formula>"Towel"</formula>
    </cfRule>
    <cfRule type="cellIs" dxfId="266" priority="262" stopIfTrue="1" operator="equal">
      <formula>"Napkin Hs"</formula>
    </cfRule>
  </conditionalFormatting>
  <conditionalFormatting sqref="B143:C143">
    <cfRule type="cellIs" dxfId="265" priority="258" stopIfTrue="1" operator="equal">
      <formula>"Napkin Hs"</formula>
    </cfRule>
  </conditionalFormatting>
  <conditionalFormatting sqref="B143:C143">
    <cfRule type="cellIs" dxfId="264" priority="257" stopIfTrue="1" operator="equal">
      <formula>"Towel"</formula>
    </cfRule>
  </conditionalFormatting>
  <conditionalFormatting sqref="C143">
    <cfRule type="cellIs" dxfId="263" priority="256" stopIfTrue="1" operator="equal">
      <formula>"Napkin Hs"</formula>
    </cfRule>
  </conditionalFormatting>
  <conditionalFormatting sqref="C143">
    <cfRule type="cellIs" dxfId="262" priority="255" stopIfTrue="1" operator="equal">
      <formula>"Towel"</formula>
    </cfRule>
  </conditionalFormatting>
  <conditionalFormatting sqref="C143">
    <cfRule type="cellIs" dxfId="261" priority="253" stopIfTrue="1" operator="equal">
      <formula>"Towel"</formula>
    </cfRule>
    <cfRule type="cellIs" dxfId="260" priority="254" stopIfTrue="1" operator="equal">
      <formula>"Napkin Hs"</formula>
    </cfRule>
  </conditionalFormatting>
  <conditionalFormatting sqref="B143:C143">
    <cfRule type="cellIs" dxfId="259" priority="251" stopIfTrue="1" operator="equal">
      <formula>"Towel"</formula>
    </cfRule>
    <cfRule type="cellIs" dxfId="258" priority="252" stopIfTrue="1" operator="equal">
      <formula>"Napkin Hs"</formula>
    </cfRule>
  </conditionalFormatting>
  <conditionalFormatting sqref="C143">
    <cfRule type="cellIs" dxfId="257" priority="249" stopIfTrue="1" operator="equal">
      <formula>"Towel"</formula>
    </cfRule>
    <cfRule type="cellIs" dxfId="256" priority="250" stopIfTrue="1" operator="equal">
      <formula>"Napkin Hs"</formula>
    </cfRule>
  </conditionalFormatting>
  <conditionalFormatting sqref="C143">
    <cfRule type="cellIs" dxfId="255" priority="247" stopIfTrue="1" operator="equal">
      <formula>"Towel"</formula>
    </cfRule>
    <cfRule type="cellIs" dxfId="254" priority="248" stopIfTrue="1" operator="equal">
      <formula>"Napkin Hs"</formula>
    </cfRule>
  </conditionalFormatting>
  <conditionalFormatting sqref="B143:C143">
    <cfRule type="cellIs" dxfId="253" priority="245" stopIfTrue="1" operator="equal">
      <formula>"Towel"</formula>
    </cfRule>
    <cfRule type="cellIs" dxfId="252" priority="246" stopIfTrue="1" operator="equal">
      <formula>"Napkin Hs"</formula>
    </cfRule>
  </conditionalFormatting>
  <conditionalFormatting sqref="C143">
    <cfRule type="cellIs" dxfId="251" priority="243" stopIfTrue="1" operator="equal">
      <formula>"Towel"</formula>
    </cfRule>
    <cfRule type="cellIs" dxfId="250" priority="244" stopIfTrue="1" operator="equal">
      <formula>"Napkin Hs"</formula>
    </cfRule>
  </conditionalFormatting>
  <conditionalFormatting sqref="C143">
    <cfRule type="cellIs" dxfId="249" priority="241" stopIfTrue="1" operator="equal">
      <formula>"Towel"</formula>
    </cfRule>
    <cfRule type="cellIs" dxfId="248" priority="242" stopIfTrue="1" operator="equal">
      <formula>"Napkin Hs"</formula>
    </cfRule>
  </conditionalFormatting>
  <conditionalFormatting sqref="B143:C143">
    <cfRule type="cellIs" dxfId="247" priority="239" stopIfTrue="1" operator="equal">
      <formula>"Towel"</formula>
    </cfRule>
    <cfRule type="cellIs" dxfId="246" priority="240" stopIfTrue="1" operator="equal">
      <formula>"Napkin Hs"</formula>
    </cfRule>
  </conditionalFormatting>
  <conditionalFormatting sqref="C143">
    <cfRule type="cellIs" dxfId="245" priority="237" stopIfTrue="1" operator="equal">
      <formula>"Towel"</formula>
    </cfRule>
    <cfRule type="cellIs" dxfId="244" priority="238" stopIfTrue="1" operator="equal">
      <formula>"Napkin Hs"</formula>
    </cfRule>
  </conditionalFormatting>
  <conditionalFormatting sqref="C143">
    <cfRule type="cellIs" dxfId="243" priority="235" stopIfTrue="1" operator="equal">
      <formula>"Towel"</formula>
    </cfRule>
    <cfRule type="cellIs" dxfId="242" priority="236" stopIfTrue="1" operator="equal">
      <formula>"Napkin Hs"</formula>
    </cfRule>
  </conditionalFormatting>
  <conditionalFormatting sqref="B143:C143">
    <cfRule type="cellIs" dxfId="241" priority="233" stopIfTrue="1" operator="equal">
      <formula>"Towel"</formula>
    </cfRule>
    <cfRule type="cellIs" dxfId="240" priority="234" stopIfTrue="1" operator="equal">
      <formula>"Napkin Hs"</formula>
    </cfRule>
  </conditionalFormatting>
  <conditionalFormatting sqref="C143">
    <cfRule type="cellIs" dxfId="239" priority="231" stopIfTrue="1" operator="equal">
      <formula>"Towel"</formula>
    </cfRule>
    <cfRule type="cellIs" dxfId="238" priority="232" stopIfTrue="1" operator="equal">
      <formula>"Napkin Hs"</formula>
    </cfRule>
  </conditionalFormatting>
  <conditionalFormatting sqref="C143">
    <cfRule type="cellIs" dxfId="237" priority="229" stopIfTrue="1" operator="equal">
      <formula>"Towel"</formula>
    </cfRule>
    <cfRule type="cellIs" dxfId="236" priority="230" stopIfTrue="1" operator="equal">
      <formula>"Napkin Hs"</formula>
    </cfRule>
  </conditionalFormatting>
  <conditionalFormatting sqref="B143:C143">
    <cfRule type="cellIs" dxfId="235" priority="227" stopIfTrue="1" operator="equal">
      <formula>"Towel"</formula>
    </cfRule>
    <cfRule type="cellIs" dxfId="234" priority="228" stopIfTrue="1" operator="equal">
      <formula>"Napkin Hs"</formula>
    </cfRule>
  </conditionalFormatting>
  <conditionalFormatting sqref="C143">
    <cfRule type="cellIs" dxfId="233" priority="225" stopIfTrue="1" operator="equal">
      <formula>"Towel"</formula>
    </cfRule>
    <cfRule type="cellIs" dxfId="232" priority="226" stopIfTrue="1" operator="equal">
      <formula>"Napkin Hs"</formula>
    </cfRule>
  </conditionalFormatting>
  <conditionalFormatting sqref="C143">
    <cfRule type="cellIs" dxfId="231" priority="223" stopIfTrue="1" operator="equal">
      <formula>"Towel"</formula>
    </cfRule>
    <cfRule type="cellIs" dxfId="230" priority="224" stopIfTrue="1" operator="equal">
      <formula>"Napkin Hs"</formula>
    </cfRule>
  </conditionalFormatting>
  <conditionalFormatting sqref="B143:C143">
    <cfRule type="cellIs" dxfId="229" priority="222" stopIfTrue="1" operator="equal">
      <formula>"Napkin Hs"</formula>
    </cfRule>
  </conditionalFormatting>
  <conditionalFormatting sqref="B143:C143">
    <cfRule type="cellIs" dxfId="228" priority="221" stopIfTrue="1" operator="equal">
      <formula>"Towel"</formula>
    </cfRule>
  </conditionalFormatting>
  <conditionalFormatting sqref="C143">
    <cfRule type="cellIs" dxfId="227" priority="220" stopIfTrue="1" operator="equal">
      <formula>"Napkin Hs"</formula>
    </cfRule>
  </conditionalFormatting>
  <conditionalFormatting sqref="C143">
    <cfRule type="cellIs" dxfId="226" priority="217" stopIfTrue="1" operator="equal">
      <formula>"Towel"</formula>
    </cfRule>
    <cfRule type="cellIs" dxfId="225" priority="218" stopIfTrue="1" operator="equal">
      <formula>"Napkin Hs"</formula>
    </cfRule>
  </conditionalFormatting>
  <conditionalFormatting sqref="C143">
    <cfRule type="cellIs" dxfId="224" priority="219" stopIfTrue="1" operator="equal">
      <formula>"Towel"</formula>
    </cfRule>
  </conditionalFormatting>
  <conditionalFormatting sqref="B143:C143">
    <cfRule type="cellIs" dxfId="223" priority="216" stopIfTrue="1" operator="equal">
      <formula>"Napkin Hs"</formula>
    </cfRule>
  </conditionalFormatting>
  <conditionalFormatting sqref="B143:C143">
    <cfRule type="cellIs" dxfId="222" priority="215" stopIfTrue="1" operator="equal">
      <formula>"Towel"</formula>
    </cfRule>
  </conditionalFormatting>
  <conditionalFormatting sqref="C143">
    <cfRule type="cellIs" dxfId="221" priority="214" stopIfTrue="1" operator="equal">
      <formula>"Napkin Hs"</formula>
    </cfRule>
  </conditionalFormatting>
  <conditionalFormatting sqref="C143">
    <cfRule type="cellIs" dxfId="220" priority="213" stopIfTrue="1" operator="equal">
      <formula>"Towel"</formula>
    </cfRule>
  </conditionalFormatting>
  <conditionalFormatting sqref="C143">
    <cfRule type="cellIs" dxfId="219" priority="211" stopIfTrue="1" operator="equal">
      <formula>"Towel"</formula>
    </cfRule>
    <cfRule type="cellIs" dxfId="218" priority="212" stopIfTrue="1" operator="equal">
      <formula>"Napkin Hs"</formula>
    </cfRule>
  </conditionalFormatting>
  <conditionalFormatting sqref="B143:C143">
    <cfRule type="cellIs" dxfId="217" priority="209" stopIfTrue="1" operator="equal">
      <formula>"Towel"</formula>
    </cfRule>
    <cfRule type="cellIs" dxfId="216" priority="210" stopIfTrue="1" operator="equal">
      <formula>"Napkin Hs"</formula>
    </cfRule>
  </conditionalFormatting>
  <conditionalFormatting sqref="C143">
    <cfRule type="cellIs" dxfId="215" priority="205" stopIfTrue="1" operator="equal">
      <formula>"Towel"</formula>
    </cfRule>
    <cfRule type="cellIs" dxfId="214" priority="206" stopIfTrue="1" operator="equal">
      <formula>"Napkin Hs"</formula>
    </cfRule>
  </conditionalFormatting>
  <conditionalFormatting sqref="C143">
    <cfRule type="cellIs" dxfId="213" priority="207" stopIfTrue="1" operator="equal">
      <formula>"Towel"</formula>
    </cfRule>
    <cfRule type="cellIs" dxfId="212" priority="208" stopIfTrue="1" operator="equal">
      <formula>"Napkin Hs"</formula>
    </cfRule>
  </conditionalFormatting>
  <conditionalFormatting sqref="B143:C143">
    <cfRule type="cellIs" dxfId="211" priority="204" stopIfTrue="1" operator="equal">
      <formula>"Napkin Hs"</formula>
    </cfRule>
  </conditionalFormatting>
  <conditionalFormatting sqref="B143:C143">
    <cfRule type="cellIs" dxfId="210" priority="203" stopIfTrue="1" operator="equal">
      <formula>"Towel"</formula>
    </cfRule>
  </conditionalFormatting>
  <conditionalFormatting sqref="C143">
    <cfRule type="cellIs" dxfId="209" priority="202" stopIfTrue="1" operator="equal">
      <formula>"Napkin Hs"</formula>
    </cfRule>
  </conditionalFormatting>
  <conditionalFormatting sqref="C143">
    <cfRule type="cellIs" dxfId="208" priority="201" stopIfTrue="1" operator="equal">
      <formula>"Towel"</formula>
    </cfRule>
  </conditionalFormatting>
  <conditionalFormatting sqref="C143">
    <cfRule type="cellIs" dxfId="207" priority="199" stopIfTrue="1" operator="equal">
      <formula>"Towel"</formula>
    </cfRule>
    <cfRule type="cellIs" dxfId="206" priority="200" stopIfTrue="1" operator="equal">
      <formula>"Napkin Hs"</formula>
    </cfRule>
  </conditionalFormatting>
  <conditionalFormatting sqref="B143:C143">
    <cfRule type="cellIs" dxfId="205" priority="197" stopIfTrue="1" operator="equal">
      <formula>"Towel"</formula>
    </cfRule>
    <cfRule type="cellIs" dxfId="204" priority="198" stopIfTrue="1" operator="equal">
      <formula>"Napkin Hs"</formula>
    </cfRule>
  </conditionalFormatting>
  <conditionalFormatting sqref="C143">
    <cfRule type="cellIs" dxfId="203" priority="195" stopIfTrue="1" operator="equal">
      <formula>"Towel"</formula>
    </cfRule>
    <cfRule type="cellIs" dxfId="202" priority="196" stopIfTrue="1" operator="equal">
      <formula>"Napkin Hs"</formula>
    </cfRule>
  </conditionalFormatting>
  <conditionalFormatting sqref="C143">
    <cfRule type="cellIs" dxfId="201" priority="193" stopIfTrue="1" operator="equal">
      <formula>"Towel"</formula>
    </cfRule>
    <cfRule type="cellIs" dxfId="200" priority="194" stopIfTrue="1" operator="equal">
      <formula>"Napkin Hs"</formula>
    </cfRule>
  </conditionalFormatting>
  <conditionalFormatting sqref="B143:C143">
    <cfRule type="cellIs" dxfId="199" priority="191" stopIfTrue="1" operator="equal">
      <formula>"Towel"</formula>
    </cfRule>
    <cfRule type="cellIs" dxfId="198" priority="192" stopIfTrue="1" operator="equal">
      <formula>"Napkin Hs"</formula>
    </cfRule>
  </conditionalFormatting>
  <conditionalFormatting sqref="C143">
    <cfRule type="cellIs" dxfId="197" priority="189" stopIfTrue="1" operator="equal">
      <formula>"Towel"</formula>
    </cfRule>
    <cfRule type="cellIs" dxfId="196" priority="190" stopIfTrue="1" operator="equal">
      <formula>"Napkin Hs"</formula>
    </cfRule>
  </conditionalFormatting>
  <conditionalFormatting sqref="C143">
    <cfRule type="cellIs" dxfId="195" priority="187" stopIfTrue="1" operator="equal">
      <formula>"Towel"</formula>
    </cfRule>
    <cfRule type="cellIs" dxfId="194" priority="188" stopIfTrue="1" operator="equal">
      <formula>"Napkin Hs"</formula>
    </cfRule>
  </conditionalFormatting>
  <conditionalFormatting sqref="B143:C143">
    <cfRule type="cellIs" dxfId="193" priority="185" stopIfTrue="1" operator="equal">
      <formula>"Towel"</formula>
    </cfRule>
    <cfRule type="cellIs" dxfId="192" priority="186" stopIfTrue="1" operator="equal">
      <formula>"Napkin Hs"</formula>
    </cfRule>
  </conditionalFormatting>
  <conditionalFormatting sqref="C143">
    <cfRule type="cellIs" dxfId="191" priority="183" stopIfTrue="1" operator="equal">
      <formula>"Towel"</formula>
    </cfRule>
    <cfRule type="cellIs" dxfId="190" priority="184" stopIfTrue="1" operator="equal">
      <formula>"Napkin Hs"</formula>
    </cfRule>
  </conditionalFormatting>
  <conditionalFormatting sqref="C143">
    <cfRule type="cellIs" dxfId="189" priority="181" stopIfTrue="1" operator="equal">
      <formula>"Towel"</formula>
    </cfRule>
    <cfRule type="cellIs" dxfId="188" priority="182" stopIfTrue="1" operator="equal">
      <formula>"Napkin Hs"</formula>
    </cfRule>
  </conditionalFormatting>
  <conditionalFormatting sqref="B143:C143">
    <cfRule type="cellIs" dxfId="187" priority="179" stopIfTrue="1" operator="equal">
      <formula>"Towel"</formula>
    </cfRule>
    <cfRule type="cellIs" dxfId="186" priority="180" stopIfTrue="1" operator="equal">
      <formula>"Napkin Hs"</formula>
    </cfRule>
  </conditionalFormatting>
  <conditionalFormatting sqref="C143">
    <cfRule type="cellIs" dxfId="185" priority="177" stopIfTrue="1" operator="equal">
      <formula>"Towel"</formula>
    </cfRule>
    <cfRule type="cellIs" dxfId="184" priority="178" stopIfTrue="1" operator="equal">
      <formula>"Napkin Hs"</formula>
    </cfRule>
  </conditionalFormatting>
  <conditionalFormatting sqref="C143">
    <cfRule type="cellIs" dxfId="183" priority="175" stopIfTrue="1" operator="equal">
      <formula>"Towel"</formula>
    </cfRule>
    <cfRule type="cellIs" dxfId="182" priority="176" stopIfTrue="1" operator="equal">
      <formula>"Napkin Hs"</formula>
    </cfRule>
  </conditionalFormatting>
  <conditionalFormatting sqref="B143:C143">
    <cfRule type="cellIs" dxfId="181" priority="173" stopIfTrue="1" operator="equal">
      <formula>"Towel"</formula>
    </cfRule>
    <cfRule type="cellIs" dxfId="180" priority="174" stopIfTrue="1" operator="equal">
      <formula>"Napkin Hs"</formula>
    </cfRule>
  </conditionalFormatting>
  <conditionalFormatting sqref="C143">
    <cfRule type="cellIs" dxfId="179" priority="171" stopIfTrue="1" operator="equal">
      <formula>"Towel"</formula>
    </cfRule>
    <cfRule type="cellIs" dxfId="178" priority="172" stopIfTrue="1" operator="equal">
      <formula>"Napkin Hs"</formula>
    </cfRule>
  </conditionalFormatting>
  <conditionalFormatting sqref="C143">
    <cfRule type="cellIs" dxfId="177" priority="169" stopIfTrue="1" operator="equal">
      <formula>"Towel"</formula>
    </cfRule>
    <cfRule type="cellIs" dxfId="176" priority="170" stopIfTrue="1" operator="equal">
      <formula>"Napkin Hs"</formula>
    </cfRule>
  </conditionalFormatting>
  <conditionalFormatting sqref="B143:C143">
    <cfRule type="cellIs" dxfId="175" priority="168" stopIfTrue="1" operator="equal">
      <formula>"Napkin Hs"</formula>
    </cfRule>
  </conditionalFormatting>
  <conditionalFormatting sqref="B143:C143">
    <cfRule type="cellIs" dxfId="174" priority="167" stopIfTrue="1" operator="equal">
      <formula>"Towel"</formula>
    </cfRule>
  </conditionalFormatting>
  <conditionalFormatting sqref="C143">
    <cfRule type="cellIs" dxfId="173" priority="166" stopIfTrue="1" operator="equal">
      <formula>"Napkin Hs"</formula>
    </cfRule>
  </conditionalFormatting>
  <conditionalFormatting sqref="C143">
    <cfRule type="cellIs" dxfId="172" priority="163" stopIfTrue="1" operator="equal">
      <formula>"Towel"</formula>
    </cfRule>
    <cfRule type="cellIs" dxfId="171" priority="164" stopIfTrue="1" operator="equal">
      <formula>"Napkin Hs"</formula>
    </cfRule>
  </conditionalFormatting>
  <conditionalFormatting sqref="C143">
    <cfRule type="cellIs" dxfId="170" priority="165" stopIfTrue="1" operator="equal">
      <formula>"Towel"</formula>
    </cfRule>
  </conditionalFormatting>
  <conditionalFormatting sqref="B143:C143">
    <cfRule type="cellIs" dxfId="169" priority="162" stopIfTrue="1" operator="equal">
      <formula>"Napkin Hs"</formula>
    </cfRule>
  </conditionalFormatting>
  <conditionalFormatting sqref="B143:C143">
    <cfRule type="cellIs" dxfId="168" priority="161" stopIfTrue="1" operator="equal">
      <formula>"Towel"</formula>
    </cfRule>
  </conditionalFormatting>
  <conditionalFormatting sqref="C143">
    <cfRule type="cellIs" dxfId="167" priority="160" stopIfTrue="1" operator="equal">
      <formula>"Napkin Hs"</formula>
    </cfRule>
  </conditionalFormatting>
  <conditionalFormatting sqref="C143">
    <cfRule type="cellIs" dxfId="166" priority="157" stopIfTrue="1" operator="equal">
      <formula>"Towel"</formula>
    </cfRule>
    <cfRule type="cellIs" dxfId="165" priority="158" stopIfTrue="1" operator="equal">
      <formula>"Napkin Hs"</formula>
    </cfRule>
  </conditionalFormatting>
  <conditionalFormatting sqref="C143">
    <cfRule type="cellIs" dxfId="164" priority="159" stopIfTrue="1" operator="equal">
      <formula>"Towel"</formula>
    </cfRule>
  </conditionalFormatting>
  <conditionalFormatting sqref="B143:C143">
    <cfRule type="cellIs" dxfId="163" priority="156" stopIfTrue="1" operator="equal">
      <formula>"Napkin Hs"</formula>
    </cfRule>
  </conditionalFormatting>
  <conditionalFormatting sqref="B143:C143">
    <cfRule type="cellIs" dxfId="162" priority="155" stopIfTrue="1" operator="equal">
      <formula>"Towel"</formula>
    </cfRule>
  </conditionalFormatting>
  <conditionalFormatting sqref="C143">
    <cfRule type="cellIs" dxfId="161" priority="154" stopIfTrue="1" operator="equal">
      <formula>"Napkin Hs"</formula>
    </cfRule>
  </conditionalFormatting>
  <conditionalFormatting sqref="C143">
    <cfRule type="cellIs" dxfId="160" priority="151" stopIfTrue="1" operator="equal">
      <formula>"Towel"</formula>
    </cfRule>
    <cfRule type="cellIs" dxfId="159" priority="152" stopIfTrue="1" operator="equal">
      <formula>"Napkin Hs"</formula>
    </cfRule>
  </conditionalFormatting>
  <conditionalFormatting sqref="C143">
    <cfRule type="cellIs" dxfId="158" priority="153" stopIfTrue="1" operator="equal">
      <formula>"Towel"</formula>
    </cfRule>
  </conditionalFormatting>
  <conditionalFormatting sqref="B146:C146">
    <cfRule type="cellIs" dxfId="157" priority="150" stopIfTrue="1" operator="equal">
      <formula>"Napkin Hs"</formula>
    </cfRule>
  </conditionalFormatting>
  <conditionalFormatting sqref="B146:C146">
    <cfRule type="cellIs" dxfId="156" priority="149" stopIfTrue="1" operator="equal">
      <formula>"Towel"</formula>
    </cfRule>
  </conditionalFormatting>
  <conditionalFormatting sqref="C146">
    <cfRule type="cellIs" dxfId="155" priority="148" stopIfTrue="1" operator="equal">
      <formula>"Napkin Hs"</formula>
    </cfRule>
  </conditionalFormatting>
  <conditionalFormatting sqref="C146">
    <cfRule type="cellIs" dxfId="154" priority="145" stopIfTrue="1" operator="equal">
      <formula>"Towel"</formula>
    </cfRule>
    <cfRule type="cellIs" dxfId="153" priority="146" stopIfTrue="1" operator="equal">
      <formula>"Napkin Hs"</formula>
    </cfRule>
  </conditionalFormatting>
  <conditionalFormatting sqref="C146">
    <cfRule type="cellIs" dxfId="152" priority="147" stopIfTrue="1" operator="equal">
      <formula>"Towel"</formula>
    </cfRule>
  </conditionalFormatting>
  <conditionalFormatting sqref="B147:C147">
    <cfRule type="cellIs" dxfId="151" priority="144" stopIfTrue="1" operator="equal">
      <formula>"Napkin Hs"</formula>
    </cfRule>
  </conditionalFormatting>
  <conditionalFormatting sqref="B147:C147">
    <cfRule type="cellIs" dxfId="150" priority="143" stopIfTrue="1" operator="equal">
      <formula>"Towel"</formula>
    </cfRule>
  </conditionalFormatting>
  <conditionalFormatting sqref="C147">
    <cfRule type="cellIs" dxfId="149" priority="142" stopIfTrue="1" operator="equal">
      <formula>"Napkin Hs"</formula>
    </cfRule>
  </conditionalFormatting>
  <conditionalFormatting sqref="C147">
    <cfRule type="cellIs" dxfId="148" priority="141" stopIfTrue="1" operator="equal">
      <formula>"Towel"</formula>
    </cfRule>
  </conditionalFormatting>
  <conditionalFormatting sqref="C147">
    <cfRule type="cellIs" dxfId="147" priority="139" stopIfTrue="1" operator="equal">
      <formula>"Towel"</formula>
    </cfRule>
    <cfRule type="cellIs" dxfId="146" priority="140" stopIfTrue="1" operator="equal">
      <formula>"Napkin Hs"</formula>
    </cfRule>
  </conditionalFormatting>
  <conditionalFormatting sqref="B147:C147">
    <cfRule type="cellIs" dxfId="145" priority="137" stopIfTrue="1" operator="equal">
      <formula>"Towel"</formula>
    </cfRule>
    <cfRule type="cellIs" dxfId="144" priority="138" stopIfTrue="1" operator="equal">
      <formula>"Napkin Hs"</formula>
    </cfRule>
  </conditionalFormatting>
  <conditionalFormatting sqref="C147">
    <cfRule type="cellIs" dxfId="143" priority="135" stopIfTrue="1" operator="equal">
      <formula>"Towel"</formula>
    </cfRule>
    <cfRule type="cellIs" dxfId="142" priority="136" stopIfTrue="1" operator="equal">
      <formula>"Napkin Hs"</formula>
    </cfRule>
  </conditionalFormatting>
  <conditionalFormatting sqref="C147">
    <cfRule type="cellIs" dxfId="141" priority="133" stopIfTrue="1" operator="equal">
      <formula>"Towel"</formula>
    </cfRule>
    <cfRule type="cellIs" dxfId="140" priority="134" stopIfTrue="1" operator="equal">
      <formula>"Napkin Hs"</formula>
    </cfRule>
  </conditionalFormatting>
  <conditionalFormatting sqref="B147:C147">
    <cfRule type="cellIs" dxfId="139" priority="132" stopIfTrue="1" operator="equal">
      <formula>"Napkin Hs"</formula>
    </cfRule>
  </conditionalFormatting>
  <conditionalFormatting sqref="B147:C147">
    <cfRule type="cellIs" dxfId="138" priority="131" stopIfTrue="1" operator="equal">
      <formula>"Towel"</formula>
    </cfRule>
  </conditionalFormatting>
  <conditionalFormatting sqref="C147">
    <cfRule type="cellIs" dxfId="137" priority="130" stopIfTrue="1" operator="equal">
      <formula>"Napkin Hs"</formula>
    </cfRule>
  </conditionalFormatting>
  <conditionalFormatting sqref="C147">
    <cfRule type="cellIs" dxfId="136" priority="129" stopIfTrue="1" operator="equal">
      <formula>"Towel"</formula>
    </cfRule>
  </conditionalFormatting>
  <conditionalFormatting sqref="C147">
    <cfRule type="cellIs" dxfId="135" priority="127" stopIfTrue="1" operator="equal">
      <formula>"Towel"</formula>
    </cfRule>
    <cfRule type="cellIs" dxfId="134" priority="128" stopIfTrue="1" operator="equal">
      <formula>"Napkin Hs"</formula>
    </cfRule>
  </conditionalFormatting>
  <conditionalFormatting sqref="B147:C147">
    <cfRule type="cellIs" dxfId="133" priority="125" stopIfTrue="1" operator="equal">
      <formula>"Towel"</formula>
    </cfRule>
    <cfRule type="cellIs" dxfId="132" priority="126" stopIfTrue="1" operator="equal">
      <formula>"Napkin Hs"</formula>
    </cfRule>
  </conditionalFormatting>
  <conditionalFormatting sqref="C147">
    <cfRule type="cellIs" dxfId="131" priority="121" stopIfTrue="1" operator="equal">
      <formula>"Towel"</formula>
    </cfRule>
    <cfRule type="cellIs" dxfId="130" priority="122" stopIfTrue="1" operator="equal">
      <formula>"Napkin Hs"</formula>
    </cfRule>
  </conditionalFormatting>
  <conditionalFormatting sqref="C147">
    <cfRule type="cellIs" dxfId="129" priority="123" stopIfTrue="1" operator="equal">
      <formula>"Towel"</formula>
    </cfRule>
    <cfRule type="cellIs" dxfId="128" priority="124" stopIfTrue="1" operator="equal">
      <formula>"Napkin Hs"</formula>
    </cfRule>
  </conditionalFormatting>
  <conditionalFormatting sqref="B147:C147">
    <cfRule type="cellIs" dxfId="127" priority="120" stopIfTrue="1" operator="equal">
      <formula>"Napkin Hs"</formula>
    </cfRule>
  </conditionalFormatting>
  <conditionalFormatting sqref="B147:C147">
    <cfRule type="cellIs" dxfId="126" priority="119" stopIfTrue="1" operator="equal">
      <formula>"Towel"</formula>
    </cfRule>
  </conditionalFormatting>
  <conditionalFormatting sqref="C147">
    <cfRule type="cellIs" dxfId="125" priority="118" stopIfTrue="1" operator="equal">
      <formula>"Napkin Hs"</formula>
    </cfRule>
  </conditionalFormatting>
  <conditionalFormatting sqref="C147">
    <cfRule type="cellIs" dxfId="124" priority="117" stopIfTrue="1" operator="equal">
      <formula>"Towel"</formula>
    </cfRule>
  </conditionalFormatting>
  <conditionalFormatting sqref="C147">
    <cfRule type="cellIs" dxfId="123" priority="115" stopIfTrue="1" operator="equal">
      <formula>"Towel"</formula>
    </cfRule>
    <cfRule type="cellIs" dxfId="122" priority="116" stopIfTrue="1" operator="equal">
      <formula>"Napkin Hs"</formula>
    </cfRule>
  </conditionalFormatting>
  <conditionalFormatting sqref="B147:C147">
    <cfRule type="cellIs" dxfId="121" priority="113" stopIfTrue="1" operator="equal">
      <formula>"Towel"</formula>
    </cfRule>
    <cfRule type="cellIs" dxfId="120" priority="114" stopIfTrue="1" operator="equal">
      <formula>"Napkin Hs"</formula>
    </cfRule>
  </conditionalFormatting>
  <conditionalFormatting sqref="C147">
    <cfRule type="cellIs" dxfId="119" priority="111" stopIfTrue="1" operator="equal">
      <formula>"Towel"</formula>
    </cfRule>
    <cfRule type="cellIs" dxfId="118" priority="112" stopIfTrue="1" operator="equal">
      <formula>"Napkin Hs"</formula>
    </cfRule>
  </conditionalFormatting>
  <conditionalFormatting sqref="C147">
    <cfRule type="cellIs" dxfId="117" priority="109" stopIfTrue="1" operator="equal">
      <formula>"Towel"</formula>
    </cfRule>
    <cfRule type="cellIs" dxfId="116" priority="110" stopIfTrue="1" operator="equal">
      <formula>"Napkin Hs"</formula>
    </cfRule>
  </conditionalFormatting>
  <conditionalFormatting sqref="B147:C147">
    <cfRule type="cellIs" dxfId="115" priority="107" stopIfTrue="1" operator="equal">
      <formula>"Towel"</formula>
    </cfRule>
    <cfRule type="cellIs" dxfId="114" priority="108" stopIfTrue="1" operator="equal">
      <formula>"Napkin Hs"</formula>
    </cfRule>
  </conditionalFormatting>
  <conditionalFormatting sqref="C147">
    <cfRule type="cellIs" dxfId="113" priority="105" stopIfTrue="1" operator="equal">
      <formula>"Towel"</formula>
    </cfRule>
    <cfRule type="cellIs" dxfId="112" priority="106" stopIfTrue="1" operator="equal">
      <formula>"Napkin Hs"</formula>
    </cfRule>
  </conditionalFormatting>
  <conditionalFormatting sqref="C147">
    <cfRule type="cellIs" dxfId="111" priority="103" stopIfTrue="1" operator="equal">
      <formula>"Towel"</formula>
    </cfRule>
    <cfRule type="cellIs" dxfId="110" priority="104" stopIfTrue="1" operator="equal">
      <formula>"Napkin Hs"</formula>
    </cfRule>
  </conditionalFormatting>
  <conditionalFormatting sqref="B147:C147">
    <cfRule type="cellIs" dxfId="109" priority="101" stopIfTrue="1" operator="equal">
      <formula>"Towel"</formula>
    </cfRule>
    <cfRule type="cellIs" dxfId="108" priority="102" stopIfTrue="1" operator="equal">
      <formula>"Napkin Hs"</formula>
    </cfRule>
  </conditionalFormatting>
  <conditionalFormatting sqref="C147">
    <cfRule type="cellIs" dxfId="107" priority="99" stopIfTrue="1" operator="equal">
      <formula>"Towel"</formula>
    </cfRule>
    <cfRule type="cellIs" dxfId="106" priority="100" stopIfTrue="1" operator="equal">
      <formula>"Napkin Hs"</formula>
    </cfRule>
  </conditionalFormatting>
  <conditionalFormatting sqref="C147">
    <cfRule type="cellIs" dxfId="105" priority="97" stopIfTrue="1" operator="equal">
      <formula>"Towel"</formula>
    </cfRule>
    <cfRule type="cellIs" dxfId="104" priority="98" stopIfTrue="1" operator="equal">
      <formula>"Napkin Hs"</formula>
    </cfRule>
  </conditionalFormatting>
  <conditionalFormatting sqref="B147:C147">
    <cfRule type="cellIs" dxfId="103" priority="95" stopIfTrue="1" operator="equal">
      <formula>"Towel"</formula>
    </cfRule>
    <cfRule type="cellIs" dxfId="102" priority="96" stopIfTrue="1" operator="equal">
      <formula>"Napkin Hs"</formula>
    </cfRule>
  </conditionalFormatting>
  <conditionalFormatting sqref="C147">
    <cfRule type="cellIs" dxfId="101" priority="93" stopIfTrue="1" operator="equal">
      <formula>"Towel"</formula>
    </cfRule>
    <cfRule type="cellIs" dxfId="100" priority="94" stopIfTrue="1" operator="equal">
      <formula>"Napkin Hs"</formula>
    </cfRule>
  </conditionalFormatting>
  <conditionalFormatting sqref="C147">
    <cfRule type="cellIs" dxfId="99" priority="91" stopIfTrue="1" operator="equal">
      <formula>"Towel"</formula>
    </cfRule>
    <cfRule type="cellIs" dxfId="98" priority="92" stopIfTrue="1" operator="equal">
      <formula>"Napkin Hs"</formula>
    </cfRule>
  </conditionalFormatting>
  <conditionalFormatting sqref="B147:C147">
    <cfRule type="cellIs" dxfId="97" priority="89" stopIfTrue="1" operator="equal">
      <formula>"Towel"</formula>
    </cfRule>
    <cfRule type="cellIs" dxfId="96" priority="90" stopIfTrue="1" operator="equal">
      <formula>"Napkin Hs"</formula>
    </cfRule>
  </conditionalFormatting>
  <conditionalFormatting sqref="C147">
    <cfRule type="cellIs" dxfId="95" priority="87" stopIfTrue="1" operator="equal">
      <formula>"Towel"</formula>
    </cfRule>
    <cfRule type="cellIs" dxfId="94" priority="88" stopIfTrue="1" operator="equal">
      <formula>"Napkin Hs"</formula>
    </cfRule>
  </conditionalFormatting>
  <conditionalFormatting sqref="C147">
    <cfRule type="cellIs" dxfId="93" priority="85" stopIfTrue="1" operator="equal">
      <formula>"Towel"</formula>
    </cfRule>
    <cfRule type="cellIs" dxfId="92" priority="86" stopIfTrue="1" operator="equal">
      <formula>"Napkin Hs"</formula>
    </cfRule>
  </conditionalFormatting>
  <conditionalFormatting sqref="B147:C147">
    <cfRule type="cellIs" dxfId="91" priority="84" stopIfTrue="1" operator="equal">
      <formula>"Napkin Hs"</formula>
    </cfRule>
  </conditionalFormatting>
  <conditionalFormatting sqref="B147:C147">
    <cfRule type="cellIs" dxfId="90" priority="83" stopIfTrue="1" operator="equal">
      <formula>"Towel"</formula>
    </cfRule>
  </conditionalFormatting>
  <conditionalFormatting sqref="C147">
    <cfRule type="cellIs" dxfId="89" priority="82" stopIfTrue="1" operator="equal">
      <formula>"Napkin Hs"</formula>
    </cfRule>
  </conditionalFormatting>
  <conditionalFormatting sqref="C147">
    <cfRule type="cellIs" dxfId="88" priority="79" stopIfTrue="1" operator="equal">
      <formula>"Towel"</formula>
    </cfRule>
    <cfRule type="cellIs" dxfId="87" priority="80" stopIfTrue="1" operator="equal">
      <formula>"Napkin Hs"</formula>
    </cfRule>
  </conditionalFormatting>
  <conditionalFormatting sqref="C147">
    <cfRule type="cellIs" dxfId="86" priority="81" stopIfTrue="1" operator="equal">
      <formula>"Towel"</formula>
    </cfRule>
  </conditionalFormatting>
  <conditionalFormatting sqref="B147:C147">
    <cfRule type="cellIs" dxfId="85" priority="78" stopIfTrue="1" operator="equal">
      <formula>"Napkin Hs"</formula>
    </cfRule>
  </conditionalFormatting>
  <conditionalFormatting sqref="B147:C147">
    <cfRule type="cellIs" dxfId="84" priority="77" stopIfTrue="1" operator="equal">
      <formula>"Towel"</formula>
    </cfRule>
  </conditionalFormatting>
  <conditionalFormatting sqref="C147">
    <cfRule type="cellIs" dxfId="83" priority="76" stopIfTrue="1" operator="equal">
      <formula>"Napkin Hs"</formula>
    </cfRule>
  </conditionalFormatting>
  <conditionalFormatting sqref="C147">
    <cfRule type="cellIs" dxfId="82" priority="75" stopIfTrue="1" operator="equal">
      <formula>"Towel"</formula>
    </cfRule>
  </conditionalFormatting>
  <conditionalFormatting sqref="C147">
    <cfRule type="cellIs" dxfId="81" priority="73" stopIfTrue="1" operator="equal">
      <formula>"Towel"</formula>
    </cfRule>
    <cfRule type="cellIs" dxfId="80" priority="74" stopIfTrue="1" operator="equal">
      <formula>"Napkin Hs"</formula>
    </cfRule>
  </conditionalFormatting>
  <conditionalFormatting sqref="B147:C147">
    <cfRule type="cellIs" dxfId="79" priority="71" stopIfTrue="1" operator="equal">
      <formula>"Towel"</formula>
    </cfRule>
    <cfRule type="cellIs" dxfId="78" priority="72" stopIfTrue="1" operator="equal">
      <formula>"Napkin Hs"</formula>
    </cfRule>
  </conditionalFormatting>
  <conditionalFormatting sqref="C147">
    <cfRule type="cellIs" dxfId="77" priority="67" stopIfTrue="1" operator="equal">
      <formula>"Towel"</formula>
    </cfRule>
    <cfRule type="cellIs" dxfId="76" priority="68" stopIfTrue="1" operator="equal">
      <formula>"Napkin Hs"</formula>
    </cfRule>
  </conditionalFormatting>
  <conditionalFormatting sqref="C147">
    <cfRule type="cellIs" dxfId="75" priority="69" stopIfTrue="1" operator="equal">
      <formula>"Towel"</formula>
    </cfRule>
    <cfRule type="cellIs" dxfId="74" priority="70" stopIfTrue="1" operator="equal">
      <formula>"Napkin Hs"</formula>
    </cfRule>
  </conditionalFormatting>
  <conditionalFormatting sqref="B147:C147">
    <cfRule type="cellIs" dxfId="73" priority="66" stopIfTrue="1" operator="equal">
      <formula>"Napkin Hs"</formula>
    </cfRule>
  </conditionalFormatting>
  <conditionalFormatting sqref="B147:C147">
    <cfRule type="cellIs" dxfId="72" priority="65" stopIfTrue="1" operator="equal">
      <formula>"Towel"</formula>
    </cfRule>
  </conditionalFormatting>
  <conditionalFormatting sqref="C147">
    <cfRule type="cellIs" dxfId="71" priority="64" stopIfTrue="1" operator="equal">
      <formula>"Napkin Hs"</formula>
    </cfRule>
  </conditionalFormatting>
  <conditionalFormatting sqref="C147">
    <cfRule type="cellIs" dxfId="70" priority="63" stopIfTrue="1" operator="equal">
      <formula>"Towel"</formula>
    </cfRule>
  </conditionalFormatting>
  <conditionalFormatting sqref="C147">
    <cfRule type="cellIs" dxfId="69" priority="61" stopIfTrue="1" operator="equal">
      <formula>"Towel"</formula>
    </cfRule>
    <cfRule type="cellIs" dxfId="68" priority="62" stopIfTrue="1" operator="equal">
      <formula>"Napkin Hs"</formula>
    </cfRule>
  </conditionalFormatting>
  <conditionalFormatting sqref="B147:C147">
    <cfRule type="cellIs" dxfId="67" priority="59" stopIfTrue="1" operator="equal">
      <formula>"Towel"</formula>
    </cfRule>
    <cfRule type="cellIs" dxfId="66" priority="60" stopIfTrue="1" operator="equal">
      <formula>"Napkin Hs"</formula>
    </cfRule>
  </conditionalFormatting>
  <conditionalFormatting sqref="C147">
    <cfRule type="cellIs" dxfId="65" priority="57" stopIfTrue="1" operator="equal">
      <formula>"Towel"</formula>
    </cfRule>
    <cfRule type="cellIs" dxfId="64" priority="58" stopIfTrue="1" operator="equal">
      <formula>"Napkin Hs"</formula>
    </cfRule>
  </conditionalFormatting>
  <conditionalFormatting sqref="C147">
    <cfRule type="cellIs" dxfId="63" priority="55" stopIfTrue="1" operator="equal">
      <formula>"Towel"</formula>
    </cfRule>
    <cfRule type="cellIs" dxfId="62" priority="56" stopIfTrue="1" operator="equal">
      <formula>"Napkin Hs"</formula>
    </cfRule>
  </conditionalFormatting>
  <conditionalFormatting sqref="B147:C147">
    <cfRule type="cellIs" dxfId="61" priority="53" stopIfTrue="1" operator="equal">
      <formula>"Towel"</formula>
    </cfRule>
    <cfRule type="cellIs" dxfId="60" priority="54" stopIfTrue="1" operator="equal">
      <formula>"Napkin Hs"</formula>
    </cfRule>
  </conditionalFormatting>
  <conditionalFormatting sqref="C147">
    <cfRule type="cellIs" dxfId="59" priority="51" stopIfTrue="1" operator="equal">
      <formula>"Towel"</formula>
    </cfRule>
    <cfRule type="cellIs" dxfId="58" priority="52" stopIfTrue="1" operator="equal">
      <formula>"Napkin Hs"</formula>
    </cfRule>
  </conditionalFormatting>
  <conditionalFormatting sqref="C147">
    <cfRule type="cellIs" dxfId="57" priority="49" stopIfTrue="1" operator="equal">
      <formula>"Towel"</formula>
    </cfRule>
    <cfRule type="cellIs" dxfId="56" priority="50" stopIfTrue="1" operator="equal">
      <formula>"Napkin Hs"</formula>
    </cfRule>
  </conditionalFormatting>
  <conditionalFormatting sqref="B147:C147">
    <cfRule type="cellIs" dxfId="55" priority="47" stopIfTrue="1" operator="equal">
      <formula>"Towel"</formula>
    </cfRule>
    <cfRule type="cellIs" dxfId="54" priority="48" stopIfTrue="1" operator="equal">
      <formula>"Napkin Hs"</formula>
    </cfRule>
  </conditionalFormatting>
  <conditionalFormatting sqref="C147">
    <cfRule type="cellIs" dxfId="53" priority="45" stopIfTrue="1" operator="equal">
      <formula>"Towel"</formula>
    </cfRule>
    <cfRule type="cellIs" dxfId="52" priority="46" stopIfTrue="1" operator="equal">
      <formula>"Napkin Hs"</formula>
    </cfRule>
  </conditionalFormatting>
  <conditionalFormatting sqref="C147">
    <cfRule type="cellIs" dxfId="51" priority="43" stopIfTrue="1" operator="equal">
      <formula>"Towel"</formula>
    </cfRule>
    <cfRule type="cellIs" dxfId="50" priority="44" stopIfTrue="1" operator="equal">
      <formula>"Napkin Hs"</formula>
    </cfRule>
  </conditionalFormatting>
  <conditionalFormatting sqref="B147:C147">
    <cfRule type="cellIs" dxfId="49" priority="41" stopIfTrue="1" operator="equal">
      <formula>"Towel"</formula>
    </cfRule>
    <cfRule type="cellIs" dxfId="48" priority="42" stopIfTrue="1" operator="equal">
      <formula>"Napkin Hs"</formula>
    </cfRule>
  </conditionalFormatting>
  <conditionalFormatting sqref="C147">
    <cfRule type="cellIs" dxfId="47" priority="39" stopIfTrue="1" operator="equal">
      <formula>"Towel"</formula>
    </cfRule>
    <cfRule type="cellIs" dxfId="46" priority="40" stopIfTrue="1" operator="equal">
      <formula>"Napkin Hs"</formula>
    </cfRule>
  </conditionalFormatting>
  <conditionalFormatting sqref="C147">
    <cfRule type="cellIs" dxfId="45" priority="37" stopIfTrue="1" operator="equal">
      <formula>"Towel"</formula>
    </cfRule>
    <cfRule type="cellIs" dxfId="44" priority="38" stopIfTrue="1" operator="equal">
      <formula>"Napkin Hs"</formula>
    </cfRule>
  </conditionalFormatting>
  <conditionalFormatting sqref="B147:C147">
    <cfRule type="cellIs" dxfId="43" priority="35" stopIfTrue="1" operator="equal">
      <formula>"Towel"</formula>
    </cfRule>
    <cfRule type="cellIs" dxfId="42" priority="36" stopIfTrue="1" operator="equal">
      <formula>"Napkin Hs"</formula>
    </cfRule>
  </conditionalFormatting>
  <conditionalFormatting sqref="C147">
    <cfRule type="cellIs" dxfId="41" priority="33" stopIfTrue="1" operator="equal">
      <formula>"Towel"</formula>
    </cfRule>
    <cfRule type="cellIs" dxfId="40" priority="34" stopIfTrue="1" operator="equal">
      <formula>"Napkin Hs"</formula>
    </cfRule>
  </conditionalFormatting>
  <conditionalFormatting sqref="C147">
    <cfRule type="cellIs" dxfId="39" priority="31" stopIfTrue="1" operator="equal">
      <formula>"Towel"</formula>
    </cfRule>
    <cfRule type="cellIs" dxfId="38" priority="32" stopIfTrue="1" operator="equal">
      <formula>"Napkin Hs"</formula>
    </cfRule>
  </conditionalFormatting>
  <conditionalFormatting sqref="B147:C147">
    <cfRule type="cellIs" dxfId="37" priority="30" stopIfTrue="1" operator="equal">
      <formula>"Napkin Hs"</formula>
    </cfRule>
  </conditionalFormatting>
  <conditionalFormatting sqref="B147:C147">
    <cfRule type="cellIs" dxfId="36" priority="29" stopIfTrue="1" operator="equal">
      <formula>"Towel"</formula>
    </cfRule>
  </conditionalFormatting>
  <conditionalFormatting sqref="C147">
    <cfRule type="cellIs" dxfId="35" priority="28" stopIfTrue="1" operator="equal">
      <formula>"Napkin Hs"</formula>
    </cfRule>
  </conditionalFormatting>
  <conditionalFormatting sqref="C147">
    <cfRule type="cellIs" dxfId="34" priority="25" stopIfTrue="1" operator="equal">
      <formula>"Towel"</formula>
    </cfRule>
    <cfRule type="cellIs" dxfId="33" priority="26" stopIfTrue="1" operator="equal">
      <formula>"Napkin Hs"</formula>
    </cfRule>
  </conditionalFormatting>
  <conditionalFormatting sqref="C147">
    <cfRule type="cellIs" dxfId="32" priority="27" stopIfTrue="1" operator="equal">
      <formula>"Towel"</formula>
    </cfRule>
  </conditionalFormatting>
  <conditionalFormatting sqref="B147:C147">
    <cfRule type="cellIs" dxfId="31" priority="24" stopIfTrue="1" operator="equal">
      <formula>"Napkin Hs"</formula>
    </cfRule>
  </conditionalFormatting>
  <conditionalFormatting sqref="B147:C147">
    <cfRule type="cellIs" dxfId="30" priority="23" stopIfTrue="1" operator="equal">
      <formula>"Towel"</formula>
    </cfRule>
  </conditionalFormatting>
  <conditionalFormatting sqref="C147">
    <cfRule type="cellIs" dxfId="29" priority="22" stopIfTrue="1" operator="equal">
      <formula>"Napkin Hs"</formula>
    </cfRule>
  </conditionalFormatting>
  <conditionalFormatting sqref="C147">
    <cfRule type="cellIs" dxfId="28" priority="19" stopIfTrue="1" operator="equal">
      <formula>"Towel"</formula>
    </cfRule>
    <cfRule type="cellIs" dxfId="27" priority="20" stopIfTrue="1" operator="equal">
      <formula>"Napkin Hs"</formula>
    </cfRule>
  </conditionalFormatting>
  <conditionalFormatting sqref="C147">
    <cfRule type="cellIs" dxfId="26" priority="21" stopIfTrue="1" operator="equal">
      <formula>"Towel"</formula>
    </cfRule>
  </conditionalFormatting>
  <conditionalFormatting sqref="B147:C147">
    <cfRule type="cellIs" dxfId="25" priority="18" stopIfTrue="1" operator="equal">
      <formula>"Napkin Hs"</formula>
    </cfRule>
  </conditionalFormatting>
  <conditionalFormatting sqref="B147:C147">
    <cfRule type="cellIs" dxfId="24" priority="17" stopIfTrue="1" operator="equal">
      <formula>"Towel"</formula>
    </cfRule>
  </conditionalFormatting>
  <conditionalFormatting sqref="C147">
    <cfRule type="cellIs" dxfId="23" priority="16" stopIfTrue="1" operator="equal">
      <formula>"Napkin Hs"</formula>
    </cfRule>
  </conditionalFormatting>
  <conditionalFormatting sqref="C147">
    <cfRule type="cellIs" dxfId="22" priority="13" stopIfTrue="1" operator="equal">
      <formula>"Towel"</formula>
    </cfRule>
    <cfRule type="cellIs" dxfId="21" priority="14" stopIfTrue="1" operator="equal">
      <formula>"Napkin Hs"</formula>
    </cfRule>
  </conditionalFormatting>
  <conditionalFormatting sqref="C147">
    <cfRule type="cellIs" dxfId="20" priority="15" stopIfTrue="1" operator="equal">
      <formula>"Towel"</formula>
    </cfRule>
  </conditionalFormatting>
  <conditionalFormatting sqref="B141:C141">
    <cfRule type="cellIs" dxfId="19" priority="12" stopIfTrue="1" operator="equal">
      <formula>"Napkin Hs"</formula>
    </cfRule>
  </conditionalFormatting>
  <conditionalFormatting sqref="B141:C141">
    <cfRule type="cellIs" dxfId="18" priority="11" stopIfTrue="1" operator="equal">
      <formula>"Towel"</formula>
    </cfRule>
  </conditionalFormatting>
  <conditionalFormatting sqref="C141">
    <cfRule type="cellIs" dxfId="17" priority="10" stopIfTrue="1" operator="equal">
      <formula>"Napkin Hs"</formula>
    </cfRule>
  </conditionalFormatting>
  <conditionalFormatting sqref="C141">
    <cfRule type="cellIs" dxfId="16" priority="7" stopIfTrue="1" operator="equal">
      <formula>"Towel"</formula>
    </cfRule>
    <cfRule type="cellIs" dxfId="15" priority="8" stopIfTrue="1" operator="equal">
      <formula>"Napkin Hs"</formula>
    </cfRule>
  </conditionalFormatting>
  <conditionalFormatting sqref="C141">
    <cfRule type="cellIs" dxfId="14" priority="9" stopIfTrue="1" operator="equal">
      <formula>"Towel"</formula>
    </cfRule>
  </conditionalFormatting>
  <conditionalFormatting sqref="B145:C145">
    <cfRule type="cellIs" dxfId="13" priority="6" stopIfTrue="1" operator="equal">
      <formula>"Napkin Hs"</formula>
    </cfRule>
  </conditionalFormatting>
  <conditionalFormatting sqref="B145:C145">
    <cfRule type="cellIs" dxfId="12" priority="5" stopIfTrue="1" operator="equal">
      <formula>"Towel"</formula>
    </cfRule>
  </conditionalFormatting>
  <conditionalFormatting sqref="C145">
    <cfRule type="cellIs" dxfId="11" priority="4" stopIfTrue="1" operator="equal">
      <formula>"Napkin Hs"</formula>
    </cfRule>
  </conditionalFormatting>
  <conditionalFormatting sqref="C145">
    <cfRule type="cellIs" dxfId="10" priority="1" stopIfTrue="1" operator="equal">
      <formula>"Towel"</formula>
    </cfRule>
    <cfRule type="cellIs" dxfId="9" priority="2" stopIfTrue="1" operator="equal">
      <formula>"Napkin Hs"</formula>
    </cfRule>
  </conditionalFormatting>
  <conditionalFormatting sqref="C145">
    <cfRule type="cellIs" dxfId="8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45"/>
  <sheetViews>
    <sheetView zoomScale="85" workbookViewId="0">
      <pane xSplit="5" ySplit="9" topLeftCell="AE25" activePane="bottomRight" state="frozen"/>
      <selection pane="topRight"/>
      <selection pane="bottomLeft"/>
      <selection pane="bottomRight" activeCell="CD42" sqref="A4:CD42"/>
    </sheetView>
  </sheetViews>
  <sheetFormatPr defaultColWidth="9.140625" defaultRowHeight="12.75"/>
  <cols>
    <col min="1" max="1" width="8" customWidth="1"/>
    <col min="4" max="4" width="12.5703125" customWidth="1"/>
    <col min="5" max="6" width="10" customWidth="1"/>
    <col min="7" max="7" width="10.710937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hidden="1" customWidth="1"/>
    <col min="28" max="28" width="8.7109375" hidden="1" customWidth="1"/>
    <col min="29" max="29" width="12.140625" hidden="1" customWidth="1"/>
    <col min="30" max="30" width="9.28515625" hidden="1" customWidth="1"/>
    <col min="31" max="31" width="13.140625" customWidth="1"/>
    <col min="32" max="32" width="8.28515625" bestFit="1" customWidth="1"/>
    <col min="33" max="33" width="14.42578125" bestFit="1" customWidth="1"/>
    <col min="34" max="34" width="8" bestFit="1" customWidth="1"/>
    <col min="35" max="35" width="11.5703125" hidden="1" customWidth="1"/>
    <col min="36" max="36" width="7.7109375" hidden="1" customWidth="1"/>
    <col min="37" max="37" width="11.5703125" hidden="1" customWidth="1"/>
    <col min="38" max="38" width="7.7109375" hidden="1" customWidth="1"/>
    <col min="39" max="39" width="12.85546875" hidden="1" customWidth="1"/>
    <col min="40" max="40" width="7.7109375" hidden="1" customWidth="1"/>
    <col min="41" max="41" width="12.42578125" hidden="1" customWidth="1"/>
    <col min="42" max="42" width="7.7109375" hidden="1" customWidth="1"/>
    <col min="43" max="43" width="17.7109375" hidden="1" customWidth="1"/>
    <col min="44" max="44" width="12.28515625" hidden="1" customWidth="1"/>
    <col min="45" max="45" width="14.42578125" hidden="1" customWidth="1"/>
    <col min="46" max="46" width="9.42578125" hidden="1" customWidth="1"/>
    <col min="47" max="47" width="17.7109375" hidden="1" customWidth="1"/>
    <col min="48" max="48" width="9.28515625" hidden="1" customWidth="1"/>
    <col min="49" max="49" width="14.42578125" hidden="1" customWidth="1"/>
    <col min="50" max="50" width="8.140625" hidden="1" customWidth="1"/>
    <col min="51" max="51" width="11.42578125" hidden="1" customWidth="1"/>
    <col min="52" max="52" width="8.5703125" hidden="1" customWidth="1"/>
    <col min="53" max="53" width="11.42578125" hidden="1" customWidth="1"/>
    <col min="54" max="54" width="8" hidden="1" customWidth="1"/>
    <col min="55" max="55" width="11.5703125" bestFit="1" customWidth="1"/>
    <col min="56" max="56" width="8.140625" customWidth="1"/>
    <col min="57" max="57" width="13.140625" customWidth="1"/>
    <col min="58" max="58" width="8.140625" customWidth="1"/>
    <col min="59" max="59" width="12.140625" hidden="1" customWidth="1"/>
    <col min="60" max="60" width="7.7109375" hidden="1" customWidth="1"/>
    <col min="61" max="61" width="12.140625" hidden="1" customWidth="1"/>
    <col min="62" max="62" width="7.7109375" hidden="1" customWidth="1"/>
    <col min="63" max="63" width="13.28515625" hidden="1" customWidth="1"/>
    <col min="64" max="64" width="8.85546875" hidden="1" customWidth="1"/>
    <col min="65" max="65" width="15.28515625" hidden="1" customWidth="1"/>
    <col min="66" max="66" width="7.7109375" hidden="1" customWidth="1"/>
    <col min="67" max="67" width="10.28515625" hidden="1" customWidth="1"/>
    <col min="68" max="68" width="8.140625" hidden="1" customWidth="1"/>
    <col min="69" max="69" width="11.42578125" hidden="1" customWidth="1"/>
    <col min="70" max="70" width="7.7109375" hidden="1" customWidth="1"/>
    <col min="71" max="71" width="11.85546875" customWidth="1"/>
    <col min="72" max="72" width="9.28515625" customWidth="1"/>
    <col min="73" max="73" width="14.42578125" customWidth="1"/>
    <col min="74" max="74" width="10" customWidth="1"/>
    <col min="75" max="75" width="9.5703125" bestFit="1" customWidth="1"/>
    <col min="76" max="76" width="8.7109375" customWidth="1"/>
    <col min="77" max="77" width="12.85546875" customWidth="1"/>
    <col min="78" max="78" width="8.42578125" customWidth="1"/>
    <col min="79" max="79" width="17.7109375" bestFit="1" customWidth="1"/>
    <col min="80" max="80" width="14.42578125" bestFit="1" customWidth="1"/>
    <col min="81" max="81" width="8.85546875" bestFit="1" customWidth="1"/>
    <col min="82" max="82" width="10.28515625" bestFit="1" customWidth="1"/>
    <col min="83" max="83" width="13.28515625" bestFit="1" customWidth="1"/>
    <col min="84" max="84" width="10.42578125" bestFit="1" customWidth="1"/>
    <col min="86" max="86" width="15.42578125" bestFit="1" customWidth="1"/>
    <col min="87" max="87" width="10.42578125" bestFit="1" customWidth="1"/>
    <col min="90" max="90" width="10.42578125" bestFit="1" customWidth="1"/>
  </cols>
  <sheetData>
    <row r="1" spans="1:82" ht="15.75">
      <c r="A1" s="157"/>
      <c r="AP1" s="4"/>
      <c r="AU1" s="263"/>
    </row>
    <row r="2" spans="1:82" ht="15.75">
      <c r="A2" s="157"/>
      <c r="AU2" s="263"/>
      <c r="AY2" s="20"/>
    </row>
    <row r="3" spans="1:82" ht="15">
      <c r="A3" s="159"/>
      <c r="AU3" s="263"/>
    </row>
    <row r="4" spans="1:82" ht="15.75">
      <c r="A4" s="160" t="s">
        <v>324</v>
      </c>
      <c r="G4" s="13"/>
      <c r="AQ4" s="13"/>
      <c r="AU4" s="263"/>
      <c r="BL4" s="20"/>
    </row>
    <row r="5" spans="1:82" ht="15.75">
      <c r="A5" s="160"/>
      <c r="G5" s="13"/>
      <c r="AQ5" s="13"/>
      <c r="AU5" s="13"/>
    </row>
    <row r="6" spans="1:82" ht="18">
      <c r="A6" s="264"/>
      <c r="AQ6" s="13"/>
      <c r="AU6" s="13"/>
      <c r="BT6" s="13"/>
      <c r="BU6" s="13"/>
      <c r="BV6" s="13"/>
      <c r="CB6" s="13"/>
    </row>
    <row r="7" spans="1:82" ht="16.5" thickBot="1">
      <c r="A7" s="265"/>
      <c r="B7" s="265"/>
      <c r="C7" s="265"/>
      <c r="D7" s="265"/>
      <c r="E7" s="265"/>
      <c r="F7" s="265"/>
      <c r="G7" s="459">
        <v>230.59</v>
      </c>
      <c r="K7" s="464">
        <v>248.91800000000001</v>
      </c>
      <c r="O7" s="265">
        <v>214.10599999999999</v>
      </c>
      <c r="P7" s="265"/>
      <c r="Q7" s="265"/>
      <c r="R7" s="265"/>
      <c r="S7">
        <v>250</v>
      </c>
      <c r="W7">
        <v>250.69399999999999</v>
      </c>
      <c r="AA7">
        <v>222.79599999999999</v>
      </c>
      <c r="AE7" s="265"/>
      <c r="AF7" s="265"/>
      <c r="AG7" s="266"/>
      <c r="AH7" s="266"/>
      <c r="AI7" s="265">
        <v>251.43899999999999</v>
      </c>
      <c r="AJ7" s="265"/>
      <c r="AK7" s="265"/>
      <c r="AL7" s="265"/>
      <c r="AQ7" s="465">
        <v>250</v>
      </c>
      <c r="AR7" s="265"/>
      <c r="AS7" s="265"/>
      <c r="AT7" s="265"/>
      <c r="AU7" s="460">
        <v>243.255</v>
      </c>
      <c r="AV7" s="265"/>
      <c r="AW7" s="265"/>
      <c r="AX7" s="265"/>
      <c r="AY7" s="265">
        <v>250</v>
      </c>
      <c r="AZ7" s="265"/>
      <c r="BA7" s="265"/>
      <c r="BB7" s="265"/>
      <c r="BC7" s="265"/>
      <c r="BD7" s="265"/>
      <c r="BE7" s="265"/>
      <c r="BF7" s="265"/>
      <c r="BG7" s="265">
        <v>250</v>
      </c>
      <c r="BH7" s="265"/>
      <c r="BI7" s="265"/>
      <c r="BJ7" s="265"/>
      <c r="BK7" s="265">
        <v>245.55600000000001</v>
      </c>
      <c r="BL7" s="265"/>
      <c r="BM7" s="265"/>
      <c r="BN7" s="265"/>
      <c r="BO7" s="265">
        <v>252.00299999999999</v>
      </c>
      <c r="BP7" s="265"/>
      <c r="BQ7" s="265"/>
      <c r="BR7" s="265"/>
      <c r="BS7" s="266"/>
      <c r="BT7" s="266"/>
      <c r="BU7" s="265"/>
      <c r="BV7" s="265"/>
      <c r="BW7" s="265"/>
      <c r="BX7" s="265"/>
      <c r="BY7" s="265"/>
      <c r="BZ7" s="265"/>
      <c r="CA7" s="265"/>
      <c r="CB7" s="265"/>
      <c r="CC7" s="265"/>
      <c r="CD7" s="265"/>
    </row>
    <row r="8" spans="1:82" ht="38.25" customHeight="1" thickTop="1">
      <c r="A8" s="950" t="s">
        <v>30</v>
      </c>
      <c r="B8" s="950" t="s">
        <v>4</v>
      </c>
      <c r="C8" s="950" t="s">
        <v>5</v>
      </c>
      <c r="D8" s="952" t="s">
        <v>41</v>
      </c>
      <c r="E8" s="954" t="s">
        <v>39</v>
      </c>
      <c r="F8" s="955"/>
      <c r="G8" s="944" t="s">
        <v>210</v>
      </c>
      <c r="H8" s="945"/>
      <c r="I8" s="945"/>
      <c r="J8" s="949"/>
      <c r="K8" s="944" t="s">
        <v>42</v>
      </c>
      <c r="L8" s="945"/>
      <c r="M8" s="945"/>
      <c r="N8" s="949"/>
      <c r="O8" s="944" t="s">
        <v>411</v>
      </c>
      <c r="P8" s="945"/>
      <c r="Q8" s="945"/>
      <c r="R8" s="949"/>
      <c r="S8" s="944" t="s">
        <v>333</v>
      </c>
      <c r="T8" s="945"/>
      <c r="U8" s="945"/>
      <c r="V8" s="949"/>
      <c r="W8" s="944" t="s">
        <v>416</v>
      </c>
      <c r="X8" s="945"/>
      <c r="Y8" s="945"/>
      <c r="Z8" s="949"/>
      <c r="AA8" s="944" t="s">
        <v>422</v>
      </c>
      <c r="AB8" s="945"/>
      <c r="AC8" s="945"/>
      <c r="AD8" s="949"/>
      <c r="AE8" s="944" t="s">
        <v>43</v>
      </c>
      <c r="AF8" s="945"/>
      <c r="AG8" s="945"/>
      <c r="AH8" s="945"/>
      <c r="AI8" s="944" t="s">
        <v>528</v>
      </c>
      <c r="AJ8" s="945"/>
      <c r="AK8" s="945"/>
      <c r="AL8" s="945"/>
      <c r="AM8" s="946" t="s">
        <v>44</v>
      </c>
      <c r="AN8" s="947"/>
      <c r="AO8" s="947"/>
      <c r="AP8" s="948"/>
      <c r="AQ8" s="945" t="s">
        <v>313</v>
      </c>
      <c r="AR8" s="945"/>
      <c r="AS8" s="945"/>
      <c r="AT8" s="949"/>
      <c r="AU8" s="944" t="s">
        <v>211</v>
      </c>
      <c r="AV8" s="945"/>
      <c r="AW8" s="945"/>
      <c r="AX8" s="949"/>
      <c r="AY8" s="944" t="s">
        <v>233</v>
      </c>
      <c r="AZ8" s="945"/>
      <c r="BA8" s="945"/>
      <c r="BB8" s="949"/>
      <c r="BC8" s="944" t="s">
        <v>90</v>
      </c>
      <c r="BD8" s="945"/>
      <c r="BE8" s="945"/>
      <c r="BF8" s="949"/>
      <c r="BG8" s="944" t="s">
        <v>456</v>
      </c>
      <c r="BH8" s="945"/>
      <c r="BI8" s="945"/>
      <c r="BJ8" s="949"/>
      <c r="BK8" s="944" t="s">
        <v>409</v>
      </c>
      <c r="BL8" s="945"/>
      <c r="BM8" s="945"/>
      <c r="BN8" s="949"/>
      <c r="BO8" s="944" t="s">
        <v>703</v>
      </c>
      <c r="BP8" s="945"/>
      <c r="BQ8" s="945"/>
      <c r="BR8" s="949"/>
      <c r="BS8" s="944" t="s">
        <v>91</v>
      </c>
      <c r="BT8" s="945"/>
      <c r="BU8" s="945"/>
      <c r="BV8" s="945"/>
      <c r="BW8" s="944" t="s">
        <v>455</v>
      </c>
      <c r="BX8" s="945"/>
      <c r="BY8" s="945"/>
      <c r="BZ8" s="949"/>
      <c r="CA8" s="944" t="s">
        <v>45</v>
      </c>
      <c r="CB8" s="949"/>
      <c r="CC8" s="944" t="s">
        <v>46</v>
      </c>
      <c r="CD8" s="949"/>
    </row>
    <row r="9" spans="1:82">
      <c r="A9" s="951"/>
      <c r="B9" s="951"/>
      <c r="C9" s="951"/>
      <c r="D9" s="953"/>
      <c r="E9" s="2" t="s">
        <v>37</v>
      </c>
      <c r="F9" s="485" t="s">
        <v>38</v>
      </c>
      <c r="G9" s="9" t="s">
        <v>37</v>
      </c>
      <c r="H9" s="9" t="s">
        <v>11</v>
      </c>
      <c r="I9" s="484" t="s">
        <v>38</v>
      </c>
      <c r="J9" s="484" t="s">
        <v>11</v>
      </c>
      <c r="K9" s="9" t="s">
        <v>37</v>
      </c>
      <c r="L9" s="9" t="s">
        <v>11</v>
      </c>
      <c r="M9" s="484" t="s">
        <v>38</v>
      </c>
      <c r="N9" s="484" t="s">
        <v>11</v>
      </c>
      <c r="O9" s="581" t="s">
        <v>37</v>
      </c>
      <c r="P9" s="581" t="s">
        <v>11</v>
      </c>
      <c r="Q9" s="581" t="s">
        <v>38</v>
      </c>
      <c r="R9" s="581" t="s">
        <v>11</v>
      </c>
      <c r="S9" s="9" t="s">
        <v>37</v>
      </c>
      <c r="T9" s="9" t="s">
        <v>11</v>
      </c>
      <c r="U9" s="484" t="s">
        <v>38</v>
      </c>
      <c r="V9" s="484" t="s">
        <v>11</v>
      </c>
      <c r="W9" s="9" t="s">
        <v>37</v>
      </c>
      <c r="X9" s="9" t="s">
        <v>11</v>
      </c>
      <c r="Y9" s="484" t="s">
        <v>38</v>
      </c>
      <c r="Z9" s="484" t="s">
        <v>11</v>
      </c>
      <c r="AA9" s="9" t="s">
        <v>37</v>
      </c>
      <c r="AB9" s="9" t="s">
        <v>11</v>
      </c>
      <c r="AC9" s="484" t="s">
        <v>38</v>
      </c>
      <c r="AD9" s="484" t="s">
        <v>11</v>
      </c>
      <c r="AE9" s="484" t="s">
        <v>37</v>
      </c>
      <c r="AF9" s="484" t="s">
        <v>11</v>
      </c>
      <c r="AG9" s="484" t="s">
        <v>38</v>
      </c>
      <c r="AH9" s="484" t="s">
        <v>11</v>
      </c>
      <c r="AI9" s="484" t="s">
        <v>37</v>
      </c>
      <c r="AJ9" s="484" t="s">
        <v>11</v>
      </c>
      <c r="AK9" s="484" t="s">
        <v>38</v>
      </c>
      <c r="AL9" s="484" t="s">
        <v>11</v>
      </c>
      <c r="AM9" s="484" t="s">
        <v>37</v>
      </c>
      <c r="AN9" s="484" t="s">
        <v>11</v>
      </c>
      <c r="AO9" s="484" t="s">
        <v>38</v>
      </c>
      <c r="AP9" s="484" t="s">
        <v>11</v>
      </c>
      <c r="AQ9" s="484" t="s">
        <v>37</v>
      </c>
      <c r="AR9" s="484" t="s">
        <v>11</v>
      </c>
      <c r="AS9" s="484" t="s">
        <v>38</v>
      </c>
      <c r="AT9" s="484" t="s">
        <v>11</v>
      </c>
      <c r="AU9" s="484" t="s">
        <v>37</v>
      </c>
      <c r="AV9" s="484" t="s">
        <v>11</v>
      </c>
      <c r="AW9" s="484" t="s">
        <v>38</v>
      </c>
      <c r="AX9" s="484" t="s">
        <v>11</v>
      </c>
      <c r="AY9" s="484" t="s">
        <v>37</v>
      </c>
      <c r="AZ9" s="484" t="s">
        <v>11</v>
      </c>
      <c r="BA9" s="484" t="s">
        <v>38</v>
      </c>
      <c r="BB9" s="484" t="s">
        <v>11</v>
      </c>
      <c r="BC9" s="484" t="s">
        <v>37</v>
      </c>
      <c r="BD9" s="484" t="s">
        <v>11</v>
      </c>
      <c r="BE9" s="484" t="s">
        <v>38</v>
      </c>
      <c r="BF9" s="484" t="s">
        <v>11</v>
      </c>
      <c r="BG9" s="484" t="s">
        <v>37</v>
      </c>
      <c r="BH9" s="484" t="s">
        <v>11</v>
      </c>
      <c r="BI9" s="484" t="s">
        <v>38</v>
      </c>
      <c r="BJ9" s="484" t="s">
        <v>11</v>
      </c>
      <c r="BK9" s="484" t="s">
        <v>37</v>
      </c>
      <c r="BL9" s="484" t="s">
        <v>11</v>
      </c>
      <c r="BM9" s="484" t="s">
        <v>38</v>
      </c>
      <c r="BN9" s="484" t="s">
        <v>11</v>
      </c>
      <c r="BO9" s="484" t="s">
        <v>37</v>
      </c>
      <c r="BP9" s="484" t="s">
        <v>11</v>
      </c>
      <c r="BQ9" s="484" t="s">
        <v>38</v>
      </c>
      <c r="BR9" s="484" t="s">
        <v>11</v>
      </c>
      <c r="BS9" s="484" t="s">
        <v>37</v>
      </c>
      <c r="BT9" s="484" t="s">
        <v>11</v>
      </c>
      <c r="BU9" s="484" t="s">
        <v>38</v>
      </c>
      <c r="BV9" s="484" t="s">
        <v>11</v>
      </c>
      <c r="BW9" s="484" t="s">
        <v>37</v>
      </c>
      <c r="BX9" s="484" t="s">
        <v>11</v>
      </c>
      <c r="BY9" s="484" t="s">
        <v>38</v>
      </c>
      <c r="BZ9" s="484" t="s">
        <v>11</v>
      </c>
      <c r="CA9" s="484" t="s">
        <v>37</v>
      </c>
      <c r="CB9" s="484" t="s">
        <v>38</v>
      </c>
      <c r="CC9" s="484" t="s">
        <v>37</v>
      </c>
      <c r="CD9" s="484" t="s">
        <v>38</v>
      </c>
    </row>
    <row r="10" spans="1:82">
      <c r="A10" s="16">
        <f>+Chem!A9</f>
        <v>45870</v>
      </c>
      <c r="B10" s="6" t="str">
        <f>+Chem!B9</f>
        <v>Facial</v>
      </c>
      <c r="C10" s="16" t="str">
        <f>+Chem!C9</f>
        <v>13,5</v>
      </c>
      <c r="D10" s="8">
        <f>+Chem!D9</f>
        <v>10.018000000000001</v>
      </c>
      <c r="E10" s="7">
        <f>+Chem!E9</f>
        <v>7.7140000000000004</v>
      </c>
      <c r="F10" s="7">
        <f>+E10</f>
        <v>7.7140000000000004</v>
      </c>
      <c r="G10" s="105"/>
      <c r="H10" s="10">
        <f t="shared" ref="H10:H40" si="0">G10/CA10*100</f>
        <v>0</v>
      </c>
      <c r="I10" s="8">
        <f>G10</f>
        <v>0</v>
      </c>
      <c r="J10" s="10">
        <f t="shared" ref="J10:J40" si="1">I10/CB10*100</f>
        <v>0</v>
      </c>
      <c r="K10" s="105"/>
      <c r="L10" s="10">
        <f t="shared" ref="L10:L40" si="2">+K10/CA10*100</f>
        <v>0</v>
      </c>
      <c r="M10" s="10">
        <f>+K10</f>
        <v>0</v>
      </c>
      <c r="N10" s="10">
        <f t="shared" ref="N10:N40" si="3">+M10/CB10*100</f>
        <v>0</v>
      </c>
      <c r="O10" s="105"/>
      <c r="P10" s="10">
        <f t="shared" ref="P10:P40" si="4">+O10/CA10*100</f>
        <v>0</v>
      </c>
      <c r="Q10" s="10">
        <f>+O10</f>
        <v>0</v>
      </c>
      <c r="R10" s="10">
        <f t="shared" ref="R10:R40" si="5">+Q10/CB10*100</f>
        <v>0</v>
      </c>
      <c r="S10" s="105">
        <f>6*S7</f>
        <v>1500</v>
      </c>
      <c r="T10" s="10">
        <f t="shared" ref="T10:T40" si="6">+S10/CA10*100</f>
        <v>11.111111111111111</v>
      </c>
      <c r="U10" s="10">
        <f>+S10</f>
        <v>1500</v>
      </c>
      <c r="V10" s="10">
        <f t="shared" ref="V10:V40" si="7">+U10/CB10*100</f>
        <v>11.111111111111111</v>
      </c>
      <c r="W10" s="105"/>
      <c r="X10" s="10">
        <f t="shared" ref="X10:X40" si="8">+W10/CA10*100</f>
        <v>0</v>
      </c>
      <c r="Y10" s="10">
        <f>+W10</f>
        <v>0</v>
      </c>
      <c r="Z10" s="10">
        <f t="shared" ref="Z10:Z40" si="9">+Y10/CB10*100</f>
        <v>0</v>
      </c>
      <c r="AA10" s="105"/>
      <c r="AB10" s="10">
        <f t="shared" ref="AB10:AB40" si="10">AA10/CA10*100</f>
        <v>0</v>
      </c>
      <c r="AC10" s="10">
        <f>AA10</f>
        <v>0</v>
      </c>
      <c r="AD10" s="10">
        <f t="shared" ref="AD10:AD40" si="11">AC10/CB10*100</f>
        <v>0</v>
      </c>
      <c r="AE10" s="10">
        <f>G10+AA10+K10+W10+S10+O10</f>
        <v>1500</v>
      </c>
      <c r="AF10" s="10">
        <f t="shared" ref="AF10:AF40" si="12">AE10/CA10*100</f>
        <v>11.111111111111111</v>
      </c>
      <c r="AG10" s="10">
        <f>AE10</f>
        <v>1500</v>
      </c>
      <c r="AH10" s="10">
        <f t="shared" ref="AH10:AH40" si="13">AG10/CB10*100</f>
        <v>11.111111111111111</v>
      </c>
      <c r="AI10" s="106">
        <v>0</v>
      </c>
      <c r="AJ10" s="10">
        <f t="shared" ref="AJ10:AJ40" si="14">AI10/CA10*100</f>
        <v>0</v>
      </c>
      <c r="AK10" s="10">
        <f>AI10</f>
        <v>0</v>
      </c>
      <c r="AL10" s="10">
        <f t="shared" ref="AL10:AL40" si="15">AK10/CB10*100</f>
        <v>0</v>
      </c>
      <c r="AM10" s="105"/>
      <c r="AN10" s="10">
        <f t="shared" ref="AN10:AN40" si="16">AM10/CA10*100</f>
        <v>0</v>
      </c>
      <c r="AO10" s="10">
        <f>AM10</f>
        <v>0</v>
      </c>
      <c r="AP10" s="10">
        <f t="shared" ref="AP10:AP40" si="17">AO10/CB10*100</f>
        <v>0</v>
      </c>
      <c r="AQ10" s="105"/>
      <c r="AR10" s="10">
        <f t="shared" ref="AR10:AR40" si="18">AQ10/CA10*100</f>
        <v>0</v>
      </c>
      <c r="AS10" s="10">
        <f>AQ10</f>
        <v>0</v>
      </c>
      <c r="AT10" s="10">
        <f t="shared" ref="AT10:AT40" si="19">AS10/CB10*100</f>
        <v>0</v>
      </c>
      <c r="AU10" s="105"/>
      <c r="AV10" s="10">
        <f t="shared" ref="AV10:AV40" si="20">AU10/CA10*100</f>
        <v>0</v>
      </c>
      <c r="AW10" s="10">
        <f>AU10</f>
        <v>0</v>
      </c>
      <c r="AX10" s="10">
        <f t="shared" ref="AX10:AX40" si="21">AW10/CB10*100</f>
        <v>0</v>
      </c>
      <c r="AY10" s="105">
        <v>0</v>
      </c>
      <c r="AZ10" s="10">
        <f t="shared" ref="AZ10:AZ40" si="22">AY10/CA10*100</f>
        <v>0</v>
      </c>
      <c r="BA10" s="10">
        <f>AY10</f>
        <v>0</v>
      </c>
      <c r="BB10" s="10">
        <f t="shared" ref="BB10:BB40" si="23">BA10/CB10</f>
        <v>0</v>
      </c>
      <c r="BC10" s="10">
        <f>AI10+AM10+AQ10+AU10+AY10</f>
        <v>0</v>
      </c>
      <c r="BD10" s="10">
        <f t="shared" ref="BD10:BD39" si="24">BC10/CA10*100</f>
        <v>0</v>
      </c>
      <c r="BE10" s="10">
        <f>BC10</f>
        <v>0</v>
      </c>
      <c r="BF10" s="10">
        <f t="shared" ref="BF10:BF39" si="25">BE10/CB10*100</f>
        <v>0</v>
      </c>
      <c r="BG10" s="105">
        <f>48*BG7</f>
        <v>12000</v>
      </c>
      <c r="BH10" s="10">
        <f t="shared" ref="BH10:BH39" si="26">+BG10/CA10*100</f>
        <v>88.888888888888886</v>
      </c>
      <c r="BI10" s="10">
        <f>+BG10</f>
        <v>12000</v>
      </c>
      <c r="BJ10" s="10">
        <f t="shared" ref="BJ10:BJ39" si="27">+BI10/CB10*100</f>
        <v>88.888888888888886</v>
      </c>
      <c r="BK10" s="105"/>
      <c r="BL10" s="10">
        <f t="shared" ref="BL10:BL39" si="28">BK10/CA10*100</f>
        <v>0</v>
      </c>
      <c r="BM10" s="10">
        <f>BK10</f>
        <v>0</v>
      </c>
      <c r="BN10" s="10">
        <f t="shared" ref="BN10:BN39" si="29">BM10/CB10*100</f>
        <v>0</v>
      </c>
      <c r="BO10" s="105">
        <v>0</v>
      </c>
      <c r="BP10" s="15">
        <f t="shared" ref="BP10:BP39" si="30">BO10/CA10*100</f>
        <v>0</v>
      </c>
      <c r="BQ10" s="10">
        <f>BO10</f>
        <v>0</v>
      </c>
      <c r="BR10" s="10">
        <f t="shared" ref="BR10:BR39" si="31">BQ10/CB10*100</f>
        <v>0</v>
      </c>
      <c r="BS10" s="10">
        <f>BG10+BK10+BO10</f>
        <v>12000</v>
      </c>
      <c r="BT10" s="10">
        <f t="shared" ref="BT10:BT39" si="32">BS10/CA10*100</f>
        <v>88.888888888888886</v>
      </c>
      <c r="BU10" s="10">
        <f>BS10</f>
        <v>12000</v>
      </c>
      <c r="BV10" s="10">
        <f t="shared" ref="BV10:BV39" si="33">BU10/CB10*100</f>
        <v>88.888888888888886</v>
      </c>
      <c r="BW10" s="105">
        <v>0</v>
      </c>
      <c r="BX10" s="10">
        <f t="shared" ref="BX10:BX39" si="34">BW10/CA10*100</f>
        <v>0</v>
      </c>
      <c r="BY10" s="10">
        <f>BW10</f>
        <v>0</v>
      </c>
      <c r="BZ10" s="10">
        <f t="shared" ref="BZ10:BZ39" si="35">BY10/CB10*100</f>
        <v>0</v>
      </c>
      <c r="CA10" s="10">
        <f t="shared" ref="CA10:CA40" si="36">AE10+BC10+BS10+BW10</f>
        <v>13500</v>
      </c>
      <c r="CB10" s="10">
        <f>CA10</f>
        <v>13500</v>
      </c>
      <c r="CC10" s="10">
        <f t="shared" ref="CC10:CC40" si="37">CA10/1000/E10</f>
        <v>1.7500648172154523</v>
      </c>
      <c r="CD10" s="10">
        <f t="shared" ref="CD10:CD40" si="38">(CB10/1000)/F10</f>
        <v>1.7500648172154523</v>
      </c>
    </row>
    <row r="11" spans="1:82">
      <c r="A11" s="16">
        <f>+Chem!A10</f>
        <v>45871</v>
      </c>
      <c r="B11" s="6" t="str">
        <f>+Chem!B10</f>
        <v>Facial</v>
      </c>
      <c r="C11" s="16" t="str">
        <f>+Chem!C10</f>
        <v>13,5</v>
      </c>
      <c r="D11" s="8">
        <f>+Chem!D10</f>
        <v>46.855999999999995</v>
      </c>
      <c r="E11" s="7">
        <f>+Chem!E10</f>
        <v>44.24</v>
      </c>
      <c r="F11" s="7">
        <f t="shared" ref="F11:F39" si="39">+E11+F10</f>
        <v>51.954000000000001</v>
      </c>
      <c r="G11" s="105"/>
      <c r="H11" s="10">
        <f t="shared" si="0"/>
        <v>0</v>
      </c>
      <c r="I11" s="8">
        <f t="shared" ref="I11:I39" si="40">G11+I10</f>
        <v>0</v>
      </c>
      <c r="J11" s="10">
        <f t="shared" si="1"/>
        <v>0</v>
      </c>
      <c r="K11" s="105"/>
      <c r="L11" s="10">
        <f t="shared" si="2"/>
        <v>0</v>
      </c>
      <c r="M11" s="10">
        <f t="shared" ref="M11:M39" si="41">+K11+M10</f>
        <v>0</v>
      </c>
      <c r="N11" s="10">
        <f t="shared" si="3"/>
        <v>0</v>
      </c>
      <c r="O11" s="105"/>
      <c r="P11" s="10">
        <f t="shared" si="4"/>
        <v>0</v>
      </c>
      <c r="Q11" s="10">
        <f t="shared" ref="Q11:Q39" si="42">+O11+Q10</f>
        <v>0</v>
      </c>
      <c r="R11" s="10">
        <f t="shared" si="5"/>
        <v>0</v>
      </c>
      <c r="S11" s="105">
        <f>23*S7</f>
        <v>5750</v>
      </c>
      <c r="T11" s="10">
        <f t="shared" si="6"/>
        <v>11.274509803921569</v>
      </c>
      <c r="U11" s="10">
        <f t="shared" ref="U11:U39" si="43">+S11+U10</f>
        <v>7250</v>
      </c>
      <c r="V11" s="10">
        <f t="shared" si="7"/>
        <v>11.24031007751938</v>
      </c>
      <c r="W11" s="105"/>
      <c r="X11" s="10">
        <f t="shared" si="8"/>
        <v>0</v>
      </c>
      <c r="Y11" s="10">
        <f t="shared" ref="Y11:Y39" si="44">+W11+Y10</f>
        <v>0</v>
      </c>
      <c r="Z11" s="10">
        <f t="shared" si="9"/>
        <v>0</v>
      </c>
      <c r="AA11" s="105"/>
      <c r="AB11" s="10">
        <f t="shared" si="10"/>
        <v>0</v>
      </c>
      <c r="AC11" s="10">
        <f t="shared" ref="AC11:AC39" si="45">AA11+AC10</f>
        <v>0</v>
      </c>
      <c r="AD11" s="10">
        <f t="shared" si="11"/>
        <v>0</v>
      </c>
      <c r="AE11" s="10">
        <f t="shared" ref="AE11:AE40" si="46">G11+AA11+K11+W11+S11+O11</f>
        <v>5750</v>
      </c>
      <c r="AF11" s="10">
        <f t="shared" si="12"/>
        <v>11.274509803921569</v>
      </c>
      <c r="AG11" s="10">
        <f t="shared" ref="AG11:AG39" si="47">AE11+AG10</f>
        <v>7250</v>
      </c>
      <c r="AH11" s="10">
        <f t="shared" si="13"/>
        <v>11.24031007751938</v>
      </c>
      <c r="AI11" s="106">
        <v>0</v>
      </c>
      <c r="AJ11" s="10">
        <f t="shared" si="14"/>
        <v>0</v>
      </c>
      <c r="AK11" s="10">
        <f t="shared" ref="AK11:AK39" si="48">AI11+AK10</f>
        <v>0</v>
      </c>
      <c r="AL11" s="10">
        <f t="shared" si="15"/>
        <v>0</v>
      </c>
      <c r="AM11" s="105"/>
      <c r="AN11" s="10">
        <f t="shared" si="16"/>
        <v>0</v>
      </c>
      <c r="AO11" s="10">
        <f t="shared" ref="AO11:AO39" si="49">AM11+AO10</f>
        <v>0</v>
      </c>
      <c r="AP11" s="10">
        <f t="shared" si="17"/>
        <v>0</v>
      </c>
      <c r="AQ11" s="105"/>
      <c r="AR11" s="10">
        <f t="shared" si="18"/>
        <v>0</v>
      </c>
      <c r="AS11" s="10">
        <f t="shared" ref="AS11:AS39" si="50">AQ11+AS10</f>
        <v>0</v>
      </c>
      <c r="AT11" s="10">
        <f t="shared" si="19"/>
        <v>0</v>
      </c>
      <c r="AU11" s="105"/>
      <c r="AV11" s="10">
        <f t="shared" si="20"/>
        <v>0</v>
      </c>
      <c r="AW11" s="10">
        <f t="shared" ref="AW11:AW39" si="51">AU11+AW10</f>
        <v>0</v>
      </c>
      <c r="AX11" s="10">
        <f t="shared" si="21"/>
        <v>0</v>
      </c>
      <c r="AY11" s="105">
        <v>0</v>
      </c>
      <c r="AZ11" s="10">
        <f t="shared" si="22"/>
        <v>0</v>
      </c>
      <c r="BA11" s="10">
        <f t="shared" ref="BA11:BA39" si="52">AY11+BA10</f>
        <v>0</v>
      </c>
      <c r="BB11" s="10">
        <f t="shared" si="23"/>
        <v>0</v>
      </c>
      <c r="BC11" s="10">
        <f t="shared" ref="BC11:BC40" si="53">AI11+AM11+AQ11+AU11+AY11</f>
        <v>0</v>
      </c>
      <c r="BD11" s="10">
        <f t="shared" si="24"/>
        <v>0</v>
      </c>
      <c r="BE11" s="10">
        <f t="shared" ref="BE11:BE39" si="54">BC11+BE10</f>
        <v>0</v>
      </c>
      <c r="BF11" s="10">
        <f t="shared" si="25"/>
        <v>0</v>
      </c>
      <c r="BG11" s="105">
        <f>164*BG7</f>
        <v>41000</v>
      </c>
      <c r="BH11" s="10">
        <f t="shared" si="26"/>
        <v>80.392156862745097</v>
      </c>
      <c r="BI11" s="10">
        <f t="shared" ref="BI11:BI39" si="55">+BG11+BI10</f>
        <v>53000</v>
      </c>
      <c r="BJ11" s="10">
        <f t="shared" si="27"/>
        <v>82.170542635658919</v>
      </c>
      <c r="BK11" s="105"/>
      <c r="BL11" s="10">
        <f t="shared" si="28"/>
        <v>0</v>
      </c>
      <c r="BM11" s="10">
        <f t="shared" ref="BM11:BM39" si="56">BK11+BM10</f>
        <v>0</v>
      </c>
      <c r="BN11" s="10">
        <f t="shared" si="29"/>
        <v>0</v>
      </c>
      <c r="BO11" s="105">
        <v>0</v>
      </c>
      <c r="BP11" s="15">
        <f t="shared" si="30"/>
        <v>0</v>
      </c>
      <c r="BQ11" s="10">
        <f t="shared" ref="BQ11:BQ39" si="57">BO11+BQ10</f>
        <v>0</v>
      </c>
      <c r="BR11" s="10">
        <f t="shared" si="31"/>
        <v>0</v>
      </c>
      <c r="BS11" s="10">
        <f t="shared" ref="BS11:BS39" si="58">BG11+BK11+BO11</f>
        <v>41000</v>
      </c>
      <c r="BT11" s="10">
        <f t="shared" si="32"/>
        <v>80.392156862745097</v>
      </c>
      <c r="BU11" s="10">
        <f t="shared" ref="BU11:BU39" si="59">BS11+BU10</f>
        <v>53000</v>
      </c>
      <c r="BV11" s="10">
        <f t="shared" si="33"/>
        <v>82.170542635658919</v>
      </c>
      <c r="BW11" s="105">
        <v>4250</v>
      </c>
      <c r="BX11" s="10">
        <f t="shared" si="34"/>
        <v>8.3333333333333321</v>
      </c>
      <c r="BY11" s="10">
        <f t="shared" ref="BY11:BY39" si="60">BW11+BY10</f>
        <v>4250</v>
      </c>
      <c r="BZ11" s="10">
        <f t="shared" si="35"/>
        <v>6.5891472868217065</v>
      </c>
      <c r="CA11" s="10">
        <f t="shared" si="36"/>
        <v>51000</v>
      </c>
      <c r="CB11" s="10">
        <f t="shared" ref="CB11:CB39" si="61">CA11+CB10</f>
        <v>64500</v>
      </c>
      <c r="CC11" s="10">
        <f t="shared" si="37"/>
        <v>1.1528028933092225</v>
      </c>
      <c r="CD11" s="10">
        <f t="shared" si="38"/>
        <v>1.2414828502136506</v>
      </c>
    </row>
    <row r="12" spans="1:82">
      <c r="A12" s="16">
        <f>+Chem!A11</f>
        <v>45872</v>
      </c>
      <c r="B12" s="6" t="str">
        <f>+Chem!B11</f>
        <v>Facial</v>
      </c>
      <c r="C12" s="16" t="str">
        <f>+Chem!C11</f>
        <v>13,5/13</v>
      </c>
      <c r="D12" s="8">
        <f>+Chem!D11</f>
        <v>53.323000000000008</v>
      </c>
      <c r="E12" s="7">
        <f>+Chem!E11</f>
        <v>51.625</v>
      </c>
      <c r="F12" s="7">
        <f t="shared" si="39"/>
        <v>103.57900000000001</v>
      </c>
      <c r="G12" s="105"/>
      <c r="H12" s="10">
        <f t="shared" si="0"/>
        <v>0</v>
      </c>
      <c r="I12" s="8">
        <f t="shared" si="40"/>
        <v>0</v>
      </c>
      <c r="J12" s="10">
        <f t="shared" si="1"/>
        <v>0</v>
      </c>
      <c r="K12" s="105"/>
      <c r="L12" s="10">
        <f t="shared" si="2"/>
        <v>0</v>
      </c>
      <c r="M12" s="10">
        <f t="shared" si="41"/>
        <v>0</v>
      </c>
      <c r="N12" s="10">
        <f t="shared" si="3"/>
        <v>0</v>
      </c>
      <c r="O12" s="105"/>
      <c r="P12" s="10">
        <f t="shared" si="4"/>
        <v>0</v>
      </c>
      <c r="Q12" s="10">
        <f t="shared" si="42"/>
        <v>0</v>
      </c>
      <c r="R12" s="10">
        <f t="shared" si="5"/>
        <v>0</v>
      </c>
      <c r="S12" s="105">
        <f>26*S7</f>
        <v>6500</v>
      </c>
      <c r="T12" s="10">
        <f t="shared" si="6"/>
        <v>11.403508771929824</v>
      </c>
      <c r="U12" s="10">
        <f t="shared" si="43"/>
        <v>13750</v>
      </c>
      <c r="V12" s="10">
        <f t="shared" si="7"/>
        <v>11.316872427983538</v>
      </c>
      <c r="W12" s="105"/>
      <c r="X12" s="10">
        <f t="shared" si="8"/>
        <v>0</v>
      </c>
      <c r="Y12" s="10">
        <f t="shared" si="44"/>
        <v>0</v>
      </c>
      <c r="Z12" s="10">
        <f t="shared" si="9"/>
        <v>0</v>
      </c>
      <c r="AA12" s="105"/>
      <c r="AB12" s="10">
        <f t="shared" si="10"/>
        <v>0</v>
      </c>
      <c r="AC12" s="10">
        <f t="shared" si="45"/>
        <v>0</v>
      </c>
      <c r="AD12" s="10">
        <f t="shared" si="11"/>
        <v>0</v>
      </c>
      <c r="AE12" s="10">
        <f t="shared" si="46"/>
        <v>6500</v>
      </c>
      <c r="AF12" s="10">
        <f t="shared" si="12"/>
        <v>11.403508771929824</v>
      </c>
      <c r="AG12" s="10">
        <f t="shared" si="47"/>
        <v>13750</v>
      </c>
      <c r="AH12" s="10">
        <f t="shared" si="13"/>
        <v>11.316872427983538</v>
      </c>
      <c r="AI12" s="106">
        <v>0</v>
      </c>
      <c r="AJ12" s="10">
        <f t="shared" si="14"/>
        <v>0</v>
      </c>
      <c r="AK12" s="10">
        <f t="shared" si="48"/>
        <v>0</v>
      </c>
      <c r="AL12" s="10">
        <f t="shared" si="15"/>
        <v>0</v>
      </c>
      <c r="AM12" s="105"/>
      <c r="AN12" s="10">
        <f t="shared" si="16"/>
        <v>0</v>
      </c>
      <c r="AO12" s="10">
        <f t="shared" si="49"/>
        <v>0</v>
      </c>
      <c r="AP12" s="10">
        <f t="shared" si="17"/>
        <v>0</v>
      </c>
      <c r="AQ12" s="105"/>
      <c r="AR12" s="10">
        <f t="shared" si="18"/>
        <v>0</v>
      </c>
      <c r="AS12" s="10">
        <f t="shared" si="50"/>
        <v>0</v>
      </c>
      <c r="AT12" s="10">
        <f t="shared" si="19"/>
        <v>0</v>
      </c>
      <c r="AU12" s="105"/>
      <c r="AV12" s="10">
        <f t="shared" si="20"/>
        <v>0</v>
      </c>
      <c r="AW12" s="10">
        <f t="shared" si="51"/>
        <v>0</v>
      </c>
      <c r="AX12" s="10">
        <f t="shared" si="21"/>
        <v>0</v>
      </c>
      <c r="AY12" s="105">
        <v>0</v>
      </c>
      <c r="AZ12" s="10">
        <f t="shared" si="22"/>
        <v>0</v>
      </c>
      <c r="BA12" s="10">
        <f t="shared" si="52"/>
        <v>0</v>
      </c>
      <c r="BB12" s="10">
        <f t="shared" si="23"/>
        <v>0</v>
      </c>
      <c r="BC12" s="10">
        <f t="shared" si="53"/>
        <v>0</v>
      </c>
      <c r="BD12" s="10">
        <f t="shared" si="24"/>
        <v>0</v>
      </c>
      <c r="BE12" s="10">
        <f t="shared" si="54"/>
        <v>0</v>
      </c>
      <c r="BF12" s="10">
        <f t="shared" si="25"/>
        <v>0</v>
      </c>
      <c r="BG12" s="105">
        <f>202*BG7</f>
        <v>50500</v>
      </c>
      <c r="BH12" s="10">
        <f t="shared" si="26"/>
        <v>88.596491228070178</v>
      </c>
      <c r="BI12" s="10">
        <f t="shared" si="55"/>
        <v>103500</v>
      </c>
      <c r="BJ12" s="10">
        <f t="shared" si="27"/>
        <v>85.18518518518519</v>
      </c>
      <c r="BK12" s="105"/>
      <c r="BL12" s="10">
        <f t="shared" si="28"/>
        <v>0</v>
      </c>
      <c r="BM12" s="10">
        <f t="shared" si="56"/>
        <v>0</v>
      </c>
      <c r="BN12" s="10">
        <f t="shared" si="29"/>
        <v>0</v>
      </c>
      <c r="BO12" s="105">
        <v>0</v>
      </c>
      <c r="BP12" s="15">
        <f t="shared" si="30"/>
        <v>0</v>
      </c>
      <c r="BQ12" s="10">
        <f t="shared" si="57"/>
        <v>0</v>
      </c>
      <c r="BR12" s="10">
        <f t="shared" si="31"/>
        <v>0</v>
      </c>
      <c r="BS12" s="10">
        <f t="shared" si="58"/>
        <v>50500</v>
      </c>
      <c r="BT12" s="10">
        <f t="shared" si="32"/>
        <v>88.596491228070178</v>
      </c>
      <c r="BU12" s="10">
        <f t="shared" si="59"/>
        <v>103500</v>
      </c>
      <c r="BV12" s="10">
        <f t="shared" si="33"/>
        <v>85.18518518518519</v>
      </c>
      <c r="BW12" s="105">
        <v>0</v>
      </c>
      <c r="BX12" s="10">
        <f t="shared" si="34"/>
        <v>0</v>
      </c>
      <c r="BY12" s="10">
        <f t="shared" si="60"/>
        <v>4250</v>
      </c>
      <c r="BZ12" s="10">
        <f t="shared" si="35"/>
        <v>3.4979423868312756</v>
      </c>
      <c r="CA12" s="10">
        <f t="shared" si="36"/>
        <v>57000</v>
      </c>
      <c r="CB12" s="10">
        <f t="shared" si="61"/>
        <v>121500</v>
      </c>
      <c r="CC12" s="10">
        <f t="shared" si="37"/>
        <v>1.1041162227602905</v>
      </c>
      <c r="CD12" s="10">
        <f t="shared" si="38"/>
        <v>1.1730176966373491</v>
      </c>
    </row>
    <row r="13" spans="1:82">
      <c r="A13" s="16">
        <f>+Chem!A12</f>
        <v>45873</v>
      </c>
      <c r="B13" s="6" t="str">
        <f>+Chem!B12</f>
        <v>Facial</v>
      </c>
      <c r="C13" s="16" t="str">
        <f>+Chem!C12</f>
        <v>13</v>
      </c>
      <c r="D13" s="8">
        <f>+Chem!D12</f>
        <v>53.478000000000002</v>
      </c>
      <c r="E13" s="7">
        <f>+Chem!E12</f>
        <v>43.804000000000002</v>
      </c>
      <c r="F13" s="7">
        <f t="shared" si="39"/>
        <v>147.38300000000001</v>
      </c>
      <c r="G13" s="105"/>
      <c r="H13" s="10">
        <f t="shared" si="0"/>
        <v>0</v>
      </c>
      <c r="I13" s="8">
        <f t="shared" si="40"/>
        <v>0</v>
      </c>
      <c r="J13" s="10">
        <f t="shared" si="1"/>
        <v>0</v>
      </c>
      <c r="K13" s="105"/>
      <c r="L13" s="10">
        <f t="shared" si="2"/>
        <v>0</v>
      </c>
      <c r="M13" s="10">
        <f t="shared" si="41"/>
        <v>0</v>
      </c>
      <c r="N13" s="10">
        <f t="shared" si="3"/>
        <v>0</v>
      </c>
      <c r="O13" s="105"/>
      <c r="P13" s="10">
        <f t="shared" si="4"/>
        <v>0</v>
      </c>
      <c r="Q13" s="10">
        <f t="shared" si="42"/>
        <v>0</v>
      </c>
      <c r="R13" s="10">
        <f t="shared" si="5"/>
        <v>0</v>
      </c>
      <c r="S13" s="105">
        <f>17*S7</f>
        <v>4250</v>
      </c>
      <c r="T13" s="10">
        <f t="shared" si="6"/>
        <v>8.8432298022087856</v>
      </c>
      <c r="U13" s="10">
        <f t="shared" si="43"/>
        <v>18000</v>
      </c>
      <c r="V13" s="10">
        <f t="shared" si="7"/>
        <v>10.615751071111589</v>
      </c>
      <c r="W13" s="105"/>
      <c r="X13" s="10">
        <f t="shared" si="8"/>
        <v>0</v>
      </c>
      <c r="Y13" s="10">
        <f t="shared" si="44"/>
        <v>0</v>
      </c>
      <c r="Z13" s="10">
        <f t="shared" si="9"/>
        <v>0</v>
      </c>
      <c r="AA13" s="105"/>
      <c r="AB13" s="10">
        <f t="shared" si="10"/>
        <v>0</v>
      </c>
      <c r="AC13" s="10">
        <f t="shared" si="45"/>
        <v>0</v>
      </c>
      <c r="AD13" s="10">
        <f t="shared" si="11"/>
        <v>0</v>
      </c>
      <c r="AE13" s="10">
        <f t="shared" si="46"/>
        <v>4250</v>
      </c>
      <c r="AF13" s="10">
        <f t="shared" si="12"/>
        <v>8.8432298022087856</v>
      </c>
      <c r="AG13" s="10">
        <f t="shared" si="47"/>
        <v>18000</v>
      </c>
      <c r="AH13" s="10">
        <f t="shared" si="13"/>
        <v>10.615751071111589</v>
      </c>
      <c r="AI13" s="106">
        <f>76*AI7</f>
        <v>19109.363999999998</v>
      </c>
      <c r="AJ13" s="10">
        <f t="shared" si="14"/>
        <v>39.761999347307217</v>
      </c>
      <c r="AK13" s="10">
        <f t="shared" si="48"/>
        <v>19109.363999999998</v>
      </c>
      <c r="AL13" s="10">
        <f t="shared" si="15"/>
        <v>11.270013963958958</v>
      </c>
      <c r="AM13" s="105"/>
      <c r="AN13" s="10">
        <f t="shared" si="16"/>
        <v>0</v>
      </c>
      <c r="AO13" s="10">
        <f t="shared" si="49"/>
        <v>0</v>
      </c>
      <c r="AP13" s="10">
        <f t="shared" si="17"/>
        <v>0</v>
      </c>
      <c r="AQ13" s="105"/>
      <c r="AR13" s="10">
        <f t="shared" si="18"/>
        <v>0</v>
      </c>
      <c r="AS13" s="10">
        <f t="shared" si="50"/>
        <v>0</v>
      </c>
      <c r="AT13" s="10">
        <f t="shared" si="19"/>
        <v>0</v>
      </c>
      <c r="AU13" s="105"/>
      <c r="AV13" s="10">
        <f t="shared" si="20"/>
        <v>0</v>
      </c>
      <c r="AW13" s="10">
        <f t="shared" si="51"/>
        <v>0</v>
      </c>
      <c r="AX13" s="10">
        <f t="shared" si="21"/>
        <v>0</v>
      </c>
      <c r="AY13" s="105">
        <v>0</v>
      </c>
      <c r="AZ13" s="10">
        <f t="shared" si="22"/>
        <v>0</v>
      </c>
      <c r="BA13" s="10">
        <f t="shared" si="52"/>
        <v>0</v>
      </c>
      <c r="BB13" s="10">
        <f t="shared" si="23"/>
        <v>0</v>
      </c>
      <c r="BC13" s="10">
        <f t="shared" si="53"/>
        <v>19109.363999999998</v>
      </c>
      <c r="BD13" s="10">
        <f t="shared" si="24"/>
        <v>39.761999347307217</v>
      </c>
      <c r="BE13" s="10">
        <f t="shared" si="54"/>
        <v>19109.363999999998</v>
      </c>
      <c r="BF13" s="10">
        <f t="shared" si="25"/>
        <v>11.270013963958958</v>
      </c>
      <c r="BG13" s="105">
        <f>88*BG7</f>
        <v>22000</v>
      </c>
      <c r="BH13" s="10">
        <f t="shared" si="26"/>
        <v>45.776718976139591</v>
      </c>
      <c r="BI13" s="10">
        <f t="shared" si="55"/>
        <v>125500</v>
      </c>
      <c r="BJ13" s="10">
        <f t="shared" si="27"/>
        <v>74.015375523583586</v>
      </c>
      <c r="BK13" s="105"/>
      <c r="BL13" s="10">
        <f t="shared" si="28"/>
        <v>0</v>
      </c>
      <c r="BM13" s="10">
        <f t="shared" si="56"/>
        <v>0</v>
      </c>
      <c r="BN13" s="10">
        <f t="shared" si="29"/>
        <v>0</v>
      </c>
      <c r="BO13" s="105">
        <v>0</v>
      </c>
      <c r="BP13" s="15">
        <f t="shared" si="30"/>
        <v>0</v>
      </c>
      <c r="BQ13" s="10">
        <f t="shared" si="57"/>
        <v>0</v>
      </c>
      <c r="BR13" s="10">
        <f t="shared" si="31"/>
        <v>0</v>
      </c>
      <c r="BS13" s="10">
        <f t="shared" si="58"/>
        <v>22000</v>
      </c>
      <c r="BT13" s="10">
        <f t="shared" si="32"/>
        <v>45.776718976139591</v>
      </c>
      <c r="BU13" s="10">
        <f t="shared" si="59"/>
        <v>125500</v>
      </c>
      <c r="BV13" s="10">
        <f t="shared" si="33"/>
        <v>74.015375523583586</v>
      </c>
      <c r="BW13" s="105">
        <v>2700</v>
      </c>
      <c r="BX13" s="10">
        <f t="shared" si="34"/>
        <v>5.6180518743444043</v>
      </c>
      <c r="BY13" s="10">
        <f t="shared" si="60"/>
        <v>6950</v>
      </c>
      <c r="BZ13" s="10">
        <f t="shared" si="35"/>
        <v>4.0988594413458639</v>
      </c>
      <c r="CA13" s="10">
        <f t="shared" si="36"/>
        <v>48059.364000000001</v>
      </c>
      <c r="CB13" s="10">
        <f t="shared" si="61"/>
        <v>169559.364</v>
      </c>
      <c r="CC13" s="10">
        <f t="shared" si="37"/>
        <v>1.0971455574833349</v>
      </c>
      <c r="CD13" s="10">
        <f t="shared" si="38"/>
        <v>1.1504675844568233</v>
      </c>
    </row>
    <row r="14" spans="1:82">
      <c r="A14" s="16">
        <f>+Chem!A13</f>
        <v>45874</v>
      </c>
      <c r="B14" s="6" t="str">
        <f>+Chem!B13</f>
        <v>Facial/MG</v>
      </c>
      <c r="C14" s="16" t="str">
        <f>+Chem!C13</f>
        <v>13/17/16,5</v>
      </c>
      <c r="D14" s="8">
        <f>+Chem!D13</f>
        <v>68.591999999999999</v>
      </c>
      <c r="E14" s="7">
        <f>+Chem!E13</f>
        <v>56.883000000000003</v>
      </c>
      <c r="F14" s="7">
        <f t="shared" si="39"/>
        <v>204.26600000000002</v>
      </c>
      <c r="G14" s="106"/>
      <c r="H14" s="97">
        <f t="shared" si="0"/>
        <v>0</v>
      </c>
      <c r="I14" s="8">
        <f t="shared" si="40"/>
        <v>0</v>
      </c>
      <c r="J14" s="97">
        <f t="shared" si="1"/>
        <v>0</v>
      </c>
      <c r="K14" s="106"/>
      <c r="L14" s="97">
        <f t="shared" si="2"/>
        <v>0</v>
      </c>
      <c r="M14" s="97">
        <f t="shared" si="41"/>
        <v>0</v>
      </c>
      <c r="N14" s="97">
        <f t="shared" si="3"/>
        <v>0</v>
      </c>
      <c r="O14" s="105"/>
      <c r="P14" s="97">
        <f t="shared" si="4"/>
        <v>0</v>
      </c>
      <c r="Q14" s="97">
        <f t="shared" si="42"/>
        <v>0</v>
      </c>
      <c r="R14" s="97">
        <f t="shared" si="5"/>
        <v>0</v>
      </c>
      <c r="S14" s="106">
        <f>78*S7</f>
        <v>19500</v>
      </c>
      <c r="T14" s="97">
        <f t="shared" si="6"/>
        <v>28.343607430746175</v>
      </c>
      <c r="U14" s="97">
        <f t="shared" si="43"/>
        <v>37500</v>
      </c>
      <c r="V14" s="97">
        <f t="shared" si="7"/>
        <v>15.732641025527213</v>
      </c>
      <c r="W14" s="105"/>
      <c r="X14" s="97">
        <f t="shared" si="8"/>
        <v>0</v>
      </c>
      <c r="Y14" s="97">
        <f t="shared" si="44"/>
        <v>0</v>
      </c>
      <c r="Z14" s="97">
        <f t="shared" si="9"/>
        <v>0</v>
      </c>
      <c r="AA14" s="106"/>
      <c r="AB14" s="97">
        <f t="shared" si="10"/>
        <v>0</v>
      </c>
      <c r="AC14" s="97">
        <f t="shared" si="45"/>
        <v>0</v>
      </c>
      <c r="AD14" s="97">
        <f t="shared" si="11"/>
        <v>0</v>
      </c>
      <c r="AE14" s="10">
        <f t="shared" si="46"/>
        <v>19500</v>
      </c>
      <c r="AF14" s="97">
        <f t="shared" si="12"/>
        <v>28.343607430746175</v>
      </c>
      <c r="AG14" s="97">
        <f t="shared" si="47"/>
        <v>37500</v>
      </c>
      <c r="AH14" s="97">
        <f t="shared" si="13"/>
        <v>15.732641025527213</v>
      </c>
      <c r="AI14" s="106">
        <f>138*AI7</f>
        <v>34698.582000000002</v>
      </c>
      <c r="AJ14" s="97">
        <f t="shared" si="14"/>
        <v>50.435024954438745</v>
      </c>
      <c r="AK14" s="97">
        <f t="shared" si="48"/>
        <v>53807.945999999996</v>
      </c>
      <c r="AL14" s="97">
        <f t="shared" si="15"/>
        <v>22.574429299705407</v>
      </c>
      <c r="AM14" s="106"/>
      <c r="AN14" s="97">
        <f t="shared" si="16"/>
        <v>0</v>
      </c>
      <c r="AO14" s="97">
        <f t="shared" si="49"/>
        <v>0</v>
      </c>
      <c r="AP14" s="97">
        <f t="shared" si="17"/>
        <v>0</v>
      </c>
      <c r="AQ14" s="106"/>
      <c r="AR14" s="97">
        <f t="shared" si="18"/>
        <v>0</v>
      </c>
      <c r="AS14" s="97">
        <f t="shared" si="50"/>
        <v>0</v>
      </c>
      <c r="AT14" s="97">
        <f t="shared" si="19"/>
        <v>0</v>
      </c>
      <c r="AU14" s="106"/>
      <c r="AV14" s="97">
        <f t="shared" si="20"/>
        <v>0</v>
      </c>
      <c r="AW14" s="97">
        <f t="shared" si="51"/>
        <v>0</v>
      </c>
      <c r="AX14" s="97">
        <f t="shared" si="21"/>
        <v>0</v>
      </c>
      <c r="AY14" s="105">
        <v>0</v>
      </c>
      <c r="AZ14" s="97">
        <f t="shared" si="22"/>
        <v>0</v>
      </c>
      <c r="BA14" s="97">
        <f t="shared" si="52"/>
        <v>0</v>
      </c>
      <c r="BB14" s="97">
        <f t="shared" si="23"/>
        <v>0</v>
      </c>
      <c r="BC14" s="10">
        <f t="shared" si="53"/>
        <v>34698.582000000002</v>
      </c>
      <c r="BD14" s="97">
        <f t="shared" si="24"/>
        <v>50.435024954438745</v>
      </c>
      <c r="BE14" s="97">
        <f t="shared" si="54"/>
        <v>53807.945999999996</v>
      </c>
      <c r="BF14" s="97">
        <f t="shared" si="25"/>
        <v>22.574429299705407</v>
      </c>
      <c r="BG14" s="106">
        <f>58*BG7</f>
        <v>14500</v>
      </c>
      <c r="BH14" s="97">
        <f t="shared" si="26"/>
        <v>21.076015781836901</v>
      </c>
      <c r="BI14" s="97">
        <f t="shared" si="55"/>
        <v>140000</v>
      </c>
      <c r="BJ14" s="97">
        <f t="shared" si="27"/>
        <v>58.735193161968255</v>
      </c>
      <c r="BK14" s="106"/>
      <c r="BL14" s="97">
        <f t="shared" si="28"/>
        <v>0</v>
      </c>
      <c r="BM14" s="97">
        <f t="shared" si="56"/>
        <v>0</v>
      </c>
      <c r="BN14" s="97">
        <f t="shared" si="29"/>
        <v>0</v>
      </c>
      <c r="BO14" s="105">
        <v>0</v>
      </c>
      <c r="BP14" s="98">
        <f t="shared" si="30"/>
        <v>0</v>
      </c>
      <c r="BQ14" s="97">
        <f t="shared" si="57"/>
        <v>0</v>
      </c>
      <c r="BR14" s="97">
        <f t="shared" si="31"/>
        <v>0</v>
      </c>
      <c r="BS14" s="97">
        <f t="shared" si="58"/>
        <v>14500</v>
      </c>
      <c r="BT14" s="97">
        <f t="shared" si="32"/>
        <v>21.076015781836901</v>
      </c>
      <c r="BU14" s="97">
        <f t="shared" si="59"/>
        <v>140000</v>
      </c>
      <c r="BV14" s="97">
        <f t="shared" si="33"/>
        <v>58.735193161968255</v>
      </c>
      <c r="BW14" s="106">
        <v>100</v>
      </c>
      <c r="BX14" s="97">
        <f t="shared" si="34"/>
        <v>0.14535183297818552</v>
      </c>
      <c r="BY14" s="97">
        <f t="shared" si="60"/>
        <v>7050</v>
      </c>
      <c r="BZ14" s="97">
        <f t="shared" si="35"/>
        <v>2.9577365127991162</v>
      </c>
      <c r="CA14" s="97">
        <f t="shared" si="36"/>
        <v>68798.581999999995</v>
      </c>
      <c r="CB14" s="97">
        <f t="shared" si="61"/>
        <v>238357.946</v>
      </c>
      <c r="CC14" s="97">
        <f t="shared" si="37"/>
        <v>1.2094752738076402</v>
      </c>
      <c r="CD14" s="97">
        <f t="shared" si="38"/>
        <v>1.1668997581584795</v>
      </c>
    </row>
    <row r="15" spans="1:82">
      <c r="A15" s="16">
        <f>+Chem!A14</f>
        <v>45875</v>
      </c>
      <c r="B15" s="6" t="str">
        <f>+Chem!B14</f>
        <v>MG</v>
      </c>
      <c r="C15" s="16" t="str">
        <f>+Chem!C14</f>
        <v>16,5</v>
      </c>
      <c r="D15" s="8">
        <f>+Chem!D14</f>
        <v>78.070999999999998</v>
      </c>
      <c r="E15" s="7">
        <f>+Chem!E14</f>
        <v>73.584000000000003</v>
      </c>
      <c r="F15" s="7">
        <f t="shared" si="39"/>
        <v>277.85000000000002</v>
      </c>
      <c r="G15" s="106"/>
      <c r="H15" s="97">
        <f t="shared" si="0"/>
        <v>0</v>
      </c>
      <c r="I15" s="8">
        <f t="shared" si="40"/>
        <v>0</v>
      </c>
      <c r="J15" s="97">
        <f t="shared" si="1"/>
        <v>0</v>
      </c>
      <c r="K15" s="106"/>
      <c r="L15" s="97">
        <f t="shared" si="2"/>
        <v>0</v>
      </c>
      <c r="M15" s="97">
        <f t="shared" si="41"/>
        <v>0</v>
      </c>
      <c r="N15" s="97">
        <f t="shared" si="3"/>
        <v>0</v>
      </c>
      <c r="O15" s="105"/>
      <c r="P15" s="97">
        <f t="shared" si="4"/>
        <v>0</v>
      </c>
      <c r="Q15" s="97">
        <f t="shared" si="42"/>
        <v>0</v>
      </c>
      <c r="R15" s="97">
        <f t="shared" si="5"/>
        <v>0</v>
      </c>
      <c r="S15" s="106">
        <f>92*S7</f>
        <v>23000</v>
      </c>
      <c r="T15" s="97">
        <f t="shared" si="6"/>
        <v>30.147851091322064</v>
      </c>
      <c r="U15" s="97">
        <f t="shared" si="43"/>
        <v>60500</v>
      </c>
      <c r="V15" s="97">
        <f t="shared" si="7"/>
        <v>19.227797417604471</v>
      </c>
      <c r="W15" s="105"/>
      <c r="X15" s="97">
        <f t="shared" si="8"/>
        <v>0</v>
      </c>
      <c r="Y15" s="97">
        <f t="shared" si="44"/>
        <v>0</v>
      </c>
      <c r="Z15" s="97">
        <f t="shared" si="9"/>
        <v>0</v>
      </c>
      <c r="AA15" s="106"/>
      <c r="AB15" s="97">
        <f t="shared" si="10"/>
        <v>0</v>
      </c>
      <c r="AC15" s="97">
        <f t="shared" si="45"/>
        <v>0</v>
      </c>
      <c r="AD15" s="97">
        <f t="shared" si="11"/>
        <v>0</v>
      </c>
      <c r="AE15" s="10">
        <f t="shared" si="46"/>
        <v>23000</v>
      </c>
      <c r="AF15" s="97">
        <f t="shared" si="12"/>
        <v>30.147851091322064</v>
      </c>
      <c r="AG15" s="97">
        <f t="shared" si="47"/>
        <v>60500</v>
      </c>
      <c r="AH15" s="97">
        <f t="shared" si="13"/>
        <v>19.227797417604471</v>
      </c>
      <c r="AI15" s="106">
        <f>202*AI7</f>
        <v>50790.678</v>
      </c>
      <c r="AJ15" s="97">
        <f t="shared" si="14"/>
        <v>66.575208572664664</v>
      </c>
      <c r="AK15" s="97">
        <f t="shared" si="48"/>
        <v>104598.624</v>
      </c>
      <c r="AL15" s="97">
        <f t="shared" si="15"/>
        <v>33.24299425507737</v>
      </c>
      <c r="AM15" s="106"/>
      <c r="AN15" s="97">
        <f t="shared" si="16"/>
        <v>0</v>
      </c>
      <c r="AO15" s="97">
        <f t="shared" si="49"/>
        <v>0</v>
      </c>
      <c r="AP15" s="97">
        <f t="shared" si="17"/>
        <v>0</v>
      </c>
      <c r="AQ15" s="106"/>
      <c r="AR15" s="97">
        <f t="shared" si="18"/>
        <v>0</v>
      </c>
      <c r="AS15" s="97">
        <f t="shared" si="50"/>
        <v>0</v>
      </c>
      <c r="AT15" s="97">
        <f t="shared" si="19"/>
        <v>0</v>
      </c>
      <c r="AU15" s="106"/>
      <c r="AV15" s="97">
        <f t="shared" si="20"/>
        <v>0</v>
      </c>
      <c r="AW15" s="97">
        <f t="shared" si="51"/>
        <v>0</v>
      </c>
      <c r="AX15" s="97">
        <f t="shared" si="21"/>
        <v>0</v>
      </c>
      <c r="AY15" s="105">
        <v>0</v>
      </c>
      <c r="AZ15" s="97">
        <f t="shared" si="22"/>
        <v>0</v>
      </c>
      <c r="BA15" s="97">
        <f t="shared" si="52"/>
        <v>0</v>
      </c>
      <c r="BB15" s="97">
        <f t="shared" si="23"/>
        <v>0</v>
      </c>
      <c r="BC15" s="10">
        <f t="shared" si="53"/>
        <v>50790.678</v>
      </c>
      <c r="BD15" s="97">
        <f t="shared" si="24"/>
        <v>66.575208572664664</v>
      </c>
      <c r="BE15" s="97">
        <f t="shared" si="54"/>
        <v>104598.624</v>
      </c>
      <c r="BF15" s="97">
        <f t="shared" si="25"/>
        <v>33.24299425507737</v>
      </c>
      <c r="BG15" s="106">
        <f>10*BG7</f>
        <v>2500</v>
      </c>
      <c r="BH15" s="97">
        <f t="shared" si="26"/>
        <v>3.2769403360132676</v>
      </c>
      <c r="BI15" s="97">
        <f t="shared" si="55"/>
        <v>142500</v>
      </c>
      <c r="BJ15" s="97">
        <f t="shared" si="27"/>
        <v>45.288613752208875</v>
      </c>
      <c r="BK15" s="106"/>
      <c r="BL15" s="97">
        <f t="shared" si="28"/>
        <v>0</v>
      </c>
      <c r="BM15" s="97">
        <f t="shared" si="56"/>
        <v>0</v>
      </c>
      <c r="BN15" s="97">
        <f t="shared" si="29"/>
        <v>0</v>
      </c>
      <c r="BO15" s="105">
        <v>0</v>
      </c>
      <c r="BP15" s="98">
        <f t="shared" si="30"/>
        <v>0</v>
      </c>
      <c r="BQ15" s="97">
        <f t="shared" si="57"/>
        <v>0</v>
      </c>
      <c r="BR15" s="97">
        <f t="shared" si="31"/>
        <v>0</v>
      </c>
      <c r="BS15" s="97">
        <f t="shared" si="58"/>
        <v>2500</v>
      </c>
      <c r="BT15" s="97">
        <f t="shared" si="32"/>
        <v>3.2769403360132676</v>
      </c>
      <c r="BU15" s="97">
        <f t="shared" si="59"/>
        <v>142500</v>
      </c>
      <c r="BV15" s="97">
        <f t="shared" si="33"/>
        <v>45.288613752208875</v>
      </c>
      <c r="BW15" s="106">
        <v>0</v>
      </c>
      <c r="BX15" s="97">
        <f t="shared" si="34"/>
        <v>0</v>
      </c>
      <c r="BY15" s="97">
        <f t="shared" si="60"/>
        <v>7050</v>
      </c>
      <c r="BZ15" s="97">
        <f t="shared" si="35"/>
        <v>2.2405945751092813</v>
      </c>
      <c r="CA15" s="97">
        <f t="shared" si="36"/>
        <v>76290.678</v>
      </c>
      <c r="CB15" s="97">
        <f t="shared" si="61"/>
        <v>314648.62400000001</v>
      </c>
      <c r="CC15" s="97">
        <f t="shared" si="37"/>
        <v>1.0367835127201566</v>
      </c>
      <c r="CD15" s="97">
        <f t="shared" si="38"/>
        <v>1.1324406118409212</v>
      </c>
    </row>
    <row r="16" spans="1:82">
      <c r="A16" s="16">
        <f>+Chem!A15</f>
        <v>45876</v>
      </c>
      <c r="B16" s="6" t="str">
        <f>+Chem!B15</f>
        <v>MG</v>
      </c>
      <c r="C16" s="16" t="str">
        <f>+Chem!C15</f>
        <v>16/14</v>
      </c>
      <c r="D16" s="8">
        <f>+Chem!D15</f>
        <v>65.799000000000007</v>
      </c>
      <c r="E16" s="7">
        <f>+Chem!E15</f>
        <v>69.284000000000006</v>
      </c>
      <c r="F16" s="7">
        <f t="shared" si="39"/>
        <v>347.13400000000001</v>
      </c>
      <c r="G16" s="106"/>
      <c r="H16" s="97">
        <f t="shared" si="0"/>
        <v>0</v>
      </c>
      <c r="I16" s="8">
        <f t="shared" si="40"/>
        <v>0</v>
      </c>
      <c r="J16" s="97">
        <f t="shared" si="1"/>
        <v>0</v>
      </c>
      <c r="K16" s="106"/>
      <c r="L16" s="97">
        <f t="shared" si="2"/>
        <v>0</v>
      </c>
      <c r="M16" s="97">
        <f t="shared" si="41"/>
        <v>0</v>
      </c>
      <c r="N16" s="97">
        <f t="shared" si="3"/>
        <v>0</v>
      </c>
      <c r="O16" s="105"/>
      <c r="P16" s="97">
        <f t="shared" si="4"/>
        <v>0</v>
      </c>
      <c r="Q16" s="97">
        <f t="shared" si="42"/>
        <v>0</v>
      </c>
      <c r="R16" s="97">
        <f t="shared" si="5"/>
        <v>0</v>
      </c>
      <c r="S16" s="106">
        <f>104*S7</f>
        <v>26000</v>
      </c>
      <c r="T16" s="97">
        <f t="shared" si="6"/>
        <v>38.099842454220692</v>
      </c>
      <c r="U16" s="97">
        <f t="shared" si="43"/>
        <v>86500</v>
      </c>
      <c r="V16" s="97">
        <f t="shared" si="7"/>
        <v>22.59132258785214</v>
      </c>
      <c r="W16" s="105"/>
      <c r="X16" s="97">
        <f t="shared" si="8"/>
        <v>0</v>
      </c>
      <c r="Y16" s="97">
        <f t="shared" si="44"/>
        <v>0</v>
      </c>
      <c r="Z16" s="97">
        <f t="shared" si="9"/>
        <v>0</v>
      </c>
      <c r="AA16" s="106"/>
      <c r="AB16" s="97">
        <f t="shared" si="10"/>
        <v>0</v>
      </c>
      <c r="AC16" s="97">
        <f t="shared" si="45"/>
        <v>0</v>
      </c>
      <c r="AD16" s="97">
        <f t="shared" si="11"/>
        <v>0</v>
      </c>
      <c r="AE16" s="10">
        <f t="shared" si="46"/>
        <v>26000</v>
      </c>
      <c r="AF16" s="97">
        <f t="shared" si="12"/>
        <v>38.099842454220692</v>
      </c>
      <c r="AG16" s="97">
        <f t="shared" si="47"/>
        <v>86500</v>
      </c>
      <c r="AH16" s="97">
        <f t="shared" si="13"/>
        <v>22.59132258785214</v>
      </c>
      <c r="AI16" s="106">
        <f>168*AI7</f>
        <v>42241.752</v>
      </c>
      <c r="AJ16" s="97">
        <f t="shared" si="14"/>
        <v>61.900157545779301</v>
      </c>
      <c r="AK16" s="97">
        <f t="shared" si="48"/>
        <v>146840.37599999999</v>
      </c>
      <c r="AL16" s="97">
        <f t="shared" si="15"/>
        <v>38.35050061430637</v>
      </c>
      <c r="AM16" s="106"/>
      <c r="AN16" s="97">
        <f t="shared" si="16"/>
        <v>0</v>
      </c>
      <c r="AO16" s="97">
        <f t="shared" si="49"/>
        <v>0</v>
      </c>
      <c r="AP16" s="97">
        <f t="shared" si="17"/>
        <v>0</v>
      </c>
      <c r="AQ16" s="106"/>
      <c r="AR16" s="97">
        <f t="shared" si="18"/>
        <v>0</v>
      </c>
      <c r="AS16" s="97">
        <f t="shared" si="50"/>
        <v>0</v>
      </c>
      <c r="AT16" s="97">
        <f t="shared" si="19"/>
        <v>0</v>
      </c>
      <c r="AU16" s="106"/>
      <c r="AV16" s="97">
        <f t="shared" si="20"/>
        <v>0</v>
      </c>
      <c r="AW16" s="97">
        <f t="shared" si="51"/>
        <v>0</v>
      </c>
      <c r="AX16" s="97">
        <f t="shared" si="21"/>
        <v>0</v>
      </c>
      <c r="AY16" s="105">
        <v>0</v>
      </c>
      <c r="AZ16" s="97">
        <f t="shared" si="22"/>
        <v>0</v>
      </c>
      <c r="BA16" s="97">
        <f t="shared" si="52"/>
        <v>0</v>
      </c>
      <c r="BB16" s="97">
        <f t="shared" si="23"/>
        <v>0</v>
      </c>
      <c r="BC16" s="10">
        <f t="shared" si="53"/>
        <v>42241.752</v>
      </c>
      <c r="BD16" s="97">
        <f t="shared" si="24"/>
        <v>61.900157545779301</v>
      </c>
      <c r="BE16" s="97">
        <f t="shared" si="54"/>
        <v>146840.37599999999</v>
      </c>
      <c r="BF16" s="97">
        <f t="shared" si="25"/>
        <v>38.35050061430637</v>
      </c>
      <c r="BG16" s="106">
        <v>0</v>
      </c>
      <c r="BH16" s="97">
        <f t="shared" si="26"/>
        <v>0</v>
      </c>
      <c r="BI16" s="97">
        <f t="shared" si="55"/>
        <v>142500</v>
      </c>
      <c r="BJ16" s="97">
        <f t="shared" si="27"/>
        <v>37.216918714091676</v>
      </c>
      <c r="BK16" s="106"/>
      <c r="BL16" s="97">
        <f t="shared" si="28"/>
        <v>0</v>
      </c>
      <c r="BM16" s="97">
        <f t="shared" si="56"/>
        <v>0</v>
      </c>
      <c r="BN16" s="97">
        <f t="shared" si="29"/>
        <v>0</v>
      </c>
      <c r="BO16" s="105">
        <v>0</v>
      </c>
      <c r="BP16" s="98">
        <f t="shared" si="30"/>
        <v>0</v>
      </c>
      <c r="BQ16" s="97">
        <f t="shared" si="57"/>
        <v>0</v>
      </c>
      <c r="BR16" s="97">
        <f t="shared" si="31"/>
        <v>0</v>
      </c>
      <c r="BS16" s="97">
        <f t="shared" si="58"/>
        <v>0</v>
      </c>
      <c r="BT16" s="97">
        <f t="shared" si="32"/>
        <v>0</v>
      </c>
      <c r="BU16" s="97">
        <f t="shared" si="59"/>
        <v>142500</v>
      </c>
      <c r="BV16" s="97">
        <f t="shared" si="33"/>
        <v>37.216918714091676</v>
      </c>
      <c r="BW16" s="106">
        <v>0</v>
      </c>
      <c r="BX16" s="97">
        <f t="shared" si="34"/>
        <v>0</v>
      </c>
      <c r="BY16" s="97">
        <f t="shared" si="60"/>
        <v>7050</v>
      </c>
      <c r="BZ16" s="97">
        <f t="shared" si="35"/>
        <v>1.8412580837497985</v>
      </c>
      <c r="CA16" s="97">
        <f t="shared" si="36"/>
        <v>68241.752000000008</v>
      </c>
      <c r="CB16" s="97">
        <f t="shared" si="61"/>
        <v>382890.37600000005</v>
      </c>
      <c r="CC16" s="97">
        <f t="shared" si="37"/>
        <v>0.98495687315974823</v>
      </c>
      <c r="CD16" s="97">
        <f t="shared" si="38"/>
        <v>1.103004534272068</v>
      </c>
    </row>
    <row r="17" spans="1:91">
      <c r="A17" s="16">
        <f>+Chem!A16</f>
        <v>45877</v>
      </c>
      <c r="B17" s="6" t="str">
        <f>+Chem!B16</f>
        <v>MG</v>
      </c>
      <c r="C17" s="16" t="str">
        <f>+Chem!C16</f>
        <v>14</v>
      </c>
      <c r="D17" s="8">
        <f>+Chem!D16</f>
        <v>68.445000000000007</v>
      </c>
      <c r="E17" s="7">
        <f>+Chem!E16</f>
        <v>70.066000000000003</v>
      </c>
      <c r="F17" s="7">
        <f t="shared" si="39"/>
        <v>417.20000000000005</v>
      </c>
      <c r="G17" s="106"/>
      <c r="H17" s="97">
        <f t="shared" si="0"/>
        <v>0</v>
      </c>
      <c r="I17" s="8">
        <f t="shared" si="40"/>
        <v>0</v>
      </c>
      <c r="J17" s="97">
        <f t="shared" si="1"/>
        <v>0</v>
      </c>
      <c r="K17" s="106"/>
      <c r="L17" s="97">
        <f t="shared" si="2"/>
        <v>0</v>
      </c>
      <c r="M17" s="97">
        <f t="shared" si="41"/>
        <v>0</v>
      </c>
      <c r="N17" s="97">
        <f t="shared" si="3"/>
        <v>0</v>
      </c>
      <c r="O17" s="105"/>
      <c r="P17" s="97">
        <f t="shared" si="4"/>
        <v>0</v>
      </c>
      <c r="Q17" s="97">
        <f t="shared" si="42"/>
        <v>0</v>
      </c>
      <c r="R17" s="97">
        <f t="shared" si="5"/>
        <v>0</v>
      </c>
      <c r="S17" s="106">
        <f>112*S7</f>
        <v>28000</v>
      </c>
      <c r="T17" s="97">
        <f t="shared" si="6"/>
        <v>38.75257455497097</v>
      </c>
      <c r="U17" s="97">
        <f t="shared" si="43"/>
        <v>114500</v>
      </c>
      <c r="V17" s="97">
        <f t="shared" si="7"/>
        <v>25.156893327126355</v>
      </c>
      <c r="W17" s="105"/>
      <c r="X17" s="97">
        <f t="shared" si="8"/>
        <v>0</v>
      </c>
      <c r="Y17" s="97">
        <f t="shared" si="44"/>
        <v>0</v>
      </c>
      <c r="Z17" s="97">
        <f t="shared" si="9"/>
        <v>0</v>
      </c>
      <c r="AA17" s="106"/>
      <c r="AB17" s="97">
        <f t="shared" si="10"/>
        <v>0</v>
      </c>
      <c r="AC17" s="97">
        <f t="shared" si="45"/>
        <v>0</v>
      </c>
      <c r="AD17" s="97">
        <f t="shared" si="11"/>
        <v>0</v>
      </c>
      <c r="AE17" s="10">
        <f t="shared" si="46"/>
        <v>28000</v>
      </c>
      <c r="AF17" s="97">
        <f t="shared" si="12"/>
        <v>38.75257455497097</v>
      </c>
      <c r="AG17" s="97">
        <f t="shared" si="47"/>
        <v>114500</v>
      </c>
      <c r="AH17" s="97">
        <f t="shared" si="13"/>
        <v>25.156893327126355</v>
      </c>
      <c r="AI17" s="106">
        <f>176*AI7</f>
        <v>44253.263999999996</v>
      </c>
      <c r="AJ17" s="97">
        <f t="shared" si="14"/>
        <v>61.247425445029023</v>
      </c>
      <c r="AK17" s="97">
        <f t="shared" si="48"/>
        <v>191093.63999999998</v>
      </c>
      <c r="AL17" s="97">
        <f t="shared" si="15"/>
        <v>41.985347746482844</v>
      </c>
      <c r="AM17" s="106"/>
      <c r="AN17" s="97">
        <f t="shared" si="16"/>
        <v>0</v>
      </c>
      <c r="AO17" s="97">
        <f t="shared" si="49"/>
        <v>0</v>
      </c>
      <c r="AP17" s="97">
        <f t="shared" si="17"/>
        <v>0</v>
      </c>
      <c r="AQ17" s="106"/>
      <c r="AR17" s="97">
        <f t="shared" si="18"/>
        <v>0</v>
      </c>
      <c r="AS17" s="97">
        <f t="shared" si="50"/>
        <v>0</v>
      </c>
      <c r="AT17" s="97">
        <f t="shared" si="19"/>
        <v>0</v>
      </c>
      <c r="AU17" s="106"/>
      <c r="AV17" s="97">
        <f t="shared" si="20"/>
        <v>0</v>
      </c>
      <c r="AW17" s="97">
        <f t="shared" si="51"/>
        <v>0</v>
      </c>
      <c r="AX17" s="97">
        <f t="shared" si="21"/>
        <v>0</v>
      </c>
      <c r="AY17" s="105">
        <v>0</v>
      </c>
      <c r="AZ17" s="97">
        <f t="shared" si="22"/>
        <v>0</v>
      </c>
      <c r="BA17" s="97">
        <f t="shared" si="52"/>
        <v>0</v>
      </c>
      <c r="BB17" s="97">
        <f t="shared" si="23"/>
        <v>0</v>
      </c>
      <c r="BC17" s="10">
        <f t="shared" si="53"/>
        <v>44253.263999999996</v>
      </c>
      <c r="BD17" s="97">
        <f t="shared" si="24"/>
        <v>61.247425445029023</v>
      </c>
      <c r="BE17" s="97">
        <f t="shared" si="54"/>
        <v>191093.63999999998</v>
      </c>
      <c r="BF17" s="97">
        <f t="shared" si="25"/>
        <v>41.985347746482844</v>
      </c>
      <c r="BG17" s="106">
        <v>0</v>
      </c>
      <c r="BH17" s="97">
        <f t="shared" si="26"/>
        <v>0</v>
      </c>
      <c r="BI17" s="97">
        <f t="shared" si="55"/>
        <v>142500</v>
      </c>
      <c r="BJ17" s="97">
        <f t="shared" si="27"/>
        <v>31.308797372187819</v>
      </c>
      <c r="BK17" s="106"/>
      <c r="BL17" s="97">
        <f t="shared" si="28"/>
        <v>0</v>
      </c>
      <c r="BM17" s="97">
        <f t="shared" si="56"/>
        <v>0</v>
      </c>
      <c r="BN17" s="97">
        <f t="shared" si="29"/>
        <v>0</v>
      </c>
      <c r="BO17" s="105">
        <v>0</v>
      </c>
      <c r="BP17" s="98">
        <f t="shared" si="30"/>
        <v>0</v>
      </c>
      <c r="BQ17" s="97">
        <f t="shared" si="57"/>
        <v>0</v>
      </c>
      <c r="BR17" s="97">
        <f t="shared" si="31"/>
        <v>0</v>
      </c>
      <c r="BS17" s="97">
        <f t="shared" si="58"/>
        <v>0</v>
      </c>
      <c r="BT17" s="97">
        <f t="shared" si="32"/>
        <v>0</v>
      </c>
      <c r="BU17" s="97">
        <f t="shared" si="59"/>
        <v>142500</v>
      </c>
      <c r="BV17" s="97">
        <f t="shared" si="33"/>
        <v>31.308797372187819</v>
      </c>
      <c r="BW17" s="106">
        <v>0</v>
      </c>
      <c r="BX17" s="97">
        <f t="shared" si="34"/>
        <v>0</v>
      </c>
      <c r="BY17" s="97">
        <f t="shared" si="60"/>
        <v>7050</v>
      </c>
      <c r="BZ17" s="97">
        <f t="shared" si="35"/>
        <v>1.5489615542029764</v>
      </c>
      <c r="CA17" s="97">
        <f t="shared" si="36"/>
        <v>72253.263999999996</v>
      </c>
      <c r="CB17" s="97">
        <f t="shared" si="61"/>
        <v>455143.64</v>
      </c>
      <c r="CC17" s="97">
        <f t="shared" si="37"/>
        <v>1.0312171952159392</v>
      </c>
      <c r="CD17" s="97">
        <f t="shared" si="38"/>
        <v>1.0909483221476508</v>
      </c>
    </row>
    <row r="18" spans="1:91">
      <c r="A18" s="16">
        <f>+Chem!A17</f>
        <v>45878</v>
      </c>
      <c r="B18" s="6" t="str">
        <f>+Chem!B17</f>
        <v>MG</v>
      </c>
      <c r="C18" s="16" t="str">
        <f>+Chem!C17</f>
        <v>14/17</v>
      </c>
      <c r="D18" s="8">
        <f>+Chem!D17</f>
        <v>72.554000000000002</v>
      </c>
      <c r="E18" s="7">
        <f>+Chem!E17</f>
        <v>74.421000000000006</v>
      </c>
      <c r="F18" s="7">
        <f t="shared" si="39"/>
        <v>491.62100000000004</v>
      </c>
      <c r="G18" s="105"/>
      <c r="H18" s="10">
        <f t="shared" si="0"/>
        <v>0</v>
      </c>
      <c r="I18" s="8">
        <f t="shared" si="40"/>
        <v>0</v>
      </c>
      <c r="J18" s="10">
        <f t="shared" si="1"/>
        <v>0</v>
      </c>
      <c r="K18" s="105"/>
      <c r="L18" s="10">
        <f t="shared" si="2"/>
        <v>0</v>
      </c>
      <c r="M18" s="10">
        <f t="shared" si="41"/>
        <v>0</v>
      </c>
      <c r="N18" s="10">
        <f t="shared" si="3"/>
        <v>0</v>
      </c>
      <c r="O18" s="105"/>
      <c r="P18" s="10">
        <f t="shared" si="4"/>
        <v>0</v>
      </c>
      <c r="Q18" s="10">
        <f t="shared" si="42"/>
        <v>0</v>
      </c>
      <c r="R18" s="10">
        <f t="shared" si="5"/>
        <v>0</v>
      </c>
      <c r="S18" s="105">
        <f>108*S7</f>
        <v>27000</v>
      </c>
      <c r="T18" s="10">
        <f t="shared" si="6"/>
        <v>35.867868511263467</v>
      </c>
      <c r="U18" s="10">
        <f t="shared" si="43"/>
        <v>141500</v>
      </c>
      <c r="V18" s="10">
        <f t="shared" si="7"/>
        <v>26.676976585992822</v>
      </c>
      <c r="W18" s="105"/>
      <c r="X18" s="10">
        <f t="shared" si="8"/>
        <v>0</v>
      </c>
      <c r="Y18" s="10">
        <f t="shared" si="44"/>
        <v>0</v>
      </c>
      <c r="Z18" s="10">
        <f t="shared" si="9"/>
        <v>0</v>
      </c>
      <c r="AA18" s="105"/>
      <c r="AB18" s="10">
        <f t="shared" si="10"/>
        <v>0</v>
      </c>
      <c r="AC18" s="10">
        <f t="shared" si="45"/>
        <v>0</v>
      </c>
      <c r="AD18" s="10">
        <f t="shared" si="11"/>
        <v>0</v>
      </c>
      <c r="AE18" s="10">
        <f t="shared" si="46"/>
        <v>27000</v>
      </c>
      <c r="AF18" s="10">
        <f t="shared" si="12"/>
        <v>35.867868511263467</v>
      </c>
      <c r="AG18" s="10">
        <f t="shared" si="47"/>
        <v>141500</v>
      </c>
      <c r="AH18" s="10">
        <f t="shared" si="13"/>
        <v>26.676976585992822</v>
      </c>
      <c r="AI18" s="105">
        <f>192*AI7</f>
        <v>48276.288</v>
      </c>
      <c r="AJ18" s="10">
        <f t="shared" si="14"/>
        <v>64.132131488736533</v>
      </c>
      <c r="AK18" s="10">
        <f t="shared" si="48"/>
        <v>239369.92799999999</v>
      </c>
      <c r="AL18" s="10">
        <f t="shared" si="15"/>
        <v>45.128381375595666</v>
      </c>
      <c r="AM18" s="105"/>
      <c r="AN18" s="10">
        <f t="shared" si="16"/>
        <v>0</v>
      </c>
      <c r="AO18" s="10">
        <f t="shared" si="49"/>
        <v>0</v>
      </c>
      <c r="AP18" s="10">
        <f t="shared" si="17"/>
        <v>0</v>
      </c>
      <c r="AQ18" s="105"/>
      <c r="AR18" s="10">
        <f t="shared" si="18"/>
        <v>0</v>
      </c>
      <c r="AS18" s="10">
        <f t="shared" si="50"/>
        <v>0</v>
      </c>
      <c r="AT18" s="10">
        <f t="shared" si="19"/>
        <v>0</v>
      </c>
      <c r="AU18" s="105"/>
      <c r="AV18" s="10">
        <f t="shared" si="20"/>
        <v>0</v>
      </c>
      <c r="AW18" s="10">
        <f t="shared" si="51"/>
        <v>0</v>
      </c>
      <c r="AX18" s="10">
        <f t="shared" si="21"/>
        <v>0</v>
      </c>
      <c r="AY18" s="105">
        <v>0</v>
      </c>
      <c r="AZ18" s="10">
        <f t="shared" si="22"/>
        <v>0</v>
      </c>
      <c r="BA18" s="10">
        <f t="shared" si="52"/>
        <v>0</v>
      </c>
      <c r="BB18" s="10">
        <f t="shared" si="23"/>
        <v>0</v>
      </c>
      <c r="BC18" s="10">
        <f t="shared" si="53"/>
        <v>48276.288</v>
      </c>
      <c r="BD18" s="10">
        <f t="shared" si="24"/>
        <v>64.132131488736533</v>
      </c>
      <c r="BE18" s="10">
        <f t="shared" si="54"/>
        <v>239369.92799999999</v>
      </c>
      <c r="BF18" s="10">
        <f t="shared" si="25"/>
        <v>45.128381375595666</v>
      </c>
      <c r="BG18" s="106">
        <v>0</v>
      </c>
      <c r="BH18" s="10">
        <f t="shared" si="26"/>
        <v>0</v>
      </c>
      <c r="BI18" s="10">
        <f t="shared" si="55"/>
        <v>142500</v>
      </c>
      <c r="BJ18" s="10">
        <f t="shared" si="27"/>
        <v>26.865506455858494</v>
      </c>
      <c r="BK18" s="105"/>
      <c r="BL18" s="10">
        <f t="shared" si="28"/>
        <v>0</v>
      </c>
      <c r="BM18" s="10">
        <f t="shared" si="56"/>
        <v>0</v>
      </c>
      <c r="BN18" s="10">
        <f t="shared" si="29"/>
        <v>0</v>
      </c>
      <c r="BO18" s="105">
        <v>0</v>
      </c>
      <c r="BP18" s="15">
        <f t="shared" si="30"/>
        <v>0</v>
      </c>
      <c r="BQ18" s="10">
        <f t="shared" si="57"/>
        <v>0</v>
      </c>
      <c r="BR18" s="10">
        <f t="shared" si="31"/>
        <v>0</v>
      </c>
      <c r="BS18" s="10">
        <f t="shared" si="58"/>
        <v>0</v>
      </c>
      <c r="BT18" s="10">
        <f t="shared" si="32"/>
        <v>0</v>
      </c>
      <c r="BU18" s="10">
        <f t="shared" si="59"/>
        <v>142500</v>
      </c>
      <c r="BV18" s="10">
        <f t="shared" si="33"/>
        <v>26.865506455858494</v>
      </c>
      <c r="BW18" s="105">
        <v>0</v>
      </c>
      <c r="BX18" s="10">
        <f t="shared" si="34"/>
        <v>0</v>
      </c>
      <c r="BY18" s="10">
        <f t="shared" si="60"/>
        <v>7050</v>
      </c>
      <c r="BZ18" s="10">
        <f t="shared" si="35"/>
        <v>1.3291355825529994</v>
      </c>
      <c r="CA18" s="10">
        <f t="shared" si="36"/>
        <v>75276.288</v>
      </c>
      <c r="CB18" s="10">
        <f t="shared" si="61"/>
        <v>530419.92800000007</v>
      </c>
      <c r="CC18" s="10">
        <f t="shared" si="37"/>
        <v>1.0114925625831417</v>
      </c>
      <c r="CD18" s="10">
        <f t="shared" si="38"/>
        <v>1.0789204041324516</v>
      </c>
    </row>
    <row r="19" spans="1:91">
      <c r="A19" s="16">
        <f>+Chem!A18</f>
        <v>45879</v>
      </c>
      <c r="B19" s="6" t="str">
        <f>+Chem!B18</f>
        <v>MG</v>
      </c>
      <c r="C19" s="16" t="str">
        <f>+Chem!C18</f>
        <v>17</v>
      </c>
      <c r="D19" s="8">
        <f>+Chem!D18</f>
        <v>77.882000000000005</v>
      </c>
      <c r="E19" s="7">
        <f>+Chem!E18</f>
        <v>81.748999999999995</v>
      </c>
      <c r="F19" s="7">
        <f t="shared" si="39"/>
        <v>573.37</v>
      </c>
      <c r="G19" s="105"/>
      <c r="H19" s="10">
        <f t="shared" si="0"/>
        <v>0</v>
      </c>
      <c r="I19" s="8">
        <f t="shared" si="40"/>
        <v>0</v>
      </c>
      <c r="J19" s="10">
        <f t="shared" si="1"/>
        <v>0</v>
      </c>
      <c r="K19" s="105"/>
      <c r="L19" s="10">
        <f t="shared" si="2"/>
        <v>0</v>
      </c>
      <c r="M19" s="10">
        <f t="shared" si="41"/>
        <v>0</v>
      </c>
      <c r="N19" s="10">
        <f t="shared" si="3"/>
        <v>0</v>
      </c>
      <c r="O19" s="105"/>
      <c r="P19" s="10">
        <f t="shared" si="4"/>
        <v>0</v>
      </c>
      <c r="Q19" s="10">
        <f t="shared" si="42"/>
        <v>0</v>
      </c>
      <c r="R19" s="10">
        <f t="shared" si="5"/>
        <v>0</v>
      </c>
      <c r="S19" s="105">
        <f>100*S7</f>
        <v>25000</v>
      </c>
      <c r="T19" s="10">
        <f t="shared" si="6"/>
        <v>30.366305586190435</v>
      </c>
      <c r="U19" s="10">
        <f t="shared" si="43"/>
        <v>166500</v>
      </c>
      <c r="V19" s="10">
        <f t="shared" si="7"/>
        <v>27.172670423316912</v>
      </c>
      <c r="W19" s="105"/>
      <c r="X19" s="10">
        <f t="shared" si="8"/>
        <v>0</v>
      </c>
      <c r="Y19" s="10">
        <f t="shared" si="44"/>
        <v>0</v>
      </c>
      <c r="Z19" s="10">
        <f t="shared" si="9"/>
        <v>0</v>
      </c>
      <c r="AA19" s="105"/>
      <c r="AB19" s="10">
        <f t="shared" si="10"/>
        <v>0</v>
      </c>
      <c r="AC19" s="10">
        <f t="shared" si="45"/>
        <v>0</v>
      </c>
      <c r="AD19" s="10">
        <f t="shared" si="11"/>
        <v>0</v>
      </c>
      <c r="AE19" s="10">
        <f t="shared" si="46"/>
        <v>25000</v>
      </c>
      <c r="AF19" s="10">
        <f t="shared" si="12"/>
        <v>30.366305586190435</v>
      </c>
      <c r="AG19" s="10">
        <f t="shared" si="47"/>
        <v>166500</v>
      </c>
      <c r="AH19" s="10">
        <f t="shared" si="13"/>
        <v>27.172670423316912</v>
      </c>
      <c r="AI19" s="105">
        <f>228*AI7</f>
        <v>57328.091999999997</v>
      </c>
      <c r="AJ19" s="10">
        <f t="shared" si="14"/>
        <v>69.63369441380955</v>
      </c>
      <c r="AK19" s="10">
        <f t="shared" si="48"/>
        <v>296698.01999999996</v>
      </c>
      <c r="AL19" s="10">
        <f t="shared" si="15"/>
        <v>48.420885962226357</v>
      </c>
      <c r="AM19" s="105"/>
      <c r="AN19" s="10">
        <f t="shared" si="16"/>
        <v>0</v>
      </c>
      <c r="AO19" s="10">
        <f t="shared" si="49"/>
        <v>0</v>
      </c>
      <c r="AP19" s="10">
        <f t="shared" si="17"/>
        <v>0</v>
      </c>
      <c r="AQ19" s="105"/>
      <c r="AR19" s="10">
        <f t="shared" si="18"/>
        <v>0</v>
      </c>
      <c r="AS19" s="10">
        <f t="shared" si="50"/>
        <v>0</v>
      </c>
      <c r="AT19" s="10">
        <f t="shared" si="19"/>
        <v>0</v>
      </c>
      <c r="AU19" s="105"/>
      <c r="AV19" s="10">
        <f t="shared" si="20"/>
        <v>0</v>
      </c>
      <c r="AW19" s="10">
        <f t="shared" si="51"/>
        <v>0</v>
      </c>
      <c r="AX19" s="10">
        <f t="shared" si="21"/>
        <v>0</v>
      </c>
      <c r="AY19" s="105">
        <v>0</v>
      </c>
      <c r="AZ19" s="10">
        <f t="shared" si="22"/>
        <v>0</v>
      </c>
      <c r="BA19" s="10">
        <f t="shared" si="52"/>
        <v>0</v>
      </c>
      <c r="BB19" s="10">
        <f t="shared" si="23"/>
        <v>0</v>
      </c>
      <c r="BC19" s="10">
        <f t="shared" si="53"/>
        <v>57328.091999999997</v>
      </c>
      <c r="BD19" s="10">
        <f t="shared" si="24"/>
        <v>69.63369441380955</v>
      </c>
      <c r="BE19" s="10">
        <f t="shared" si="54"/>
        <v>296698.01999999996</v>
      </c>
      <c r="BF19" s="10">
        <f t="shared" si="25"/>
        <v>48.420885962226357</v>
      </c>
      <c r="BG19" s="106">
        <v>0</v>
      </c>
      <c r="BH19" s="10">
        <f t="shared" si="26"/>
        <v>0</v>
      </c>
      <c r="BI19" s="10">
        <f t="shared" si="55"/>
        <v>142500</v>
      </c>
      <c r="BJ19" s="10">
        <f t="shared" si="27"/>
        <v>23.255889101036999</v>
      </c>
      <c r="BK19" s="105"/>
      <c r="BL19" s="10">
        <f t="shared" si="28"/>
        <v>0</v>
      </c>
      <c r="BM19" s="10">
        <f t="shared" si="56"/>
        <v>0</v>
      </c>
      <c r="BN19" s="10">
        <f t="shared" si="29"/>
        <v>0</v>
      </c>
      <c r="BO19" s="105">
        <v>0</v>
      </c>
      <c r="BP19" s="15">
        <f t="shared" si="30"/>
        <v>0</v>
      </c>
      <c r="BQ19" s="10">
        <f t="shared" si="57"/>
        <v>0</v>
      </c>
      <c r="BR19" s="10">
        <f t="shared" si="31"/>
        <v>0</v>
      </c>
      <c r="BS19" s="10">
        <f t="shared" si="58"/>
        <v>0</v>
      </c>
      <c r="BT19" s="10">
        <f t="shared" si="32"/>
        <v>0</v>
      </c>
      <c r="BU19" s="10">
        <f t="shared" si="59"/>
        <v>142500</v>
      </c>
      <c r="BV19" s="10">
        <f t="shared" si="33"/>
        <v>23.255889101036999</v>
      </c>
      <c r="BW19" s="105"/>
      <c r="BX19" s="10">
        <f t="shared" si="34"/>
        <v>0</v>
      </c>
      <c r="BY19" s="10">
        <f t="shared" si="60"/>
        <v>7050</v>
      </c>
      <c r="BZ19" s="10">
        <f t="shared" si="35"/>
        <v>1.150554513419725</v>
      </c>
      <c r="CA19" s="10">
        <f t="shared" si="36"/>
        <v>82328.092000000004</v>
      </c>
      <c r="CB19" s="10">
        <f t="shared" si="61"/>
        <v>612748.02</v>
      </c>
      <c r="CC19" s="10">
        <f t="shared" si="37"/>
        <v>1.007083780841356</v>
      </c>
      <c r="CD19" s="10">
        <f t="shared" si="38"/>
        <v>1.0686782008127387</v>
      </c>
    </row>
    <row r="20" spans="1:91">
      <c r="A20" s="16">
        <f>+Chem!A19</f>
        <v>45880</v>
      </c>
      <c r="B20" s="6" t="str">
        <f>+Chem!B19</f>
        <v>MG</v>
      </c>
      <c r="C20" s="16" t="str">
        <f>+Chem!C19</f>
        <v>17/21/16,5</v>
      </c>
      <c r="D20" s="8">
        <f>+Chem!D19</f>
        <v>77.539999999999992</v>
      </c>
      <c r="E20" s="7">
        <f>+Chem!E19</f>
        <v>61.018000000000001</v>
      </c>
      <c r="F20" s="7">
        <f t="shared" si="39"/>
        <v>634.38800000000003</v>
      </c>
      <c r="G20" s="105"/>
      <c r="H20" s="10">
        <f t="shared" si="0"/>
        <v>0</v>
      </c>
      <c r="I20" s="8">
        <f t="shared" si="40"/>
        <v>0</v>
      </c>
      <c r="J20" s="10">
        <f t="shared" si="1"/>
        <v>0</v>
      </c>
      <c r="K20" s="105"/>
      <c r="L20" s="10">
        <f t="shared" si="2"/>
        <v>0</v>
      </c>
      <c r="M20" s="10">
        <f t="shared" si="41"/>
        <v>0</v>
      </c>
      <c r="N20" s="10">
        <f t="shared" si="3"/>
        <v>0</v>
      </c>
      <c r="O20" s="105"/>
      <c r="P20" s="10">
        <f t="shared" si="4"/>
        <v>0</v>
      </c>
      <c r="Q20" s="10">
        <f t="shared" si="42"/>
        <v>0</v>
      </c>
      <c r="R20" s="10">
        <f t="shared" si="5"/>
        <v>0</v>
      </c>
      <c r="S20" s="105">
        <f>104*S7</f>
        <v>26000</v>
      </c>
      <c r="T20" s="10">
        <f t="shared" si="6"/>
        <v>33.205911183485235</v>
      </c>
      <c r="U20" s="10">
        <f t="shared" si="43"/>
        <v>192500</v>
      </c>
      <c r="V20" s="10">
        <f t="shared" si="7"/>
        <v>27.856268461796184</v>
      </c>
      <c r="W20" s="105"/>
      <c r="X20" s="10">
        <f t="shared" si="8"/>
        <v>0</v>
      </c>
      <c r="Y20" s="10">
        <f t="shared" si="44"/>
        <v>0</v>
      </c>
      <c r="Z20" s="10">
        <f t="shared" si="9"/>
        <v>0</v>
      </c>
      <c r="AA20" s="105"/>
      <c r="AB20" s="10">
        <f t="shared" si="10"/>
        <v>0</v>
      </c>
      <c r="AC20" s="10">
        <f t="shared" si="45"/>
        <v>0</v>
      </c>
      <c r="AD20" s="10">
        <f t="shared" si="11"/>
        <v>0</v>
      </c>
      <c r="AE20" s="10">
        <f t="shared" si="46"/>
        <v>26000</v>
      </c>
      <c r="AF20" s="10">
        <f t="shared" si="12"/>
        <v>33.205911183485235</v>
      </c>
      <c r="AG20" s="10">
        <f t="shared" si="47"/>
        <v>192500</v>
      </c>
      <c r="AH20" s="10">
        <f t="shared" si="13"/>
        <v>27.856268461796184</v>
      </c>
      <c r="AI20" s="105">
        <f>208*AI7</f>
        <v>52299.311999999998</v>
      </c>
      <c r="AJ20" s="10">
        <f t="shared" si="14"/>
        <v>66.794088816514758</v>
      </c>
      <c r="AK20" s="10">
        <f t="shared" si="48"/>
        <v>348997.33199999994</v>
      </c>
      <c r="AL20" s="10">
        <f t="shared" si="15"/>
        <v>50.502666870870705</v>
      </c>
      <c r="AM20" s="105"/>
      <c r="AN20" s="10">
        <f t="shared" si="16"/>
        <v>0</v>
      </c>
      <c r="AO20" s="10">
        <f t="shared" si="49"/>
        <v>0</v>
      </c>
      <c r="AP20" s="10">
        <f t="shared" si="17"/>
        <v>0</v>
      </c>
      <c r="AQ20" s="105"/>
      <c r="AR20" s="10">
        <f t="shared" si="18"/>
        <v>0</v>
      </c>
      <c r="AS20" s="10">
        <f t="shared" si="50"/>
        <v>0</v>
      </c>
      <c r="AT20" s="10">
        <f t="shared" si="19"/>
        <v>0</v>
      </c>
      <c r="AU20" s="105"/>
      <c r="AV20" s="10">
        <f t="shared" si="20"/>
        <v>0</v>
      </c>
      <c r="AW20" s="10">
        <f t="shared" si="51"/>
        <v>0</v>
      </c>
      <c r="AX20" s="10">
        <f t="shared" si="21"/>
        <v>0</v>
      </c>
      <c r="AY20" s="105">
        <v>0</v>
      </c>
      <c r="AZ20" s="10">
        <f t="shared" si="22"/>
        <v>0</v>
      </c>
      <c r="BA20" s="10">
        <f t="shared" si="52"/>
        <v>0</v>
      </c>
      <c r="BB20" s="10">
        <f t="shared" si="23"/>
        <v>0</v>
      </c>
      <c r="BC20" s="10">
        <f t="shared" si="53"/>
        <v>52299.311999999998</v>
      </c>
      <c r="BD20" s="10">
        <f t="shared" si="24"/>
        <v>66.794088816514758</v>
      </c>
      <c r="BE20" s="10">
        <f t="shared" si="54"/>
        <v>348997.33199999994</v>
      </c>
      <c r="BF20" s="10">
        <f t="shared" si="25"/>
        <v>50.502666870870705</v>
      </c>
      <c r="BG20" s="106">
        <v>0</v>
      </c>
      <c r="BH20" s="10">
        <f t="shared" si="26"/>
        <v>0</v>
      </c>
      <c r="BI20" s="10">
        <f t="shared" si="55"/>
        <v>142500</v>
      </c>
      <c r="BJ20" s="10">
        <f t="shared" si="27"/>
        <v>20.620874056134838</v>
      </c>
      <c r="BK20" s="105"/>
      <c r="BL20" s="10">
        <f t="shared" si="28"/>
        <v>0</v>
      </c>
      <c r="BM20" s="10">
        <f t="shared" si="56"/>
        <v>0</v>
      </c>
      <c r="BN20" s="10">
        <f t="shared" si="29"/>
        <v>0</v>
      </c>
      <c r="BO20" s="105">
        <v>0</v>
      </c>
      <c r="BP20" s="15">
        <f t="shared" si="30"/>
        <v>0</v>
      </c>
      <c r="BQ20" s="10">
        <f t="shared" si="57"/>
        <v>0</v>
      </c>
      <c r="BR20" s="10">
        <f t="shared" si="31"/>
        <v>0</v>
      </c>
      <c r="BS20" s="10">
        <f t="shared" si="58"/>
        <v>0</v>
      </c>
      <c r="BT20" s="10">
        <f t="shared" si="32"/>
        <v>0</v>
      </c>
      <c r="BU20" s="10">
        <f t="shared" si="59"/>
        <v>142500</v>
      </c>
      <c r="BV20" s="10">
        <f t="shared" si="33"/>
        <v>20.620874056134838</v>
      </c>
      <c r="BW20" s="105"/>
      <c r="BX20" s="10">
        <f t="shared" si="34"/>
        <v>0</v>
      </c>
      <c r="BY20" s="10">
        <f t="shared" si="60"/>
        <v>7050</v>
      </c>
      <c r="BZ20" s="10">
        <f t="shared" si="35"/>
        <v>1.0201906111982499</v>
      </c>
      <c r="CA20" s="10">
        <f t="shared" si="36"/>
        <v>78299.312000000005</v>
      </c>
      <c r="CB20" s="10">
        <f t="shared" si="61"/>
        <v>691047.33200000005</v>
      </c>
      <c r="CC20" s="10">
        <f t="shared" si="37"/>
        <v>1.2832166246025762</v>
      </c>
      <c r="CD20" s="10">
        <f t="shared" si="38"/>
        <v>1.0893133728885163</v>
      </c>
    </row>
    <row r="21" spans="1:91">
      <c r="A21" s="16">
        <f>+Chem!A20</f>
        <v>45881</v>
      </c>
      <c r="B21" s="6" t="str">
        <f>+Chem!B20</f>
        <v>MG</v>
      </c>
      <c r="C21" s="16" t="str">
        <f>+Chem!C20</f>
        <v>16,5/17/21</v>
      </c>
      <c r="D21" s="8">
        <f>+Chem!D20</f>
        <v>78.825999999999993</v>
      </c>
      <c r="E21" s="7">
        <f>+Chem!E20</f>
        <v>84.668000000000006</v>
      </c>
      <c r="F21" s="7">
        <f t="shared" si="39"/>
        <v>719.05600000000004</v>
      </c>
      <c r="G21" s="105"/>
      <c r="H21" s="10">
        <f t="shared" si="0"/>
        <v>0</v>
      </c>
      <c r="I21" s="8">
        <f t="shared" si="40"/>
        <v>0</v>
      </c>
      <c r="J21" s="10">
        <f t="shared" si="1"/>
        <v>0</v>
      </c>
      <c r="K21" s="105"/>
      <c r="L21" s="10">
        <f t="shared" si="2"/>
        <v>0</v>
      </c>
      <c r="M21" s="10">
        <f t="shared" si="41"/>
        <v>0</v>
      </c>
      <c r="N21" s="10">
        <f t="shared" si="3"/>
        <v>0</v>
      </c>
      <c r="O21" s="105"/>
      <c r="P21" s="10">
        <f t="shared" si="4"/>
        <v>0</v>
      </c>
      <c r="Q21" s="10">
        <f t="shared" si="42"/>
        <v>0</v>
      </c>
      <c r="R21" s="10">
        <f t="shared" si="5"/>
        <v>0</v>
      </c>
      <c r="S21" s="105">
        <f>108*S7</f>
        <v>27000</v>
      </c>
      <c r="T21" s="10">
        <f t="shared" si="6"/>
        <v>34.485596745663202</v>
      </c>
      <c r="U21" s="10">
        <f t="shared" si="43"/>
        <v>219500</v>
      </c>
      <c r="V21" s="10">
        <f t="shared" si="7"/>
        <v>28.530915673885254</v>
      </c>
      <c r="W21" s="105"/>
      <c r="X21" s="10">
        <f t="shared" si="8"/>
        <v>0</v>
      </c>
      <c r="Y21" s="10">
        <f t="shared" si="44"/>
        <v>0</v>
      </c>
      <c r="Z21" s="10">
        <f t="shared" si="9"/>
        <v>0</v>
      </c>
      <c r="AA21" s="105"/>
      <c r="AB21" s="10">
        <f t="shared" si="10"/>
        <v>0</v>
      </c>
      <c r="AC21" s="10">
        <f t="shared" si="45"/>
        <v>0</v>
      </c>
      <c r="AD21" s="10">
        <f t="shared" si="11"/>
        <v>0</v>
      </c>
      <c r="AE21" s="10">
        <f t="shared" si="46"/>
        <v>27000</v>
      </c>
      <c r="AF21" s="10">
        <f t="shared" si="12"/>
        <v>34.485596745663202</v>
      </c>
      <c r="AG21" s="10">
        <f t="shared" si="47"/>
        <v>219500</v>
      </c>
      <c r="AH21" s="10">
        <f t="shared" si="13"/>
        <v>28.530915673885254</v>
      </c>
      <c r="AI21" s="105">
        <f>204*AI7</f>
        <v>51293.555999999997</v>
      </c>
      <c r="AJ21" s="10">
        <f t="shared" si="14"/>
        <v>65.514403254336798</v>
      </c>
      <c r="AK21" s="10">
        <f t="shared" si="48"/>
        <v>400290.88799999992</v>
      </c>
      <c r="AL21" s="10">
        <f t="shared" si="15"/>
        <v>52.030367064021156</v>
      </c>
      <c r="AM21" s="105"/>
      <c r="AN21" s="10">
        <f t="shared" si="16"/>
        <v>0</v>
      </c>
      <c r="AO21" s="10">
        <f t="shared" si="49"/>
        <v>0</v>
      </c>
      <c r="AP21" s="10">
        <f t="shared" si="17"/>
        <v>0</v>
      </c>
      <c r="AQ21" s="105"/>
      <c r="AR21" s="10">
        <f t="shared" si="18"/>
        <v>0</v>
      </c>
      <c r="AS21" s="10">
        <f t="shared" si="50"/>
        <v>0</v>
      </c>
      <c r="AT21" s="10">
        <f t="shared" si="19"/>
        <v>0</v>
      </c>
      <c r="AU21" s="105"/>
      <c r="AV21" s="10">
        <f t="shared" si="20"/>
        <v>0</v>
      </c>
      <c r="AW21" s="10">
        <f t="shared" si="51"/>
        <v>0</v>
      </c>
      <c r="AX21" s="10">
        <f t="shared" si="21"/>
        <v>0</v>
      </c>
      <c r="AY21" s="105">
        <v>0</v>
      </c>
      <c r="AZ21" s="10">
        <f t="shared" si="22"/>
        <v>0</v>
      </c>
      <c r="BA21" s="10">
        <f t="shared" si="52"/>
        <v>0</v>
      </c>
      <c r="BB21" s="10">
        <f t="shared" si="23"/>
        <v>0</v>
      </c>
      <c r="BC21" s="10">
        <f t="shared" si="53"/>
        <v>51293.555999999997</v>
      </c>
      <c r="BD21" s="10">
        <f t="shared" si="24"/>
        <v>65.514403254336798</v>
      </c>
      <c r="BE21" s="10">
        <f t="shared" si="54"/>
        <v>400290.88799999992</v>
      </c>
      <c r="BF21" s="10">
        <f t="shared" si="25"/>
        <v>52.030367064021156</v>
      </c>
      <c r="BG21" s="106">
        <v>0</v>
      </c>
      <c r="BH21" s="10">
        <f t="shared" si="26"/>
        <v>0</v>
      </c>
      <c r="BI21" s="10">
        <f t="shared" si="55"/>
        <v>142500</v>
      </c>
      <c r="BJ21" s="10">
        <f t="shared" si="27"/>
        <v>18.522348444321864</v>
      </c>
      <c r="BK21" s="105"/>
      <c r="BL21" s="10">
        <f t="shared" si="28"/>
        <v>0</v>
      </c>
      <c r="BM21" s="10">
        <f t="shared" si="56"/>
        <v>0</v>
      </c>
      <c r="BN21" s="10">
        <f t="shared" si="29"/>
        <v>0</v>
      </c>
      <c r="BO21" s="105">
        <v>0</v>
      </c>
      <c r="BP21" s="15">
        <f t="shared" si="30"/>
        <v>0</v>
      </c>
      <c r="BQ21" s="10">
        <f t="shared" si="57"/>
        <v>0</v>
      </c>
      <c r="BR21" s="10">
        <f t="shared" si="31"/>
        <v>0</v>
      </c>
      <c r="BS21" s="10">
        <f t="shared" si="58"/>
        <v>0</v>
      </c>
      <c r="BT21" s="10">
        <f t="shared" si="32"/>
        <v>0</v>
      </c>
      <c r="BU21" s="10">
        <f t="shared" si="59"/>
        <v>142500</v>
      </c>
      <c r="BV21" s="10">
        <f t="shared" si="33"/>
        <v>18.522348444321864</v>
      </c>
      <c r="BW21" s="105"/>
      <c r="BX21" s="10">
        <f t="shared" si="34"/>
        <v>0</v>
      </c>
      <c r="BY21" s="10">
        <f t="shared" si="60"/>
        <v>7050</v>
      </c>
      <c r="BZ21" s="10">
        <f t="shared" si="35"/>
        <v>0.91636881777171308</v>
      </c>
      <c r="CA21" s="10">
        <f t="shared" si="36"/>
        <v>78293.555999999997</v>
      </c>
      <c r="CB21" s="10">
        <f t="shared" si="61"/>
        <v>769340.88800000004</v>
      </c>
      <c r="CC21" s="10">
        <f t="shared" si="37"/>
        <v>0.92471247696886649</v>
      </c>
      <c r="CD21" s="10">
        <f t="shared" si="38"/>
        <v>1.0699318105961149</v>
      </c>
      <c r="CH21" s="13"/>
      <c r="CI21" s="13"/>
      <c r="CL21" s="13"/>
      <c r="CM21" s="13"/>
    </row>
    <row r="22" spans="1:91">
      <c r="A22" s="16">
        <f>+Chem!A21</f>
        <v>45882</v>
      </c>
      <c r="B22" s="6" t="str">
        <f>+Chem!B21</f>
        <v>MG</v>
      </c>
      <c r="C22" s="16" t="str">
        <f>+Chem!C21</f>
        <v>21/22/16</v>
      </c>
      <c r="D22" s="8">
        <f>+Chem!D21</f>
        <v>79.756</v>
      </c>
      <c r="E22" s="7">
        <f>+Chem!E21</f>
        <v>75.933000000000007</v>
      </c>
      <c r="F22" s="7">
        <f t="shared" si="39"/>
        <v>794.98900000000003</v>
      </c>
      <c r="G22" s="105"/>
      <c r="H22" s="10">
        <f t="shared" si="0"/>
        <v>0</v>
      </c>
      <c r="I22" s="8">
        <f t="shared" si="40"/>
        <v>0</v>
      </c>
      <c r="J22" s="10">
        <f t="shared" si="1"/>
        <v>0</v>
      </c>
      <c r="K22" s="105"/>
      <c r="L22" s="10">
        <f t="shared" si="2"/>
        <v>0</v>
      </c>
      <c r="M22" s="10">
        <f t="shared" si="41"/>
        <v>0</v>
      </c>
      <c r="N22" s="10">
        <f t="shared" si="3"/>
        <v>0</v>
      </c>
      <c r="O22" s="105"/>
      <c r="P22" s="10">
        <f t="shared" si="4"/>
        <v>0</v>
      </c>
      <c r="Q22" s="10">
        <f t="shared" si="42"/>
        <v>0</v>
      </c>
      <c r="R22" s="10">
        <f t="shared" si="5"/>
        <v>0</v>
      </c>
      <c r="S22" s="105">
        <f>112*S7</f>
        <v>28000</v>
      </c>
      <c r="T22" s="10">
        <f t="shared" si="6"/>
        <v>35.311822816976452</v>
      </c>
      <c r="U22" s="10">
        <f t="shared" si="43"/>
        <v>247500</v>
      </c>
      <c r="V22" s="10">
        <f t="shared" si="7"/>
        <v>29.164500893154887</v>
      </c>
      <c r="W22" s="105"/>
      <c r="X22" s="10">
        <f t="shared" si="8"/>
        <v>0</v>
      </c>
      <c r="Y22" s="10">
        <f t="shared" si="44"/>
        <v>0</v>
      </c>
      <c r="Z22" s="10">
        <f t="shared" si="9"/>
        <v>0</v>
      </c>
      <c r="AA22" s="105"/>
      <c r="AB22" s="10">
        <f t="shared" si="10"/>
        <v>0</v>
      </c>
      <c r="AC22" s="10">
        <f t="shared" si="45"/>
        <v>0</v>
      </c>
      <c r="AD22" s="10">
        <f t="shared" si="11"/>
        <v>0</v>
      </c>
      <c r="AE22" s="10">
        <f t="shared" si="46"/>
        <v>28000</v>
      </c>
      <c r="AF22" s="10">
        <f t="shared" si="12"/>
        <v>35.311822816976452</v>
      </c>
      <c r="AG22" s="10">
        <f t="shared" si="47"/>
        <v>247500</v>
      </c>
      <c r="AH22" s="10">
        <f t="shared" si="13"/>
        <v>29.164500893154887</v>
      </c>
      <c r="AI22" s="105">
        <f>204*AI7</f>
        <v>51293.555999999997</v>
      </c>
      <c r="AJ22" s="10">
        <f t="shared" si="14"/>
        <v>64.688177183023541</v>
      </c>
      <c r="AK22" s="10">
        <f t="shared" si="48"/>
        <v>451584.4439999999</v>
      </c>
      <c r="AL22" s="10">
        <f t="shared" si="15"/>
        <v>53.213070385344842</v>
      </c>
      <c r="AM22" s="105"/>
      <c r="AN22" s="10">
        <f t="shared" si="16"/>
        <v>0</v>
      </c>
      <c r="AO22" s="10">
        <f t="shared" si="49"/>
        <v>0</v>
      </c>
      <c r="AP22" s="10">
        <f t="shared" si="17"/>
        <v>0</v>
      </c>
      <c r="AQ22" s="105"/>
      <c r="AR22" s="10">
        <f t="shared" si="18"/>
        <v>0</v>
      </c>
      <c r="AS22" s="10">
        <f t="shared" si="50"/>
        <v>0</v>
      </c>
      <c r="AT22" s="10">
        <f t="shared" si="19"/>
        <v>0</v>
      </c>
      <c r="AU22" s="105"/>
      <c r="AV22" s="10">
        <f t="shared" si="20"/>
        <v>0</v>
      </c>
      <c r="AW22" s="10">
        <f t="shared" si="51"/>
        <v>0</v>
      </c>
      <c r="AX22" s="10">
        <f t="shared" si="21"/>
        <v>0</v>
      </c>
      <c r="AY22" s="105">
        <v>0</v>
      </c>
      <c r="AZ22" s="10">
        <f t="shared" si="22"/>
        <v>0</v>
      </c>
      <c r="BA22" s="10">
        <f t="shared" si="52"/>
        <v>0</v>
      </c>
      <c r="BB22" s="10">
        <f t="shared" si="23"/>
        <v>0</v>
      </c>
      <c r="BC22" s="10">
        <f t="shared" si="53"/>
        <v>51293.555999999997</v>
      </c>
      <c r="BD22" s="10">
        <f t="shared" si="24"/>
        <v>64.688177183023541</v>
      </c>
      <c r="BE22" s="10">
        <f t="shared" si="54"/>
        <v>451584.4439999999</v>
      </c>
      <c r="BF22" s="10">
        <f t="shared" si="25"/>
        <v>53.213070385344842</v>
      </c>
      <c r="BG22" s="106">
        <v>0</v>
      </c>
      <c r="BH22" s="10">
        <f t="shared" si="26"/>
        <v>0</v>
      </c>
      <c r="BI22" s="10">
        <f t="shared" si="55"/>
        <v>142500</v>
      </c>
      <c r="BJ22" s="10">
        <f t="shared" si="27"/>
        <v>16.791682332422507</v>
      </c>
      <c r="BK22" s="105"/>
      <c r="BL22" s="10">
        <f t="shared" si="28"/>
        <v>0</v>
      </c>
      <c r="BM22" s="10">
        <f t="shared" si="56"/>
        <v>0</v>
      </c>
      <c r="BN22" s="10">
        <f t="shared" si="29"/>
        <v>0</v>
      </c>
      <c r="BO22" s="105">
        <v>0</v>
      </c>
      <c r="BP22" s="15">
        <f t="shared" si="30"/>
        <v>0</v>
      </c>
      <c r="BQ22" s="10">
        <f t="shared" si="57"/>
        <v>0</v>
      </c>
      <c r="BR22" s="10">
        <f t="shared" si="31"/>
        <v>0</v>
      </c>
      <c r="BS22" s="10">
        <f t="shared" si="58"/>
        <v>0</v>
      </c>
      <c r="BT22" s="10">
        <f t="shared" si="32"/>
        <v>0</v>
      </c>
      <c r="BU22" s="10">
        <f t="shared" si="59"/>
        <v>142500</v>
      </c>
      <c r="BV22" s="10">
        <f t="shared" si="33"/>
        <v>16.791682332422507</v>
      </c>
      <c r="BW22" s="105"/>
      <c r="BX22" s="10">
        <f t="shared" si="34"/>
        <v>0</v>
      </c>
      <c r="BY22" s="10">
        <f t="shared" si="60"/>
        <v>7050</v>
      </c>
      <c r="BZ22" s="10">
        <f t="shared" si="35"/>
        <v>0.83074638907774534</v>
      </c>
      <c r="CA22" s="10">
        <f t="shared" si="36"/>
        <v>79293.555999999997</v>
      </c>
      <c r="CB22" s="10">
        <f t="shared" si="61"/>
        <v>848634.44400000002</v>
      </c>
      <c r="CC22" s="10">
        <f t="shared" si="37"/>
        <v>1.0442568580195697</v>
      </c>
      <c r="CD22" s="10">
        <f t="shared" si="38"/>
        <v>1.0674794795902836</v>
      </c>
      <c r="CH22" s="13"/>
      <c r="CI22" s="13"/>
      <c r="CL22" s="13"/>
      <c r="CM22" s="13"/>
    </row>
    <row r="23" spans="1:91">
      <c r="A23" s="16">
        <f>+Chem!A22</f>
        <v>45883</v>
      </c>
      <c r="B23" s="6" t="str">
        <f>+Chem!B22</f>
        <v>MG</v>
      </c>
      <c r="C23" s="16" t="str">
        <f>+Chem!C22</f>
        <v>16/16,5</v>
      </c>
      <c r="D23" s="8">
        <f>+Chem!D22</f>
        <v>75.38</v>
      </c>
      <c r="E23" s="7">
        <f>+Chem!E22</f>
        <v>82.355000000000004</v>
      </c>
      <c r="F23" s="7">
        <f t="shared" si="39"/>
        <v>877.34400000000005</v>
      </c>
      <c r="G23" s="105"/>
      <c r="H23" s="10">
        <f t="shared" si="0"/>
        <v>0</v>
      </c>
      <c r="I23" s="8">
        <f t="shared" si="40"/>
        <v>0</v>
      </c>
      <c r="J23" s="10">
        <f t="shared" si="1"/>
        <v>0</v>
      </c>
      <c r="K23" s="105"/>
      <c r="L23" s="10">
        <f t="shared" si="2"/>
        <v>0</v>
      </c>
      <c r="M23" s="10">
        <f t="shared" si="41"/>
        <v>0</v>
      </c>
      <c r="N23" s="10">
        <f t="shared" si="3"/>
        <v>0</v>
      </c>
      <c r="O23" s="105"/>
      <c r="P23" s="10">
        <f t="shared" si="4"/>
        <v>0</v>
      </c>
      <c r="Q23" s="10">
        <f t="shared" si="42"/>
        <v>0</v>
      </c>
      <c r="R23" s="10">
        <f t="shared" si="5"/>
        <v>0</v>
      </c>
      <c r="S23" s="105">
        <f>112*S7</f>
        <v>28000</v>
      </c>
      <c r="T23" s="10">
        <f t="shared" si="6"/>
        <v>33.205911183485242</v>
      </c>
      <c r="U23" s="10">
        <f t="shared" si="43"/>
        <v>275500</v>
      </c>
      <c r="V23" s="10">
        <f t="shared" si="7"/>
        <v>29.529770928938419</v>
      </c>
      <c r="W23" s="105"/>
      <c r="X23" s="10">
        <f t="shared" si="8"/>
        <v>0</v>
      </c>
      <c r="Y23" s="10">
        <f t="shared" si="44"/>
        <v>0</v>
      </c>
      <c r="Z23" s="10">
        <f t="shared" si="9"/>
        <v>0</v>
      </c>
      <c r="AA23" s="105"/>
      <c r="AB23" s="10">
        <f t="shared" si="10"/>
        <v>0</v>
      </c>
      <c r="AC23" s="10">
        <f t="shared" si="45"/>
        <v>0</v>
      </c>
      <c r="AD23" s="10">
        <f t="shared" si="11"/>
        <v>0</v>
      </c>
      <c r="AE23" s="10">
        <f t="shared" si="46"/>
        <v>28000</v>
      </c>
      <c r="AF23" s="10">
        <f t="shared" si="12"/>
        <v>33.205911183485242</v>
      </c>
      <c r="AG23" s="10">
        <f t="shared" si="47"/>
        <v>275500</v>
      </c>
      <c r="AH23" s="10">
        <f t="shared" si="13"/>
        <v>29.529770928938419</v>
      </c>
      <c r="AI23" s="105">
        <f>224*AI7</f>
        <v>56322.335999999996</v>
      </c>
      <c r="AJ23" s="10">
        <f t="shared" si="14"/>
        <v>66.794088816514758</v>
      </c>
      <c r="AK23" s="10">
        <f t="shared" si="48"/>
        <v>507906.77999999991</v>
      </c>
      <c r="AL23" s="10">
        <f t="shared" si="15"/>
        <v>54.440547610361953</v>
      </c>
      <c r="AM23" s="105"/>
      <c r="AN23" s="10">
        <f t="shared" si="16"/>
        <v>0</v>
      </c>
      <c r="AO23" s="10">
        <f t="shared" si="49"/>
        <v>0</v>
      </c>
      <c r="AP23" s="10">
        <f t="shared" si="17"/>
        <v>0</v>
      </c>
      <c r="AQ23" s="105"/>
      <c r="AR23" s="10">
        <f t="shared" si="18"/>
        <v>0</v>
      </c>
      <c r="AS23" s="10">
        <f t="shared" si="50"/>
        <v>0</v>
      </c>
      <c r="AT23" s="10">
        <f t="shared" si="19"/>
        <v>0</v>
      </c>
      <c r="AU23" s="105"/>
      <c r="AV23" s="10">
        <f t="shared" si="20"/>
        <v>0</v>
      </c>
      <c r="AW23" s="10">
        <f t="shared" si="51"/>
        <v>0</v>
      </c>
      <c r="AX23" s="10">
        <f t="shared" si="21"/>
        <v>0</v>
      </c>
      <c r="AY23" s="105">
        <v>0</v>
      </c>
      <c r="AZ23" s="10">
        <f t="shared" si="22"/>
        <v>0</v>
      </c>
      <c r="BA23" s="10">
        <f t="shared" si="52"/>
        <v>0</v>
      </c>
      <c r="BB23" s="10">
        <f t="shared" si="23"/>
        <v>0</v>
      </c>
      <c r="BC23" s="10">
        <f t="shared" si="53"/>
        <v>56322.335999999996</v>
      </c>
      <c r="BD23" s="10">
        <f t="shared" si="24"/>
        <v>66.794088816514758</v>
      </c>
      <c r="BE23" s="10">
        <f t="shared" si="54"/>
        <v>507906.77999999991</v>
      </c>
      <c r="BF23" s="10">
        <f t="shared" si="25"/>
        <v>54.440547610361953</v>
      </c>
      <c r="BG23" s="106">
        <v>0</v>
      </c>
      <c r="BH23" s="10">
        <f t="shared" si="26"/>
        <v>0</v>
      </c>
      <c r="BI23" s="10">
        <f t="shared" si="55"/>
        <v>142500</v>
      </c>
      <c r="BJ23" s="10">
        <f t="shared" si="27"/>
        <v>15.274019446002631</v>
      </c>
      <c r="BK23" s="105"/>
      <c r="BL23" s="10">
        <f t="shared" si="28"/>
        <v>0</v>
      </c>
      <c r="BM23" s="10">
        <f t="shared" si="56"/>
        <v>0</v>
      </c>
      <c r="BN23" s="10">
        <f t="shared" si="29"/>
        <v>0</v>
      </c>
      <c r="BO23" s="105">
        <v>0</v>
      </c>
      <c r="BP23" s="15">
        <f t="shared" si="30"/>
        <v>0</v>
      </c>
      <c r="BQ23" s="10">
        <f t="shared" si="57"/>
        <v>0</v>
      </c>
      <c r="BR23" s="10">
        <f t="shared" si="31"/>
        <v>0</v>
      </c>
      <c r="BS23" s="10">
        <f t="shared" si="58"/>
        <v>0</v>
      </c>
      <c r="BT23" s="10">
        <f t="shared" si="32"/>
        <v>0</v>
      </c>
      <c r="BU23" s="10">
        <f t="shared" si="59"/>
        <v>142500</v>
      </c>
      <c r="BV23" s="10">
        <f t="shared" si="33"/>
        <v>15.274019446002631</v>
      </c>
      <c r="BW23" s="105"/>
      <c r="BX23" s="10">
        <f t="shared" si="34"/>
        <v>0</v>
      </c>
      <c r="BY23" s="10">
        <f t="shared" si="60"/>
        <v>7050</v>
      </c>
      <c r="BZ23" s="10">
        <f t="shared" si="35"/>
        <v>0.75566201469697225</v>
      </c>
      <c r="CA23" s="10">
        <f t="shared" si="36"/>
        <v>84322.335999999996</v>
      </c>
      <c r="CB23" s="10">
        <f t="shared" si="61"/>
        <v>932956.78</v>
      </c>
      <c r="CC23" s="10">
        <f t="shared" si="37"/>
        <v>1.0238884827879302</v>
      </c>
      <c r="CD23" s="10">
        <f t="shared" si="38"/>
        <v>1.0633876563810774</v>
      </c>
      <c r="CL23" s="13"/>
      <c r="CM23" s="13"/>
    </row>
    <row r="24" spans="1:91">
      <c r="A24" s="16">
        <f>+Chem!A23</f>
        <v>45884</v>
      </c>
      <c r="B24" s="6" t="str">
        <f>+Chem!B23</f>
        <v>MG</v>
      </c>
      <c r="C24" s="16" t="str">
        <f>+Chem!C23</f>
        <v>16,5/16</v>
      </c>
      <c r="D24" s="8">
        <f>+Chem!D23</f>
        <v>82.12299999999999</v>
      </c>
      <c r="E24" s="7">
        <f>+Chem!E23</f>
        <v>77.778000000000006</v>
      </c>
      <c r="F24" s="7">
        <f t="shared" si="39"/>
        <v>955.12200000000007</v>
      </c>
      <c r="G24" s="105"/>
      <c r="H24" s="10">
        <f t="shared" si="0"/>
        <v>0</v>
      </c>
      <c r="I24" s="8">
        <f t="shared" si="40"/>
        <v>0</v>
      </c>
      <c r="J24" s="10">
        <f t="shared" si="1"/>
        <v>0</v>
      </c>
      <c r="K24" s="105"/>
      <c r="L24" s="10">
        <f t="shared" si="2"/>
        <v>0</v>
      </c>
      <c r="M24" s="10">
        <f t="shared" si="41"/>
        <v>0</v>
      </c>
      <c r="N24" s="10">
        <f t="shared" si="3"/>
        <v>0</v>
      </c>
      <c r="O24" s="105"/>
      <c r="P24" s="10">
        <f t="shared" si="4"/>
        <v>0</v>
      </c>
      <c r="Q24" s="10">
        <f t="shared" si="42"/>
        <v>0</v>
      </c>
      <c r="R24" s="10">
        <f t="shared" si="5"/>
        <v>0</v>
      </c>
      <c r="S24" s="105">
        <f>112*S7</f>
        <v>28000</v>
      </c>
      <c r="T24" s="10">
        <f t="shared" si="6"/>
        <v>34.017397274506692</v>
      </c>
      <c r="U24" s="10">
        <f t="shared" si="43"/>
        <v>303500</v>
      </c>
      <c r="V24" s="10">
        <f t="shared" si="7"/>
        <v>29.893596407908234</v>
      </c>
      <c r="W24" s="105"/>
      <c r="X24" s="10">
        <f t="shared" si="8"/>
        <v>0</v>
      </c>
      <c r="Y24" s="10">
        <f t="shared" si="44"/>
        <v>0</v>
      </c>
      <c r="Z24" s="10">
        <f t="shared" si="9"/>
        <v>0</v>
      </c>
      <c r="AA24" s="105"/>
      <c r="AB24" s="10">
        <f t="shared" si="10"/>
        <v>0</v>
      </c>
      <c r="AC24" s="10">
        <f t="shared" si="45"/>
        <v>0</v>
      </c>
      <c r="AD24" s="10">
        <f t="shared" si="11"/>
        <v>0</v>
      </c>
      <c r="AE24" s="10">
        <f t="shared" si="46"/>
        <v>28000</v>
      </c>
      <c r="AF24" s="10">
        <f t="shared" si="12"/>
        <v>34.017397274506692</v>
      </c>
      <c r="AG24" s="10">
        <f t="shared" si="47"/>
        <v>303500</v>
      </c>
      <c r="AH24" s="10">
        <f t="shared" si="13"/>
        <v>29.893596407908234</v>
      </c>
      <c r="AI24" s="105">
        <f>216*AI7</f>
        <v>54310.824000000001</v>
      </c>
      <c r="AJ24" s="10">
        <f t="shared" si="14"/>
        <v>65.982602725493308</v>
      </c>
      <c r="AK24" s="10">
        <f t="shared" si="48"/>
        <v>562217.60399999993</v>
      </c>
      <c r="AL24" s="10">
        <f t="shared" si="15"/>
        <v>55.376297026020339</v>
      </c>
      <c r="AM24" s="105"/>
      <c r="AN24" s="10">
        <f t="shared" si="16"/>
        <v>0</v>
      </c>
      <c r="AO24" s="10">
        <f t="shared" si="49"/>
        <v>0</v>
      </c>
      <c r="AP24" s="10">
        <f t="shared" si="17"/>
        <v>0</v>
      </c>
      <c r="AQ24" s="105"/>
      <c r="AR24" s="10">
        <f t="shared" si="18"/>
        <v>0</v>
      </c>
      <c r="AS24" s="10">
        <f t="shared" si="50"/>
        <v>0</v>
      </c>
      <c r="AT24" s="10">
        <f t="shared" si="19"/>
        <v>0</v>
      </c>
      <c r="AU24" s="105"/>
      <c r="AV24" s="10">
        <f t="shared" si="20"/>
        <v>0</v>
      </c>
      <c r="AW24" s="10">
        <f t="shared" si="51"/>
        <v>0</v>
      </c>
      <c r="AX24" s="10">
        <f t="shared" si="21"/>
        <v>0</v>
      </c>
      <c r="AY24" s="105">
        <v>0</v>
      </c>
      <c r="AZ24" s="10">
        <f t="shared" si="22"/>
        <v>0</v>
      </c>
      <c r="BA24" s="10">
        <f t="shared" si="52"/>
        <v>0</v>
      </c>
      <c r="BB24" s="10">
        <f t="shared" si="23"/>
        <v>0</v>
      </c>
      <c r="BC24" s="10">
        <f t="shared" si="53"/>
        <v>54310.824000000001</v>
      </c>
      <c r="BD24" s="10">
        <f t="shared" si="24"/>
        <v>65.982602725493308</v>
      </c>
      <c r="BE24" s="10">
        <f t="shared" si="54"/>
        <v>562217.60399999993</v>
      </c>
      <c r="BF24" s="10">
        <f t="shared" si="25"/>
        <v>55.376297026020339</v>
      </c>
      <c r="BG24" s="106">
        <v>0</v>
      </c>
      <c r="BH24" s="10">
        <f t="shared" si="26"/>
        <v>0</v>
      </c>
      <c r="BI24" s="10">
        <f t="shared" si="55"/>
        <v>142500</v>
      </c>
      <c r="BJ24" s="10">
        <f t="shared" si="27"/>
        <v>14.03570836285642</v>
      </c>
      <c r="BK24" s="105"/>
      <c r="BL24" s="10">
        <f t="shared" si="28"/>
        <v>0</v>
      </c>
      <c r="BM24" s="10">
        <f t="shared" si="56"/>
        <v>0</v>
      </c>
      <c r="BN24" s="10">
        <f t="shared" si="29"/>
        <v>0</v>
      </c>
      <c r="BO24" s="105">
        <v>0</v>
      </c>
      <c r="BP24" s="15">
        <f t="shared" si="30"/>
        <v>0</v>
      </c>
      <c r="BQ24" s="10">
        <f t="shared" si="57"/>
        <v>0</v>
      </c>
      <c r="BR24" s="10">
        <f t="shared" si="31"/>
        <v>0</v>
      </c>
      <c r="BS24" s="10">
        <f t="shared" si="58"/>
        <v>0</v>
      </c>
      <c r="BT24" s="10">
        <f t="shared" si="32"/>
        <v>0</v>
      </c>
      <c r="BU24" s="10">
        <f t="shared" si="59"/>
        <v>142500</v>
      </c>
      <c r="BV24" s="10">
        <f t="shared" si="33"/>
        <v>14.03570836285642</v>
      </c>
      <c r="BW24" s="105"/>
      <c r="BX24" s="10">
        <f t="shared" si="34"/>
        <v>0</v>
      </c>
      <c r="BY24" s="10">
        <f t="shared" si="60"/>
        <v>7050</v>
      </c>
      <c r="BZ24" s="10">
        <f t="shared" si="35"/>
        <v>0.69439820321500179</v>
      </c>
      <c r="CA24" s="10">
        <f t="shared" si="36"/>
        <v>82310.823999999993</v>
      </c>
      <c r="CB24" s="10">
        <f t="shared" si="61"/>
        <v>1015267.6040000001</v>
      </c>
      <c r="CC24" s="10">
        <f t="shared" si="37"/>
        <v>1.0582789992028594</v>
      </c>
      <c r="CD24" s="10">
        <f t="shared" si="38"/>
        <v>1.0629716455070661</v>
      </c>
      <c r="CL24" s="13"/>
      <c r="CM24" s="13"/>
    </row>
    <row r="25" spans="1:91">
      <c r="A25" s="16">
        <f>+Chem!A24</f>
        <v>45885</v>
      </c>
      <c r="B25" s="6" t="str">
        <f>+Chem!B24</f>
        <v>MG</v>
      </c>
      <c r="C25" s="16" t="str">
        <f>+Chem!C24</f>
        <v>16/17</v>
      </c>
      <c r="D25" s="8">
        <f>+Chem!D24</f>
        <v>77.486000000000004</v>
      </c>
      <c r="E25" s="7">
        <f>+Chem!E24</f>
        <v>80.367999999999995</v>
      </c>
      <c r="F25" s="7">
        <f t="shared" si="39"/>
        <v>1035.49</v>
      </c>
      <c r="G25" s="105"/>
      <c r="H25" s="10">
        <f t="shared" si="0"/>
        <v>0</v>
      </c>
      <c r="I25" s="8">
        <f t="shared" si="40"/>
        <v>0</v>
      </c>
      <c r="J25" s="10">
        <f t="shared" si="1"/>
        <v>0</v>
      </c>
      <c r="K25" s="105"/>
      <c r="L25" s="10">
        <f t="shared" si="2"/>
        <v>0</v>
      </c>
      <c r="M25" s="10">
        <f t="shared" si="41"/>
        <v>0</v>
      </c>
      <c r="N25" s="10">
        <f t="shared" si="3"/>
        <v>0</v>
      </c>
      <c r="O25" s="105"/>
      <c r="P25" s="10">
        <f t="shared" si="4"/>
        <v>0</v>
      </c>
      <c r="Q25" s="10">
        <f t="shared" si="42"/>
        <v>0</v>
      </c>
      <c r="R25" s="10">
        <f t="shared" si="5"/>
        <v>0</v>
      </c>
      <c r="S25" s="105">
        <f>112*S7</f>
        <v>28000</v>
      </c>
      <c r="T25" s="10">
        <f t="shared" si="6"/>
        <v>34.438197628713624</v>
      </c>
      <c r="U25" s="10">
        <f t="shared" si="43"/>
        <v>331500</v>
      </c>
      <c r="V25" s="10">
        <f t="shared" si="7"/>
        <v>30.230554569209616</v>
      </c>
      <c r="W25" s="105"/>
      <c r="X25" s="10">
        <f t="shared" si="8"/>
        <v>0</v>
      </c>
      <c r="Y25" s="10">
        <f t="shared" si="44"/>
        <v>0</v>
      </c>
      <c r="Z25" s="10">
        <f t="shared" si="9"/>
        <v>0</v>
      </c>
      <c r="AA25" s="105"/>
      <c r="AB25" s="10">
        <f t="shared" si="10"/>
        <v>0</v>
      </c>
      <c r="AC25" s="10">
        <f t="shared" si="45"/>
        <v>0</v>
      </c>
      <c r="AD25" s="10">
        <f t="shared" si="11"/>
        <v>0</v>
      </c>
      <c r="AE25" s="10">
        <f t="shared" si="46"/>
        <v>28000</v>
      </c>
      <c r="AF25" s="10">
        <f t="shared" si="12"/>
        <v>34.438197628713624</v>
      </c>
      <c r="AG25" s="10">
        <f t="shared" si="47"/>
        <v>331500</v>
      </c>
      <c r="AH25" s="10">
        <f t="shared" si="13"/>
        <v>30.230554569209616</v>
      </c>
      <c r="AI25" s="105">
        <f>212*AI7</f>
        <v>53305.067999999999</v>
      </c>
      <c r="AJ25" s="10">
        <f t="shared" si="14"/>
        <v>65.561802371286376</v>
      </c>
      <c r="AK25" s="10">
        <f t="shared" si="48"/>
        <v>615522.6719999999</v>
      </c>
      <c r="AL25" s="10">
        <f t="shared" si="15"/>
        <v>56.131498414726124</v>
      </c>
      <c r="AM25" s="105"/>
      <c r="AN25" s="10">
        <f t="shared" si="16"/>
        <v>0</v>
      </c>
      <c r="AO25" s="10">
        <f t="shared" si="49"/>
        <v>0</v>
      </c>
      <c r="AP25" s="10">
        <f t="shared" si="17"/>
        <v>0</v>
      </c>
      <c r="AQ25" s="105"/>
      <c r="AR25" s="10">
        <f t="shared" si="18"/>
        <v>0</v>
      </c>
      <c r="AS25" s="10">
        <f t="shared" si="50"/>
        <v>0</v>
      </c>
      <c r="AT25" s="10">
        <f t="shared" si="19"/>
        <v>0</v>
      </c>
      <c r="AU25" s="105"/>
      <c r="AV25" s="10">
        <f t="shared" si="20"/>
        <v>0</v>
      </c>
      <c r="AW25" s="10">
        <f t="shared" si="51"/>
        <v>0</v>
      </c>
      <c r="AX25" s="10">
        <f t="shared" si="21"/>
        <v>0</v>
      </c>
      <c r="AY25" s="105">
        <v>0</v>
      </c>
      <c r="AZ25" s="10">
        <f t="shared" si="22"/>
        <v>0</v>
      </c>
      <c r="BA25" s="10">
        <f t="shared" si="52"/>
        <v>0</v>
      </c>
      <c r="BB25" s="10">
        <f t="shared" si="23"/>
        <v>0</v>
      </c>
      <c r="BC25" s="10">
        <f t="shared" si="53"/>
        <v>53305.067999999999</v>
      </c>
      <c r="BD25" s="10">
        <f t="shared" si="24"/>
        <v>65.561802371286376</v>
      </c>
      <c r="BE25" s="10">
        <f t="shared" si="54"/>
        <v>615522.6719999999</v>
      </c>
      <c r="BF25" s="10">
        <f t="shared" si="25"/>
        <v>56.131498414726124</v>
      </c>
      <c r="BG25" s="106">
        <v>0</v>
      </c>
      <c r="BH25" s="10">
        <f t="shared" si="26"/>
        <v>0</v>
      </c>
      <c r="BI25" s="10">
        <f t="shared" si="55"/>
        <v>142500</v>
      </c>
      <c r="BJ25" s="10">
        <f t="shared" si="27"/>
        <v>12.995034769569743</v>
      </c>
      <c r="BK25" s="105"/>
      <c r="BL25" s="10">
        <f t="shared" si="28"/>
        <v>0</v>
      </c>
      <c r="BM25" s="10">
        <f t="shared" si="56"/>
        <v>0</v>
      </c>
      <c r="BN25" s="10">
        <f t="shared" si="29"/>
        <v>0</v>
      </c>
      <c r="BO25" s="105">
        <v>0</v>
      </c>
      <c r="BP25" s="15">
        <f t="shared" si="30"/>
        <v>0</v>
      </c>
      <c r="BQ25" s="10">
        <f t="shared" si="57"/>
        <v>0</v>
      </c>
      <c r="BR25" s="10">
        <f t="shared" si="31"/>
        <v>0</v>
      </c>
      <c r="BS25" s="10">
        <f t="shared" si="58"/>
        <v>0</v>
      </c>
      <c r="BT25" s="10">
        <f t="shared" si="32"/>
        <v>0</v>
      </c>
      <c r="BU25" s="10">
        <f t="shared" si="59"/>
        <v>142500</v>
      </c>
      <c r="BV25" s="10">
        <f t="shared" si="33"/>
        <v>12.995034769569743</v>
      </c>
      <c r="BW25" s="105"/>
      <c r="BX25" s="10">
        <f t="shared" si="34"/>
        <v>0</v>
      </c>
      <c r="BY25" s="10">
        <f t="shared" si="60"/>
        <v>7050</v>
      </c>
      <c r="BZ25" s="10">
        <f t="shared" si="35"/>
        <v>0.64291224649450318</v>
      </c>
      <c r="CA25" s="10">
        <f t="shared" si="36"/>
        <v>81305.067999999999</v>
      </c>
      <c r="CB25" s="10">
        <f t="shared" si="61"/>
        <v>1096572.672</v>
      </c>
      <c r="CC25" s="10">
        <f t="shared" si="37"/>
        <v>1.0116597153095761</v>
      </c>
      <c r="CD25" s="10">
        <f t="shared" si="38"/>
        <v>1.0589891471670416</v>
      </c>
      <c r="CL25" s="13"/>
      <c r="CM25" s="13"/>
    </row>
    <row r="26" spans="1:91">
      <c r="A26" s="16">
        <f>+Chem!A25</f>
        <v>45886</v>
      </c>
      <c r="B26" s="6" t="str">
        <f>+Chem!B25</f>
        <v>MG/Facial</v>
      </c>
      <c r="C26" s="16" t="str">
        <f>+Chem!C25</f>
        <v>17/16,5/10,3</v>
      </c>
      <c r="D26" s="8">
        <f>+Chem!D25</f>
        <v>74.347000000000008</v>
      </c>
      <c r="E26" s="7">
        <f>+Chem!E25</f>
        <v>73.183000000000007</v>
      </c>
      <c r="F26" s="7">
        <f t="shared" si="39"/>
        <v>1108.673</v>
      </c>
      <c r="G26" s="105"/>
      <c r="H26" s="10">
        <f t="shared" si="0"/>
        <v>0</v>
      </c>
      <c r="I26" s="8">
        <f t="shared" si="40"/>
        <v>0</v>
      </c>
      <c r="J26" s="10">
        <f t="shared" si="1"/>
        <v>0</v>
      </c>
      <c r="K26" s="105"/>
      <c r="L26" s="10">
        <f t="shared" si="2"/>
        <v>0</v>
      </c>
      <c r="M26" s="10">
        <f t="shared" si="41"/>
        <v>0</v>
      </c>
      <c r="N26" s="10">
        <f t="shared" si="3"/>
        <v>0</v>
      </c>
      <c r="O26" s="105"/>
      <c r="P26" s="10">
        <f t="shared" si="4"/>
        <v>0</v>
      </c>
      <c r="Q26" s="10">
        <f t="shared" si="42"/>
        <v>0</v>
      </c>
      <c r="R26" s="10">
        <f t="shared" si="5"/>
        <v>0</v>
      </c>
      <c r="S26" s="105">
        <f>82.5*S7</f>
        <v>20625</v>
      </c>
      <c r="T26" s="10">
        <f t="shared" si="6"/>
        <v>28.293915188107821</v>
      </c>
      <c r="U26" s="10">
        <f t="shared" si="43"/>
        <v>352125</v>
      </c>
      <c r="V26" s="10">
        <f t="shared" si="7"/>
        <v>30.109839566018675</v>
      </c>
      <c r="W26" s="105"/>
      <c r="X26" s="10">
        <f t="shared" si="8"/>
        <v>0</v>
      </c>
      <c r="Y26" s="10">
        <f t="shared" si="44"/>
        <v>0</v>
      </c>
      <c r="Z26" s="10">
        <f t="shared" si="9"/>
        <v>0</v>
      </c>
      <c r="AA26" s="105"/>
      <c r="AB26" s="10">
        <f t="shared" si="10"/>
        <v>0</v>
      </c>
      <c r="AC26" s="10">
        <f t="shared" si="45"/>
        <v>0</v>
      </c>
      <c r="AD26" s="10">
        <f t="shared" si="11"/>
        <v>0</v>
      </c>
      <c r="AE26" s="10">
        <f t="shared" si="46"/>
        <v>20625</v>
      </c>
      <c r="AF26" s="10">
        <f t="shared" si="12"/>
        <v>28.293915188107821</v>
      </c>
      <c r="AG26" s="10">
        <f t="shared" si="47"/>
        <v>352125</v>
      </c>
      <c r="AH26" s="10">
        <f t="shared" si="13"/>
        <v>30.109839566018675</v>
      </c>
      <c r="AI26" s="105">
        <f>188*AI7</f>
        <v>47270.531999999999</v>
      </c>
      <c r="AJ26" s="10">
        <f t="shared" si="14"/>
        <v>64.846953857199367</v>
      </c>
      <c r="AK26" s="10">
        <f t="shared" si="48"/>
        <v>662793.20399999991</v>
      </c>
      <c r="AL26" s="10">
        <f t="shared" si="15"/>
        <v>56.674751971281466</v>
      </c>
      <c r="AM26" s="105"/>
      <c r="AN26" s="10">
        <f t="shared" si="16"/>
        <v>0</v>
      </c>
      <c r="AO26" s="10">
        <f t="shared" si="49"/>
        <v>0</v>
      </c>
      <c r="AP26" s="10">
        <f t="shared" si="17"/>
        <v>0</v>
      </c>
      <c r="AQ26" s="105"/>
      <c r="AR26" s="10">
        <f t="shared" si="18"/>
        <v>0</v>
      </c>
      <c r="AS26" s="10">
        <f t="shared" si="50"/>
        <v>0</v>
      </c>
      <c r="AT26" s="10">
        <f t="shared" si="19"/>
        <v>0</v>
      </c>
      <c r="AU26" s="105"/>
      <c r="AV26" s="10">
        <f t="shared" si="20"/>
        <v>0</v>
      </c>
      <c r="AW26" s="10">
        <f t="shared" si="51"/>
        <v>0</v>
      </c>
      <c r="AX26" s="10">
        <f t="shared" si="21"/>
        <v>0</v>
      </c>
      <c r="AY26" s="105">
        <v>0</v>
      </c>
      <c r="AZ26" s="10">
        <f t="shared" si="22"/>
        <v>0</v>
      </c>
      <c r="BA26" s="10">
        <f t="shared" si="52"/>
        <v>0</v>
      </c>
      <c r="BB26" s="10">
        <f t="shared" si="23"/>
        <v>0</v>
      </c>
      <c r="BC26" s="10">
        <f t="shared" si="53"/>
        <v>47270.531999999999</v>
      </c>
      <c r="BD26" s="10">
        <f t="shared" si="24"/>
        <v>64.846953857199367</v>
      </c>
      <c r="BE26" s="10">
        <f t="shared" si="54"/>
        <v>662793.20399999991</v>
      </c>
      <c r="BF26" s="10">
        <f t="shared" si="25"/>
        <v>56.674751971281466</v>
      </c>
      <c r="BG26" s="105">
        <f>20*BG7</f>
        <v>5000</v>
      </c>
      <c r="BH26" s="10">
        <f t="shared" si="26"/>
        <v>6.8591309546928061</v>
      </c>
      <c r="BI26" s="10">
        <f t="shared" si="55"/>
        <v>147500</v>
      </c>
      <c r="BJ26" s="10">
        <f t="shared" si="27"/>
        <v>12.612570354242825</v>
      </c>
      <c r="BK26" s="105"/>
      <c r="BL26" s="10">
        <f t="shared" si="28"/>
        <v>0</v>
      </c>
      <c r="BM26" s="10">
        <f t="shared" si="56"/>
        <v>0</v>
      </c>
      <c r="BN26" s="10">
        <f t="shared" si="29"/>
        <v>0</v>
      </c>
      <c r="BO26" s="105">
        <v>0</v>
      </c>
      <c r="BP26" s="15">
        <f t="shared" si="30"/>
        <v>0</v>
      </c>
      <c r="BQ26" s="10">
        <f t="shared" si="57"/>
        <v>0</v>
      </c>
      <c r="BR26" s="10">
        <f t="shared" si="31"/>
        <v>0</v>
      </c>
      <c r="BS26" s="10">
        <f t="shared" si="58"/>
        <v>5000</v>
      </c>
      <c r="BT26" s="10">
        <f t="shared" si="32"/>
        <v>6.8591309546928061</v>
      </c>
      <c r="BU26" s="10">
        <f t="shared" si="59"/>
        <v>147500</v>
      </c>
      <c r="BV26" s="10">
        <f t="shared" si="33"/>
        <v>12.612570354242825</v>
      </c>
      <c r="BW26" s="105"/>
      <c r="BX26" s="10">
        <f t="shared" si="34"/>
        <v>0</v>
      </c>
      <c r="BY26" s="10">
        <f t="shared" si="60"/>
        <v>7050</v>
      </c>
      <c r="BZ26" s="10">
        <f t="shared" si="35"/>
        <v>0.60283810845703001</v>
      </c>
      <c r="CA26" s="10">
        <f t="shared" si="36"/>
        <v>72895.532000000007</v>
      </c>
      <c r="CB26" s="10">
        <f t="shared" si="61"/>
        <v>1169468.2039999999</v>
      </c>
      <c r="CC26" s="10">
        <f t="shared" si="37"/>
        <v>0.99607192927319177</v>
      </c>
      <c r="CD26" s="10">
        <f t="shared" si="38"/>
        <v>1.0548360102573076</v>
      </c>
      <c r="CF26" s="13"/>
      <c r="CL26" s="13"/>
    </row>
    <row r="27" spans="1:91">
      <c r="A27" s="16">
        <f>+Chem!A26</f>
        <v>45887</v>
      </c>
      <c r="B27" s="6" t="str">
        <f>+Chem!B26</f>
        <v>Facial</v>
      </c>
      <c r="C27" s="16" t="str">
        <f>+Chem!C26</f>
        <v>10,3</v>
      </c>
      <c r="D27" s="8">
        <f>+Chem!D26</f>
        <v>53.594000000000001</v>
      </c>
      <c r="E27" s="7">
        <f>+Chem!E26</f>
        <v>56.569000000000003</v>
      </c>
      <c r="F27" s="7">
        <f t="shared" si="39"/>
        <v>1165.242</v>
      </c>
      <c r="G27" s="105"/>
      <c r="H27" s="10">
        <f t="shared" si="0"/>
        <v>0</v>
      </c>
      <c r="I27" s="8">
        <f t="shared" si="40"/>
        <v>0</v>
      </c>
      <c r="J27" s="10">
        <f t="shared" si="1"/>
        <v>0</v>
      </c>
      <c r="K27" s="105"/>
      <c r="L27" s="10">
        <f t="shared" si="2"/>
        <v>0</v>
      </c>
      <c r="M27" s="10">
        <f t="shared" si="41"/>
        <v>0</v>
      </c>
      <c r="N27" s="10">
        <f t="shared" si="3"/>
        <v>0</v>
      </c>
      <c r="O27" s="105"/>
      <c r="P27" s="10">
        <f t="shared" si="4"/>
        <v>0</v>
      </c>
      <c r="Q27" s="10">
        <f t="shared" si="42"/>
        <v>0</v>
      </c>
      <c r="R27" s="10">
        <f t="shared" si="5"/>
        <v>0</v>
      </c>
      <c r="S27" s="105">
        <f>29.25*S7</f>
        <v>7312.5</v>
      </c>
      <c r="T27" s="10">
        <f t="shared" si="6"/>
        <v>12.50285984218031</v>
      </c>
      <c r="U27" s="10">
        <f t="shared" si="43"/>
        <v>359437.5</v>
      </c>
      <c r="V27" s="10">
        <f t="shared" si="7"/>
        <v>29.271231585040162</v>
      </c>
      <c r="W27" s="105"/>
      <c r="X27" s="10">
        <f t="shared" si="8"/>
        <v>0</v>
      </c>
      <c r="Y27" s="10">
        <f t="shared" si="44"/>
        <v>0</v>
      </c>
      <c r="Z27" s="10">
        <f t="shared" si="9"/>
        <v>0</v>
      </c>
      <c r="AA27" s="105"/>
      <c r="AB27" s="10">
        <f t="shared" si="10"/>
        <v>0</v>
      </c>
      <c r="AC27" s="10">
        <f t="shared" si="45"/>
        <v>0</v>
      </c>
      <c r="AD27" s="10">
        <f t="shared" si="11"/>
        <v>0</v>
      </c>
      <c r="AE27" s="10">
        <f t="shared" si="46"/>
        <v>7312.5</v>
      </c>
      <c r="AF27" s="10">
        <f t="shared" si="12"/>
        <v>12.50285984218031</v>
      </c>
      <c r="AG27" s="10">
        <f t="shared" si="47"/>
        <v>359437.5</v>
      </c>
      <c r="AH27" s="10">
        <f t="shared" si="13"/>
        <v>29.271231585040162</v>
      </c>
      <c r="AI27" s="105">
        <f>121*AI7</f>
        <v>30424.118999999999</v>
      </c>
      <c r="AJ27" s="10">
        <f t="shared" si="14"/>
        <v>52.01893958000889</v>
      </c>
      <c r="AK27" s="10">
        <f t="shared" si="48"/>
        <v>693217.32299999986</v>
      </c>
      <c r="AL27" s="10">
        <f t="shared" si="15"/>
        <v>56.45299892274619</v>
      </c>
      <c r="AM27" s="105"/>
      <c r="AN27" s="10">
        <f t="shared" si="16"/>
        <v>0</v>
      </c>
      <c r="AO27" s="10">
        <f t="shared" si="49"/>
        <v>0</v>
      </c>
      <c r="AP27" s="10">
        <f t="shared" si="17"/>
        <v>0</v>
      </c>
      <c r="AQ27" s="105"/>
      <c r="AR27" s="10">
        <f t="shared" si="18"/>
        <v>0</v>
      </c>
      <c r="AS27" s="10">
        <f t="shared" si="50"/>
        <v>0</v>
      </c>
      <c r="AT27" s="10">
        <f t="shared" si="19"/>
        <v>0</v>
      </c>
      <c r="AU27" s="105"/>
      <c r="AV27" s="10">
        <f t="shared" si="20"/>
        <v>0</v>
      </c>
      <c r="AW27" s="10">
        <f t="shared" si="51"/>
        <v>0</v>
      </c>
      <c r="AX27" s="10">
        <f t="shared" si="21"/>
        <v>0</v>
      </c>
      <c r="AY27" s="105">
        <v>0</v>
      </c>
      <c r="AZ27" s="10">
        <f t="shared" si="22"/>
        <v>0</v>
      </c>
      <c r="BA27" s="10">
        <f t="shared" si="52"/>
        <v>0</v>
      </c>
      <c r="BB27" s="10">
        <f t="shared" si="23"/>
        <v>0</v>
      </c>
      <c r="BC27" s="10">
        <f t="shared" si="53"/>
        <v>30424.118999999999</v>
      </c>
      <c r="BD27" s="10">
        <f t="shared" si="24"/>
        <v>52.01893958000889</v>
      </c>
      <c r="BE27" s="10">
        <f t="shared" si="54"/>
        <v>693217.32299999986</v>
      </c>
      <c r="BF27" s="10">
        <f t="shared" si="25"/>
        <v>56.45299892274619</v>
      </c>
      <c r="BG27" s="105">
        <f>83*BG7</f>
        <v>20750</v>
      </c>
      <c r="BH27" s="10">
        <f t="shared" si="26"/>
        <v>35.478200577810796</v>
      </c>
      <c r="BI27" s="10">
        <f t="shared" si="55"/>
        <v>168250</v>
      </c>
      <c r="BJ27" s="10">
        <f t="shared" si="27"/>
        <v>13.701644136137736</v>
      </c>
      <c r="BK27" s="105"/>
      <c r="BL27" s="10">
        <f t="shared" si="28"/>
        <v>0</v>
      </c>
      <c r="BM27" s="10">
        <f t="shared" si="56"/>
        <v>0</v>
      </c>
      <c r="BN27" s="10">
        <f t="shared" si="29"/>
        <v>0</v>
      </c>
      <c r="BO27" s="105">
        <v>0</v>
      </c>
      <c r="BP27" s="15">
        <f t="shared" si="30"/>
        <v>0</v>
      </c>
      <c r="BQ27" s="10">
        <f t="shared" si="57"/>
        <v>0</v>
      </c>
      <c r="BR27" s="10">
        <f t="shared" si="31"/>
        <v>0</v>
      </c>
      <c r="BS27" s="10">
        <f t="shared" si="58"/>
        <v>20750</v>
      </c>
      <c r="BT27" s="10">
        <f t="shared" si="32"/>
        <v>35.478200577810796</v>
      </c>
      <c r="BU27" s="10">
        <f t="shared" si="59"/>
        <v>168250</v>
      </c>
      <c r="BV27" s="10">
        <f t="shared" si="33"/>
        <v>13.701644136137736</v>
      </c>
      <c r="BW27" s="105"/>
      <c r="BX27" s="10">
        <f t="shared" si="34"/>
        <v>0</v>
      </c>
      <c r="BY27" s="10">
        <f t="shared" si="60"/>
        <v>7050</v>
      </c>
      <c r="BZ27" s="10">
        <f t="shared" si="35"/>
        <v>0.57412535607590509</v>
      </c>
      <c r="CA27" s="10">
        <f t="shared" si="36"/>
        <v>58486.618999999999</v>
      </c>
      <c r="CB27" s="10">
        <f t="shared" si="61"/>
        <v>1227954.8229999999</v>
      </c>
      <c r="CC27" s="10">
        <f t="shared" si="37"/>
        <v>1.033898760805388</v>
      </c>
      <c r="CD27" s="10">
        <f t="shared" si="38"/>
        <v>1.0538195696687898</v>
      </c>
      <c r="CL27" s="13"/>
    </row>
    <row r="28" spans="1:91">
      <c r="A28" s="16">
        <f>+Chem!A27</f>
        <v>45888</v>
      </c>
      <c r="B28" s="6" t="str">
        <f>+Chem!B27</f>
        <v>Facial</v>
      </c>
      <c r="C28" s="16" t="str">
        <f>+Chem!C27</f>
        <v>10,3</v>
      </c>
      <c r="D28" s="8">
        <f>+Chem!D27</f>
        <v>55.29</v>
      </c>
      <c r="E28" s="7">
        <f>+Chem!E27</f>
        <v>55.167999999999999</v>
      </c>
      <c r="F28" s="7">
        <f t="shared" si="39"/>
        <v>1220.4099999999999</v>
      </c>
      <c r="G28" s="105"/>
      <c r="H28" s="10">
        <f t="shared" si="0"/>
        <v>0</v>
      </c>
      <c r="I28" s="8">
        <f t="shared" si="40"/>
        <v>0</v>
      </c>
      <c r="J28" s="10">
        <f t="shared" si="1"/>
        <v>0</v>
      </c>
      <c r="K28" s="105"/>
      <c r="L28" s="10">
        <f t="shared" si="2"/>
        <v>0</v>
      </c>
      <c r="M28" s="10">
        <f t="shared" si="41"/>
        <v>0</v>
      </c>
      <c r="N28" s="10">
        <f t="shared" si="3"/>
        <v>0</v>
      </c>
      <c r="O28" s="105"/>
      <c r="P28" s="10">
        <f t="shared" si="4"/>
        <v>0</v>
      </c>
      <c r="Q28" s="10">
        <f t="shared" si="42"/>
        <v>0</v>
      </c>
      <c r="R28" s="10">
        <f t="shared" si="5"/>
        <v>0</v>
      </c>
      <c r="S28" s="105">
        <f>34.5*S7</f>
        <v>8625</v>
      </c>
      <c r="T28" s="10">
        <f t="shared" si="6"/>
        <v>15.757096420751344</v>
      </c>
      <c r="U28" s="10">
        <f t="shared" si="43"/>
        <v>368062.5</v>
      </c>
      <c r="V28" s="10">
        <f t="shared" si="7"/>
        <v>28.694533165292484</v>
      </c>
      <c r="W28" s="105"/>
      <c r="X28" s="10">
        <f t="shared" si="8"/>
        <v>0</v>
      </c>
      <c r="Y28" s="10">
        <f t="shared" si="44"/>
        <v>0</v>
      </c>
      <c r="Z28" s="10">
        <f t="shared" si="9"/>
        <v>0</v>
      </c>
      <c r="AA28" s="105"/>
      <c r="AB28" s="10">
        <f t="shared" si="10"/>
        <v>0</v>
      </c>
      <c r="AC28" s="10">
        <f t="shared" si="45"/>
        <v>0</v>
      </c>
      <c r="AD28" s="10">
        <f t="shared" si="11"/>
        <v>0</v>
      </c>
      <c r="AE28" s="10">
        <f t="shared" si="46"/>
        <v>8625</v>
      </c>
      <c r="AF28" s="10">
        <f t="shared" si="12"/>
        <v>15.757096420751344</v>
      </c>
      <c r="AG28" s="10">
        <f t="shared" si="47"/>
        <v>368062.5</v>
      </c>
      <c r="AH28" s="10">
        <f t="shared" si="13"/>
        <v>28.694533165292484</v>
      </c>
      <c r="AI28" s="105">
        <f>78*AI7</f>
        <v>19612.241999999998</v>
      </c>
      <c r="AJ28" s="10">
        <f t="shared" si="14"/>
        <v>35.82979573578077</v>
      </c>
      <c r="AK28" s="10">
        <f t="shared" si="48"/>
        <v>712829.56499999983</v>
      </c>
      <c r="AL28" s="10">
        <f t="shared" si="15"/>
        <v>55.572930124893219</v>
      </c>
      <c r="AM28" s="105"/>
      <c r="AN28" s="10">
        <f t="shared" si="16"/>
        <v>0</v>
      </c>
      <c r="AO28" s="10">
        <f t="shared" si="49"/>
        <v>0</v>
      </c>
      <c r="AP28" s="10">
        <f t="shared" si="17"/>
        <v>0</v>
      </c>
      <c r="AQ28" s="105"/>
      <c r="AR28" s="10">
        <f t="shared" si="18"/>
        <v>0</v>
      </c>
      <c r="AS28" s="10">
        <f t="shared" si="50"/>
        <v>0</v>
      </c>
      <c r="AT28" s="10">
        <f t="shared" si="19"/>
        <v>0</v>
      </c>
      <c r="AU28" s="105"/>
      <c r="AV28" s="10">
        <f t="shared" si="20"/>
        <v>0</v>
      </c>
      <c r="AW28" s="10">
        <f t="shared" si="51"/>
        <v>0</v>
      </c>
      <c r="AX28" s="10">
        <f t="shared" si="21"/>
        <v>0</v>
      </c>
      <c r="AY28" s="105">
        <v>0</v>
      </c>
      <c r="AZ28" s="10">
        <f t="shared" si="22"/>
        <v>0</v>
      </c>
      <c r="BA28" s="10">
        <f t="shared" si="52"/>
        <v>0</v>
      </c>
      <c r="BB28" s="10">
        <f t="shared" si="23"/>
        <v>0</v>
      </c>
      <c r="BC28" s="10">
        <f t="shared" si="53"/>
        <v>19612.241999999998</v>
      </c>
      <c r="BD28" s="10">
        <f t="shared" si="24"/>
        <v>35.82979573578077</v>
      </c>
      <c r="BE28" s="10">
        <f t="shared" si="54"/>
        <v>712829.56499999983</v>
      </c>
      <c r="BF28" s="10">
        <f t="shared" si="25"/>
        <v>55.572930124893219</v>
      </c>
      <c r="BG28" s="105">
        <f>106*BG7</f>
        <v>26500</v>
      </c>
      <c r="BH28" s="10">
        <f t="shared" si="26"/>
        <v>48.413107843467891</v>
      </c>
      <c r="BI28" s="10">
        <f t="shared" si="55"/>
        <v>194750</v>
      </c>
      <c r="BJ28" s="10">
        <f t="shared" si="27"/>
        <v>15.182911418415923</v>
      </c>
      <c r="BK28" s="105"/>
      <c r="BL28" s="10">
        <f t="shared" si="28"/>
        <v>0</v>
      </c>
      <c r="BM28" s="10">
        <f t="shared" si="56"/>
        <v>0</v>
      </c>
      <c r="BN28" s="10">
        <f t="shared" si="29"/>
        <v>0</v>
      </c>
      <c r="BO28" s="105">
        <v>0</v>
      </c>
      <c r="BP28" s="15">
        <f t="shared" si="30"/>
        <v>0</v>
      </c>
      <c r="BQ28" s="10">
        <f t="shared" si="57"/>
        <v>0</v>
      </c>
      <c r="BR28" s="10">
        <f t="shared" si="31"/>
        <v>0</v>
      </c>
      <c r="BS28" s="10">
        <f t="shared" si="58"/>
        <v>26500</v>
      </c>
      <c r="BT28" s="10">
        <f t="shared" si="32"/>
        <v>48.413107843467891</v>
      </c>
      <c r="BU28" s="10">
        <f>BS28+BU27</f>
        <v>194750</v>
      </c>
      <c r="BV28" s="10">
        <f>BU28/CB28*100</f>
        <v>15.182911418415923</v>
      </c>
      <c r="BW28" s="105"/>
      <c r="BX28" s="10">
        <f t="shared" si="34"/>
        <v>0</v>
      </c>
      <c r="BY28" s="10">
        <f t="shared" si="60"/>
        <v>7050</v>
      </c>
      <c r="BZ28" s="10">
        <f t="shared" si="35"/>
        <v>0.54962529139836847</v>
      </c>
      <c r="CA28" s="10">
        <f t="shared" si="36"/>
        <v>54737.241999999998</v>
      </c>
      <c r="CB28" s="10">
        <f t="shared" si="61"/>
        <v>1282692.0649999999</v>
      </c>
      <c r="CC28" s="10">
        <f t="shared" si="37"/>
        <v>0.99219188660092794</v>
      </c>
      <c r="CD28" s="10">
        <f t="shared" si="38"/>
        <v>1.0510337222736623</v>
      </c>
      <c r="CL28" s="13"/>
    </row>
    <row r="29" spans="1:91">
      <c r="A29" s="16">
        <f>+Chem!A28</f>
        <v>45889</v>
      </c>
      <c r="B29" s="6" t="str">
        <f>+Chem!B28</f>
        <v>Facial</v>
      </c>
      <c r="C29" s="16" t="str">
        <f>+Chem!C28</f>
        <v>10,3</v>
      </c>
      <c r="D29" s="8">
        <f>+Chem!D28</f>
        <v>53.534999999999997</v>
      </c>
      <c r="E29" s="7">
        <f>+Chem!E28</f>
        <v>55.423000000000002</v>
      </c>
      <c r="F29" s="7">
        <f t="shared" si="39"/>
        <v>1275.8329999999999</v>
      </c>
      <c r="G29" s="105"/>
      <c r="H29" s="10">
        <f t="shared" si="0"/>
        <v>0</v>
      </c>
      <c r="I29" s="8">
        <f t="shared" si="40"/>
        <v>0</v>
      </c>
      <c r="J29" s="10">
        <f t="shared" si="1"/>
        <v>0</v>
      </c>
      <c r="K29" s="105"/>
      <c r="L29" s="10">
        <f t="shared" si="2"/>
        <v>0</v>
      </c>
      <c r="M29" s="10">
        <f t="shared" si="41"/>
        <v>0</v>
      </c>
      <c r="N29" s="10">
        <f t="shared" si="3"/>
        <v>0</v>
      </c>
      <c r="O29" s="105"/>
      <c r="P29" s="10">
        <f t="shared" si="4"/>
        <v>0</v>
      </c>
      <c r="Q29" s="10">
        <f t="shared" si="42"/>
        <v>0</v>
      </c>
      <c r="R29" s="10">
        <f t="shared" si="5"/>
        <v>0</v>
      </c>
      <c r="S29" s="105">
        <f>40*S7</f>
        <v>10000</v>
      </c>
      <c r="T29" s="10">
        <f t="shared" si="6"/>
        <v>18.436455805234331</v>
      </c>
      <c r="U29" s="10">
        <f t="shared" si="43"/>
        <v>378062.5</v>
      </c>
      <c r="V29" s="10">
        <f t="shared" si="7"/>
        <v>28.278355205574428</v>
      </c>
      <c r="W29" s="105"/>
      <c r="X29" s="10">
        <f t="shared" si="8"/>
        <v>0</v>
      </c>
      <c r="Y29" s="10">
        <f t="shared" si="44"/>
        <v>0</v>
      </c>
      <c r="Z29" s="10">
        <f t="shared" si="9"/>
        <v>0</v>
      </c>
      <c r="AA29" s="105"/>
      <c r="AB29" s="10">
        <f t="shared" si="10"/>
        <v>0</v>
      </c>
      <c r="AC29" s="10">
        <f t="shared" si="45"/>
        <v>0</v>
      </c>
      <c r="AD29" s="10">
        <f t="shared" si="11"/>
        <v>0</v>
      </c>
      <c r="AE29" s="10">
        <f t="shared" si="46"/>
        <v>10000</v>
      </c>
      <c r="AF29" s="10">
        <f t="shared" si="12"/>
        <v>18.436455805234331</v>
      </c>
      <c r="AG29" s="10">
        <f t="shared" si="47"/>
        <v>378062.5</v>
      </c>
      <c r="AH29" s="10">
        <f t="shared" si="13"/>
        <v>28.278355205574428</v>
      </c>
      <c r="AI29" s="105">
        <v>0</v>
      </c>
      <c r="AJ29" s="10">
        <f t="shared" si="14"/>
        <v>0</v>
      </c>
      <c r="AK29" s="10">
        <f t="shared" si="48"/>
        <v>712829.56499999983</v>
      </c>
      <c r="AL29" s="10">
        <f t="shared" si="15"/>
        <v>53.318294303468619</v>
      </c>
      <c r="AM29" s="105"/>
      <c r="AN29" s="10">
        <f t="shared" si="16"/>
        <v>0</v>
      </c>
      <c r="AO29" s="10">
        <f t="shared" si="49"/>
        <v>0</v>
      </c>
      <c r="AP29" s="10">
        <f t="shared" si="17"/>
        <v>0</v>
      </c>
      <c r="AQ29" s="105"/>
      <c r="AR29" s="10">
        <f t="shared" si="18"/>
        <v>0</v>
      </c>
      <c r="AS29" s="10">
        <f t="shared" si="50"/>
        <v>0</v>
      </c>
      <c r="AT29" s="10">
        <f t="shared" si="19"/>
        <v>0</v>
      </c>
      <c r="AU29" s="105"/>
      <c r="AV29" s="10">
        <f t="shared" si="20"/>
        <v>0</v>
      </c>
      <c r="AW29" s="10">
        <f t="shared" si="51"/>
        <v>0</v>
      </c>
      <c r="AX29" s="10">
        <f t="shared" si="21"/>
        <v>0</v>
      </c>
      <c r="AY29" s="105">
        <f>36*AY7</f>
        <v>9000</v>
      </c>
      <c r="AZ29" s="10">
        <f t="shared" si="22"/>
        <v>16.592810224710895</v>
      </c>
      <c r="BA29" s="10">
        <f t="shared" si="52"/>
        <v>9000</v>
      </c>
      <c r="BB29" s="10">
        <f t="shared" si="23"/>
        <v>6.731828648706758E-3</v>
      </c>
      <c r="BC29" s="10">
        <f t="shared" si="53"/>
        <v>9000</v>
      </c>
      <c r="BD29" s="10">
        <f t="shared" si="24"/>
        <v>16.592810224710895</v>
      </c>
      <c r="BE29" s="10">
        <f t="shared" si="54"/>
        <v>721829.56499999983</v>
      </c>
      <c r="BF29" s="10">
        <f t="shared" si="25"/>
        <v>53.991477168339287</v>
      </c>
      <c r="BG29" s="105">
        <f>20*BG7</f>
        <v>5000</v>
      </c>
      <c r="BH29" s="10">
        <f t="shared" si="26"/>
        <v>9.2182279026171656</v>
      </c>
      <c r="BI29" s="10">
        <f t="shared" si="55"/>
        <v>199750</v>
      </c>
      <c r="BJ29" s="10">
        <f t="shared" si="27"/>
        <v>14.940919695324167</v>
      </c>
      <c r="BK29" s="105"/>
      <c r="BL29" s="10">
        <f t="shared" si="28"/>
        <v>0</v>
      </c>
      <c r="BM29" s="10">
        <f t="shared" si="56"/>
        <v>0</v>
      </c>
      <c r="BN29" s="10">
        <f t="shared" si="29"/>
        <v>0</v>
      </c>
      <c r="BO29" s="105">
        <f>120*BO7</f>
        <v>30240.359999999997</v>
      </c>
      <c r="BP29" s="15">
        <f t="shared" si="30"/>
        <v>55.752506067437601</v>
      </c>
      <c r="BQ29" s="10">
        <f t="shared" si="57"/>
        <v>30240.359999999997</v>
      </c>
      <c r="BR29" s="10">
        <f t="shared" si="31"/>
        <v>2.2619213532800653</v>
      </c>
      <c r="BS29" s="10">
        <f t="shared" si="58"/>
        <v>35240.36</v>
      </c>
      <c r="BT29" s="10">
        <f t="shared" si="32"/>
        <v>64.970733970054766</v>
      </c>
      <c r="BU29" s="10">
        <f>BS29+BU28</f>
        <v>229990.36</v>
      </c>
      <c r="BV29" s="10">
        <f t="shared" si="33"/>
        <v>17.202841048604231</v>
      </c>
      <c r="BW29" s="105"/>
      <c r="BX29" s="10">
        <f t="shared" si="34"/>
        <v>0</v>
      </c>
      <c r="BY29" s="10">
        <f t="shared" si="60"/>
        <v>7050</v>
      </c>
      <c r="BZ29" s="10">
        <f t="shared" si="35"/>
        <v>0.52732657748202938</v>
      </c>
      <c r="CA29" s="10">
        <f t="shared" si="36"/>
        <v>54240.36</v>
      </c>
      <c r="CB29" s="10">
        <f t="shared" si="61"/>
        <v>1336932.425</v>
      </c>
      <c r="CC29" s="10">
        <f t="shared" si="37"/>
        <v>0.97866156649766345</v>
      </c>
      <c r="CD29" s="10">
        <f t="shared" si="38"/>
        <v>1.0478898296250372</v>
      </c>
      <c r="CL29" s="13"/>
    </row>
    <row r="30" spans="1:91">
      <c r="A30" s="16">
        <f>+Chem!A29</f>
        <v>45890</v>
      </c>
      <c r="B30" s="6" t="str">
        <f>+Chem!B29</f>
        <v>Facial</v>
      </c>
      <c r="C30" s="16" t="str">
        <f>+Chem!C29</f>
        <v>10,3</v>
      </c>
      <c r="D30" s="8">
        <f>+Chem!D29</f>
        <v>56.287999999999997</v>
      </c>
      <c r="E30" s="7">
        <f>+Chem!E29</f>
        <v>56.616</v>
      </c>
      <c r="F30" s="7">
        <f t="shared" si="39"/>
        <v>1332.4489999999998</v>
      </c>
      <c r="G30" s="105"/>
      <c r="H30" s="10">
        <f t="shared" si="0"/>
        <v>0</v>
      </c>
      <c r="I30" s="8">
        <f t="shared" si="40"/>
        <v>0</v>
      </c>
      <c r="J30" s="10">
        <f t="shared" si="1"/>
        <v>0</v>
      </c>
      <c r="K30" s="105"/>
      <c r="L30" s="10">
        <f t="shared" si="2"/>
        <v>0</v>
      </c>
      <c r="M30" s="10">
        <f t="shared" si="41"/>
        <v>0</v>
      </c>
      <c r="N30" s="10">
        <f t="shared" si="3"/>
        <v>0</v>
      </c>
      <c r="O30" s="105"/>
      <c r="P30" s="10">
        <f t="shared" si="4"/>
        <v>0</v>
      </c>
      <c r="Q30" s="10">
        <f t="shared" si="42"/>
        <v>0</v>
      </c>
      <c r="R30" s="10">
        <f t="shared" si="5"/>
        <v>0</v>
      </c>
      <c r="S30" s="105">
        <f>48.75*S7</f>
        <v>12187.5</v>
      </c>
      <c r="T30" s="10">
        <f t="shared" si="6"/>
        <v>12.898196700341252</v>
      </c>
      <c r="U30" s="10">
        <f t="shared" si="43"/>
        <v>390250</v>
      </c>
      <c r="V30" s="10">
        <f t="shared" si="7"/>
        <v>27.263092012384345</v>
      </c>
      <c r="W30" s="105"/>
      <c r="X30" s="10">
        <f t="shared" si="8"/>
        <v>0</v>
      </c>
      <c r="Y30" s="10">
        <f t="shared" si="44"/>
        <v>0</v>
      </c>
      <c r="Z30" s="10">
        <f t="shared" si="9"/>
        <v>0</v>
      </c>
      <c r="AA30" s="105"/>
      <c r="AB30" s="10">
        <f t="shared" si="10"/>
        <v>0</v>
      </c>
      <c r="AC30" s="10">
        <f t="shared" si="45"/>
        <v>0</v>
      </c>
      <c r="AD30" s="10">
        <f t="shared" si="11"/>
        <v>0</v>
      </c>
      <c r="AE30" s="10">
        <f t="shared" si="46"/>
        <v>12187.5</v>
      </c>
      <c r="AF30" s="10">
        <f t="shared" si="12"/>
        <v>12.898196700341252</v>
      </c>
      <c r="AG30" s="10">
        <f t="shared" si="47"/>
        <v>390250</v>
      </c>
      <c r="AH30" s="10">
        <f t="shared" si="13"/>
        <v>27.263092012384345</v>
      </c>
      <c r="AI30" s="105">
        <v>0</v>
      </c>
      <c r="AJ30" s="10">
        <f t="shared" si="14"/>
        <v>0</v>
      </c>
      <c r="AK30" s="10">
        <f t="shared" si="48"/>
        <v>712829.56499999983</v>
      </c>
      <c r="AL30" s="10">
        <f t="shared" si="15"/>
        <v>49.798688071090069</v>
      </c>
      <c r="AM30" s="105"/>
      <c r="AN30" s="10">
        <f t="shared" si="16"/>
        <v>0</v>
      </c>
      <c r="AO30" s="10">
        <f t="shared" si="49"/>
        <v>0</v>
      </c>
      <c r="AP30" s="10">
        <f t="shared" si="17"/>
        <v>0</v>
      </c>
      <c r="AQ30" s="105"/>
      <c r="AR30" s="10">
        <f t="shared" si="18"/>
        <v>0</v>
      </c>
      <c r="AS30" s="10">
        <f t="shared" si="50"/>
        <v>0</v>
      </c>
      <c r="AT30" s="10">
        <f t="shared" si="19"/>
        <v>0</v>
      </c>
      <c r="AU30" s="105"/>
      <c r="AV30" s="10">
        <f t="shared" si="20"/>
        <v>0</v>
      </c>
      <c r="AW30" s="10">
        <f t="shared" si="51"/>
        <v>0</v>
      </c>
      <c r="AX30" s="10">
        <f t="shared" si="21"/>
        <v>0</v>
      </c>
      <c r="AY30" s="105">
        <f>45*AY7</f>
        <v>11250</v>
      </c>
      <c r="AZ30" s="10">
        <f t="shared" si="22"/>
        <v>11.906027723391924</v>
      </c>
      <c r="BA30" s="10">
        <f t="shared" si="52"/>
        <v>20250</v>
      </c>
      <c r="BB30" s="10">
        <f t="shared" si="23"/>
        <v>1.4146767796304496E-2</v>
      </c>
      <c r="BC30" s="10">
        <f t="shared" si="53"/>
        <v>11250</v>
      </c>
      <c r="BD30" s="10">
        <f t="shared" si="24"/>
        <v>11.906027723391924</v>
      </c>
      <c r="BE30" s="10">
        <f t="shared" si="54"/>
        <v>733079.56499999983</v>
      </c>
      <c r="BF30" s="10">
        <f t="shared" si="25"/>
        <v>51.213364850720524</v>
      </c>
      <c r="BG30" s="105">
        <f>132*BG7</f>
        <v>33000</v>
      </c>
      <c r="BH30" s="10">
        <f t="shared" si="26"/>
        <v>34.924347988616312</v>
      </c>
      <c r="BI30" s="10">
        <f t="shared" si="55"/>
        <v>232750</v>
      </c>
      <c r="BJ30" s="10">
        <f t="shared" si="27"/>
        <v>16.260050393036401</v>
      </c>
      <c r="BK30" s="105"/>
      <c r="BL30" s="10">
        <f t="shared" si="28"/>
        <v>0</v>
      </c>
      <c r="BM30" s="10">
        <f t="shared" si="56"/>
        <v>0</v>
      </c>
      <c r="BN30" s="10">
        <f t="shared" si="29"/>
        <v>0</v>
      </c>
      <c r="BO30" s="105">
        <f>151*BO7</f>
        <v>38052.453000000001</v>
      </c>
      <c r="BP30" s="15">
        <f t="shared" si="30"/>
        <v>40.271427587650507</v>
      </c>
      <c r="BQ30" s="10">
        <f t="shared" si="57"/>
        <v>68292.812999999995</v>
      </c>
      <c r="BR30" s="10">
        <f t="shared" si="31"/>
        <v>4.7709756428021972</v>
      </c>
      <c r="BS30" s="10">
        <f t="shared" si="58"/>
        <v>71052.453000000009</v>
      </c>
      <c r="BT30" s="10">
        <f t="shared" si="32"/>
        <v>75.195775576266826</v>
      </c>
      <c r="BU30" s="10">
        <f t="shared" si="59"/>
        <v>301042.81299999997</v>
      </c>
      <c r="BV30" s="10">
        <f t="shared" si="33"/>
        <v>21.031026035838597</v>
      </c>
      <c r="BW30" s="105"/>
      <c r="BX30" s="10">
        <f t="shared" si="34"/>
        <v>0</v>
      </c>
      <c r="BY30" s="10">
        <f t="shared" si="60"/>
        <v>7050</v>
      </c>
      <c r="BZ30" s="10">
        <f t="shared" si="35"/>
        <v>0.4925171010565268</v>
      </c>
      <c r="CA30" s="10">
        <f t="shared" si="36"/>
        <v>94489.953000000009</v>
      </c>
      <c r="CB30" s="10">
        <f t="shared" si="61"/>
        <v>1431422.378</v>
      </c>
      <c r="CC30" s="10">
        <f t="shared" si="37"/>
        <v>1.6689620072064437</v>
      </c>
      <c r="CD30" s="10">
        <f t="shared" si="38"/>
        <v>1.0742792992452246</v>
      </c>
    </row>
    <row r="31" spans="1:91">
      <c r="A31" s="16">
        <f>+Chem!A30</f>
        <v>45891</v>
      </c>
      <c r="B31" s="6" t="str">
        <f>+Chem!B30</f>
        <v>Facial</v>
      </c>
      <c r="C31" s="16" t="str">
        <f>+Chem!C30</f>
        <v>10,3</v>
      </c>
      <c r="D31" s="8">
        <f>+Chem!D30</f>
        <v>54.817999999999998</v>
      </c>
      <c r="E31" s="7">
        <f>+Chem!E30</f>
        <v>55.46</v>
      </c>
      <c r="F31" s="7">
        <f t="shared" si="39"/>
        <v>1387.9089999999999</v>
      </c>
      <c r="G31" s="105"/>
      <c r="H31" s="10">
        <f t="shared" si="0"/>
        <v>0</v>
      </c>
      <c r="I31" s="8">
        <f t="shared" si="40"/>
        <v>0</v>
      </c>
      <c r="J31" s="10">
        <f t="shared" si="1"/>
        <v>0</v>
      </c>
      <c r="K31" s="105"/>
      <c r="L31" s="10">
        <f t="shared" si="2"/>
        <v>0</v>
      </c>
      <c r="M31" s="10">
        <f t="shared" si="41"/>
        <v>0</v>
      </c>
      <c r="N31" s="10">
        <f t="shared" si="3"/>
        <v>0</v>
      </c>
      <c r="O31" s="105"/>
      <c r="P31" s="10">
        <f t="shared" si="4"/>
        <v>0</v>
      </c>
      <c r="Q31" s="10">
        <f t="shared" si="42"/>
        <v>0</v>
      </c>
      <c r="R31" s="10">
        <f t="shared" si="5"/>
        <v>0</v>
      </c>
      <c r="S31" s="105">
        <f>53*S7</f>
        <v>13250</v>
      </c>
      <c r="T31" s="10">
        <f t="shared" si="6"/>
        <v>22.224625650082881</v>
      </c>
      <c r="U31" s="10">
        <f t="shared" si="43"/>
        <v>403500</v>
      </c>
      <c r="V31" s="10">
        <f t="shared" si="7"/>
        <v>27.061631366484352</v>
      </c>
      <c r="W31" s="105"/>
      <c r="X31" s="10">
        <f t="shared" si="8"/>
        <v>0</v>
      </c>
      <c r="Y31" s="10">
        <f t="shared" si="44"/>
        <v>0</v>
      </c>
      <c r="Z31" s="10">
        <f t="shared" si="9"/>
        <v>0</v>
      </c>
      <c r="AA31" s="105"/>
      <c r="AB31" s="10">
        <f t="shared" si="10"/>
        <v>0</v>
      </c>
      <c r="AC31" s="10">
        <f t="shared" si="45"/>
        <v>0</v>
      </c>
      <c r="AD31" s="10">
        <f t="shared" si="11"/>
        <v>0</v>
      </c>
      <c r="AE31" s="10">
        <f t="shared" si="46"/>
        <v>13250</v>
      </c>
      <c r="AF31" s="10">
        <f t="shared" si="12"/>
        <v>22.224625650082881</v>
      </c>
      <c r="AG31" s="10">
        <f t="shared" si="47"/>
        <v>403500</v>
      </c>
      <c r="AH31" s="10">
        <f t="shared" si="13"/>
        <v>27.061631366484352</v>
      </c>
      <c r="AI31" s="105">
        <v>0</v>
      </c>
      <c r="AJ31" s="10">
        <f t="shared" si="14"/>
        <v>0</v>
      </c>
      <c r="AK31" s="10">
        <f t="shared" si="48"/>
        <v>712829.56499999983</v>
      </c>
      <c r="AL31" s="10">
        <f t="shared" si="15"/>
        <v>47.807511561738266</v>
      </c>
      <c r="AM31" s="105"/>
      <c r="AN31" s="10">
        <f t="shared" si="16"/>
        <v>0</v>
      </c>
      <c r="AO31" s="10">
        <f t="shared" si="49"/>
        <v>0</v>
      </c>
      <c r="AP31" s="10">
        <f t="shared" si="17"/>
        <v>0</v>
      </c>
      <c r="AQ31" s="105"/>
      <c r="AR31" s="10">
        <f t="shared" si="18"/>
        <v>0</v>
      </c>
      <c r="AS31" s="10">
        <f t="shared" si="50"/>
        <v>0</v>
      </c>
      <c r="AT31" s="10">
        <f t="shared" si="19"/>
        <v>0</v>
      </c>
      <c r="AU31" s="105"/>
      <c r="AV31" s="10">
        <f t="shared" si="20"/>
        <v>0</v>
      </c>
      <c r="AW31" s="10">
        <f t="shared" si="51"/>
        <v>0</v>
      </c>
      <c r="AX31" s="10">
        <f t="shared" si="21"/>
        <v>0</v>
      </c>
      <c r="AY31" s="105"/>
      <c r="AZ31" s="10">
        <f t="shared" si="22"/>
        <v>0</v>
      </c>
      <c r="BA31" s="10">
        <f t="shared" si="52"/>
        <v>20250</v>
      </c>
      <c r="BB31" s="10">
        <f t="shared" si="23"/>
        <v>1.3581116113291405E-2</v>
      </c>
      <c r="BC31" s="10">
        <f t="shared" si="53"/>
        <v>0</v>
      </c>
      <c r="BD31" s="10">
        <f t="shared" si="24"/>
        <v>0</v>
      </c>
      <c r="BE31" s="10">
        <f t="shared" si="54"/>
        <v>733079.56499999983</v>
      </c>
      <c r="BF31" s="10">
        <f t="shared" si="25"/>
        <v>49.165623173067416</v>
      </c>
      <c r="BG31" s="105"/>
      <c r="BH31" s="10">
        <f t="shared" si="26"/>
        <v>0</v>
      </c>
      <c r="BI31" s="10">
        <f t="shared" si="55"/>
        <v>232750</v>
      </c>
      <c r="BJ31" s="10">
        <f t="shared" si="27"/>
        <v>15.60990012527691</v>
      </c>
      <c r="BK31" s="105"/>
      <c r="BL31" s="10">
        <f t="shared" si="28"/>
        <v>0</v>
      </c>
      <c r="BM31" s="10">
        <f t="shared" si="56"/>
        <v>0</v>
      </c>
      <c r="BN31" s="10">
        <f t="shared" si="29"/>
        <v>0</v>
      </c>
      <c r="BO31" s="105">
        <f>184*BO7</f>
        <v>46368.551999999996</v>
      </c>
      <c r="BP31" s="15">
        <f t="shared" si="30"/>
        <v>77.775374349917115</v>
      </c>
      <c r="BQ31" s="10">
        <f t="shared" si="57"/>
        <v>114661.36499999999</v>
      </c>
      <c r="BR31" s="10">
        <f t="shared" si="31"/>
        <v>7.690021292708578</v>
      </c>
      <c r="BS31" s="10">
        <f t="shared" si="58"/>
        <v>46368.551999999996</v>
      </c>
      <c r="BT31" s="10">
        <f t="shared" si="32"/>
        <v>77.775374349917115</v>
      </c>
      <c r="BU31" s="10">
        <f t="shared" si="59"/>
        <v>347411.36499999999</v>
      </c>
      <c r="BV31" s="10">
        <f t="shared" si="33"/>
        <v>23.299921417985487</v>
      </c>
      <c r="BW31" s="105"/>
      <c r="BX31" s="10">
        <f t="shared" si="34"/>
        <v>0</v>
      </c>
      <c r="BY31" s="10">
        <f t="shared" si="60"/>
        <v>7050</v>
      </c>
      <c r="BZ31" s="10">
        <f t="shared" si="35"/>
        <v>0.47282404246273774</v>
      </c>
      <c r="CA31" s="10">
        <f t="shared" si="36"/>
        <v>59618.551999999996</v>
      </c>
      <c r="CB31" s="10">
        <f t="shared" si="61"/>
        <v>1491040.93</v>
      </c>
      <c r="CC31" s="10">
        <f t="shared" si="37"/>
        <v>1.0749829065993508</v>
      </c>
      <c r="CD31" s="10">
        <f t="shared" si="38"/>
        <v>1.0743074149674079</v>
      </c>
    </row>
    <row r="32" spans="1:91">
      <c r="A32" s="16">
        <f>+Chem!A31</f>
        <v>45892</v>
      </c>
      <c r="B32" s="6" t="str">
        <f>+Chem!B31</f>
        <v>Facial/Sanitary Napkin</v>
      </c>
      <c r="C32" s="16" t="str">
        <f>+Chem!C31</f>
        <v>10,3/13</v>
      </c>
      <c r="D32" s="8">
        <f>+Chem!D31</f>
        <v>55.576999999999998</v>
      </c>
      <c r="E32" s="7">
        <f>+Chem!E31</f>
        <v>41.737000000000002</v>
      </c>
      <c r="F32" s="7">
        <f t="shared" si="39"/>
        <v>1429.646</v>
      </c>
      <c r="G32" s="105"/>
      <c r="H32" s="10">
        <f t="shared" si="0"/>
        <v>0</v>
      </c>
      <c r="I32" s="8">
        <f t="shared" si="40"/>
        <v>0</v>
      </c>
      <c r="J32" s="10">
        <f t="shared" si="1"/>
        <v>0</v>
      </c>
      <c r="K32" s="105"/>
      <c r="L32" s="10">
        <f t="shared" si="2"/>
        <v>0</v>
      </c>
      <c r="M32" s="10">
        <f t="shared" si="41"/>
        <v>0</v>
      </c>
      <c r="N32" s="10">
        <f t="shared" si="3"/>
        <v>0</v>
      </c>
      <c r="O32" s="105"/>
      <c r="P32" s="10">
        <f t="shared" si="4"/>
        <v>0</v>
      </c>
      <c r="Q32" s="10">
        <f t="shared" si="42"/>
        <v>0</v>
      </c>
      <c r="R32" s="10">
        <f t="shared" si="5"/>
        <v>0</v>
      </c>
      <c r="S32" s="105">
        <f>74*S7</f>
        <v>18500</v>
      </c>
      <c r="T32" s="10">
        <f t="shared" si="6"/>
        <v>33.766251970853993</v>
      </c>
      <c r="U32" s="10">
        <f t="shared" si="43"/>
        <v>422000</v>
      </c>
      <c r="V32" s="10">
        <f t="shared" si="7"/>
        <v>27.299261508011131</v>
      </c>
      <c r="W32" s="105"/>
      <c r="X32" s="10">
        <f t="shared" si="8"/>
        <v>0</v>
      </c>
      <c r="Y32" s="10">
        <f t="shared" si="44"/>
        <v>0</v>
      </c>
      <c r="Z32" s="10">
        <f t="shared" si="9"/>
        <v>0</v>
      </c>
      <c r="AA32" s="105"/>
      <c r="AB32" s="10">
        <f t="shared" si="10"/>
        <v>0</v>
      </c>
      <c r="AC32" s="10">
        <f t="shared" si="45"/>
        <v>0</v>
      </c>
      <c r="AD32" s="10">
        <f t="shared" si="11"/>
        <v>0</v>
      </c>
      <c r="AE32" s="10">
        <f t="shared" si="46"/>
        <v>18500</v>
      </c>
      <c r="AF32" s="10">
        <f t="shared" si="12"/>
        <v>33.766251970853993</v>
      </c>
      <c r="AG32" s="10">
        <f t="shared" si="47"/>
        <v>422000</v>
      </c>
      <c r="AH32" s="10">
        <f t="shared" si="13"/>
        <v>27.299261508011131</v>
      </c>
      <c r="AI32" s="105">
        <v>0</v>
      </c>
      <c r="AJ32" s="10">
        <f t="shared" si="14"/>
        <v>0</v>
      </c>
      <c r="AK32" s="10">
        <f t="shared" si="48"/>
        <v>712829.56499999983</v>
      </c>
      <c r="AL32" s="10">
        <f t="shared" si="15"/>
        <v>46.113082240703349</v>
      </c>
      <c r="AM32" s="105"/>
      <c r="AN32" s="10">
        <f t="shared" si="16"/>
        <v>0</v>
      </c>
      <c r="AO32" s="10">
        <f t="shared" si="49"/>
        <v>0</v>
      </c>
      <c r="AP32" s="10">
        <f t="shared" si="17"/>
        <v>0</v>
      </c>
      <c r="AQ32" s="105"/>
      <c r="AR32" s="10">
        <f t="shared" si="18"/>
        <v>0</v>
      </c>
      <c r="AS32" s="10">
        <f t="shared" si="50"/>
        <v>0</v>
      </c>
      <c r="AT32" s="10">
        <f t="shared" si="19"/>
        <v>0</v>
      </c>
      <c r="AU32" s="105"/>
      <c r="AV32" s="10">
        <f t="shared" si="20"/>
        <v>0</v>
      </c>
      <c r="AW32" s="10">
        <f t="shared" si="51"/>
        <v>0</v>
      </c>
      <c r="AX32" s="10">
        <f t="shared" si="21"/>
        <v>0</v>
      </c>
      <c r="AY32" s="105"/>
      <c r="AZ32" s="10">
        <f t="shared" si="22"/>
        <v>0</v>
      </c>
      <c r="BA32" s="10">
        <f t="shared" si="52"/>
        <v>20250</v>
      </c>
      <c r="BB32" s="10">
        <f t="shared" si="23"/>
        <v>1.3099764112256525E-2</v>
      </c>
      <c r="BC32" s="10">
        <f t="shared" si="53"/>
        <v>0</v>
      </c>
      <c r="BD32" s="10">
        <f t="shared" si="24"/>
        <v>0</v>
      </c>
      <c r="BE32" s="10">
        <f t="shared" si="54"/>
        <v>733079.56499999983</v>
      </c>
      <c r="BF32" s="10">
        <f t="shared" si="25"/>
        <v>47.423058651929004</v>
      </c>
      <c r="BG32" s="105"/>
      <c r="BH32" s="10">
        <f t="shared" si="26"/>
        <v>0</v>
      </c>
      <c r="BI32" s="10">
        <f t="shared" si="55"/>
        <v>232750</v>
      </c>
      <c r="BJ32" s="10">
        <f t="shared" si="27"/>
        <v>15.056642454951636</v>
      </c>
      <c r="BK32" s="105"/>
      <c r="BL32" s="10">
        <f t="shared" si="28"/>
        <v>0</v>
      </c>
      <c r="BM32" s="10">
        <f t="shared" si="56"/>
        <v>0</v>
      </c>
      <c r="BN32" s="10">
        <f t="shared" si="29"/>
        <v>0</v>
      </c>
      <c r="BO32" s="105">
        <f>144*BO7</f>
        <v>36288.432000000001</v>
      </c>
      <c r="BP32" s="15">
        <f t="shared" si="30"/>
        <v>66.233748029146014</v>
      </c>
      <c r="BQ32" s="10">
        <f t="shared" si="57"/>
        <v>150949.79699999999</v>
      </c>
      <c r="BR32" s="10">
        <f t="shared" si="31"/>
        <v>9.7649715234222594</v>
      </c>
      <c r="BS32" s="10">
        <f t="shared" si="58"/>
        <v>36288.432000000001</v>
      </c>
      <c r="BT32" s="10">
        <f t="shared" si="32"/>
        <v>66.233748029146014</v>
      </c>
      <c r="BU32" s="10">
        <f t="shared" si="59"/>
        <v>383699.79700000002</v>
      </c>
      <c r="BV32" s="10">
        <f t="shared" si="33"/>
        <v>24.821613978373897</v>
      </c>
      <c r="BW32" s="105"/>
      <c r="BX32" s="10">
        <f t="shared" si="34"/>
        <v>0</v>
      </c>
      <c r="BY32" s="10">
        <f t="shared" si="60"/>
        <v>7050</v>
      </c>
      <c r="BZ32" s="10">
        <f t="shared" si="35"/>
        <v>0.45606586168596791</v>
      </c>
      <c r="CA32" s="10">
        <f t="shared" si="36"/>
        <v>54788.432000000001</v>
      </c>
      <c r="CB32" s="10">
        <f t="shared" si="61"/>
        <v>1545829.362</v>
      </c>
      <c r="CC32" s="10">
        <f t="shared" si="37"/>
        <v>1.3127065193952607</v>
      </c>
      <c r="CD32" s="10">
        <f t="shared" si="38"/>
        <v>1.0812672241939614</v>
      </c>
    </row>
    <row r="33" spans="1:82">
      <c r="A33" s="16">
        <f>+Chem!A32</f>
        <v>45893</v>
      </c>
      <c r="B33" s="6" t="str">
        <f>+Chem!B32</f>
        <v>Sanitary Napkin</v>
      </c>
      <c r="C33" s="16" t="str">
        <f>+Chem!C32</f>
        <v>13</v>
      </c>
      <c r="D33" s="8">
        <f>+Chem!D32</f>
        <v>50.014999999999993</v>
      </c>
      <c r="E33" s="7">
        <f>+Chem!E32</f>
        <v>44.899000000000001</v>
      </c>
      <c r="F33" s="7">
        <f t="shared" si="39"/>
        <v>1474.5450000000001</v>
      </c>
      <c r="G33" s="105"/>
      <c r="H33" s="10">
        <f t="shared" si="0"/>
        <v>0</v>
      </c>
      <c r="I33" s="8">
        <f t="shared" si="40"/>
        <v>0</v>
      </c>
      <c r="J33" s="10">
        <f t="shared" si="1"/>
        <v>0</v>
      </c>
      <c r="K33" s="105"/>
      <c r="L33" s="10">
        <f t="shared" si="2"/>
        <v>0</v>
      </c>
      <c r="M33" s="10">
        <f t="shared" si="41"/>
        <v>0</v>
      </c>
      <c r="N33" s="10">
        <f t="shared" si="3"/>
        <v>0</v>
      </c>
      <c r="O33" s="105"/>
      <c r="P33" s="10">
        <f t="shared" si="4"/>
        <v>0</v>
      </c>
      <c r="Q33" s="10">
        <f t="shared" si="42"/>
        <v>0</v>
      </c>
      <c r="R33" s="10">
        <f t="shared" si="5"/>
        <v>0</v>
      </c>
      <c r="S33" s="105">
        <f>76*S7</f>
        <v>19000</v>
      </c>
      <c r="T33" s="10">
        <f t="shared" si="6"/>
        <v>37.812170312701873</v>
      </c>
      <c r="U33" s="10">
        <f t="shared" si="43"/>
        <v>441000</v>
      </c>
      <c r="V33" s="10">
        <f t="shared" si="7"/>
        <v>27.6302332026643</v>
      </c>
      <c r="W33" s="105"/>
      <c r="X33" s="10">
        <f t="shared" si="8"/>
        <v>0</v>
      </c>
      <c r="Y33" s="10">
        <f t="shared" si="44"/>
        <v>0</v>
      </c>
      <c r="Z33" s="10">
        <f t="shared" si="9"/>
        <v>0</v>
      </c>
      <c r="AA33" s="105"/>
      <c r="AB33" s="10">
        <f t="shared" si="10"/>
        <v>0</v>
      </c>
      <c r="AC33" s="10">
        <f t="shared" si="45"/>
        <v>0</v>
      </c>
      <c r="AD33" s="10">
        <f t="shared" si="11"/>
        <v>0</v>
      </c>
      <c r="AE33" s="10">
        <f t="shared" si="46"/>
        <v>19000</v>
      </c>
      <c r="AF33" s="10">
        <f t="shared" si="12"/>
        <v>37.812170312701873</v>
      </c>
      <c r="AG33" s="10">
        <f t="shared" si="47"/>
        <v>441000</v>
      </c>
      <c r="AH33" s="10">
        <f t="shared" si="13"/>
        <v>27.6302332026643</v>
      </c>
      <c r="AI33" s="105">
        <v>0</v>
      </c>
      <c r="AJ33" s="10">
        <f t="shared" si="14"/>
        <v>0</v>
      </c>
      <c r="AK33" s="10">
        <f t="shared" si="48"/>
        <v>712829.56499999983</v>
      </c>
      <c r="AL33" s="10">
        <f t="shared" si="15"/>
        <v>44.661331325858832</v>
      </c>
      <c r="AM33" s="105"/>
      <c r="AN33" s="10">
        <f t="shared" si="16"/>
        <v>0</v>
      </c>
      <c r="AO33" s="10">
        <f t="shared" si="49"/>
        <v>0</v>
      </c>
      <c r="AP33" s="10">
        <f t="shared" si="17"/>
        <v>0</v>
      </c>
      <c r="AQ33" s="105"/>
      <c r="AR33" s="10">
        <f t="shared" si="18"/>
        <v>0</v>
      </c>
      <c r="AS33" s="10">
        <f>AQ33+AS32</f>
        <v>0</v>
      </c>
      <c r="AT33" s="10">
        <f t="shared" si="19"/>
        <v>0</v>
      </c>
      <c r="AU33" s="105"/>
      <c r="AV33" s="10">
        <f t="shared" si="20"/>
        <v>0</v>
      </c>
      <c r="AW33" s="10">
        <f t="shared" si="51"/>
        <v>0</v>
      </c>
      <c r="AX33" s="10">
        <f t="shared" si="21"/>
        <v>0</v>
      </c>
      <c r="AY33" s="105"/>
      <c r="AZ33" s="10">
        <f t="shared" si="22"/>
        <v>0</v>
      </c>
      <c r="BA33" s="10">
        <f t="shared" si="52"/>
        <v>20250</v>
      </c>
      <c r="BB33" s="10">
        <f t="shared" si="23"/>
        <v>1.2687351980815241E-2</v>
      </c>
      <c r="BC33" s="10">
        <f t="shared" si="53"/>
        <v>0</v>
      </c>
      <c r="BD33" s="10">
        <f t="shared" si="24"/>
        <v>0</v>
      </c>
      <c r="BE33" s="10">
        <f t="shared" si="54"/>
        <v>733079.56499999983</v>
      </c>
      <c r="BF33" s="10">
        <f t="shared" si="25"/>
        <v>45.930066523940361</v>
      </c>
      <c r="BG33" s="105"/>
      <c r="BH33" s="10">
        <f t="shared" si="26"/>
        <v>0</v>
      </c>
      <c r="BI33" s="10">
        <f t="shared" si="55"/>
        <v>232750</v>
      </c>
      <c r="BJ33" s="10">
        <f t="shared" si="27"/>
        <v>14.582623079183938</v>
      </c>
      <c r="BK33" s="105"/>
      <c r="BL33" s="10">
        <f t="shared" si="28"/>
        <v>0</v>
      </c>
      <c r="BM33" s="10">
        <f t="shared" si="56"/>
        <v>0</v>
      </c>
      <c r="BN33" s="10">
        <f t="shared" si="29"/>
        <v>0</v>
      </c>
      <c r="BO33" s="105">
        <f>124*BO7</f>
        <v>31248.371999999999</v>
      </c>
      <c r="BP33" s="15">
        <f t="shared" si="30"/>
        <v>62.187829687298127</v>
      </c>
      <c r="BQ33" s="10">
        <f t="shared" si="57"/>
        <v>182198.16899999999</v>
      </c>
      <c r="BR33" s="10">
        <f t="shared" si="31"/>
        <v>11.415369384508937</v>
      </c>
      <c r="BS33" s="10">
        <f t="shared" si="58"/>
        <v>31248.371999999999</v>
      </c>
      <c r="BT33" s="10">
        <f t="shared" si="32"/>
        <v>62.187829687298127</v>
      </c>
      <c r="BU33" s="10">
        <f t="shared" si="59"/>
        <v>414948.16899999999</v>
      </c>
      <c r="BV33" s="10">
        <f t="shared" si="33"/>
        <v>25.997992463692874</v>
      </c>
      <c r="BW33" s="105"/>
      <c r="BX33" s="10">
        <f t="shared" si="34"/>
        <v>0</v>
      </c>
      <c r="BY33" s="10">
        <f t="shared" si="60"/>
        <v>7050</v>
      </c>
      <c r="BZ33" s="10">
        <f t="shared" si="35"/>
        <v>0.44170780970245649</v>
      </c>
      <c r="CA33" s="10">
        <f t="shared" si="36"/>
        <v>50248.372000000003</v>
      </c>
      <c r="CB33" s="10">
        <f t="shared" si="61"/>
        <v>1596077.7339999999</v>
      </c>
      <c r="CC33" s="10">
        <f t="shared" si="37"/>
        <v>1.1191423417002606</v>
      </c>
      <c r="CD33" s="10">
        <f t="shared" si="38"/>
        <v>1.0824204985266641</v>
      </c>
    </row>
    <row r="34" spans="1:82">
      <c r="A34" s="16">
        <f>+Chem!A33</f>
        <v>45894</v>
      </c>
      <c r="B34" s="6" t="str">
        <f>+Chem!B33</f>
        <v>Sanitary Napkin</v>
      </c>
      <c r="C34" s="16" t="str">
        <f>+Chem!C33</f>
        <v>13/14</v>
      </c>
      <c r="D34" s="8">
        <f>+Chem!D33</f>
        <v>52.022000000000006</v>
      </c>
      <c r="E34" s="7">
        <f>+Chem!E33</f>
        <v>40.061999999999998</v>
      </c>
      <c r="F34" s="7">
        <f t="shared" si="39"/>
        <v>1514.607</v>
      </c>
      <c r="G34" s="105"/>
      <c r="H34" s="10">
        <f t="shared" si="0"/>
        <v>0</v>
      </c>
      <c r="I34" s="8">
        <f t="shared" si="40"/>
        <v>0</v>
      </c>
      <c r="J34" s="10">
        <f t="shared" si="1"/>
        <v>0</v>
      </c>
      <c r="K34" s="105"/>
      <c r="L34" s="10">
        <f t="shared" si="2"/>
        <v>0</v>
      </c>
      <c r="M34" s="10">
        <f t="shared" si="41"/>
        <v>0</v>
      </c>
      <c r="N34" s="10">
        <f t="shared" si="3"/>
        <v>0</v>
      </c>
      <c r="O34" s="105"/>
      <c r="P34" s="10">
        <f t="shared" si="4"/>
        <v>0</v>
      </c>
      <c r="Q34" s="10">
        <f t="shared" si="42"/>
        <v>0</v>
      </c>
      <c r="R34" s="10">
        <f t="shared" si="5"/>
        <v>0</v>
      </c>
      <c r="S34" s="105">
        <f>84*S7</f>
        <v>21000</v>
      </c>
      <c r="T34" s="10">
        <f t="shared" si="6"/>
        <v>40.192639877851121</v>
      </c>
      <c r="U34" s="10">
        <f t="shared" si="43"/>
        <v>462000</v>
      </c>
      <c r="V34" s="10">
        <f t="shared" si="7"/>
        <v>28.028434320022839</v>
      </c>
      <c r="W34" s="105"/>
      <c r="X34" s="10">
        <f t="shared" si="8"/>
        <v>0</v>
      </c>
      <c r="Y34" s="10">
        <f t="shared" si="44"/>
        <v>0</v>
      </c>
      <c r="Z34" s="10">
        <f t="shared" si="9"/>
        <v>0</v>
      </c>
      <c r="AA34" s="105"/>
      <c r="AB34" s="10">
        <f t="shared" si="10"/>
        <v>0</v>
      </c>
      <c r="AC34" s="10">
        <f t="shared" si="45"/>
        <v>0</v>
      </c>
      <c r="AD34" s="10">
        <f t="shared" si="11"/>
        <v>0</v>
      </c>
      <c r="AE34" s="10">
        <f t="shared" si="46"/>
        <v>21000</v>
      </c>
      <c r="AF34" s="10">
        <f t="shared" si="12"/>
        <v>40.192639877851121</v>
      </c>
      <c r="AG34" s="10">
        <f t="shared" si="47"/>
        <v>462000</v>
      </c>
      <c r="AH34" s="10">
        <f t="shared" si="13"/>
        <v>28.028434320022839</v>
      </c>
      <c r="AI34" s="105">
        <v>0</v>
      </c>
      <c r="AJ34" s="10">
        <f t="shared" si="14"/>
        <v>0</v>
      </c>
      <c r="AK34" s="10">
        <f t="shared" si="48"/>
        <v>712829.56499999983</v>
      </c>
      <c r="AL34" s="10">
        <f t="shared" si="15"/>
        <v>43.245663731543175</v>
      </c>
      <c r="AM34" s="105"/>
      <c r="AN34" s="10">
        <f t="shared" si="16"/>
        <v>0</v>
      </c>
      <c r="AO34" s="10">
        <f t="shared" si="49"/>
        <v>0</v>
      </c>
      <c r="AP34" s="10">
        <f t="shared" si="17"/>
        <v>0</v>
      </c>
      <c r="AQ34" s="105"/>
      <c r="AR34" s="10">
        <f t="shared" si="18"/>
        <v>0</v>
      </c>
      <c r="AS34" s="10">
        <f>AQ34+AS33</f>
        <v>0</v>
      </c>
      <c r="AT34" s="10">
        <f t="shared" si="19"/>
        <v>0</v>
      </c>
      <c r="AU34" s="105"/>
      <c r="AV34" s="10">
        <f t="shared" si="20"/>
        <v>0</v>
      </c>
      <c r="AW34" s="10">
        <f t="shared" si="51"/>
        <v>0</v>
      </c>
      <c r="AX34" s="10">
        <f t="shared" si="21"/>
        <v>0</v>
      </c>
      <c r="AY34" s="105"/>
      <c r="AZ34" s="10">
        <f t="shared" si="22"/>
        <v>0</v>
      </c>
      <c r="BA34" s="10">
        <f t="shared" si="52"/>
        <v>20250</v>
      </c>
      <c r="BB34" s="10">
        <f t="shared" si="23"/>
        <v>1.2285190367542477E-2</v>
      </c>
      <c r="BC34" s="10">
        <f t="shared" si="53"/>
        <v>0</v>
      </c>
      <c r="BD34" s="10">
        <f t="shared" si="24"/>
        <v>0</v>
      </c>
      <c r="BE34" s="10">
        <f t="shared" si="54"/>
        <v>733079.56499999983</v>
      </c>
      <c r="BF34" s="10">
        <f t="shared" si="25"/>
        <v>44.474182768297425</v>
      </c>
      <c r="BG34" s="105"/>
      <c r="BH34" s="10">
        <f t="shared" si="26"/>
        <v>0</v>
      </c>
      <c r="BI34" s="10">
        <f t="shared" si="55"/>
        <v>232750</v>
      </c>
      <c r="BJ34" s="10">
        <f t="shared" si="27"/>
        <v>14.120385471829689</v>
      </c>
      <c r="BK34" s="105"/>
      <c r="BL34" s="10">
        <f t="shared" si="28"/>
        <v>0</v>
      </c>
      <c r="BM34" s="10">
        <f t="shared" si="56"/>
        <v>0</v>
      </c>
      <c r="BN34" s="10">
        <f t="shared" si="29"/>
        <v>0</v>
      </c>
      <c r="BO34" s="105">
        <f>124*BO7</f>
        <v>31248.371999999999</v>
      </c>
      <c r="BP34" s="15">
        <f t="shared" si="30"/>
        <v>59.807360122148879</v>
      </c>
      <c r="BQ34" s="10">
        <f t="shared" si="57"/>
        <v>213446.541</v>
      </c>
      <c r="BR34" s="10">
        <f t="shared" si="31"/>
        <v>12.949290812239312</v>
      </c>
      <c r="BS34" s="10">
        <f t="shared" si="58"/>
        <v>31248.371999999999</v>
      </c>
      <c r="BT34" s="10">
        <f t="shared" si="32"/>
        <v>59.807360122148879</v>
      </c>
      <c r="BU34" s="10">
        <f t="shared" si="59"/>
        <v>446196.54099999997</v>
      </c>
      <c r="BV34" s="10">
        <f t="shared" si="33"/>
        <v>27.069676284068994</v>
      </c>
      <c r="BW34" s="105"/>
      <c r="BX34" s="10">
        <f t="shared" si="34"/>
        <v>0</v>
      </c>
      <c r="BY34" s="10">
        <f t="shared" si="60"/>
        <v>7050</v>
      </c>
      <c r="BZ34" s="10">
        <f t="shared" si="35"/>
        <v>0.42770662761073813</v>
      </c>
      <c r="CA34" s="10">
        <f t="shared" si="36"/>
        <v>52248.372000000003</v>
      </c>
      <c r="CB34" s="10">
        <f t="shared" si="61"/>
        <v>1648326.1059999999</v>
      </c>
      <c r="CC34" s="10">
        <f t="shared" si="37"/>
        <v>1.3041878088962111</v>
      </c>
      <c r="CD34" s="10">
        <f t="shared" si="38"/>
        <v>1.0882863383042598</v>
      </c>
    </row>
    <row r="35" spans="1:82">
      <c r="A35" s="16">
        <f>+Chem!A34</f>
        <v>45895</v>
      </c>
      <c r="B35" s="6" t="str">
        <f>+Chem!B34</f>
        <v>Sanitary Napkin</v>
      </c>
      <c r="C35" s="16" t="str">
        <f>+Chem!C34</f>
        <v>14/15</v>
      </c>
      <c r="D35" s="8">
        <f>+Chem!D34</f>
        <v>58.010999999999996</v>
      </c>
      <c r="E35" s="7">
        <f>+Chem!E34</f>
        <v>49.328000000000003</v>
      </c>
      <c r="F35" s="7">
        <f t="shared" si="39"/>
        <v>1563.9349999999999</v>
      </c>
      <c r="G35" s="105"/>
      <c r="H35" s="10">
        <f t="shared" si="0"/>
        <v>0</v>
      </c>
      <c r="I35" s="8">
        <f t="shared" si="40"/>
        <v>0</v>
      </c>
      <c r="J35" s="10">
        <f t="shared" si="1"/>
        <v>0</v>
      </c>
      <c r="K35" s="105"/>
      <c r="L35" s="10">
        <f t="shared" si="2"/>
        <v>0</v>
      </c>
      <c r="M35" s="10">
        <f t="shared" si="41"/>
        <v>0</v>
      </c>
      <c r="N35" s="10">
        <f t="shared" si="3"/>
        <v>0</v>
      </c>
      <c r="O35" s="105"/>
      <c r="P35" s="10">
        <f t="shared" si="4"/>
        <v>0</v>
      </c>
      <c r="Q35" s="10">
        <f t="shared" si="42"/>
        <v>0</v>
      </c>
      <c r="R35" s="10">
        <f t="shared" si="5"/>
        <v>0</v>
      </c>
      <c r="S35" s="105">
        <f>76*S7</f>
        <v>19000</v>
      </c>
      <c r="T35" s="10">
        <f t="shared" si="6"/>
        <v>36.353620158549234</v>
      </c>
      <c r="U35" s="10">
        <f t="shared" si="43"/>
        <v>481000</v>
      </c>
      <c r="V35" s="10">
        <f t="shared" si="7"/>
        <v>28.28429298142699</v>
      </c>
      <c r="W35" s="105"/>
      <c r="X35" s="10">
        <f t="shared" si="8"/>
        <v>0</v>
      </c>
      <c r="Y35" s="10">
        <f t="shared" si="44"/>
        <v>0</v>
      </c>
      <c r="Z35" s="10">
        <f t="shared" si="9"/>
        <v>0</v>
      </c>
      <c r="AA35" s="105"/>
      <c r="AB35" s="10">
        <f t="shared" si="10"/>
        <v>0</v>
      </c>
      <c r="AC35" s="10">
        <f t="shared" si="45"/>
        <v>0</v>
      </c>
      <c r="AD35" s="10">
        <f t="shared" si="11"/>
        <v>0</v>
      </c>
      <c r="AE35" s="10">
        <f t="shared" si="46"/>
        <v>19000</v>
      </c>
      <c r="AF35" s="10">
        <f t="shared" si="12"/>
        <v>36.353620158549234</v>
      </c>
      <c r="AG35" s="10">
        <f t="shared" si="47"/>
        <v>481000</v>
      </c>
      <c r="AH35" s="10">
        <f t="shared" si="13"/>
        <v>28.28429298142699</v>
      </c>
      <c r="AI35" s="105">
        <v>0</v>
      </c>
      <c r="AJ35" s="10">
        <f t="shared" si="14"/>
        <v>0</v>
      </c>
      <c r="AK35" s="10">
        <f t="shared" si="48"/>
        <v>712829.56499999983</v>
      </c>
      <c r="AL35" s="10">
        <f t="shared" si="15"/>
        <v>41.916590981877647</v>
      </c>
      <c r="AM35" s="105"/>
      <c r="AN35" s="10">
        <f t="shared" si="16"/>
        <v>0</v>
      </c>
      <c r="AO35" s="10">
        <f t="shared" si="49"/>
        <v>0</v>
      </c>
      <c r="AP35" s="10">
        <f t="shared" si="17"/>
        <v>0</v>
      </c>
      <c r="AQ35" s="105"/>
      <c r="AR35" s="10">
        <f t="shared" si="18"/>
        <v>0</v>
      </c>
      <c r="AS35" s="10">
        <f>AQ35+AS34</f>
        <v>0</v>
      </c>
      <c r="AT35" s="10">
        <f t="shared" si="19"/>
        <v>0</v>
      </c>
      <c r="AU35" s="105"/>
      <c r="AV35" s="10">
        <f t="shared" si="20"/>
        <v>0</v>
      </c>
      <c r="AW35" s="10">
        <f t="shared" si="51"/>
        <v>0</v>
      </c>
      <c r="AX35" s="10">
        <f t="shared" si="21"/>
        <v>0</v>
      </c>
      <c r="AY35" s="105"/>
      <c r="AZ35" s="10">
        <f t="shared" si="22"/>
        <v>0</v>
      </c>
      <c r="BA35" s="10">
        <f t="shared" si="52"/>
        <v>20250</v>
      </c>
      <c r="BB35" s="10">
        <f t="shared" si="23"/>
        <v>1.1907628542076852E-2</v>
      </c>
      <c r="BC35" s="10">
        <f t="shared" si="53"/>
        <v>0</v>
      </c>
      <c r="BD35" s="10">
        <f t="shared" si="24"/>
        <v>0</v>
      </c>
      <c r="BE35" s="10">
        <f t="shared" si="54"/>
        <v>733079.56499999983</v>
      </c>
      <c r="BF35" s="10">
        <f t="shared" si="25"/>
        <v>43.107353836085338</v>
      </c>
      <c r="BG35" s="105"/>
      <c r="BH35" s="10">
        <f t="shared" si="26"/>
        <v>0</v>
      </c>
      <c r="BI35" s="10">
        <f t="shared" si="55"/>
        <v>232750</v>
      </c>
      <c r="BJ35" s="10">
        <f t="shared" si="27"/>
        <v>13.686422435399443</v>
      </c>
      <c r="BK35" s="105"/>
      <c r="BL35" s="10">
        <f t="shared" si="28"/>
        <v>0</v>
      </c>
      <c r="BM35" s="10">
        <f t="shared" si="56"/>
        <v>0</v>
      </c>
      <c r="BN35" s="10">
        <f t="shared" si="29"/>
        <v>0</v>
      </c>
      <c r="BO35" s="105">
        <f>132*BO7</f>
        <v>33264.396000000001</v>
      </c>
      <c r="BP35" s="15">
        <f t="shared" si="30"/>
        <v>63.646379841450759</v>
      </c>
      <c r="BQ35" s="10">
        <f t="shared" si="57"/>
        <v>246710.93700000001</v>
      </c>
      <c r="BR35" s="10">
        <f t="shared" si="31"/>
        <v>14.507368864512218</v>
      </c>
      <c r="BS35" s="10">
        <f t="shared" si="58"/>
        <v>33264.396000000001</v>
      </c>
      <c r="BT35" s="10">
        <f t="shared" si="32"/>
        <v>63.646379841450759</v>
      </c>
      <c r="BU35" s="10">
        <f t="shared" si="59"/>
        <v>479460.93699999998</v>
      </c>
      <c r="BV35" s="10">
        <f t="shared" si="33"/>
        <v>28.193791299911659</v>
      </c>
      <c r="BW35" s="105"/>
      <c r="BX35" s="10">
        <f t="shared" si="34"/>
        <v>0</v>
      </c>
      <c r="BY35" s="10">
        <f t="shared" si="60"/>
        <v>7050</v>
      </c>
      <c r="BZ35" s="10">
        <f t="shared" si="35"/>
        <v>0.4145618825760089</v>
      </c>
      <c r="CA35" s="10">
        <f t="shared" si="36"/>
        <v>52264.396000000001</v>
      </c>
      <c r="CB35" s="10">
        <f t="shared" si="61"/>
        <v>1700590.5019999999</v>
      </c>
      <c r="CC35" s="10">
        <f t="shared" si="37"/>
        <v>1.059527975997405</v>
      </c>
      <c r="CD35" s="10">
        <f t="shared" si="38"/>
        <v>1.0873792721564515</v>
      </c>
    </row>
    <row r="36" spans="1:82">
      <c r="A36" s="16">
        <f>+Chem!A35</f>
        <v>45896</v>
      </c>
      <c r="B36" s="6" t="str">
        <f>+Chem!B35</f>
        <v>Sanitary Napkin</v>
      </c>
      <c r="C36" s="16" t="str">
        <f>+Chem!C35</f>
        <v>15</v>
      </c>
      <c r="D36" s="8">
        <f>+Chem!D35</f>
        <v>59.61699999999999</v>
      </c>
      <c r="E36" s="7">
        <f>+Chem!E35</f>
        <v>56.872999999999998</v>
      </c>
      <c r="F36" s="7">
        <f t="shared" si="39"/>
        <v>1620.808</v>
      </c>
      <c r="G36" s="105"/>
      <c r="H36" s="10">
        <f t="shared" si="0"/>
        <v>0</v>
      </c>
      <c r="I36" s="8">
        <f t="shared" si="40"/>
        <v>0</v>
      </c>
      <c r="J36" s="10">
        <f t="shared" si="1"/>
        <v>0</v>
      </c>
      <c r="K36" s="105"/>
      <c r="L36" s="10">
        <f t="shared" si="2"/>
        <v>0</v>
      </c>
      <c r="M36" s="10">
        <f t="shared" si="41"/>
        <v>0</v>
      </c>
      <c r="N36" s="10">
        <f t="shared" si="3"/>
        <v>0</v>
      </c>
      <c r="O36" s="105"/>
      <c r="P36" s="10">
        <f t="shared" si="4"/>
        <v>0</v>
      </c>
      <c r="Q36" s="10">
        <f t="shared" si="42"/>
        <v>0</v>
      </c>
      <c r="R36" s="10">
        <f t="shared" si="5"/>
        <v>0</v>
      </c>
      <c r="S36" s="105">
        <f>96*S7</f>
        <v>24000</v>
      </c>
      <c r="T36" s="10">
        <f t="shared" si="6"/>
        <v>37.907225477294617</v>
      </c>
      <c r="U36" s="10">
        <f t="shared" si="43"/>
        <v>505000</v>
      </c>
      <c r="V36" s="10">
        <f t="shared" si="7"/>
        <v>28.629692709231051</v>
      </c>
      <c r="W36" s="105"/>
      <c r="X36" s="10">
        <f t="shared" si="8"/>
        <v>0</v>
      </c>
      <c r="Y36" s="10">
        <f t="shared" si="44"/>
        <v>0</v>
      </c>
      <c r="Z36" s="10">
        <f t="shared" si="9"/>
        <v>0</v>
      </c>
      <c r="AA36" s="105"/>
      <c r="AB36" s="10">
        <f t="shared" si="10"/>
        <v>0</v>
      </c>
      <c r="AC36" s="10">
        <f t="shared" si="45"/>
        <v>0</v>
      </c>
      <c r="AD36" s="10">
        <f t="shared" si="11"/>
        <v>0</v>
      </c>
      <c r="AE36" s="10">
        <f t="shared" si="46"/>
        <v>24000</v>
      </c>
      <c r="AF36" s="10">
        <f t="shared" si="12"/>
        <v>37.907225477294617</v>
      </c>
      <c r="AG36" s="10">
        <f t="shared" si="47"/>
        <v>505000</v>
      </c>
      <c r="AH36" s="10">
        <f t="shared" si="13"/>
        <v>28.629692709231051</v>
      </c>
      <c r="AI36" s="105">
        <v>0</v>
      </c>
      <c r="AJ36" s="10">
        <f t="shared" si="14"/>
        <v>0</v>
      </c>
      <c r="AK36" s="10">
        <f t="shared" si="48"/>
        <v>712829.56499999983</v>
      </c>
      <c r="AL36" s="10">
        <f t="shared" si="15"/>
        <v>40.412062178227401</v>
      </c>
      <c r="AM36" s="105"/>
      <c r="AN36" s="10">
        <f t="shared" si="16"/>
        <v>0</v>
      </c>
      <c r="AO36" s="10">
        <f t="shared" si="49"/>
        <v>0</v>
      </c>
      <c r="AP36" s="10">
        <f t="shared" si="17"/>
        <v>0</v>
      </c>
      <c r="AQ36" s="105"/>
      <c r="AR36" s="10">
        <f t="shared" si="18"/>
        <v>0</v>
      </c>
      <c r="AS36" s="10">
        <f t="shared" si="50"/>
        <v>0</v>
      </c>
      <c r="AT36" s="10">
        <f t="shared" si="19"/>
        <v>0</v>
      </c>
      <c r="AU36" s="105"/>
      <c r="AV36" s="10">
        <f t="shared" si="20"/>
        <v>0</v>
      </c>
      <c r="AW36" s="10">
        <f t="shared" si="51"/>
        <v>0</v>
      </c>
      <c r="AX36" s="10">
        <f t="shared" si="21"/>
        <v>0</v>
      </c>
      <c r="AY36" s="105"/>
      <c r="AZ36" s="10">
        <f t="shared" si="22"/>
        <v>0</v>
      </c>
      <c r="BA36" s="10">
        <f t="shared" si="52"/>
        <v>20250</v>
      </c>
      <c r="BB36" s="10">
        <f t="shared" si="23"/>
        <v>1.14802233140976E-2</v>
      </c>
      <c r="BC36" s="10">
        <f t="shared" si="53"/>
        <v>0</v>
      </c>
      <c r="BD36" s="10">
        <f t="shared" si="24"/>
        <v>0</v>
      </c>
      <c r="BE36" s="10">
        <f t="shared" si="54"/>
        <v>733079.56499999983</v>
      </c>
      <c r="BF36" s="10">
        <f t="shared" si="25"/>
        <v>41.560084509637164</v>
      </c>
      <c r="BG36" s="105"/>
      <c r="BH36" s="10">
        <f t="shared" si="26"/>
        <v>0</v>
      </c>
      <c r="BI36" s="10">
        <f t="shared" si="55"/>
        <v>232750</v>
      </c>
      <c r="BJ36" s="10">
        <f t="shared" si="27"/>
        <v>13.195170253610947</v>
      </c>
      <c r="BK36" s="105"/>
      <c r="BL36" s="10">
        <f t="shared" si="28"/>
        <v>0</v>
      </c>
      <c r="BM36" s="10">
        <f t="shared" si="56"/>
        <v>0</v>
      </c>
      <c r="BN36" s="10">
        <f t="shared" si="29"/>
        <v>0</v>
      </c>
      <c r="BO36" s="105">
        <f>156*BO7</f>
        <v>39312.468000000001</v>
      </c>
      <c r="BP36" s="15">
        <f t="shared" si="30"/>
        <v>62.092774522705383</v>
      </c>
      <c r="BQ36" s="10">
        <f t="shared" si="57"/>
        <v>286023.40500000003</v>
      </c>
      <c r="BR36" s="10">
        <f t="shared" si="31"/>
        <v>16.215370678807805</v>
      </c>
      <c r="BS36" s="10">
        <f t="shared" si="58"/>
        <v>39312.468000000001</v>
      </c>
      <c r="BT36" s="10">
        <f t="shared" si="32"/>
        <v>62.092774522705383</v>
      </c>
      <c r="BU36" s="10">
        <f t="shared" si="59"/>
        <v>518773.40499999997</v>
      </c>
      <c r="BV36" s="10">
        <f t="shared" si="33"/>
        <v>29.410540932418748</v>
      </c>
      <c r="BW36" s="105"/>
      <c r="BX36" s="10">
        <f t="shared" si="34"/>
        <v>0</v>
      </c>
      <c r="BY36" s="10">
        <f t="shared" si="60"/>
        <v>7050</v>
      </c>
      <c r="BZ36" s="10">
        <f t="shared" si="35"/>
        <v>0.39968184871302753</v>
      </c>
      <c r="CA36" s="10">
        <f t="shared" si="36"/>
        <v>63312.468000000001</v>
      </c>
      <c r="CB36" s="10">
        <f t="shared" si="61"/>
        <v>1763902.97</v>
      </c>
      <c r="CC36" s="10">
        <f t="shared" si="37"/>
        <v>1.1132253969370351</v>
      </c>
      <c r="CD36" s="10">
        <f t="shared" si="38"/>
        <v>1.0882861942932167</v>
      </c>
    </row>
    <row r="37" spans="1:82">
      <c r="A37" s="16">
        <f>+Chem!A36</f>
        <v>45897</v>
      </c>
      <c r="B37" s="6" t="str">
        <f>+Chem!B36</f>
        <v>Sanitary Napkin/Facial</v>
      </c>
      <c r="C37" s="16" t="str">
        <f>+Chem!C36</f>
        <v>15/16/12,5</v>
      </c>
      <c r="D37" s="8">
        <f>+Chem!D36</f>
        <v>62.823999999999998</v>
      </c>
      <c r="E37" s="7">
        <f>+Chem!E36</f>
        <v>57.351999999999997</v>
      </c>
      <c r="F37" s="7">
        <f t="shared" si="39"/>
        <v>1678.16</v>
      </c>
      <c r="G37" s="105"/>
      <c r="H37" s="10">
        <f t="shared" si="0"/>
        <v>0</v>
      </c>
      <c r="I37" s="8">
        <f t="shared" si="40"/>
        <v>0</v>
      </c>
      <c r="J37" s="10">
        <f t="shared" si="1"/>
        <v>0</v>
      </c>
      <c r="K37" s="105"/>
      <c r="L37" s="10">
        <f t="shared" si="2"/>
        <v>0</v>
      </c>
      <c r="M37" s="10">
        <f t="shared" si="41"/>
        <v>0</v>
      </c>
      <c r="N37" s="10">
        <f t="shared" si="3"/>
        <v>0</v>
      </c>
      <c r="O37" s="105"/>
      <c r="P37" s="10">
        <f t="shared" si="4"/>
        <v>0</v>
      </c>
      <c r="Q37" s="10">
        <f t="shared" si="42"/>
        <v>0</v>
      </c>
      <c r="R37" s="10">
        <f t="shared" si="5"/>
        <v>0</v>
      </c>
      <c r="S37" s="105">
        <f>52*S7</f>
        <v>13000</v>
      </c>
      <c r="T37" s="10">
        <f t="shared" si="6"/>
        <v>21.531533328064182</v>
      </c>
      <c r="U37" s="10">
        <f t="shared" si="43"/>
        <v>518000</v>
      </c>
      <c r="V37" s="10">
        <f t="shared" si="7"/>
        <v>28.394771214925001</v>
      </c>
      <c r="W37" s="105"/>
      <c r="X37" s="10">
        <f t="shared" si="8"/>
        <v>0</v>
      </c>
      <c r="Y37" s="10">
        <f t="shared" si="44"/>
        <v>0</v>
      </c>
      <c r="Z37" s="10">
        <f t="shared" si="9"/>
        <v>0</v>
      </c>
      <c r="AA37" s="105"/>
      <c r="AB37" s="10">
        <f t="shared" si="10"/>
        <v>0</v>
      </c>
      <c r="AC37" s="10">
        <f t="shared" si="45"/>
        <v>0</v>
      </c>
      <c r="AD37" s="10">
        <f t="shared" si="11"/>
        <v>0</v>
      </c>
      <c r="AE37" s="10">
        <f t="shared" si="46"/>
        <v>13000</v>
      </c>
      <c r="AF37" s="10">
        <f t="shared" si="12"/>
        <v>21.531533328064182</v>
      </c>
      <c r="AG37" s="10">
        <f t="shared" si="47"/>
        <v>518000</v>
      </c>
      <c r="AH37" s="10">
        <f t="shared" si="13"/>
        <v>28.394771214925001</v>
      </c>
      <c r="AI37" s="105">
        <v>0</v>
      </c>
      <c r="AJ37" s="10">
        <f t="shared" si="14"/>
        <v>0</v>
      </c>
      <c r="AK37" s="10">
        <f t="shared" si="48"/>
        <v>712829.56499999983</v>
      </c>
      <c r="AL37" s="10">
        <f t="shared" si="15"/>
        <v>39.074579948667001</v>
      </c>
      <c r="AM37" s="105"/>
      <c r="AN37" s="10">
        <f t="shared" si="16"/>
        <v>0</v>
      </c>
      <c r="AO37" s="10">
        <f t="shared" si="49"/>
        <v>0</v>
      </c>
      <c r="AP37" s="10">
        <f t="shared" si="17"/>
        <v>0</v>
      </c>
      <c r="AQ37" s="105"/>
      <c r="AR37" s="10">
        <f t="shared" si="18"/>
        <v>0</v>
      </c>
      <c r="AS37" s="10">
        <f t="shared" si="50"/>
        <v>0</v>
      </c>
      <c r="AT37" s="10">
        <f t="shared" si="19"/>
        <v>0</v>
      </c>
      <c r="AU37" s="105"/>
      <c r="AV37" s="10">
        <f t="shared" si="20"/>
        <v>0</v>
      </c>
      <c r="AW37" s="10">
        <f t="shared" si="51"/>
        <v>0</v>
      </c>
      <c r="AX37" s="10">
        <f t="shared" si="21"/>
        <v>0</v>
      </c>
      <c r="AY37" s="105"/>
      <c r="AZ37" s="10">
        <f t="shared" si="22"/>
        <v>0</v>
      </c>
      <c r="BA37" s="10">
        <f t="shared" si="52"/>
        <v>20250</v>
      </c>
      <c r="BB37" s="10">
        <f t="shared" si="23"/>
        <v>1.1100272530931108E-2</v>
      </c>
      <c r="BC37" s="10">
        <f t="shared" si="53"/>
        <v>0</v>
      </c>
      <c r="BD37" s="10">
        <f t="shared" si="24"/>
        <v>0</v>
      </c>
      <c r="BE37" s="10">
        <f t="shared" si="54"/>
        <v>733079.56499999983</v>
      </c>
      <c r="BF37" s="10">
        <f t="shared" si="25"/>
        <v>40.184607201760116</v>
      </c>
      <c r="BG37" s="105"/>
      <c r="BH37" s="10">
        <f t="shared" si="26"/>
        <v>0</v>
      </c>
      <c r="BI37" s="10">
        <f t="shared" si="55"/>
        <v>232750</v>
      </c>
      <c r="BJ37" s="10">
        <f t="shared" si="27"/>
        <v>12.75846139048995</v>
      </c>
      <c r="BK37" s="105"/>
      <c r="BL37" s="10">
        <f t="shared" si="28"/>
        <v>0</v>
      </c>
      <c r="BM37" s="10">
        <f t="shared" si="56"/>
        <v>0</v>
      </c>
      <c r="BN37" s="10">
        <f t="shared" si="29"/>
        <v>0</v>
      </c>
      <c r="BO37" s="105">
        <f>188*BO7</f>
        <v>47376.563999999998</v>
      </c>
      <c r="BP37" s="15">
        <f t="shared" si="30"/>
        <v>78.468466671935815</v>
      </c>
      <c r="BQ37" s="10">
        <f t="shared" si="57"/>
        <v>333399.96900000004</v>
      </c>
      <c r="BR37" s="10">
        <f t="shared" si="31"/>
        <v>18.275706260266585</v>
      </c>
      <c r="BS37" s="10">
        <f t="shared" si="58"/>
        <v>47376.563999999998</v>
      </c>
      <c r="BT37" s="10">
        <f t="shared" si="32"/>
        <v>78.468466671935815</v>
      </c>
      <c r="BU37" s="10">
        <f t="shared" si="59"/>
        <v>566149.96899999992</v>
      </c>
      <c r="BV37" s="10">
        <f t="shared" si="33"/>
        <v>31.03416765075653</v>
      </c>
      <c r="BW37" s="105"/>
      <c r="BX37" s="10">
        <f t="shared" si="34"/>
        <v>0</v>
      </c>
      <c r="BY37" s="10">
        <f t="shared" si="60"/>
        <v>7050</v>
      </c>
      <c r="BZ37" s="10">
        <f t="shared" si="35"/>
        <v>0.38645393255834226</v>
      </c>
      <c r="CA37" s="10">
        <f t="shared" si="36"/>
        <v>60376.563999999998</v>
      </c>
      <c r="CB37" s="10">
        <f t="shared" si="61"/>
        <v>1824279.534</v>
      </c>
      <c r="CC37" s="10">
        <f t="shared" si="37"/>
        <v>1.0527368531175898</v>
      </c>
      <c r="CD37" s="10">
        <f t="shared" si="38"/>
        <v>1.0870712768746722</v>
      </c>
    </row>
    <row r="38" spans="1:82">
      <c r="A38" s="16">
        <f>+Chem!A37</f>
        <v>45898</v>
      </c>
      <c r="B38" s="6" t="str">
        <f>+Chem!B37</f>
        <v>Facial</v>
      </c>
      <c r="C38" s="16" t="str">
        <f>+Chem!C37</f>
        <v>12,5/10,3</v>
      </c>
      <c r="D38" s="8">
        <f>+Chem!D37</f>
        <v>55.792999999999999</v>
      </c>
      <c r="E38" s="7">
        <f>+Chem!E37</f>
        <v>77.828000000000003</v>
      </c>
      <c r="F38" s="7">
        <f t="shared" si="39"/>
        <v>1755.9880000000001</v>
      </c>
      <c r="G38" s="105"/>
      <c r="H38" s="10">
        <f t="shared" si="0"/>
        <v>0</v>
      </c>
      <c r="I38" s="8">
        <f t="shared" si="40"/>
        <v>0</v>
      </c>
      <c r="J38" s="10">
        <f t="shared" si="1"/>
        <v>0</v>
      </c>
      <c r="K38" s="105"/>
      <c r="L38" s="10">
        <f t="shared" si="2"/>
        <v>0</v>
      </c>
      <c r="M38" s="10">
        <f t="shared" si="41"/>
        <v>0</v>
      </c>
      <c r="N38" s="10">
        <f t="shared" si="3"/>
        <v>0</v>
      </c>
      <c r="O38" s="105"/>
      <c r="P38" s="10">
        <f t="shared" si="4"/>
        <v>0</v>
      </c>
      <c r="Q38" s="10">
        <f t="shared" si="42"/>
        <v>0</v>
      </c>
      <c r="R38" s="10">
        <f t="shared" si="5"/>
        <v>0</v>
      </c>
      <c r="S38" s="105">
        <f>31.5*S7</f>
        <v>7875</v>
      </c>
      <c r="T38" s="10">
        <f t="shared" si="6"/>
        <v>14.797452470582668</v>
      </c>
      <c r="U38" s="10">
        <f t="shared" si="43"/>
        <v>525875</v>
      </c>
      <c r="V38" s="10">
        <f t="shared" si="7"/>
        <v>28.009348444877354</v>
      </c>
      <c r="W38" s="105"/>
      <c r="X38" s="10">
        <f t="shared" si="8"/>
        <v>0</v>
      </c>
      <c r="Y38" s="10">
        <f t="shared" si="44"/>
        <v>0</v>
      </c>
      <c r="Z38" s="10">
        <f t="shared" si="9"/>
        <v>0</v>
      </c>
      <c r="AA38" s="105"/>
      <c r="AB38" s="10">
        <f t="shared" si="10"/>
        <v>0</v>
      </c>
      <c r="AC38" s="10">
        <f t="shared" si="45"/>
        <v>0</v>
      </c>
      <c r="AD38" s="10">
        <f t="shared" si="11"/>
        <v>0</v>
      </c>
      <c r="AE38" s="10">
        <f t="shared" si="46"/>
        <v>7875</v>
      </c>
      <c r="AF38" s="10">
        <f t="shared" si="12"/>
        <v>14.797452470582668</v>
      </c>
      <c r="AG38" s="10">
        <f t="shared" si="47"/>
        <v>525875</v>
      </c>
      <c r="AH38" s="10">
        <f t="shared" si="13"/>
        <v>28.009348444877354</v>
      </c>
      <c r="AI38" s="105">
        <f>30*AI7</f>
        <v>7543.17</v>
      </c>
      <c r="AJ38" s="10">
        <f t="shared" si="14"/>
        <v>14.173930101907942</v>
      </c>
      <c r="AK38" s="10">
        <f t="shared" si="48"/>
        <v>720372.73499999987</v>
      </c>
      <c r="AL38" s="10">
        <f t="shared" si="15"/>
        <v>38.368758630481182</v>
      </c>
      <c r="AM38" s="105"/>
      <c r="AN38" s="10">
        <f t="shared" si="16"/>
        <v>0</v>
      </c>
      <c r="AO38" s="10">
        <f t="shared" si="49"/>
        <v>0</v>
      </c>
      <c r="AP38" s="10">
        <f t="shared" si="17"/>
        <v>0</v>
      </c>
      <c r="AQ38" s="105"/>
      <c r="AR38" s="10">
        <f t="shared" si="18"/>
        <v>0</v>
      </c>
      <c r="AS38" s="10">
        <f t="shared" si="50"/>
        <v>0</v>
      </c>
      <c r="AT38" s="10">
        <f t="shared" si="19"/>
        <v>0</v>
      </c>
      <c r="AU38" s="105"/>
      <c r="AV38" s="10">
        <f t="shared" si="20"/>
        <v>0</v>
      </c>
      <c r="AW38" s="10">
        <f t="shared" si="51"/>
        <v>0</v>
      </c>
      <c r="AX38" s="10">
        <f t="shared" si="21"/>
        <v>0</v>
      </c>
      <c r="AY38" s="105"/>
      <c r="AZ38" s="10">
        <f t="shared" si="22"/>
        <v>0</v>
      </c>
      <c r="BA38" s="10">
        <f t="shared" si="52"/>
        <v>20250</v>
      </c>
      <c r="BB38" s="10">
        <f t="shared" si="23"/>
        <v>1.0785629779106562E-2</v>
      </c>
      <c r="BC38" s="10">
        <f t="shared" si="53"/>
        <v>7543.17</v>
      </c>
      <c r="BD38" s="10">
        <f t="shared" si="24"/>
        <v>14.173930101907942</v>
      </c>
      <c r="BE38" s="10">
        <f t="shared" si="54"/>
        <v>740622.73499999987</v>
      </c>
      <c r="BF38" s="10">
        <f t="shared" si="25"/>
        <v>39.447321608391839</v>
      </c>
      <c r="BG38" s="105"/>
      <c r="BH38" s="10">
        <f t="shared" si="26"/>
        <v>0</v>
      </c>
      <c r="BI38" s="10">
        <f t="shared" si="55"/>
        <v>232750</v>
      </c>
      <c r="BJ38" s="10">
        <f t="shared" si="27"/>
        <v>12.396816449812604</v>
      </c>
      <c r="BK38" s="105"/>
      <c r="BL38" s="10">
        <f t="shared" si="28"/>
        <v>0</v>
      </c>
      <c r="BM38" s="10">
        <f t="shared" si="56"/>
        <v>0</v>
      </c>
      <c r="BN38" s="10">
        <f t="shared" si="29"/>
        <v>0</v>
      </c>
      <c r="BO38" s="105">
        <f>150*BO7</f>
        <v>37800.449999999997</v>
      </c>
      <c r="BP38" s="15">
        <f t="shared" si="30"/>
        <v>71.028617427509403</v>
      </c>
      <c r="BQ38" s="10">
        <f t="shared" si="57"/>
        <v>371200.41900000005</v>
      </c>
      <c r="BR38" s="10">
        <f t="shared" si="31"/>
        <v>19.771013793497453</v>
      </c>
      <c r="BS38" s="10">
        <f t="shared" si="58"/>
        <v>37800.449999999997</v>
      </c>
      <c r="BT38" s="10">
        <f t="shared" si="32"/>
        <v>71.028617427509403</v>
      </c>
      <c r="BU38" s="10">
        <f t="shared" si="59"/>
        <v>603950.41899999988</v>
      </c>
      <c r="BV38" s="10">
        <f t="shared" si="33"/>
        <v>32.16783024331005</v>
      </c>
      <c r="BW38" s="105"/>
      <c r="BX38" s="10">
        <f t="shared" si="34"/>
        <v>0</v>
      </c>
      <c r="BY38" s="10">
        <f t="shared" si="60"/>
        <v>7050</v>
      </c>
      <c r="BZ38" s="10">
        <f t="shared" si="35"/>
        <v>0.37549970342074701</v>
      </c>
      <c r="CA38" s="10">
        <f t="shared" si="36"/>
        <v>53218.619999999995</v>
      </c>
      <c r="CB38" s="10">
        <f t="shared" si="61"/>
        <v>1877498.1540000001</v>
      </c>
      <c r="CC38" s="10">
        <f t="shared" si="37"/>
        <v>0.68379786195199665</v>
      </c>
      <c r="CD38" s="10">
        <f t="shared" si="38"/>
        <v>1.069197599300223</v>
      </c>
    </row>
    <row r="39" spans="1:82">
      <c r="A39" s="16">
        <f>+Chem!A38</f>
        <v>45899</v>
      </c>
      <c r="B39" s="6" t="str">
        <f>+Chem!B38</f>
        <v>Facial</v>
      </c>
      <c r="C39" s="16" t="str">
        <f>+Chem!C38</f>
        <v>10,3</v>
      </c>
      <c r="D39" s="8">
        <f>+Chem!D38</f>
        <v>57.9</v>
      </c>
      <c r="E39" s="7">
        <f>+Chem!E38</f>
        <v>61.204000000000001</v>
      </c>
      <c r="F39" s="7">
        <f t="shared" si="39"/>
        <v>1817.192</v>
      </c>
      <c r="G39" s="105"/>
      <c r="H39" s="10">
        <f t="shared" si="0"/>
        <v>0</v>
      </c>
      <c r="I39" s="8">
        <f t="shared" si="40"/>
        <v>0</v>
      </c>
      <c r="J39" s="10">
        <f t="shared" si="1"/>
        <v>0</v>
      </c>
      <c r="K39" s="105"/>
      <c r="L39" s="10">
        <f t="shared" si="2"/>
        <v>0</v>
      </c>
      <c r="M39" s="10">
        <f t="shared" si="41"/>
        <v>0</v>
      </c>
      <c r="N39" s="10">
        <f t="shared" si="3"/>
        <v>0</v>
      </c>
      <c r="O39" s="105"/>
      <c r="P39" s="10">
        <f t="shared" si="4"/>
        <v>0</v>
      </c>
      <c r="Q39" s="10">
        <f t="shared" si="42"/>
        <v>0</v>
      </c>
      <c r="R39" s="10">
        <f t="shared" si="5"/>
        <v>0</v>
      </c>
      <c r="S39" s="105">
        <f>34.5*S7</f>
        <v>8625</v>
      </c>
      <c r="T39" s="10">
        <f t="shared" si="6"/>
        <v>15.698468834143794</v>
      </c>
      <c r="U39" s="10">
        <f t="shared" si="43"/>
        <v>534500</v>
      </c>
      <c r="V39" s="10">
        <f t="shared" si="7"/>
        <v>27.659334848170676</v>
      </c>
      <c r="W39" s="105"/>
      <c r="X39" s="10">
        <f t="shared" si="8"/>
        <v>0</v>
      </c>
      <c r="Y39" s="10">
        <f t="shared" si="44"/>
        <v>0</v>
      </c>
      <c r="Z39" s="10">
        <f t="shared" si="9"/>
        <v>0</v>
      </c>
      <c r="AA39" s="105"/>
      <c r="AB39" s="10">
        <f t="shared" si="10"/>
        <v>0</v>
      </c>
      <c r="AC39" s="10">
        <f t="shared" si="45"/>
        <v>0</v>
      </c>
      <c r="AD39" s="10">
        <f t="shared" si="11"/>
        <v>0</v>
      </c>
      <c r="AE39" s="10">
        <f t="shared" si="46"/>
        <v>8625</v>
      </c>
      <c r="AF39" s="10">
        <f t="shared" si="12"/>
        <v>15.698468834143794</v>
      </c>
      <c r="AG39" s="10">
        <f t="shared" si="47"/>
        <v>534500</v>
      </c>
      <c r="AH39" s="10">
        <f t="shared" si="13"/>
        <v>27.659334848170676</v>
      </c>
      <c r="AI39" s="105">
        <f>92*AI7</f>
        <v>23132.387999999999</v>
      </c>
      <c r="AJ39" s="10">
        <f t="shared" si="14"/>
        <v>42.103544588675</v>
      </c>
      <c r="AK39" s="10">
        <f t="shared" si="48"/>
        <v>743505.12299999991</v>
      </c>
      <c r="AL39" s="10">
        <f t="shared" si="15"/>
        <v>38.47494323365261</v>
      </c>
      <c r="AM39" s="105"/>
      <c r="AN39" s="10">
        <f t="shared" si="16"/>
        <v>0</v>
      </c>
      <c r="AO39" s="10">
        <f t="shared" si="49"/>
        <v>0</v>
      </c>
      <c r="AP39" s="10">
        <f t="shared" si="17"/>
        <v>0</v>
      </c>
      <c r="AQ39" s="105"/>
      <c r="AR39" s="10">
        <f t="shared" si="18"/>
        <v>0</v>
      </c>
      <c r="AS39" s="10">
        <f t="shared" si="50"/>
        <v>0</v>
      </c>
      <c r="AT39" s="10">
        <f t="shared" si="19"/>
        <v>0</v>
      </c>
      <c r="AU39" s="105"/>
      <c r="AV39" s="10">
        <f t="shared" si="20"/>
        <v>0</v>
      </c>
      <c r="AW39" s="10">
        <f t="shared" si="51"/>
        <v>0</v>
      </c>
      <c r="AX39" s="10">
        <f t="shared" si="21"/>
        <v>0</v>
      </c>
      <c r="AY39" s="105"/>
      <c r="AZ39" s="10">
        <f t="shared" si="22"/>
        <v>0</v>
      </c>
      <c r="BA39" s="10">
        <f t="shared" si="52"/>
        <v>20250</v>
      </c>
      <c r="BB39" s="10">
        <f t="shared" si="23"/>
        <v>1.047898092938178E-2</v>
      </c>
      <c r="BC39" s="10">
        <f t="shared" si="53"/>
        <v>23132.387999999999</v>
      </c>
      <c r="BD39" s="10">
        <f t="shared" si="24"/>
        <v>42.103544588675</v>
      </c>
      <c r="BE39" s="10">
        <f t="shared" si="54"/>
        <v>763755.12299999991</v>
      </c>
      <c r="BF39" s="10">
        <f t="shared" si="25"/>
        <v>39.522841326590793</v>
      </c>
      <c r="BG39" s="105"/>
      <c r="BH39" s="10">
        <f t="shared" si="26"/>
        <v>0</v>
      </c>
      <c r="BI39" s="10">
        <f t="shared" si="55"/>
        <v>232750</v>
      </c>
      <c r="BJ39" s="10">
        <f t="shared" si="27"/>
        <v>12.044359562042516</v>
      </c>
      <c r="BK39" s="105"/>
      <c r="BL39" s="10">
        <f t="shared" si="28"/>
        <v>0</v>
      </c>
      <c r="BM39" s="10">
        <f t="shared" si="56"/>
        <v>0</v>
      </c>
      <c r="BN39" s="10">
        <f t="shared" si="29"/>
        <v>0</v>
      </c>
      <c r="BO39" s="105">
        <f>92*BO7</f>
        <v>23184.275999999998</v>
      </c>
      <c r="BP39" s="15">
        <f t="shared" si="30"/>
        <v>42.197986577181204</v>
      </c>
      <c r="BQ39" s="10">
        <f t="shared" si="57"/>
        <v>394384.69500000007</v>
      </c>
      <c r="BR39" s="10">
        <f t="shared" si="31"/>
        <v>20.408640482691606</v>
      </c>
      <c r="BS39" s="10">
        <f t="shared" si="58"/>
        <v>23184.275999999998</v>
      </c>
      <c r="BT39" s="10">
        <f t="shared" si="32"/>
        <v>42.197986577181204</v>
      </c>
      <c r="BU39" s="10">
        <f t="shared" si="59"/>
        <v>627134.69499999983</v>
      </c>
      <c r="BV39" s="10">
        <f t="shared" si="33"/>
        <v>32.453000044734111</v>
      </c>
      <c r="BW39" s="105"/>
      <c r="BX39" s="10">
        <f t="shared" si="34"/>
        <v>0</v>
      </c>
      <c r="BY39" s="10">
        <f t="shared" si="60"/>
        <v>7050</v>
      </c>
      <c r="BZ39" s="10">
        <f t="shared" si="35"/>
        <v>0.36482378050440273</v>
      </c>
      <c r="CA39" s="10">
        <f t="shared" si="36"/>
        <v>54941.663999999997</v>
      </c>
      <c r="CB39" s="10">
        <f t="shared" si="61"/>
        <v>1932439.8180000002</v>
      </c>
      <c r="CC39" s="10">
        <f t="shared" si="37"/>
        <v>0.8976809358865433</v>
      </c>
      <c r="CD39" s="10">
        <f t="shared" si="38"/>
        <v>1.0634208261977822</v>
      </c>
    </row>
    <row r="40" spans="1:82">
      <c r="A40" s="16">
        <f>+Chem!A39</f>
        <v>45900</v>
      </c>
      <c r="B40" s="6" t="str">
        <f>+Chem!B39</f>
        <v>Facial</v>
      </c>
      <c r="C40" s="16" t="str">
        <f>+Chem!C39</f>
        <v>10,3/12</v>
      </c>
      <c r="D40" s="8">
        <f>+Chem!D39</f>
        <v>56.9</v>
      </c>
      <c r="E40" s="7">
        <f>+Chem!E39</f>
        <v>48.325000000000003</v>
      </c>
      <c r="F40" s="7">
        <f>+E40+F39</f>
        <v>1865.5170000000001</v>
      </c>
      <c r="G40" s="105"/>
      <c r="H40" s="10">
        <f t="shared" si="0"/>
        <v>0</v>
      </c>
      <c r="I40" s="8">
        <f>G40+I39</f>
        <v>0</v>
      </c>
      <c r="J40" s="10">
        <f t="shared" si="1"/>
        <v>0</v>
      </c>
      <c r="K40" s="105"/>
      <c r="L40" s="10">
        <f t="shared" si="2"/>
        <v>0</v>
      </c>
      <c r="M40" s="10">
        <f>+K40+M39</f>
        <v>0</v>
      </c>
      <c r="N40" s="10">
        <f t="shared" si="3"/>
        <v>0</v>
      </c>
      <c r="O40" s="105"/>
      <c r="P40" s="10">
        <f t="shared" si="4"/>
        <v>0</v>
      </c>
      <c r="Q40" s="10">
        <f>+O40+Q39</f>
        <v>0</v>
      </c>
      <c r="R40" s="10">
        <f t="shared" si="5"/>
        <v>0</v>
      </c>
      <c r="S40" s="105">
        <f>32*S7</f>
        <v>8000</v>
      </c>
      <c r="T40" s="10">
        <f t="shared" si="6"/>
        <v>14.2019148725861</v>
      </c>
      <c r="U40" s="10">
        <f>+S40+U39</f>
        <v>542500</v>
      </c>
      <c r="V40" s="10">
        <f t="shared" si="7"/>
        <v>27.278163478159428</v>
      </c>
      <c r="W40" s="105"/>
      <c r="X40" s="10">
        <f t="shared" si="8"/>
        <v>0</v>
      </c>
      <c r="Y40" s="10">
        <f>+W40+Y39</f>
        <v>0</v>
      </c>
      <c r="Z40" s="10">
        <f t="shared" si="9"/>
        <v>0</v>
      </c>
      <c r="AA40" s="105"/>
      <c r="AB40" s="10">
        <f t="shared" si="10"/>
        <v>0</v>
      </c>
      <c r="AC40" s="10">
        <f>AA40+AC39</f>
        <v>0</v>
      </c>
      <c r="AD40" s="10">
        <f t="shared" si="11"/>
        <v>0</v>
      </c>
      <c r="AE40" s="10">
        <f t="shared" si="46"/>
        <v>8000</v>
      </c>
      <c r="AF40" s="10">
        <f t="shared" si="12"/>
        <v>14.2019148725861</v>
      </c>
      <c r="AG40" s="10">
        <f>AE40+AG39</f>
        <v>542500</v>
      </c>
      <c r="AH40" s="10">
        <f t="shared" si="13"/>
        <v>27.278163478159428</v>
      </c>
      <c r="AI40" s="105">
        <f>96*AI7</f>
        <v>24138.144</v>
      </c>
      <c r="AJ40" s="10">
        <f t="shared" si="14"/>
        <v>42.850983283778113</v>
      </c>
      <c r="AK40" s="10">
        <f>AI40+AK39</f>
        <v>767643.26699999988</v>
      </c>
      <c r="AL40" s="10">
        <f t="shared" si="15"/>
        <v>38.598891299786878</v>
      </c>
      <c r="AM40" s="105"/>
      <c r="AN40" s="10">
        <f t="shared" si="16"/>
        <v>0</v>
      </c>
      <c r="AO40" s="10">
        <f>AM40+AO39</f>
        <v>0</v>
      </c>
      <c r="AP40" s="10">
        <f t="shared" si="17"/>
        <v>0</v>
      </c>
      <c r="AQ40" s="105"/>
      <c r="AR40" s="10">
        <f t="shared" si="18"/>
        <v>0</v>
      </c>
      <c r="AS40" s="10">
        <f>AQ40+AS39</f>
        <v>0</v>
      </c>
      <c r="AT40" s="10">
        <f t="shared" si="19"/>
        <v>0</v>
      </c>
      <c r="AU40" s="105"/>
      <c r="AV40" s="10">
        <f t="shared" si="20"/>
        <v>0</v>
      </c>
      <c r="AW40" s="10">
        <f>AU40+AW39</f>
        <v>0</v>
      </c>
      <c r="AX40" s="10">
        <f t="shared" si="21"/>
        <v>0</v>
      </c>
      <c r="AY40" s="105"/>
      <c r="AZ40" s="10">
        <f t="shared" si="22"/>
        <v>0</v>
      </c>
      <c r="BA40" s="10">
        <f>AY40+BA39</f>
        <v>20250</v>
      </c>
      <c r="BB40" s="10">
        <f t="shared" si="23"/>
        <v>1.0182171620879785E-2</v>
      </c>
      <c r="BC40" s="10">
        <f t="shared" si="53"/>
        <v>24138.144</v>
      </c>
      <c r="BD40" s="10">
        <f>BC40/CA40*100</f>
        <v>42.850983283778113</v>
      </c>
      <c r="BE40" s="10">
        <f>BC40+BE39</f>
        <v>787893.26699999988</v>
      </c>
      <c r="BF40" s="10">
        <f>BE40/CB40*100</f>
        <v>39.617108461874864</v>
      </c>
      <c r="BG40" s="105"/>
      <c r="BH40" s="10">
        <f>+BG40/CA40*100</f>
        <v>0</v>
      </c>
      <c r="BI40" s="10">
        <f>+BG40+BI39</f>
        <v>232750</v>
      </c>
      <c r="BJ40" s="10">
        <f>+BI40/CB40*100</f>
        <v>11.703212072887755</v>
      </c>
      <c r="BK40" s="105"/>
      <c r="BL40" s="10">
        <f>BK40/CA40*100</f>
        <v>0</v>
      </c>
      <c r="BM40" s="10">
        <f>BK40+BM39</f>
        <v>0</v>
      </c>
      <c r="BN40" s="10">
        <f>BM40/CB40*100</f>
        <v>0</v>
      </c>
      <c r="BO40" s="105">
        <f>96*BO7</f>
        <v>24192.288</v>
      </c>
      <c r="BP40" s="15">
        <f>BO40/CA40*100</f>
        <v>42.947101843635785</v>
      </c>
      <c r="BQ40" s="10">
        <f>BO40+BQ39</f>
        <v>418576.98300000007</v>
      </c>
      <c r="BR40" s="10">
        <f>BQ40/CB40*100</f>
        <v>21.047025567684351</v>
      </c>
      <c r="BS40" s="10">
        <f>BG40+BK40+BO40</f>
        <v>24192.288</v>
      </c>
      <c r="BT40" s="10">
        <f>BS40/CA40*100</f>
        <v>42.947101843635785</v>
      </c>
      <c r="BU40" s="10">
        <f>BS40+BU39</f>
        <v>651326.98299999977</v>
      </c>
      <c r="BV40" s="10">
        <f>BU40/CB40*100</f>
        <v>32.750237640572095</v>
      </c>
      <c r="BW40" s="105"/>
      <c r="BX40" s="10">
        <f>BW40/CA40*100</f>
        <v>0</v>
      </c>
      <c r="BY40" s="10">
        <f>BW40+BY39</f>
        <v>7050</v>
      </c>
      <c r="BZ40" s="10">
        <f>BY40/CB40*100</f>
        <v>0.35449041939359255</v>
      </c>
      <c r="CA40" s="10">
        <f t="shared" si="36"/>
        <v>56330.432000000001</v>
      </c>
      <c r="CB40" s="10">
        <f>CA40+CB39</f>
        <v>1988770.2500000002</v>
      </c>
      <c r="CC40" s="10">
        <f t="shared" si="37"/>
        <v>1.16565818934299</v>
      </c>
      <c r="CD40" s="10">
        <f t="shared" si="38"/>
        <v>1.0660692183453704</v>
      </c>
    </row>
    <row r="41" spans="1:82">
      <c r="A41" s="16"/>
      <c r="B41" s="16"/>
      <c r="C41" s="16"/>
      <c r="D41" s="8"/>
      <c r="E41" s="7"/>
      <c r="F41" s="7"/>
      <c r="G41" s="105"/>
      <c r="H41" s="10"/>
      <c r="I41" s="8"/>
      <c r="J41" s="10"/>
      <c r="K41" s="105"/>
      <c r="L41" s="10"/>
      <c r="M41" s="10"/>
      <c r="N41" s="10"/>
      <c r="O41" s="105"/>
      <c r="P41" s="10"/>
      <c r="Q41" s="10"/>
      <c r="R41" s="10"/>
      <c r="S41" s="105"/>
      <c r="T41" s="10"/>
      <c r="U41" s="10"/>
      <c r="V41" s="10"/>
      <c r="W41" s="105"/>
      <c r="X41" s="10"/>
      <c r="Y41" s="10"/>
      <c r="Z41" s="10"/>
      <c r="AA41" s="105"/>
      <c r="AB41" s="10"/>
      <c r="AC41" s="10"/>
      <c r="AD41" s="10"/>
      <c r="AE41" s="10"/>
      <c r="AF41" s="10"/>
      <c r="AG41" s="10"/>
      <c r="AH41" s="10"/>
      <c r="AI41" s="105"/>
      <c r="AJ41" s="10"/>
      <c r="AK41" s="10"/>
      <c r="AL41" s="10"/>
      <c r="AM41" s="105"/>
      <c r="AN41" s="10"/>
      <c r="AO41" s="10"/>
      <c r="AP41" s="10"/>
      <c r="AQ41" s="105"/>
      <c r="AR41" s="10"/>
      <c r="AS41" s="10"/>
      <c r="AT41" s="10"/>
      <c r="AU41" s="105"/>
      <c r="AV41" s="10"/>
      <c r="AW41" s="10"/>
      <c r="AX41" s="10"/>
      <c r="AY41" s="105"/>
      <c r="AZ41" s="10"/>
      <c r="BA41" s="10"/>
      <c r="BB41" s="10"/>
      <c r="BC41" s="10"/>
      <c r="BD41" s="10"/>
      <c r="BE41" s="10"/>
      <c r="BF41" s="10"/>
      <c r="BG41" s="105"/>
      <c r="BH41" s="10"/>
      <c r="BI41" s="10"/>
      <c r="BJ41" s="10"/>
      <c r="BK41" s="105"/>
      <c r="BL41" s="10"/>
      <c r="BM41" s="10"/>
      <c r="BN41" s="10"/>
      <c r="BO41" s="105"/>
      <c r="BP41" s="15"/>
      <c r="BQ41" s="10"/>
      <c r="BR41" s="10"/>
      <c r="BS41" s="10"/>
      <c r="BT41" s="10"/>
      <c r="BU41" s="10"/>
      <c r="BV41" s="10"/>
      <c r="BW41" s="105"/>
      <c r="BX41" s="10"/>
      <c r="BY41" s="10"/>
      <c r="BZ41" s="10"/>
      <c r="CA41" s="10"/>
      <c r="CB41" s="10"/>
      <c r="CC41" s="10"/>
      <c r="CD41" s="10"/>
    </row>
    <row r="42" spans="1:82" ht="13.5" thickBot="1">
      <c r="A42" s="11" t="s">
        <v>28</v>
      </c>
      <c r="B42" s="11"/>
      <c r="C42" s="12"/>
      <c r="D42" s="12">
        <f>SUM(D10:D41)</f>
        <v>1922.6600000000003</v>
      </c>
      <c r="E42" s="12">
        <f>SUM(E10:E41)</f>
        <v>1865.5170000000001</v>
      </c>
      <c r="F42" s="12"/>
      <c r="G42" s="12">
        <f>SUM(G10:G41)</f>
        <v>0</v>
      </c>
      <c r="H42" s="12">
        <f>G42/CA42*100</f>
        <v>0</v>
      </c>
      <c r="I42" s="12"/>
      <c r="J42" s="12"/>
      <c r="K42" s="12">
        <f>SUM(K10:K41)</f>
        <v>0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>
        <f>SUM(AA10:AA41)</f>
        <v>0</v>
      </c>
      <c r="AB42" s="12">
        <f>+AA42/$CA$42*100</f>
        <v>0</v>
      </c>
      <c r="AC42" s="12"/>
      <c r="AD42" s="12"/>
      <c r="AE42" s="12">
        <f>SUM(AE10:AE41)</f>
        <v>542500</v>
      </c>
      <c r="AF42" s="19">
        <f>AE42/$CA$42*100</f>
        <v>27.278163478159428</v>
      </c>
      <c r="AG42" s="12"/>
      <c r="AH42" s="12"/>
      <c r="AI42" s="12">
        <f>SUM(AI10:AI41)</f>
        <v>767643.26699999988</v>
      </c>
      <c r="AJ42" s="12">
        <f>AI42/$CA$42*100</f>
        <v>38.598891299786878</v>
      </c>
      <c r="AK42" s="12"/>
      <c r="AL42" s="12"/>
      <c r="AM42" s="12">
        <f>SUM(AM10:AM41)</f>
        <v>0</v>
      </c>
      <c r="AN42" s="12">
        <f>AM42/$CA$42*100</f>
        <v>0</v>
      </c>
      <c r="AO42" s="12"/>
      <c r="AP42" s="12"/>
      <c r="AQ42" s="12">
        <f>SUM(AQ10:AQ41)</f>
        <v>0</v>
      </c>
      <c r="AR42" s="12">
        <f>AQ42/$CA$42*100</f>
        <v>0</v>
      </c>
      <c r="AS42" s="12"/>
      <c r="AT42" s="12"/>
      <c r="AU42" s="12">
        <f>SUM(AU10:AU41)</f>
        <v>0</v>
      </c>
      <c r="AV42" s="12">
        <f>AU42/$CA$42*100</f>
        <v>0</v>
      </c>
      <c r="AW42" s="12"/>
      <c r="AX42" s="12"/>
      <c r="AY42" s="12">
        <f>SUM(AY10:AY41)</f>
        <v>20250</v>
      </c>
      <c r="AZ42" s="12">
        <f>AY42/$CA$42*100</f>
        <v>1.0182171620879785</v>
      </c>
      <c r="BA42" s="12"/>
      <c r="BB42" s="12"/>
      <c r="BC42" s="12">
        <f>SUM(BC10:BC41)</f>
        <v>787893.26699999988</v>
      </c>
      <c r="BD42" s="12">
        <f>BC42/$CA$42*100</f>
        <v>39.617108461874864</v>
      </c>
      <c r="BE42" s="12"/>
      <c r="BF42" s="12"/>
      <c r="BG42" s="12">
        <f>SUM(BG10:BG41)</f>
        <v>232750</v>
      </c>
      <c r="BH42" s="12">
        <f>BG42/$CA$42*100</f>
        <v>11.703212072887755</v>
      </c>
      <c r="BI42" s="12"/>
      <c r="BJ42" s="12"/>
      <c r="BK42" s="12">
        <f>SUM(BK10:BK41)</f>
        <v>0</v>
      </c>
      <c r="BL42" s="12">
        <f>BK42/$CA$42*100</f>
        <v>0</v>
      </c>
      <c r="BM42" s="12"/>
      <c r="BN42" s="12"/>
      <c r="BO42" s="12">
        <f>SUM(BO10:BO41)</f>
        <v>418576.98300000007</v>
      </c>
      <c r="BP42" s="12">
        <f>BO42/$CA$42*100</f>
        <v>21.047025567684351</v>
      </c>
      <c r="BQ42" s="12"/>
      <c r="BR42" s="12"/>
      <c r="BS42" s="12">
        <f>SUM(BS10:BS41)</f>
        <v>651326.98299999977</v>
      </c>
      <c r="BT42" s="21">
        <f>BS42/$CA$42*100</f>
        <v>32.750237640572095</v>
      </c>
      <c r="BU42" s="12"/>
      <c r="BV42" s="12"/>
      <c r="BW42" s="12">
        <f>SUM(BW10:BW41)</f>
        <v>7050</v>
      </c>
      <c r="BX42" s="12">
        <f>BW42/$CA$42*100</f>
        <v>0.35449041939359255</v>
      </c>
      <c r="BY42" s="12"/>
      <c r="BZ42" s="12"/>
      <c r="CA42" s="12">
        <f>SUM(CA10:CA41)</f>
        <v>1988770.2500000002</v>
      </c>
      <c r="CB42" s="12">
        <f>CA42/$CA$42*100</f>
        <v>100</v>
      </c>
      <c r="CC42" s="12">
        <f>CA42/1000/E42</f>
        <v>1.0660692183453704</v>
      </c>
      <c r="CD42" s="12"/>
    </row>
    <row r="43" spans="1:82" ht="13.5" thickTop="1"/>
    <row r="44" spans="1:82">
      <c r="AQ44" s="13"/>
      <c r="AU44" s="13"/>
      <c r="BT44" s="13"/>
      <c r="BW44" s="13"/>
      <c r="BX44" s="13"/>
    </row>
    <row r="45" spans="1:82">
      <c r="E45" s="13"/>
      <c r="F45" s="13"/>
      <c r="G45" s="13"/>
      <c r="I45" s="13"/>
      <c r="AQ45" s="13"/>
      <c r="AU45" s="13"/>
      <c r="BW45" s="13"/>
    </row>
  </sheetData>
  <mergeCells count="25">
    <mergeCell ref="AE8:AH8"/>
    <mergeCell ref="S8:V8"/>
    <mergeCell ref="AA8:AD8"/>
    <mergeCell ref="A8:A9"/>
    <mergeCell ref="B8:B9"/>
    <mergeCell ref="C8:C9"/>
    <mergeCell ref="K8:N8"/>
    <mergeCell ref="G8:J8"/>
    <mergeCell ref="D8:D9"/>
    <mergeCell ref="E8:F8"/>
    <mergeCell ref="O8:R8"/>
    <mergeCell ref="W8:Z8"/>
    <mergeCell ref="AI8:AL8"/>
    <mergeCell ref="AM8:AP8"/>
    <mergeCell ref="CC8:CD8"/>
    <mergeCell ref="BK8:BN8"/>
    <mergeCell ref="BS8:BV8"/>
    <mergeCell ref="BW8:BZ8"/>
    <mergeCell ref="CA8:CB8"/>
    <mergeCell ref="BO8:BR8"/>
    <mergeCell ref="BG8:BJ8"/>
    <mergeCell ref="BC8:BF8"/>
    <mergeCell ref="AQ8:AT8"/>
    <mergeCell ref="AY8:BB8"/>
    <mergeCell ref="AU8:AX8"/>
  </mergeCells>
  <phoneticPr fontId="31" type="noConversion"/>
  <pageMargins left="0.19513888888888889" right="0.19513888888888889" top="0.05" bottom="0.05" header="0" footer="0"/>
  <pageSetup paperSize="9" scale="70" firstPageNumber="4294963191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W45"/>
  <sheetViews>
    <sheetView zoomScale="85" workbookViewId="0">
      <pane xSplit="5" ySplit="8" topLeftCell="DG25" activePane="bottomRight" state="frozen"/>
      <selection pane="topRight" activeCell="E1" sqref="E1"/>
      <selection pane="bottomLeft" activeCell="A9" sqref="A9"/>
      <selection pane="bottomRight" activeCell="KV41" sqref="KV41"/>
    </sheetView>
  </sheetViews>
  <sheetFormatPr defaultColWidth="10.42578125" defaultRowHeight="15" customHeight="1"/>
  <cols>
    <col min="1" max="1" width="8.140625" style="271" customWidth="1"/>
    <col min="2" max="2" width="13.5703125" style="271" customWidth="1"/>
    <col min="3" max="3" width="13.28515625" style="272" customWidth="1"/>
    <col min="4" max="4" width="11.140625" style="272" customWidth="1"/>
    <col min="5" max="5" width="11" style="273" customWidth="1"/>
    <col min="6" max="17" width="12.42578125" style="531" customWidth="1"/>
    <col min="18" max="20" width="12.42578125" style="531" hidden="1" customWidth="1"/>
    <col min="21" max="23" width="12.42578125" style="531" customWidth="1"/>
    <col min="24" max="32" width="12.42578125" style="531" hidden="1" customWidth="1"/>
    <col min="33" max="44" width="12.42578125" style="531" customWidth="1"/>
    <col min="45" max="47" width="12.42578125" style="531" hidden="1" customWidth="1"/>
    <col min="48" max="56" width="12.42578125" style="531" customWidth="1"/>
    <col min="57" max="65" width="12.42578125" style="531" hidden="1" customWidth="1"/>
    <col min="66" max="89" width="12.42578125" style="531" customWidth="1"/>
    <col min="90" max="110" width="12.42578125" style="531" hidden="1" customWidth="1"/>
    <col min="111" max="113" width="12.42578125" style="531" customWidth="1"/>
    <col min="114" max="131" width="12.42578125" style="531" hidden="1" customWidth="1"/>
    <col min="132" max="137" width="12.42578125" style="531" customWidth="1"/>
    <col min="138" max="269" width="12.42578125" style="531" hidden="1" customWidth="1"/>
    <col min="270" max="303" width="5.5703125" style="531" hidden="1" customWidth="1"/>
    <col min="304" max="304" width="8.7109375" style="531" hidden="1" customWidth="1"/>
    <col min="305" max="305" width="7.7109375" style="531" hidden="1" customWidth="1"/>
    <col min="306" max="306" width="21" style="531" bestFit="1" customWidth="1"/>
    <col min="307" max="307" width="19.85546875" style="531" bestFit="1" customWidth="1"/>
    <col min="308" max="16384" width="10.42578125" style="271"/>
  </cols>
  <sheetData>
    <row r="1" spans="1:309" ht="15" customHeight="1">
      <c r="A1" s="267"/>
      <c r="B1" s="268"/>
      <c r="C1" s="269"/>
      <c r="D1" s="269"/>
      <c r="E1" s="270"/>
    </row>
    <row r="2" spans="1:309" ht="15" customHeight="1">
      <c r="A2" s="267"/>
    </row>
    <row r="3" spans="1:309" ht="15" customHeight="1">
      <c r="A3" s="275"/>
    </row>
    <row r="4" spans="1:309" ht="15" customHeight="1">
      <c r="A4" s="516" t="s">
        <v>325</v>
      </c>
    </row>
    <row r="5" spans="1:309" ht="15" customHeight="1" thickBot="1">
      <c r="F5" s="980" t="s">
        <v>337</v>
      </c>
      <c r="G5" s="981"/>
      <c r="H5" s="981"/>
      <c r="I5" s="981"/>
      <c r="J5" s="981"/>
      <c r="K5" s="981"/>
      <c r="L5" s="981"/>
      <c r="M5" s="981"/>
      <c r="N5" s="981"/>
      <c r="O5" s="981"/>
      <c r="P5" s="981"/>
      <c r="Q5" s="981"/>
      <c r="R5" s="981"/>
      <c r="S5" s="981"/>
      <c r="T5" s="981"/>
      <c r="U5" s="981"/>
      <c r="V5" s="981"/>
      <c r="W5" s="981"/>
      <c r="X5" s="981"/>
      <c r="Y5" s="981"/>
      <c r="Z5" s="981"/>
      <c r="AA5" s="981"/>
      <c r="AB5" s="981"/>
      <c r="AC5" s="981"/>
      <c r="AD5" s="981"/>
      <c r="AE5" s="981"/>
      <c r="AF5" s="981"/>
      <c r="AG5" s="981"/>
      <c r="AH5" s="981"/>
      <c r="AI5" s="981"/>
      <c r="AJ5" s="981"/>
      <c r="AK5" s="981"/>
      <c r="AL5" s="981"/>
      <c r="AM5" s="981"/>
      <c r="AN5" s="981"/>
      <c r="AO5" s="981"/>
      <c r="AP5" s="981"/>
      <c r="AQ5" s="981"/>
      <c r="AR5" s="981"/>
      <c r="AS5" s="981"/>
      <c r="AT5" s="981"/>
      <c r="AU5" s="981"/>
      <c r="AV5" s="981"/>
      <c r="AW5" s="981"/>
      <c r="AX5" s="981"/>
      <c r="AY5" s="981"/>
      <c r="AZ5" s="981"/>
      <c r="BA5" s="981"/>
      <c r="BB5" s="981"/>
      <c r="BC5" s="981"/>
      <c r="BD5" s="981"/>
      <c r="BE5" s="981"/>
      <c r="BF5" s="981"/>
      <c r="BG5" s="981"/>
      <c r="BH5" s="981"/>
      <c r="BI5" s="981"/>
      <c r="BJ5" s="981"/>
      <c r="BK5" s="981"/>
      <c r="BL5" s="981"/>
      <c r="BM5" s="981"/>
      <c r="BN5" s="981"/>
      <c r="BO5" s="981"/>
      <c r="BP5" s="981"/>
      <c r="BQ5" s="981"/>
      <c r="BR5" s="981"/>
      <c r="BS5" s="981"/>
      <c r="BT5" s="981"/>
      <c r="BU5" s="981"/>
      <c r="BV5" s="981"/>
      <c r="BW5" s="981"/>
      <c r="BX5" s="981"/>
      <c r="BY5" s="981"/>
      <c r="BZ5" s="981"/>
      <c r="CA5" s="981"/>
      <c r="CB5" s="981"/>
      <c r="CC5" s="981"/>
      <c r="CD5" s="981"/>
      <c r="CE5" s="981"/>
      <c r="CF5" s="981"/>
      <c r="CG5" s="981"/>
      <c r="CH5" s="981"/>
      <c r="CI5" s="981"/>
      <c r="CJ5" s="981"/>
      <c r="CK5" s="981"/>
      <c r="CL5" s="981"/>
      <c r="CM5" s="981"/>
      <c r="CN5" s="981"/>
      <c r="CO5" s="981"/>
      <c r="CP5" s="981"/>
      <c r="CQ5" s="981"/>
      <c r="CR5" s="981"/>
      <c r="CS5" s="981"/>
      <c r="CT5" s="981"/>
      <c r="CU5" s="981"/>
      <c r="CV5" s="981"/>
      <c r="CW5" s="981"/>
      <c r="CX5" s="981"/>
      <c r="CY5" s="981"/>
      <c r="CZ5" s="981"/>
      <c r="DA5" s="981"/>
      <c r="DB5" s="981"/>
      <c r="DC5" s="981"/>
      <c r="DD5" s="981"/>
      <c r="DE5" s="981"/>
      <c r="DF5" s="981"/>
      <c r="DG5" s="981"/>
      <c r="DH5" s="981"/>
      <c r="DI5" s="981"/>
      <c r="DJ5" s="981"/>
      <c r="DK5" s="981"/>
      <c r="DL5" s="981"/>
      <c r="DM5" s="981"/>
      <c r="DN5" s="981"/>
      <c r="DO5" s="981"/>
      <c r="DP5" s="981"/>
      <c r="DQ5" s="981"/>
      <c r="DR5" s="981"/>
      <c r="DS5" s="981"/>
      <c r="DT5" s="981"/>
      <c r="DU5" s="981"/>
      <c r="DV5" s="981"/>
      <c r="DW5" s="981"/>
      <c r="DX5" s="981"/>
      <c r="DY5" s="981"/>
      <c r="DZ5" s="981"/>
      <c r="EA5" s="981"/>
      <c r="EB5" s="981"/>
      <c r="EC5" s="981"/>
      <c r="ED5" s="981"/>
      <c r="EE5" s="981"/>
      <c r="EF5" s="981"/>
      <c r="EG5" s="981"/>
      <c r="EH5" s="981"/>
      <c r="EI5" s="981"/>
      <c r="EJ5" s="981"/>
      <c r="EK5" s="981"/>
      <c r="EL5" s="981"/>
      <c r="EM5" s="981"/>
      <c r="EN5" s="981"/>
      <c r="EO5" s="981"/>
      <c r="EP5" s="981"/>
      <c r="EQ5" s="981"/>
      <c r="ER5" s="981"/>
      <c r="ES5" s="981"/>
      <c r="ET5" s="981"/>
      <c r="EU5" s="981"/>
      <c r="EV5" s="981"/>
      <c r="EW5" s="981"/>
      <c r="EX5" s="981"/>
      <c r="EY5" s="981"/>
      <c r="EZ5" s="981"/>
      <c r="FA5" s="981"/>
      <c r="FB5" s="981"/>
      <c r="FC5" s="981"/>
      <c r="FD5" s="981"/>
      <c r="FE5" s="981"/>
      <c r="FF5" s="981"/>
      <c r="FG5" s="981"/>
      <c r="FH5" s="981"/>
      <c r="FI5" s="981"/>
      <c r="FJ5" s="981"/>
      <c r="FK5" s="981"/>
      <c r="FL5" s="981"/>
      <c r="FM5" s="981"/>
      <c r="FN5" s="981"/>
      <c r="FO5" s="981"/>
      <c r="FP5" s="981"/>
      <c r="FQ5" s="981"/>
      <c r="FR5" s="981"/>
      <c r="FS5" s="981"/>
      <c r="FT5" s="981"/>
      <c r="FU5" s="981"/>
      <c r="FV5" s="981"/>
      <c r="FW5" s="981"/>
      <c r="FX5" s="981"/>
      <c r="FY5" s="981"/>
      <c r="FZ5" s="981"/>
      <c r="GA5" s="981"/>
      <c r="GB5" s="981"/>
      <c r="GC5" s="982"/>
      <c r="GD5" s="980" t="s">
        <v>338</v>
      </c>
      <c r="GE5" s="981"/>
      <c r="GF5" s="981"/>
      <c r="GG5" s="981"/>
      <c r="GH5" s="981"/>
      <c r="GI5" s="981"/>
      <c r="GJ5" s="981"/>
      <c r="GK5" s="981"/>
      <c r="GL5" s="981"/>
      <c r="GM5" s="981"/>
      <c r="GN5" s="981"/>
      <c r="GO5" s="981"/>
      <c r="GP5" s="981"/>
      <c r="GQ5" s="981"/>
      <c r="GR5" s="981"/>
      <c r="GS5" s="981"/>
      <c r="GT5" s="981"/>
      <c r="GU5" s="981"/>
      <c r="GV5" s="981"/>
      <c r="GW5" s="981"/>
      <c r="GX5" s="981"/>
      <c r="GY5" s="981"/>
      <c r="GZ5" s="981"/>
      <c r="HA5" s="981"/>
      <c r="HB5" s="981"/>
      <c r="HC5" s="981"/>
      <c r="HD5" s="981"/>
      <c r="HE5" s="981"/>
      <c r="HF5" s="981"/>
      <c r="HG5" s="981"/>
      <c r="HH5" s="981"/>
      <c r="HI5" s="981"/>
      <c r="HJ5" s="981"/>
      <c r="HK5" s="981"/>
      <c r="HL5" s="981"/>
      <c r="HM5" s="981"/>
      <c r="HN5" s="981"/>
      <c r="HO5" s="981"/>
      <c r="HP5" s="981"/>
      <c r="HQ5" s="981"/>
      <c r="HR5" s="981"/>
      <c r="HS5" s="981"/>
      <c r="HT5" s="981"/>
      <c r="HU5" s="981"/>
      <c r="HV5" s="981"/>
      <c r="HW5" s="981"/>
      <c r="HX5" s="981"/>
      <c r="HY5" s="981"/>
      <c r="HZ5" s="981"/>
      <c r="IA5" s="981"/>
      <c r="IB5" s="981"/>
      <c r="IC5" s="981"/>
      <c r="ID5" s="981"/>
      <c r="IE5" s="981"/>
      <c r="IF5" s="981"/>
      <c r="IG5" s="981"/>
      <c r="IH5" s="981"/>
      <c r="II5" s="981"/>
      <c r="IJ5" s="981"/>
      <c r="IK5" s="981"/>
      <c r="IL5" s="981"/>
      <c r="IM5" s="981"/>
      <c r="IN5" s="981"/>
      <c r="IO5" s="981"/>
      <c r="IP5" s="981"/>
      <c r="IQ5" s="981"/>
      <c r="IR5" s="981"/>
      <c r="IS5" s="981"/>
      <c r="IT5" s="981"/>
      <c r="IU5" s="981"/>
      <c r="IV5" s="981"/>
      <c r="IW5" s="981"/>
      <c r="IX5" s="981"/>
      <c r="IY5" s="981"/>
      <c r="IZ5" s="981"/>
      <c r="JA5" s="981"/>
      <c r="JB5" s="981"/>
      <c r="JC5" s="981"/>
      <c r="JD5" s="981"/>
      <c r="JE5" s="981"/>
      <c r="JF5" s="981"/>
      <c r="JG5" s="981"/>
      <c r="JH5" s="981"/>
      <c r="JI5" s="981"/>
      <c r="JJ5" s="981"/>
      <c r="JK5" s="981"/>
      <c r="JL5" s="981"/>
      <c r="JM5" s="981"/>
      <c r="JN5" s="981"/>
      <c r="JO5" s="981"/>
      <c r="JP5" s="981"/>
      <c r="JQ5" s="981"/>
      <c r="JR5" s="981"/>
      <c r="JS5" s="981"/>
      <c r="JT5" s="981"/>
      <c r="JU5" s="981"/>
      <c r="JV5" s="981"/>
      <c r="JW5" s="981"/>
      <c r="JX5" s="981"/>
      <c r="JY5" s="981"/>
      <c r="JZ5" s="981"/>
      <c r="KA5" s="981"/>
      <c r="KB5" s="981"/>
      <c r="KC5" s="981"/>
      <c r="KD5" s="981"/>
      <c r="KE5" s="981"/>
      <c r="KF5" s="981"/>
      <c r="KG5" s="981"/>
      <c r="KH5" s="981"/>
      <c r="KI5" s="981"/>
      <c r="KJ5" s="981"/>
      <c r="KK5" s="981"/>
      <c r="KL5" s="981"/>
      <c r="KM5" s="981"/>
      <c r="KN5" s="981"/>
      <c r="KO5" s="981"/>
      <c r="KP5" s="981"/>
      <c r="KQ5" s="981"/>
      <c r="KR5" s="981"/>
      <c r="KS5" s="982"/>
      <c r="KT5" s="963" t="s">
        <v>339</v>
      </c>
      <c r="KU5" s="963" t="s">
        <v>338</v>
      </c>
    </row>
    <row r="6" spans="1:309" ht="15" customHeight="1">
      <c r="A6" s="977" t="s">
        <v>30</v>
      </c>
      <c r="B6" s="968" t="s">
        <v>4</v>
      </c>
      <c r="C6" s="968" t="s">
        <v>5</v>
      </c>
      <c r="D6" s="974" t="s">
        <v>41</v>
      </c>
      <c r="E6" s="971" t="s">
        <v>39</v>
      </c>
      <c r="F6" s="956" t="s">
        <v>340</v>
      </c>
      <c r="G6" s="964"/>
      <c r="H6" s="957"/>
      <c r="I6" s="956" t="s">
        <v>341</v>
      </c>
      <c r="J6" s="964"/>
      <c r="K6" s="957"/>
      <c r="L6" s="956" t="s">
        <v>342</v>
      </c>
      <c r="M6" s="964"/>
      <c r="N6" s="957"/>
      <c r="O6" s="956" t="s">
        <v>343</v>
      </c>
      <c r="P6" s="964"/>
      <c r="Q6" s="957"/>
      <c r="R6" s="956" t="s">
        <v>344</v>
      </c>
      <c r="S6" s="964"/>
      <c r="T6" s="957"/>
      <c r="U6" s="956" t="s">
        <v>345</v>
      </c>
      <c r="V6" s="964"/>
      <c r="W6" s="957"/>
      <c r="X6" s="956" t="s">
        <v>346</v>
      </c>
      <c r="Y6" s="964"/>
      <c r="Z6" s="957"/>
      <c r="AA6" s="956" t="s">
        <v>347</v>
      </c>
      <c r="AB6" s="964"/>
      <c r="AC6" s="957"/>
      <c r="AD6" s="956" t="s">
        <v>348</v>
      </c>
      <c r="AE6" s="964"/>
      <c r="AF6" s="957"/>
      <c r="AG6" s="956" t="s">
        <v>349</v>
      </c>
      <c r="AH6" s="964"/>
      <c r="AI6" s="957"/>
      <c r="AJ6" s="956" t="s">
        <v>350</v>
      </c>
      <c r="AK6" s="964"/>
      <c r="AL6" s="957"/>
      <c r="AM6" s="956" t="s">
        <v>351</v>
      </c>
      <c r="AN6" s="964"/>
      <c r="AO6" s="957"/>
      <c r="AP6" s="956" t="s">
        <v>352</v>
      </c>
      <c r="AQ6" s="964"/>
      <c r="AR6" s="957"/>
      <c r="AS6" s="956" t="s">
        <v>353</v>
      </c>
      <c r="AT6" s="964"/>
      <c r="AU6" s="957"/>
      <c r="AV6" s="956" t="s">
        <v>354</v>
      </c>
      <c r="AW6" s="964"/>
      <c r="AX6" s="957"/>
      <c r="AY6" s="959" t="s">
        <v>355</v>
      </c>
      <c r="AZ6" s="960"/>
      <c r="BA6" s="960"/>
      <c r="BB6" s="959" t="s">
        <v>356</v>
      </c>
      <c r="BC6" s="960"/>
      <c r="BD6" s="961"/>
      <c r="BE6" s="959" t="s">
        <v>357</v>
      </c>
      <c r="BF6" s="960"/>
      <c r="BG6" s="960"/>
      <c r="BH6" s="959" t="s">
        <v>358</v>
      </c>
      <c r="BI6" s="960"/>
      <c r="BJ6" s="961"/>
      <c r="BK6" s="959" t="s">
        <v>359</v>
      </c>
      <c r="BL6" s="960"/>
      <c r="BM6" s="960"/>
      <c r="BN6" s="959" t="s">
        <v>360</v>
      </c>
      <c r="BO6" s="960"/>
      <c r="BP6" s="961"/>
      <c r="BQ6" s="959" t="s">
        <v>361</v>
      </c>
      <c r="BR6" s="960"/>
      <c r="BS6" s="960"/>
      <c r="BT6" s="959" t="s">
        <v>362</v>
      </c>
      <c r="BU6" s="960"/>
      <c r="BV6" s="961"/>
      <c r="BW6" s="959" t="s">
        <v>363</v>
      </c>
      <c r="BX6" s="960"/>
      <c r="BY6" s="960"/>
      <c r="BZ6" s="959" t="s">
        <v>364</v>
      </c>
      <c r="CA6" s="960"/>
      <c r="CB6" s="961"/>
      <c r="CC6" s="959" t="s">
        <v>365</v>
      </c>
      <c r="CD6" s="960"/>
      <c r="CE6" s="960"/>
      <c r="CF6" s="959" t="s">
        <v>366</v>
      </c>
      <c r="CG6" s="960"/>
      <c r="CH6" s="961"/>
      <c r="CI6" s="959" t="s">
        <v>367</v>
      </c>
      <c r="CJ6" s="960"/>
      <c r="CK6" s="960"/>
      <c r="CL6" s="959" t="s">
        <v>368</v>
      </c>
      <c r="CM6" s="960"/>
      <c r="CN6" s="961"/>
      <c r="CO6" s="959" t="s">
        <v>369</v>
      </c>
      <c r="CP6" s="960"/>
      <c r="CQ6" s="960"/>
      <c r="CR6" s="959" t="s">
        <v>370</v>
      </c>
      <c r="CS6" s="960"/>
      <c r="CT6" s="961"/>
      <c r="CU6" s="959" t="s">
        <v>371</v>
      </c>
      <c r="CV6" s="960"/>
      <c r="CW6" s="960"/>
      <c r="CX6" s="959" t="s">
        <v>372</v>
      </c>
      <c r="CY6" s="960"/>
      <c r="CZ6" s="961"/>
      <c r="DA6" s="959" t="s">
        <v>373</v>
      </c>
      <c r="DB6" s="960"/>
      <c r="DC6" s="960"/>
      <c r="DD6" s="959" t="s">
        <v>374</v>
      </c>
      <c r="DE6" s="960"/>
      <c r="DF6" s="961"/>
      <c r="DG6" s="959" t="s">
        <v>375</v>
      </c>
      <c r="DH6" s="960"/>
      <c r="DI6" s="960"/>
      <c r="DJ6" s="959" t="s">
        <v>376</v>
      </c>
      <c r="DK6" s="960"/>
      <c r="DL6" s="961"/>
      <c r="DM6" s="959" t="s">
        <v>377</v>
      </c>
      <c r="DN6" s="960"/>
      <c r="DO6" s="960"/>
      <c r="DP6" s="959" t="s">
        <v>378</v>
      </c>
      <c r="DQ6" s="960"/>
      <c r="DR6" s="961"/>
      <c r="DS6" s="959" t="s">
        <v>379</v>
      </c>
      <c r="DT6" s="960"/>
      <c r="DU6" s="960"/>
      <c r="DV6" s="959" t="s">
        <v>380</v>
      </c>
      <c r="DW6" s="960"/>
      <c r="DX6" s="961"/>
      <c r="DY6" s="959" t="s">
        <v>381</v>
      </c>
      <c r="DZ6" s="960"/>
      <c r="EA6" s="960"/>
      <c r="EB6" s="962" t="s">
        <v>458</v>
      </c>
      <c r="EC6" s="960"/>
      <c r="ED6" s="961"/>
      <c r="EE6" s="959" t="s">
        <v>459</v>
      </c>
      <c r="EF6" s="960"/>
      <c r="EG6" s="960"/>
      <c r="EH6" s="959"/>
      <c r="EI6" s="960"/>
      <c r="EJ6" s="961"/>
      <c r="EK6" s="959"/>
      <c r="EL6" s="960"/>
      <c r="EM6" s="960"/>
      <c r="EN6" s="959"/>
      <c r="EO6" s="960"/>
      <c r="EP6" s="961"/>
      <c r="EQ6" s="959"/>
      <c r="ER6" s="960"/>
      <c r="ES6" s="960"/>
      <c r="ET6" s="959"/>
      <c r="EU6" s="960"/>
      <c r="EV6" s="961"/>
      <c r="EW6" s="959"/>
      <c r="EX6" s="960"/>
      <c r="EY6" s="960"/>
      <c r="EZ6" s="959"/>
      <c r="FA6" s="960"/>
      <c r="FB6" s="961"/>
      <c r="FC6" s="959"/>
      <c r="FD6" s="960"/>
      <c r="FE6" s="960"/>
      <c r="FF6" s="959"/>
      <c r="FG6" s="960"/>
      <c r="FH6" s="961"/>
      <c r="FI6" s="959"/>
      <c r="FJ6" s="960"/>
      <c r="FK6" s="960"/>
      <c r="FL6" s="959"/>
      <c r="FM6" s="960"/>
      <c r="FN6" s="961"/>
      <c r="FO6" s="959"/>
      <c r="FP6" s="960"/>
      <c r="FQ6" s="960"/>
      <c r="FR6" s="959"/>
      <c r="FS6" s="960"/>
      <c r="FT6" s="961"/>
      <c r="FU6" s="959"/>
      <c r="FV6" s="960"/>
      <c r="FW6" s="960"/>
      <c r="FX6" s="959"/>
      <c r="FY6" s="960"/>
      <c r="FZ6" s="961"/>
      <c r="GA6" s="959"/>
      <c r="GB6" s="960"/>
      <c r="GC6" s="960"/>
      <c r="GD6" s="959" t="s">
        <v>382</v>
      </c>
      <c r="GE6" s="960"/>
      <c r="GF6" s="961"/>
      <c r="GG6" s="959" t="s">
        <v>383</v>
      </c>
      <c r="GH6" s="960"/>
      <c r="GI6" s="960"/>
      <c r="GJ6" s="959" t="s">
        <v>384</v>
      </c>
      <c r="GK6" s="960"/>
      <c r="GL6" s="961"/>
      <c r="GM6" s="959" t="s">
        <v>385</v>
      </c>
      <c r="GN6" s="960"/>
      <c r="GO6" s="960"/>
      <c r="GP6" s="959" t="s">
        <v>386</v>
      </c>
      <c r="GQ6" s="960"/>
      <c r="GR6" s="961"/>
      <c r="GS6" s="959" t="s">
        <v>387</v>
      </c>
      <c r="GT6" s="960"/>
      <c r="GU6" s="960"/>
      <c r="GV6" s="959" t="s">
        <v>388</v>
      </c>
      <c r="GW6" s="960"/>
      <c r="GX6" s="961"/>
      <c r="GY6" s="959" t="s">
        <v>389</v>
      </c>
      <c r="GZ6" s="960"/>
      <c r="HA6" s="960"/>
      <c r="HB6" s="959" t="s">
        <v>364</v>
      </c>
      <c r="HC6" s="960"/>
      <c r="HD6" s="961"/>
      <c r="HE6" s="959" t="s">
        <v>380</v>
      </c>
      <c r="HF6" s="960"/>
      <c r="HG6" s="960"/>
      <c r="HH6" s="959" t="s">
        <v>379</v>
      </c>
      <c r="HI6" s="960"/>
      <c r="HJ6" s="961"/>
      <c r="HK6" s="959" t="s">
        <v>360</v>
      </c>
      <c r="HL6" s="960"/>
      <c r="HM6" s="960"/>
      <c r="HN6" s="959" t="s">
        <v>390</v>
      </c>
      <c r="HO6" s="960"/>
      <c r="HP6" s="961"/>
      <c r="HQ6" s="959" t="s">
        <v>371</v>
      </c>
      <c r="HR6" s="960"/>
      <c r="HS6" s="960"/>
      <c r="HT6" s="959" t="s">
        <v>391</v>
      </c>
      <c r="HU6" s="960"/>
      <c r="HV6" s="961"/>
      <c r="HW6" s="959" t="s">
        <v>392</v>
      </c>
      <c r="HX6" s="960"/>
      <c r="HY6" s="960"/>
      <c r="HZ6" s="959" t="s">
        <v>393</v>
      </c>
      <c r="IA6" s="960"/>
      <c r="IB6" s="961"/>
      <c r="IC6" s="959" t="s">
        <v>394</v>
      </c>
      <c r="ID6" s="960"/>
      <c r="IE6" s="960"/>
      <c r="IF6" s="959" t="s">
        <v>395</v>
      </c>
      <c r="IG6" s="960"/>
      <c r="IH6" s="961"/>
      <c r="II6" s="958" t="s">
        <v>366</v>
      </c>
      <c r="IJ6" s="958"/>
      <c r="IK6" s="958"/>
      <c r="IL6" s="959" t="s">
        <v>369</v>
      </c>
      <c r="IM6" s="960"/>
      <c r="IN6" s="961"/>
      <c r="IO6" s="959" t="s">
        <v>370</v>
      </c>
      <c r="IP6" s="960"/>
      <c r="IQ6" s="960"/>
      <c r="IR6" s="959" t="s">
        <v>365</v>
      </c>
      <c r="IS6" s="960"/>
      <c r="IT6" s="961"/>
      <c r="IU6" s="959" t="s">
        <v>396</v>
      </c>
      <c r="IV6" s="960"/>
      <c r="IW6" s="960"/>
      <c r="IX6" s="959" t="s">
        <v>373</v>
      </c>
      <c r="IY6" s="960"/>
      <c r="IZ6" s="961"/>
      <c r="JA6" s="959" t="s">
        <v>397</v>
      </c>
      <c r="JB6" s="960"/>
      <c r="JC6" s="960"/>
      <c r="JD6" s="959" t="s">
        <v>398</v>
      </c>
      <c r="JE6" s="960"/>
      <c r="JF6" s="961"/>
      <c r="JG6" s="959" t="s">
        <v>399</v>
      </c>
      <c r="JH6" s="960"/>
      <c r="JI6" s="960"/>
      <c r="JJ6" s="959"/>
      <c r="JK6" s="960"/>
      <c r="JL6" s="961"/>
      <c r="JM6" s="959"/>
      <c r="JN6" s="960"/>
      <c r="JO6" s="960"/>
      <c r="JP6" s="959"/>
      <c r="JQ6" s="960"/>
      <c r="JR6" s="961"/>
      <c r="JS6" s="959"/>
      <c r="JT6" s="960"/>
      <c r="JU6" s="960"/>
      <c r="JV6" s="959"/>
      <c r="JW6" s="960"/>
      <c r="JX6" s="961"/>
      <c r="JY6" s="959"/>
      <c r="JZ6" s="960"/>
      <c r="KA6" s="960"/>
      <c r="KB6" s="959"/>
      <c r="KC6" s="960"/>
      <c r="KD6" s="961"/>
      <c r="KE6" s="959"/>
      <c r="KF6" s="960"/>
      <c r="KG6" s="960"/>
      <c r="KH6" s="959"/>
      <c r="KI6" s="960"/>
      <c r="KJ6" s="961"/>
      <c r="KK6" s="959"/>
      <c r="KL6" s="960"/>
      <c r="KM6" s="960"/>
      <c r="KN6" s="959"/>
      <c r="KO6" s="960"/>
      <c r="KP6" s="961"/>
      <c r="KQ6" s="958"/>
      <c r="KR6" s="958"/>
      <c r="KS6" s="958"/>
      <c r="KT6" s="963"/>
      <c r="KU6" s="963"/>
    </row>
    <row r="7" spans="1:309" ht="15" customHeight="1">
      <c r="A7" s="978"/>
      <c r="B7" s="969"/>
      <c r="C7" s="969"/>
      <c r="D7" s="975"/>
      <c r="E7" s="972"/>
      <c r="F7" s="956" t="s">
        <v>135</v>
      </c>
      <c r="G7" s="957"/>
      <c r="H7" s="532" t="s">
        <v>400</v>
      </c>
      <c r="I7" s="956" t="s">
        <v>135</v>
      </c>
      <c r="J7" s="957"/>
      <c r="K7" s="532" t="s">
        <v>400</v>
      </c>
      <c r="L7" s="956" t="s">
        <v>135</v>
      </c>
      <c r="M7" s="957"/>
      <c r="N7" s="532" t="s">
        <v>400</v>
      </c>
      <c r="O7" s="956" t="s">
        <v>135</v>
      </c>
      <c r="P7" s="957"/>
      <c r="Q7" s="532" t="s">
        <v>400</v>
      </c>
      <c r="R7" s="956" t="s">
        <v>135</v>
      </c>
      <c r="S7" s="957"/>
      <c r="T7" s="532" t="s">
        <v>400</v>
      </c>
      <c r="U7" s="956" t="s">
        <v>135</v>
      </c>
      <c r="V7" s="957"/>
      <c r="W7" s="532" t="s">
        <v>400</v>
      </c>
      <c r="X7" s="956" t="s">
        <v>135</v>
      </c>
      <c r="Y7" s="957"/>
      <c r="Z7" s="532" t="s">
        <v>400</v>
      </c>
      <c r="AA7" s="956" t="s">
        <v>135</v>
      </c>
      <c r="AB7" s="957"/>
      <c r="AC7" s="532" t="s">
        <v>400</v>
      </c>
      <c r="AD7" s="956" t="s">
        <v>135</v>
      </c>
      <c r="AE7" s="957"/>
      <c r="AF7" s="532" t="s">
        <v>400</v>
      </c>
      <c r="AG7" s="956" t="s">
        <v>135</v>
      </c>
      <c r="AH7" s="957"/>
      <c r="AI7" s="532" t="s">
        <v>400</v>
      </c>
      <c r="AJ7" s="956" t="s">
        <v>135</v>
      </c>
      <c r="AK7" s="957"/>
      <c r="AL7" s="532" t="s">
        <v>400</v>
      </c>
      <c r="AM7" s="956" t="s">
        <v>135</v>
      </c>
      <c r="AN7" s="957"/>
      <c r="AO7" s="532" t="s">
        <v>400</v>
      </c>
      <c r="AP7" s="956" t="s">
        <v>135</v>
      </c>
      <c r="AQ7" s="957"/>
      <c r="AR7" s="532" t="s">
        <v>400</v>
      </c>
      <c r="AS7" s="956" t="s">
        <v>135</v>
      </c>
      <c r="AT7" s="957"/>
      <c r="AU7" s="532" t="s">
        <v>400</v>
      </c>
      <c r="AV7" s="956" t="s">
        <v>135</v>
      </c>
      <c r="AW7" s="957"/>
      <c r="AX7" s="532" t="s">
        <v>400</v>
      </c>
      <c r="AY7" s="956" t="s">
        <v>135</v>
      </c>
      <c r="AZ7" s="957"/>
      <c r="BA7" s="532" t="s">
        <v>400</v>
      </c>
      <c r="BB7" s="956" t="s">
        <v>135</v>
      </c>
      <c r="BC7" s="957"/>
      <c r="BD7" s="532" t="s">
        <v>400</v>
      </c>
      <c r="BE7" s="956" t="s">
        <v>135</v>
      </c>
      <c r="BF7" s="957"/>
      <c r="BG7" s="532" t="s">
        <v>400</v>
      </c>
      <c r="BH7" s="956" t="s">
        <v>135</v>
      </c>
      <c r="BI7" s="957"/>
      <c r="BJ7" s="532" t="s">
        <v>400</v>
      </c>
      <c r="BK7" s="956" t="s">
        <v>135</v>
      </c>
      <c r="BL7" s="957"/>
      <c r="BM7" s="532" t="s">
        <v>400</v>
      </c>
      <c r="BN7" s="956" t="s">
        <v>135</v>
      </c>
      <c r="BO7" s="957"/>
      <c r="BP7" s="532" t="s">
        <v>400</v>
      </c>
      <c r="BQ7" s="956" t="s">
        <v>135</v>
      </c>
      <c r="BR7" s="957"/>
      <c r="BS7" s="532" t="s">
        <v>400</v>
      </c>
      <c r="BT7" s="956" t="s">
        <v>135</v>
      </c>
      <c r="BU7" s="957"/>
      <c r="BV7" s="532" t="s">
        <v>400</v>
      </c>
      <c r="BW7" s="956" t="s">
        <v>135</v>
      </c>
      <c r="BX7" s="957"/>
      <c r="BY7" s="532" t="s">
        <v>400</v>
      </c>
      <c r="BZ7" s="956" t="s">
        <v>135</v>
      </c>
      <c r="CA7" s="957"/>
      <c r="CB7" s="532" t="s">
        <v>400</v>
      </c>
      <c r="CC7" s="956" t="s">
        <v>135</v>
      </c>
      <c r="CD7" s="957"/>
      <c r="CE7" s="532" t="s">
        <v>400</v>
      </c>
      <c r="CF7" s="956" t="s">
        <v>135</v>
      </c>
      <c r="CG7" s="957"/>
      <c r="CH7" s="532" t="s">
        <v>400</v>
      </c>
      <c r="CI7" s="956" t="s">
        <v>135</v>
      </c>
      <c r="CJ7" s="957"/>
      <c r="CK7" s="532" t="s">
        <v>400</v>
      </c>
      <c r="CL7" s="956" t="s">
        <v>135</v>
      </c>
      <c r="CM7" s="957"/>
      <c r="CN7" s="532" t="s">
        <v>400</v>
      </c>
      <c r="CO7" s="956" t="s">
        <v>135</v>
      </c>
      <c r="CP7" s="957"/>
      <c r="CQ7" s="532" t="s">
        <v>400</v>
      </c>
      <c r="CR7" s="956" t="s">
        <v>135</v>
      </c>
      <c r="CS7" s="957"/>
      <c r="CT7" s="532" t="s">
        <v>400</v>
      </c>
      <c r="CU7" s="956" t="s">
        <v>135</v>
      </c>
      <c r="CV7" s="957"/>
      <c r="CW7" s="532" t="s">
        <v>400</v>
      </c>
      <c r="CX7" s="956" t="s">
        <v>135</v>
      </c>
      <c r="CY7" s="957"/>
      <c r="CZ7" s="532" t="s">
        <v>400</v>
      </c>
      <c r="DA7" s="956" t="s">
        <v>135</v>
      </c>
      <c r="DB7" s="957"/>
      <c r="DC7" s="532" t="s">
        <v>400</v>
      </c>
      <c r="DD7" s="956" t="s">
        <v>135</v>
      </c>
      <c r="DE7" s="957"/>
      <c r="DF7" s="532" t="s">
        <v>400</v>
      </c>
      <c r="DG7" s="956" t="s">
        <v>135</v>
      </c>
      <c r="DH7" s="957"/>
      <c r="DI7" s="532" t="s">
        <v>400</v>
      </c>
      <c r="DJ7" s="956" t="s">
        <v>135</v>
      </c>
      <c r="DK7" s="957"/>
      <c r="DL7" s="532" t="s">
        <v>400</v>
      </c>
      <c r="DM7" s="956" t="s">
        <v>135</v>
      </c>
      <c r="DN7" s="957"/>
      <c r="DO7" s="532" t="s">
        <v>400</v>
      </c>
      <c r="DP7" s="956" t="s">
        <v>135</v>
      </c>
      <c r="DQ7" s="957"/>
      <c r="DR7" s="532" t="s">
        <v>400</v>
      </c>
      <c r="DS7" s="956" t="s">
        <v>135</v>
      </c>
      <c r="DT7" s="957"/>
      <c r="DU7" s="532" t="s">
        <v>400</v>
      </c>
      <c r="DV7" s="956" t="s">
        <v>135</v>
      </c>
      <c r="DW7" s="957"/>
      <c r="DX7" s="532" t="s">
        <v>400</v>
      </c>
      <c r="DY7" s="956" t="s">
        <v>135</v>
      </c>
      <c r="DZ7" s="957"/>
      <c r="EA7" s="532" t="s">
        <v>400</v>
      </c>
      <c r="EB7" s="956" t="s">
        <v>135</v>
      </c>
      <c r="EC7" s="957"/>
      <c r="ED7" s="532" t="s">
        <v>400</v>
      </c>
      <c r="EE7" s="956" t="s">
        <v>135</v>
      </c>
      <c r="EF7" s="957"/>
      <c r="EG7" s="532" t="s">
        <v>400</v>
      </c>
      <c r="EH7" s="956" t="s">
        <v>135</v>
      </c>
      <c r="EI7" s="957"/>
      <c r="EJ7" s="532" t="s">
        <v>400</v>
      </c>
      <c r="EK7" s="956" t="s">
        <v>135</v>
      </c>
      <c r="EL7" s="957"/>
      <c r="EM7" s="532" t="s">
        <v>400</v>
      </c>
      <c r="EN7" s="956" t="s">
        <v>135</v>
      </c>
      <c r="EO7" s="957"/>
      <c r="EP7" s="532" t="s">
        <v>400</v>
      </c>
      <c r="EQ7" s="956" t="s">
        <v>135</v>
      </c>
      <c r="ER7" s="957"/>
      <c r="ES7" s="532" t="s">
        <v>400</v>
      </c>
      <c r="ET7" s="956" t="s">
        <v>135</v>
      </c>
      <c r="EU7" s="957"/>
      <c r="EV7" s="532" t="s">
        <v>400</v>
      </c>
      <c r="EW7" s="956" t="s">
        <v>135</v>
      </c>
      <c r="EX7" s="957"/>
      <c r="EY7" s="532" t="s">
        <v>400</v>
      </c>
      <c r="EZ7" s="956" t="s">
        <v>135</v>
      </c>
      <c r="FA7" s="957"/>
      <c r="FB7" s="532" t="s">
        <v>400</v>
      </c>
      <c r="FC7" s="956" t="s">
        <v>135</v>
      </c>
      <c r="FD7" s="957"/>
      <c r="FE7" s="532" t="s">
        <v>400</v>
      </c>
      <c r="FF7" s="956" t="s">
        <v>135</v>
      </c>
      <c r="FG7" s="957"/>
      <c r="FH7" s="532" t="s">
        <v>400</v>
      </c>
      <c r="FI7" s="956" t="s">
        <v>135</v>
      </c>
      <c r="FJ7" s="957"/>
      <c r="FK7" s="532" t="s">
        <v>400</v>
      </c>
      <c r="FL7" s="956" t="s">
        <v>135</v>
      </c>
      <c r="FM7" s="957"/>
      <c r="FN7" s="532" t="s">
        <v>400</v>
      </c>
      <c r="FO7" s="956" t="s">
        <v>135</v>
      </c>
      <c r="FP7" s="957"/>
      <c r="FQ7" s="532" t="s">
        <v>400</v>
      </c>
      <c r="FR7" s="956" t="s">
        <v>135</v>
      </c>
      <c r="FS7" s="957"/>
      <c r="FT7" s="532" t="s">
        <v>400</v>
      </c>
      <c r="FU7" s="956" t="s">
        <v>135</v>
      </c>
      <c r="FV7" s="957"/>
      <c r="FW7" s="532" t="s">
        <v>400</v>
      </c>
      <c r="FX7" s="956" t="s">
        <v>135</v>
      </c>
      <c r="FY7" s="957"/>
      <c r="FZ7" s="532" t="s">
        <v>400</v>
      </c>
      <c r="GA7" s="956" t="s">
        <v>135</v>
      </c>
      <c r="GB7" s="957"/>
      <c r="GC7" s="532" t="s">
        <v>400</v>
      </c>
      <c r="GD7" s="956" t="s">
        <v>135</v>
      </c>
      <c r="GE7" s="957"/>
      <c r="GF7" s="532" t="s">
        <v>400</v>
      </c>
      <c r="GG7" s="956" t="s">
        <v>135</v>
      </c>
      <c r="GH7" s="957"/>
      <c r="GI7" s="532" t="s">
        <v>400</v>
      </c>
      <c r="GJ7" s="956" t="s">
        <v>135</v>
      </c>
      <c r="GK7" s="957"/>
      <c r="GL7" s="532" t="s">
        <v>400</v>
      </c>
      <c r="GM7" s="956" t="s">
        <v>135</v>
      </c>
      <c r="GN7" s="957"/>
      <c r="GO7" s="532" t="s">
        <v>400</v>
      </c>
      <c r="GP7" s="956" t="s">
        <v>135</v>
      </c>
      <c r="GQ7" s="957"/>
      <c r="GR7" s="532" t="s">
        <v>400</v>
      </c>
      <c r="GS7" s="956" t="s">
        <v>135</v>
      </c>
      <c r="GT7" s="957"/>
      <c r="GU7" s="532" t="s">
        <v>400</v>
      </c>
      <c r="GV7" s="956" t="s">
        <v>135</v>
      </c>
      <c r="GW7" s="957"/>
      <c r="GX7" s="532" t="s">
        <v>400</v>
      </c>
      <c r="GY7" s="956" t="s">
        <v>135</v>
      </c>
      <c r="GZ7" s="957"/>
      <c r="HA7" s="532" t="s">
        <v>400</v>
      </c>
      <c r="HB7" s="956" t="s">
        <v>135</v>
      </c>
      <c r="HC7" s="957"/>
      <c r="HD7" s="532" t="s">
        <v>400</v>
      </c>
      <c r="HE7" s="956" t="s">
        <v>135</v>
      </c>
      <c r="HF7" s="957"/>
      <c r="HG7" s="532" t="s">
        <v>400</v>
      </c>
      <c r="HH7" s="956" t="s">
        <v>135</v>
      </c>
      <c r="HI7" s="957"/>
      <c r="HJ7" s="532" t="s">
        <v>400</v>
      </c>
      <c r="HK7" s="956" t="s">
        <v>135</v>
      </c>
      <c r="HL7" s="957"/>
      <c r="HM7" s="532" t="s">
        <v>400</v>
      </c>
      <c r="HN7" s="956" t="s">
        <v>135</v>
      </c>
      <c r="HO7" s="957"/>
      <c r="HP7" s="532" t="s">
        <v>400</v>
      </c>
      <c r="HQ7" s="956" t="s">
        <v>135</v>
      </c>
      <c r="HR7" s="957"/>
      <c r="HS7" s="532" t="s">
        <v>400</v>
      </c>
      <c r="HT7" s="956" t="s">
        <v>135</v>
      </c>
      <c r="HU7" s="957"/>
      <c r="HV7" s="532" t="s">
        <v>400</v>
      </c>
      <c r="HW7" s="956" t="s">
        <v>135</v>
      </c>
      <c r="HX7" s="957"/>
      <c r="HY7" s="532" t="s">
        <v>400</v>
      </c>
      <c r="HZ7" s="956" t="s">
        <v>135</v>
      </c>
      <c r="IA7" s="957"/>
      <c r="IB7" s="532" t="s">
        <v>400</v>
      </c>
      <c r="IC7" s="956" t="s">
        <v>135</v>
      </c>
      <c r="ID7" s="957"/>
      <c r="IE7" s="532" t="s">
        <v>400</v>
      </c>
      <c r="IF7" s="956" t="s">
        <v>135</v>
      </c>
      <c r="IG7" s="957"/>
      <c r="IH7" s="532" t="s">
        <v>400</v>
      </c>
      <c r="II7" s="958" t="s">
        <v>135</v>
      </c>
      <c r="IJ7" s="958"/>
      <c r="IK7" s="537" t="s">
        <v>400</v>
      </c>
      <c r="IL7" s="956" t="s">
        <v>135</v>
      </c>
      <c r="IM7" s="957"/>
      <c r="IN7" s="532" t="s">
        <v>400</v>
      </c>
      <c r="IO7" s="956" t="s">
        <v>135</v>
      </c>
      <c r="IP7" s="957"/>
      <c r="IQ7" s="532" t="s">
        <v>400</v>
      </c>
      <c r="IR7" s="956" t="s">
        <v>135</v>
      </c>
      <c r="IS7" s="957"/>
      <c r="IT7" s="532" t="s">
        <v>400</v>
      </c>
      <c r="IU7" s="956" t="s">
        <v>135</v>
      </c>
      <c r="IV7" s="957"/>
      <c r="IW7" s="532" t="s">
        <v>400</v>
      </c>
      <c r="IX7" s="956" t="s">
        <v>135</v>
      </c>
      <c r="IY7" s="957"/>
      <c r="IZ7" s="532" t="s">
        <v>400</v>
      </c>
      <c r="JA7" s="956" t="s">
        <v>135</v>
      </c>
      <c r="JB7" s="957"/>
      <c r="JC7" s="532" t="s">
        <v>400</v>
      </c>
      <c r="JD7" s="956" t="s">
        <v>135</v>
      </c>
      <c r="JE7" s="957"/>
      <c r="JF7" s="532" t="s">
        <v>400</v>
      </c>
      <c r="JG7" s="956" t="s">
        <v>135</v>
      </c>
      <c r="JH7" s="957"/>
      <c r="JI7" s="532" t="s">
        <v>400</v>
      </c>
      <c r="JJ7" s="956" t="s">
        <v>135</v>
      </c>
      <c r="JK7" s="957"/>
      <c r="JL7" s="532" t="s">
        <v>400</v>
      </c>
      <c r="JM7" s="956" t="s">
        <v>135</v>
      </c>
      <c r="JN7" s="957"/>
      <c r="JO7" s="532" t="s">
        <v>400</v>
      </c>
      <c r="JP7" s="956" t="s">
        <v>135</v>
      </c>
      <c r="JQ7" s="957"/>
      <c r="JR7" s="532" t="s">
        <v>400</v>
      </c>
      <c r="JS7" s="956" t="s">
        <v>135</v>
      </c>
      <c r="JT7" s="957"/>
      <c r="JU7" s="532" t="s">
        <v>400</v>
      </c>
      <c r="JV7" s="956" t="s">
        <v>135</v>
      </c>
      <c r="JW7" s="957"/>
      <c r="JX7" s="532" t="s">
        <v>400</v>
      </c>
      <c r="JY7" s="956" t="s">
        <v>135</v>
      </c>
      <c r="JZ7" s="957"/>
      <c r="KA7" s="532" t="s">
        <v>400</v>
      </c>
      <c r="KB7" s="956" t="s">
        <v>135</v>
      </c>
      <c r="KC7" s="957"/>
      <c r="KD7" s="532" t="s">
        <v>400</v>
      </c>
      <c r="KE7" s="956" t="s">
        <v>135</v>
      </c>
      <c r="KF7" s="957"/>
      <c r="KG7" s="532" t="s">
        <v>400</v>
      </c>
      <c r="KH7" s="956" t="s">
        <v>135</v>
      </c>
      <c r="KI7" s="957"/>
      <c r="KJ7" s="532" t="s">
        <v>400</v>
      </c>
      <c r="KK7" s="956" t="s">
        <v>135</v>
      </c>
      <c r="KL7" s="957"/>
      <c r="KM7" s="532" t="s">
        <v>400</v>
      </c>
      <c r="KN7" s="956" t="s">
        <v>135</v>
      </c>
      <c r="KO7" s="957"/>
      <c r="KP7" s="532" t="s">
        <v>400</v>
      </c>
      <c r="KQ7" s="958" t="s">
        <v>135</v>
      </c>
      <c r="KR7" s="958"/>
      <c r="KS7" s="537" t="s">
        <v>400</v>
      </c>
      <c r="KT7" s="963"/>
      <c r="KU7" s="963"/>
    </row>
    <row r="8" spans="1:309" ht="15" customHeight="1" thickBot="1">
      <c r="A8" s="979"/>
      <c r="B8" s="970"/>
      <c r="C8" s="970"/>
      <c r="D8" s="976"/>
      <c r="E8" s="973"/>
      <c r="F8" s="533" t="s">
        <v>136</v>
      </c>
      <c r="G8" s="533" t="s">
        <v>40</v>
      </c>
      <c r="H8" s="534"/>
      <c r="I8" s="533" t="s">
        <v>136</v>
      </c>
      <c r="J8" s="533" t="s">
        <v>40</v>
      </c>
      <c r="K8" s="534"/>
      <c r="L8" s="533" t="s">
        <v>136</v>
      </c>
      <c r="M8" s="533" t="s">
        <v>40</v>
      </c>
      <c r="N8" s="534"/>
      <c r="O8" s="533" t="s">
        <v>136</v>
      </c>
      <c r="P8" s="533" t="s">
        <v>40</v>
      </c>
      <c r="Q8" s="534"/>
      <c r="R8" s="533" t="s">
        <v>136</v>
      </c>
      <c r="S8" s="533" t="s">
        <v>40</v>
      </c>
      <c r="T8" s="534"/>
      <c r="U8" s="533" t="s">
        <v>136</v>
      </c>
      <c r="V8" s="533" t="s">
        <v>40</v>
      </c>
      <c r="W8" s="534"/>
      <c r="X8" s="533" t="s">
        <v>136</v>
      </c>
      <c r="Y8" s="533" t="s">
        <v>40</v>
      </c>
      <c r="Z8" s="534"/>
      <c r="AA8" s="533" t="s">
        <v>136</v>
      </c>
      <c r="AB8" s="533" t="s">
        <v>40</v>
      </c>
      <c r="AC8" s="534"/>
      <c r="AD8" s="533" t="s">
        <v>136</v>
      </c>
      <c r="AE8" s="533" t="s">
        <v>40</v>
      </c>
      <c r="AF8" s="534"/>
      <c r="AG8" s="533" t="s">
        <v>136</v>
      </c>
      <c r="AH8" s="533" t="s">
        <v>40</v>
      </c>
      <c r="AI8" s="534"/>
      <c r="AJ8" s="533" t="s">
        <v>136</v>
      </c>
      <c r="AK8" s="533" t="s">
        <v>40</v>
      </c>
      <c r="AL8" s="534"/>
      <c r="AM8" s="533" t="s">
        <v>136</v>
      </c>
      <c r="AN8" s="533" t="s">
        <v>40</v>
      </c>
      <c r="AO8" s="534"/>
      <c r="AP8" s="533" t="s">
        <v>136</v>
      </c>
      <c r="AQ8" s="533" t="s">
        <v>40</v>
      </c>
      <c r="AR8" s="534"/>
      <c r="AS8" s="533" t="s">
        <v>136</v>
      </c>
      <c r="AT8" s="533" t="s">
        <v>40</v>
      </c>
      <c r="AU8" s="534"/>
      <c r="AV8" s="533" t="s">
        <v>136</v>
      </c>
      <c r="AW8" s="533" t="s">
        <v>40</v>
      </c>
      <c r="AX8" s="534"/>
      <c r="AY8" s="533" t="s">
        <v>136</v>
      </c>
      <c r="AZ8" s="533" t="s">
        <v>40</v>
      </c>
      <c r="BA8" s="534"/>
      <c r="BB8" s="533" t="s">
        <v>136</v>
      </c>
      <c r="BC8" s="533" t="s">
        <v>40</v>
      </c>
      <c r="BD8" s="534"/>
      <c r="BE8" s="533" t="s">
        <v>136</v>
      </c>
      <c r="BF8" s="533" t="s">
        <v>40</v>
      </c>
      <c r="BG8" s="534"/>
      <c r="BH8" s="533" t="s">
        <v>136</v>
      </c>
      <c r="BI8" s="533" t="s">
        <v>40</v>
      </c>
      <c r="BJ8" s="534"/>
      <c r="BK8" s="533" t="s">
        <v>136</v>
      </c>
      <c r="BL8" s="533" t="s">
        <v>40</v>
      </c>
      <c r="BM8" s="534"/>
      <c r="BN8" s="533" t="s">
        <v>136</v>
      </c>
      <c r="BO8" s="533" t="s">
        <v>40</v>
      </c>
      <c r="BP8" s="534"/>
      <c r="BQ8" s="533" t="s">
        <v>136</v>
      </c>
      <c r="BR8" s="533" t="s">
        <v>40</v>
      </c>
      <c r="BS8" s="534"/>
      <c r="BT8" s="533" t="s">
        <v>136</v>
      </c>
      <c r="BU8" s="533" t="s">
        <v>40</v>
      </c>
      <c r="BV8" s="534"/>
      <c r="BW8" s="533" t="s">
        <v>136</v>
      </c>
      <c r="BX8" s="533" t="s">
        <v>40</v>
      </c>
      <c r="BY8" s="534"/>
      <c r="BZ8" s="533" t="s">
        <v>136</v>
      </c>
      <c r="CA8" s="533" t="s">
        <v>40</v>
      </c>
      <c r="CB8" s="534"/>
      <c r="CC8" s="533" t="s">
        <v>136</v>
      </c>
      <c r="CD8" s="533" t="s">
        <v>40</v>
      </c>
      <c r="CE8" s="534"/>
      <c r="CF8" s="533" t="s">
        <v>136</v>
      </c>
      <c r="CG8" s="533" t="s">
        <v>40</v>
      </c>
      <c r="CH8" s="534"/>
      <c r="CI8" s="533" t="s">
        <v>136</v>
      </c>
      <c r="CJ8" s="533" t="s">
        <v>40</v>
      </c>
      <c r="CK8" s="534"/>
      <c r="CL8" s="533" t="s">
        <v>136</v>
      </c>
      <c r="CM8" s="533" t="s">
        <v>40</v>
      </c>
      <c r="CN8" s="534"/>
      <c r="CO8" s="533" t="s">
        <v>136</v>
      </c>
      <c r="CP8" s="533" t="s">
        <v>40</v>
      </c>
      <c r="CQ8" s="534"/>
      <c r="CR8" s="533" t="s">
        <v>136</v>
      </c>
      <c r="CS8" s="533" t="s">
        <v>40</v>
      </c>
      <c r="CT8" s="534"/>
      <c r="CU8" s="533" t="s">
        <v>136</v>
      </c>
      <c r="CV8" s="533" t="s">
        <v>40</v>
      </c>
      <c r="CW8" s="534"/>
      <c r="CX8" s="533" t="s">
        <v>136</v>
      </c>
      <c r="CY8" s="533" t="s">
        <v>40</v>
      </c>
      <c r="CZ8" s="534"/>
      <c r="DA8" s="533" t="s">
        <v>136</v>
      </c>
      <c r="DB8" s="533" t="s">
        <v>40</v>
      </c>
      <c r="DC8" s="534"/>
      <c r="DD8" s="533" t="s">
        <v>136</v>
      </c>
      <c r="DE8" s="533" t="s">
        <v>40</v>
      </c>
      <c r="DF8" s="534"/>
      <c r="DG8" s="533" t="s">
        <v>136</v>
      </c>
      <c r="DH8" s="533" t="s">
        <v>40</v>
      </c>
      <c r="DI8" s="534"/>
      <c r="DJ8" s="533" t="s">
        <v>136</v>
      </c>
      <c r="DK8" s="533" t="s">
        <v>40</v>
      </c>
      <c r="DL8" s="534"/>
      <c r="DM8" s="533" t="s">
        <v>136</v>
      </c>
      <c r="DN8" s="533" t="s">
        <v>40</v>
      </c>
      <c r="DO8" s="534"/>
      <c r="DP8" s="533" t="s">
        <v>136</v>
      </c>
      <c r="DQ8" s="533" t="s">
        <v>40</v>
      </c>
      <c r="DR8" s="534"/>
      <c r="DS8" s="533" t="s">
        <v>136</v>
      </c>
      <c r="DT8" s="533" t="s">
        <v>40</v>
      </c>
      <c r="DU8" s="534"/>
      <c r="DV8" s="533" t="s">
        <v>136</v>
      </c>
      <c r="DW8" s="533" t="s">
        <v>40</v>
      </c>
      <c r="DX8" s="534"/>
      <c r="DY8" s="533" t="s">
        <v>136</v>
      </c>
      <c r="DZ8" s="533" t="s">
        <v>40</v>
      </c>
      <c r="EA8" s="534"/>
      <c r="EB8" s="533" t="s">
        <v>136</v>
      </c>
      <c r="EC8" s="533" t="s">
        <v>40</v>
      </c>
      <c r="ED8" s="532"/>
      <c r="EE8" s="533" t="s">
        <v>136</v>
      </c>
      <c r="EF8" s="533" t="s">
        <v>40</v>
      </c>
      <c r="EG8" s="534"/>
      <c r="EH8" s="533" t="s">
        <v>136</v>
      </c>
      <c r="EI8" s="533" t="s">
        <v>40</v>
      </c>
      <c r="EJ8" s="534"/>
      <c r="EK8" s="533" t="s">
        <v>136</v>
      </c>
      <c r="EL8" s="533" t="s">
        <v>40</v>
      </c>
      <c r="EM8" s="534"/>
      <c r="EN8" s="533" t="s">
        <v>136</v>
      </c>
      <c r="EO8" s="533" t="s">
        <v>40</v>
      </c>
      <c r="EP8" s="534"/>
      <c r="EQ8" s="533" t="s">
        <v>136</v>
      </c>
      <c r="ER8" s="533" t="s">
        <v>40</v>
      </c>
      <c r="ES8" s="534"/>
      <c r="ET8" s="533" t="s">
        <v>136</v>
      </c>
      <c r="EU8" s="533" t="s">
        <v>40</v>
      </c>
      <c r="EV8" s="534"/>
      <c r="EW8" s="533" t="s">
        <v>136</v>
      </c>
      <c r="EX8" s="533" t="s">
        <v>40</v>
      </c>
      <c r="EY8" s="534"/>
      <c r="EZ8" s="533" t="s">
        <v>136</v>
      </c>
      <c r="FA8" s="533" t="s">
        <v>40</v>
      </c>
      <c r="FB8" s="534"/>
      <c r="FC8" s="533" t="s">
        <v>136</v>
      </c>
      <c r="FD8" s="533" t="s">
        <v>40</v>
      </c>
      <c r="FE8" s="534"/>
      <c r="FF8" s="533" t="s">
        <v>136</v>
      </c>
      <c r="FG8" s="533" t="s">
        <v>40</v>
      </c>
      <c r="FH8" s="534"/>
      <c r="FI8" s="533" t="s">
        <v>136</v>
      </c>
      <c r="FJ8" s="533" t="s">
        <v>40</v>
      </c>
      <c r="FK8" s="534"/>
      <c r="FL8" s="533" t="s">
        <v>136</v>
      </c>
      <c r="FM8" s="533" t="s">
        <v>40</v>
      </c>
      <c r="FN8" s="534"/>
      <c r="FO8" s="533" t="s">
        <v>136</v>
      </c>
      <c r="FP8" s="533" t="s">
        <v>40</v>
      </c>
      <c r="FQ8" s="534"/>
      <c r="FR8" s="533" t="s">
        <v>136</v>
      </c>
      <c r="FS8" s="533" t="s">
        <v>40</v>
      </c>
      <c r="FT8" s="534"/>
      <c r="FU8" s="533" t="s">
        <v>136</v>
      </c>
      <c r="FV8" s="533" t="s">
        <v>40</v>
      </c>
      <c r="FW8" s="534"/>
      <c r="FX8" s="533" t="s">
        <v>136</v>
      </c>
      <c r="FY8" s="533" t="s">
        <v>40</v>
      </c>
      <c r="FZ8" s="534"/>
      <c r="GA8" s="533" t="s">
        <v>136</v>
      </c>
      <c r="GB8" s="533" t="s">
        <v>40</v>
      </c>
      <c r="GC8" s="534"/>
      <c r="GD8" s="533" t="s">
        <v>136</v>
      </c>
      <c r="GE8" s="533" t="s">
        <v>40</v>
      </c>
      <c r="GF8" s="534"/>
      <c r="GG8" s="533" t="s">
        <v>136</v>
      </c>
      <c r="GH8" s="533" t="s">
        <v>40</v>
      </c>
      <c r="GI8" s="534"/>
      <c r="GJ8" s="533" t="s">
        <v>136</v>
      </c>
      <c r="GK8" s="533" t="s">
        <v>40</v>
      </c>
      <c r="GL8" s="534"/>
      <c r="GM8" s="533" t="s">
        <v>136</v>
      </c>
      <c r="GN8" s="533" t="s">
        <v>40</v>
      </c>
      <c r="GO8" s="534"/>
      <c r="GP8" s="533" t="s">
        <v>136</v>
      </c>
      <c r="GQ8" s="533" t="s">
        <v>40</v>
      </c>
      <c r="GR8" s="534"/>
      <c r="GS8" s="533" t="s">
        <v>136</v>
      </c>
      <c r="GT8" s="533" t="s">
        <v>40</v>
      </c>
      <c r="GU8" s="534"/>
      <c r="GV8" s="533" t="s">
        <v>136</v>
      </c>
      <c r="GW8" s="533" t="s">
        <v>40</v>
      </c>
      <c r="GX8" s="534"/>
      <c r="GY8" s="533" t="s">
        <v>136</v>
      </c>
      <c r="GZ8" s="533" t="s">
        <v>40</v>
      </c>
      <c r="HA8" s="534"/>
      <c r="HB8" s="533" t="s">
        <v>136</v>
      </c>
      <c r="HC8" s="533" t="s">
        <v>40</v>
      </c>
      <c r="HD8" s="534"/>
      <c r="HE8" s="533" t="s">
        <v>136</v>
      </c>
      <c r="HF8" s="533" t="s">
        <v>40</v>
      </c>
      <c r="HG8" s="534"/>
      <c r="HH8" s="533" t="s">
        <v>136</v>
      </c>
      <c r="HI8" s="533" t="s">
        <v>40</v>
      </c>
      <c r="HJ8" s="534"/>
      <c r="HK8" s="533" t="s">
        <v>136</v>
      </c>
      <c r="HL8" s="533" t="s">
        <v>40</v>
      </c>
      <c r="HM8" s="534"/>
      <c r="HN8" s="533" t="s">
        <v>136</v>
      </c>
      <c r="HO8" s="533" t="s">
        <v>40</v>
      </c>
      <c r="HP8" s="534"/>
      <c r="HQ8" s="533" t="s">
        <v>136</v>
      </c>
      <c r="HR8" s="533" t="s">
        <v>40</v>
      </c>
      <c r="HS8" s="534"/>
      <c r="HT8" s="533" t="s">
        <v>136</v>
      </c>
      <c r="HU8" s="533" t="s">
        <v>40</v>
      </c>
      <c r="HV8" s="534"/>
      <c r="HW8" s="533" t="s">
        <v>136</v>
      </c>
      <c r="HX8" s="533" t="s">
        <v>40</v>
      </c>
      <c r="HY8" s="534"/>
      <c r="HZ8" s="533" t="s">
        <v>136</v>
      </c>
      <c r="IA8" s="533" t="s">
        <v>40</v>
      </c>
      <c r="IB8" s="534"/>
      <c r="IC8" s="533" t="s">
        <v>136</v>
      </c>
      <c r="ID8" s="533" t="s">
        <v>40</v>
      </c>
      <c r="IE8" s="534"/>
      <c r="IF8" s="533" t="s">
        <v>136</v>
      </c>
      <c r="IG8" s="533" t="s">
        <v>40</v>
      </c>
      <c r="IH8" s="534"/>
      <c r="II8" s="533" t="s">
        <v>136</v>
      </c>
      <c r="IJ8" s="533" t="s">
        <v>40</v>
      </c>
      <c r="IK8" s="534"/>
      <c r="IL8" s="533" t="s">
        <v>136</v>
      </c>
      <c r="IM8" s="533" t="s">
        <v>40</v>
      </c>
      <c r="IN8" s="534"/>
      <c r="IO8" s="533" t="s">
        <v>136</v>
      </c>
      <c r="IP8" s="533" t="s">
        <v>40</v>
      </c>
      <c r="IQ8" s="534"/>
      <c r="IR8" s="533" t="s">
        <v>136</v>
      </c>
      <c r="IS8" s="533" t="s">
        <v>40</v>
      </c>
      <c r="IT8" s="534"/>
      <c r="IU8" s="533" t="s">
        <v>136</v>
      </c>
      <c r="IV8" s="533" t="s">
        <v>40</v>
      </c>
      <c r="IW8" s="534"/>
      <c r="IX8" s="533" t="s">
        <v>136</v>
      </c>
      <c r="IY8" s="533" t="s">
        <v>40</v>
      </c>
      <c r="IZ8" s="534"/>
      <c r="JA8" s="533" t="s">
        <v>136</v>
      </c>
      <c r="JB8" s="533" t="s">
        <v>40</v>
      </c>
      <c r="JC8" s="534"/>
      <c r="JD8" s="533" t="s">
        <v>136</v>
      </c>
      <c r="JE8" s="533" t="s">
        <v>40</v>
      </c>
      <c r="JF8" s="534"/>
      <c r="JG8" s="533" t="s">
        <v>136</v>
      </c>
      <c r="JH8" s="533" t="s">
        <v>40</v>
      </c>
      <c r="JI8" s="534"/>
      <c r="JJ8" s="533" t="s">
        <v>136</v>
      </c>
      <c r="JK8" s="533" t="s">
        <v>40</v>
      </c>
      <c r="JL8" s="534" t="s">
        <v>419</v>
      </c>
      <c r="JM8" s="533" t="s">
        <v>136</v>
      </c>
      <c r="JN8" s="533" t="s">
        <v>40</v>
      </c>
      <c r="JO8" s="534" t="s">
        <v>419</v>
      </c>
      <c r="JP8" s="533" t="s">
        <v>136</v>
      </c>
      <c r="JQ8" s="533" t="s">
        <v>40</v>
      </c>
      <c r="JR8" s="534" t="s">
        <v>419</v>
      </c>
      <c r="JS8" s="533" t="s">
        <v>136</v>
      </c>
      <c r="JT8" s="533" t="s">
        <v>40</v>
      </c>
      <c r="JU8" s="534" t="s">
        <v>419</v>
      </c>
      <c r="JV8" s="533" t="s">
        <v>136</v>
      </c>
      <c r="JW8" s="533" t="s">
        <v>40</v>
      </c>
      <c r="JX8" s="534" t="s">
        <v>419</v>
      </c>
      <c r="JY8" s="533" t="s">
        <v>136</v>
      </c>
      <c r="JZ8" s="533" t="s">
        <v>40</v>
      </c>
      <c r="KA8" s="534" t="s">
        <v>419</v>
      </c>
      <c r="KB8" s="533" t="s">
        <v>136</v>
      </c>
      <c r="KC8" s="533" t="s">
        <v>40</v>
      </c>
      <c r="KD8" s="534" t="s">
        <v>419</v>
      </c>
      <c r="KE8" s="533" t="s">
        <v>136</v>
      </c>
      <c r="KF8" s="533" t="s">
        <v>40</v>
      </c>
      <c r="KG8" s="534" t="s">
        <v>419</v>
      </c>
      <c r="KH8" s="533" t="s">
        <v>136</v>
      </c>
      <c r="KI8" s="533" t="s">
        <v>40</v>
      </c>
      <c r="KJ8" s="534" t="s">
        <v>419</v>
      </c>
      <c r="KK8" s="533" t="s">
        <v>136</v>
      </c>
      <c r="KL8" s="533" t="s">
        <v>40</v>
      </c>
      <c r="KM8" s="534" t="s">
        <v>419</v>
      </c>
      <c r="KN8" s="533" t="s">
        <v>136</v>
      </c>
      <c r="KO8" s="533" t="s">
        <v>40</v>
      </c>
      <c r="KP8" s="534" t="s">
        <v>419</v>
      </c>
      <c r="KQ8" s="533" t="s">
        <v>136</v>
      </c>
      <c r="KR8" s="533" t="s">
        <v>40</v>
      </c>
      <c r="KS8" s="534" t="s">
        <v>419</v>
      </c>
      <c r="KT8" s="963"/>
      <c r="KU8" s="963"/>
    </row>
    <row r="9" spans="1:309" ht="15" customHeight="1">
      <c r="A9" s="276">
        <f>+Report1!A9</f>
        <v>45870</v>
      </c>
      <c r="B9" s="277" t="str">
        <f>+Report1!B9</f>
        <v>Facial</v>
      </c>
      <c r="C9" s="417" t="str">
        <f>+Report1!C9</f>
        <v>13,5</v>
      </c>
      <c r="D9" s="278">
        <f>+Report1!P9</f>
        <v>10.018000000000001</v>
      </c>
      <c r="E9" s="279">
        <f>+Report1!R9</f>
        <v>7.7140000000000004</v>
      </c>
      <c r="F9" s="538"/>
      <c r="G9" s="539">
        <f t="shared" ref="G9:G39" si="0">+F9/$E9</f>
        <v>0</v>
      </c>
      <c r="H9" s="540">
        <f>+F9*$H$8</f>
        <v>0</v>
      </c>
      <c r="I9" s="538">
        <v>34.883720930232585</v>
      </c>
      <c r="J9" s="539">
        <f t="shared" ref="J9:J39" si="1">+I9/$E9</f>
        <v>4.5221313106342471</v>
      </c>
      <c r="K9" s="540">
        <f>+I9*$H$8</f>
        <v>0</v>
      </c>
      <c r="L9" s="538"/>
      <c r="M9" s="539">
        <f t="shared" ref="M9:M39" si="2">+L9/$E9</f>
        <v>0</v>
      </c>
      <c r="N9" s="540">
        <f>+L9*$H$8</f>
        <v>0</v>
      </c>
      <c r="O9" s="538">
        <v>9</v>
      </c>
      <c r="P9" s="539">
        <f t="shared" ref="P9:P39" si="3">+O9/$E9</f>
        <v>1.1667098781436349</v>
      </c>
      <c r="Q9" s="540">
        <f>+O9*$H$8</f>
        <v>0</v>
      </c>
      <c r="R9" s="538"/>
      <c r="S9" s="539">
        <f t="shared" ref="S9:S39" si="4">+R9/$E9</f>
        <v>0</v>
      </c>
      <c r="T9" s="540">
        <f>+R9*$H$8</f>
        <v>0</v>
      </c>
      <c r="U9" s="538">
        <v>7.6875000000000142</v>
      </c>
      <c r="V9" s="539">
        <f t="shared" ref="V9:V39" si="5">+U9/$E9</f>
        <v>0.99656468758102335</v>
      </c>
      <c r="W9" s="540">
        <f>+U9*$H$8</f>
        <v>0</v>
      </c>
      <c r="X9" s="538"/>
      <c r="Y9" s="539">
        <f t="shared" ref="Y9:Y39" si="6">+X9/$E9</f>
        <v>0</v>
      </c>
      <c r="Z9" s="540">
        <f>+X9*$H$8</f>
        <v>0</v>
      </c>
      <c r="AA9" s="538"/>
      <c r="AB9" s="539">
        <f t="shared" ref="AB9:AB39" si="7">+AA9/$E9</f>
        <v>0</v>
      </c>
      <c r="AC9" s="540">
        <f>+AA9*$H$8</f>
        <v>0</v>
      </c>
      <c r="AD9" s="538"/>
      <c r="AE9" s="539">
        <f t="shared" ref="AE9:AE39" si="8">+AD9/$E9</f>
        <v>0</v>
      </c>
      <c r="AF9" s="540">
        <f>+AD9*$H$8</f>
        <v>0</v>
      </c>
      <c r="AG9" s="538"/>
      <c r="AH9" s="539">
        <f t="shared" ref="AH9:AH39" si="9">+AG9/$E9</f>
        <v>0</v>
      </c>
      <c r="AI9" s="540">
        <f>+AG9*$H$8</f>
        <v>0</v>
      </c>
      <c r="AJ9" s="538">
        <v>0</v>
      </c>
      <c r="AK9" s="539">
        <f t="shared" ref="AK9:AK39" si="10">+AJ9/$E9</f>
        <v>0</v>
      </c>
      <c r="AL9" s="540">
        <f>+AJ9*$H$8</f>
        <v>0</v>
      </c>
      <c r="AM9" s="538">
        <v>0</v>
      </c>
      <c r="AN9" s="539">
        <f t="shared" ref="AN9:AN39" si="11">+AM9/$E9</f>
        <v>0</v>
      </c>
      <c r="AO9" s="540">
        <f>+AM9*$H$8</f>
        <v>0</v>
      </c>
      <c r="AP9" s="538">
        <v>11.392405063291164</v>
      </c>
      <c r="AQ9" s="539">
        <f t="shared" ref="AQ9:AQ39" si="12">+AP9/$E9</f>
        <v>1.4768479470172626</v>
      </c>
      <c r="AR9" s="540">
        <f>+AP9*$H$8</f>
        <v>0</v>
      </c>
      <c r="AS9" s="538"/>
      <c r="AT9" s="539">
        <f t="shared" ref="AT9:AT39" si="13">+AS9/$E9</f>
        <v>0</v>
      </c>
      <c r="AU9" s="540">
        <f>+AS9*$H$8</f>
        <v>0</v>
      </c>
      <c r="AV9" s="538">
        <v>0</v>
      </c>
      <c r="AW9" s="539">
        <f t="shared" ref="AW9:AW39" si="14">+AV9/$E9</f>
        <v>0</v>
      </c>
      <c r="AX9" s="540">
        <f>+AV9*$H$8</f>
        <v>0</v>
      </c>
      <c r="AY9" s="538">
        <v>21</v>
      </c>
      <c r="AZ9" s="539">
        <f t="shared" ref="AZ9:AZ39" si="15">+AY9/$E9</f>
        <v>2.7223230490018149</v>
      </c>
      <c r="BA9" s="540">
        <f>+AY9*$H$8</f>
        <v>0</v>
      </c>
      <c r="BB9" s="538">
        <v>0</v>
      </c>
      <c r="BC9" s="539">
        <f t="shared" ref="BC9:BC39" si="16">+BB9/$E9</f>
        <v>0</v>
      </c>
      <c r="BD9" s="540">
        <f>+BB9*$H$8</f>
        <v>0</v>
      </c>
      <c r="BE9" s="538"/>
      <c r="BF9" s="539">
        <f t="shared" ref="BF9:BF39" si="17">+BE9/$E9</f>
        <v>0</v>
      </c>
      <c r="BG9" s="540">
        <f>+BE9*$H$8</f>
        <v>0</v>
      </c>
      <c r="BH9" s="538"/>
      <c r="BI9" s="539">
        <f t="shared" ref="BI9:BI39" si="18">+BH9/$E9</f>
        <v>0</v>
      </c>
      <c r="BJ9" s="540">
        <f>+BH9*$H$8</f>
        <v>0</v>
      </c>
      <c r="BK9" s="538"/>
      <c r="BL9" s="539">
        <f t="shared" ref="BL9:BL39" si="19">+BK9/$E9</f>
        <v>0</v>
      </c>
      <c r="BM9" s="540">
        <f>+BK9*$H$8</f>
        <v>0</v>
      </c>
      <c r="BN9" s="538">
        <v>2.5308641975308674</v>
      </c>
      <c r="BO9" s="539">
        <f t="shared" ref="BO9:BO39" si="20">+BN9/$E9</f>
        <v>0.32808713994436961</v>
      </c>
      <c r="BP9" s="540">
        <f>+BN9*$H$8</f>
        <v>0</v>
      </c>
      <c r="BQ9" s="538">
        <v>0</v>
      </c>
      <c r="BR9" s="539">
        <f t="shared" ref="BR9:BR39" si="21">+BQ9/$E9</f>
        <v>0</v>
      </c>
      <c r="BS9" s="540">
        <f>+BQ9*$H$8</f>
        <v>0</v>
      </c>
      <c r="BT9" s="538"/>
      <c r="BU9" s="539">
        <f t="shared" ref="BU9:BU39" si="22">+BT9/$E9</f>
        <v>0</v>
      </c>
      <c r="BV9" s="540">
        <f>+BT9*$H$8</f>
        <v>0</v>
      </c>
      <c r="BW9" s="538">
        <v>0</v>
      </c>
      <c r="BX9" s="539">
        <f t="shared" ref="BX9:BX39" si="23">+BW9/$E9</f>
        <v>0</v>
      </c>
      <c r="BY9" s="540">
        <f>+BW9*$H$8</f>
        <v>0</v>
      </c>
      <c r="BZ9" s="538">
        <v>698.69506976744151</v>
      </c>
      <c r="CA9" s="539">
        <f t="shared" ref="CA9:CA39" si="24">+BZ9/$E9</f>
        <v>90.57493774532557</v>
      </c>
      <c r="CB9" s="540">
        <f>+BZ9*$H$8</f>
        <v>0</v>
      </c>
      <c r="CC9" s="538">
        <v>0</v>
      </c>
      <c r="CD9" s="539">
        <f t="shared" ref="CD9:CD39" si="25">+CC9/$E9</f>
        <v>0</v>
      </c>
      <c r="CE9" s="540">
        <f>+CC9*$H$8</f>
        <v>0</v>
      </c>
      <c r="CF9" s="538">
        <v>9.9999999999999978E-2</v>
      </c>
      <c r="CG9" s="539">
        <f t="shared" ref="CG9:CG39" si="26">+CF9/$E9</f>
        <v>1.296344309048483E-2</v>
      </c>
      <c r="CH9" s="540">
        <f>+CF9*$H$8</f>
        <v>0</v>
      </c>
      <c r="CI9" s="538">
        <v>0</v>
      </c>
      <c r="CJ9" s="539">
        <f t="shared" ref="CJ9:CJ39" si="27">+CI9/$E9</f>
        <v>0</v>
      </c>
      <c r="CK9" s="540">
        <f>+CI9*$H$8</f>
        <v>0</v>
      </c>
      <c r="CL9" s="538"/>
      <c r="CM9" s="539">
        <f t="shared" ref="CM9:CM39" si="28">+CL9/$E9</f>
        <v>0</v>
      </c>
      <c r="CN9" s="540">
        <f>+CL9*$H$8</f>
        <v>0</v>
      </c>
      <c r="CO9" s="538"/>
      <c r="CP9" s="539">
        <f t="shared" ref="CP9:CP39" si="29">+CO9/$E9</f>
        <v>0</v>
      </c>
      <c r="CQ9" s="540">
        <f>+CO9*$H$8</f>
        <v>0</v>
      </c>
      <c r="CR9" s="538"/>
      <c r="CS9" s="539">
        <f t="shared" ref="CS9:CS39" si="30">+CR9/$E9</f>
        <v>0</v>
      </c>
      <c r="CT9" s="540">
        <f>+CR9*$H$8</f>
        <v>0</v>
      </c>
      <c r="CU9" s="538"/>
      <c r="CV9" s="539">
        <f t="shared" ref="CV9:CV39" si="31">+CU9/$E9</f>
        <v>0</v>
      </c>
      <c r="CW9" s="540">
        <f>+CU9*$H$8</f>
        <v>0</v>
      </c>
      <c r="CX9" s="538"/>
      <c r="CY9" s="539">
        <f t="shared" ref="CY9:CY39" si="32">+CX9/$E9</f>
        <v>0</v>
      </c>
      <c r="CZ9" s="540">
        <f>+CX9*$H$8</f>
        <v>0</v>
      </c>
      <c r="DA9" s="538"/>
      <c r="DB9" s="539">
        <f t="shared" ref="DB9:DB39" si="33">+DA9/$E9</f>
        <v>0</v>
      </c>
      <c r="DC9" s="540">
        <f>+DA9*$H$8</f>
        <v>0</v>
      </c>
      <c r="DD9" s="538"/>
      <c r="DE9" s="539">
        <f t="shared" ref="DE9:DE39" si="34">+DD9/$E9</f>
        <v>0</v>
      </c>
      <c r="DF9" s="540">
        <f>+DD9*$H$8</f>
        <v>0</v>
      </c>
      <c r="DG9" s="538">
        <v>0</v>
      </c>
      <c r="DH9" s="539">
        <f t="shared" ref="DH9:DH39" si="35">+DG9/$E9</f>
        <v>0</v>
      </c>
      <c r="DI9" s="540">
        <v>0</v>
      </c>
      <c r="DJ9" s="538"/>
      <c r="DK9" s="539">
        <f t="shared" ref="DK9:DK39" si="36">+DJ9/$E9</f>
        <v>0</v>
      </c>
      <c r="DL9" s="540">
        <f>+DJ9*$H$8</f>
        <v>0</v>
      </c>
      <c r="DM9" s="538"/>
      <c r="DN9" s="539">
        <f t="shared" ref="DN9:DN39" si="37">+DM9/$E9</f>
        <v>0</v>
      </c>
      <c r="DO9" s="540">
        <f>+DM9*$H$8</f>
        <v>0</v>
      </c>
      <c r="DP9" s="538"/>
      <c r="DQ9" s="539">
        <f t="shared" ref="DQ9:DQ39" si="38">+DP9/$E9</f>
        <v>0</v>
      </c>
      <c r="DR9" s="540">
        <f>+DP9*$H$8</f>
        <v>0</v>
      </c>
      <c r="DS9" s="538"/>
      <c r="DT9" s="539">
        <f t="shared" ref="DT9:DT39" si="39">+DS9/$E9</f>
        <v>0</v>
      </c>
      <c r="DU9" s="540">
        <f>+DS9*$H$8</f>
        <v>0</v>
      </c>
      <c r="DV9" s="538"/>
      <c r="DW9" s="539">
        <f t="shared" ref="DW9:DW39" si="40">+DV9/$E9</f>
        <v>0</v>
      </c>
      <c r="DX9" s="540">
        <f>+DV9*$H$8</f>
        <v>0</v>
      </c>
      <c r="DY9" s="538"/>
      <c r="DZ9" s="539">
        <f t="shared" ref="DZ9:DZ39" si="41">+DY9/$E9</f>
        <v>0</v>
      </c>
      <c r="EA9" s="540">
        <f>+DY9*$H$8</f>
        <v>0</v>
      </c>
      <c r="EB9" s="538">
        <v>14.534883720930225</v>
      </c>
      <c r="EC9" s="539">
        <f t="shared" ref="EC9:EC39" si="42">+EB9/$E9</f>
        <v>1.8842213794309339</v>
      </c>
      <c r="ED9" s="540">
        <f>+EB9*$H$8</f>
        <v>0</v>
      </c>
      <c r="EE9" s="538">
        <v>1</v>
      </c>
      <c r="EF9" s="539">
        <f t="shared" ref="EF9:EF39" si="43">+EE9/$E9</f>
        <v>0.12963443090484833</v>
      </c>
      <c r="EG9" s="540">
        <f>+EE9*$H$8</f>
        <v>0</v>
      </c>
      <c r="EH9" s="538"/>
      <c r="EI9" s="539">
        <f t="shared" ref="EI9:EI39" si="44">+EH9/$E9</f>
        <v>0</v>
      </c>
      <c r="EJ9" s="540">
        <f>+EH9*$H$8</f>
        <v>0</v>
      </c>
      <c r="EK9" s="538"/>
      <c r="EL9" s="539">
        <f t="shared" ref="EL9:EL39" si="45">+EK9/$E9</f>
        <v>0</v>
      </c>
      <c r="EM9" s="540">
        <f>+EK9*$H$8</f>
        <v>0</v>
      </c>
      <c r="EN9" s="538"/>
      <c r="EO9" s="539">
        <f t="shared" ref="EO9:EO39" si="46">+EN9/$E9</f>
        <v>0</v>
      </c>
      <c r="EP9" s="540">
        <f>+EN9*$H$8</f>
        <v>0</v>
      </c>
      <c r="EQ9" s="538"/>
      <c r="ER9" s="539">
        <f t="shared" ref="ER9:ER39" si="47">+EQ9/$E9</f>
        <v>0</v>
      </c>
      <c r="ES9" s="540">
        <f>+EQ9*$H$8</f>
        <v>0</v>
      </c>
      <c r="ET9" s="538"/>
      <c r="EU9" s="539">
        <f t="shared" ref="EU9:EU39" si="48">+ET9/$E9</f>
        <v>0</v>
      </c>
      <c r="EV9" s="540">
        <f>+ET9*$H$8</f>
        <v>0</v>
      </c>
      <c r="EW9" s="538"/>
      <c r="EX9" s="539">
        <f t="shared" ref="EX9:EX39" si="49">+EW9/$E9</f>
        <v>0</v>
      </c>
      <c r="EY9" s="540">
        <f>+EW9*$H$8</f>
        <v>0</v>
      </c>
      <c r="EZ9" s="538"/>
      <c r="FA9" s="539">
        <f t="shared" ref="FA9:FA39" si="50">+EZ9/$E9</f>
        <v>0</v>
      </c>
      <c r="FB9" s="540">
        <f>+EZ9*$H$8</f>
        <v>0</v>
      </c>
      <c r="FC9" s="538"/>
      <c r="FD9" s="539">
        <f t="shared" ref="FD9:FD39" si="51">+FC9/$E9</f>
        <v>0</v>
      </c>
      <c r="FE9" s="540">
        <f>+FC9*$H$8</f>
        <v>0</v>
      </c>
      <c r="FF9" s="538"/>
      <c r="FG9" s="539">
        <f t="shared" ref="FG9:FG39" si="52">+FF9/$E9</f>
        <v>0</v>
      </c>
      <c r="FH9" s="540">
        <f>+FF9*$H$8</f>
        <v>0</v>
      </c>
      <c r="FI9" s="538"/>
      <c r="FJ9" s="539">
        <f t="shared" ref="FJ9:FJ39" si="53">+FI9/$E9</f>
        <v>0</v>
      </c>
      <c r="FK9" s="540">
        <f>+FI9*$H$8</f>
        <v>0</v>
      </c>
      <c r="FL9" s="538"/>
      <c r="FM9" s="539">
        <f t="shared" ref="FM9:FM39" si="54">+FL9/$E9</f>
        <v>0</v>
      </c>
      <c r="FN9" s="540">
        <f>+FL9*$H$8</f>
        <v>0</v>
      </c>
      <c r="FO9" s="538"/>
      <c r="FP9" s="539">
        <f t="shared" ref="FP9:FP39" si="55">+FO9/$E9</f>
        <v>0</v>
      </c>
      <c r="FQ9" s="540">
        <f>+FO9*$H$8</f>
        <v>0</v>
      </c>
      <c r="FR9" s="538"/>
      <c r="FS9" s="539">
        <f t="shared" ref="FS9:FS39" si="56">+FR9/$E9</f>
        <v>0</v>
      </c>
      <c r="FT9" s="540">
        <f>+FR9*$H$8</f>
        <v>0</v>
      </c>
      <c r="FU9" s="538"/>
      <c r="FV9" s="539">
        <f t="shared" ref="FV9:FV39" si="57">+FU9/$E9</f>
        <v>0</v>
      </c>
      <c r="FW9" s="540">
        <f>+FU9*$H$8</f>
        <v>0</v>
      </c>
      <c r="FX9" s="538"/>
      <c r="FY9" s="539">
        <f t="shared" ref="FY9:FY39" si="58">+FX9/$E9</f>
        <v>0</v>
      </c>
      <c r="FZ9" s="540">
        <f>+FX9*$H$8</f>
        <v>0</v>
      </c>
      <c r="GA9" s="538"/>
      <c r="GB9" s="539">
        <f t="shared" ref="GB9:GB39" si="59">+GA9/$E9</f>
        <v>0</v>
      </c>
      <c r="GC9" s="540">
        <f>+GA9*$H$8</f>
        <v>0</v>
      </c>
      <c r="GD9" s="538"/>
      <c r="GE9" s="539">
        <f t="shared" ref="GE9:GE39" si="60">+GD9/$E9</f>
        <v>0</v>
      </c>
      <c r="GF9" s="540">
        <f>+GD9*$H$8</f>
        <v>0</v>
      </c>
      <c r="GG9" s="538"/>
      <c r="GH9" s="539">
        <f t="shared" ref="GH9:GH39" si="61">+GG9/$E9</f>
        <v>0</v>
      </c>
      <c r="GI9" s="540">
        <f>+GG9*$H$8</f>
        <v>0</v>
      </c>
      <c r="GJ9" s="538"/>
      <c r="GK9" s="539">
        <f t="shared" ref="GK9:GK39" si="62">+GJ9/$E9</f>
        <v>0</v>
      </c>
      <c r="GL9" s="540">
        <f>+GJ9*$H$8</f>
        <v>0</v>
      </c>
      <c r="GM9" s="538"/>
      <c r="GN9" s="539">
        <f t="shared" ref="GN9:GN39" si="63">+GM9/$E9</f>
        <v>0</v>
      </c>
      <c r="GO9" s="540">
        <f>+GM9*$H$8</f>
        <v>0</v>
      </c>
      <c r="GP9" s="538"/>
      <c r="GQ9" s="539">
        <f t="shared" ref="GQ9:GQ39" si="64">+GP9/$E9</f>
        <v>0</v>
      </c>
      <c r="GR9" s="540">
        <f>+GP9*$H$8</f>
        <v>0</v>
      </c>
      <c r="GS9" s="538"/>
      <c r="GT9" s="539">
        <f t="shared" ref="GT9:GT39" si="65">+GS9/$E9</f>
        <v>0</v>
      </c>
      <c r="GU9" s="540">
        <f>+GS9*$H$8</f>
        <v>0</v>
      </c>
      <c r="GV9" s="538"/>
      <c r="GW9" s="539">
        <f t="shared" ref="GW9:GW39" si="66">+GV9/$E9</f>
        <v>0</v>
      </c>
      <c r="GX9" s="540">
        <f>+GV9*$H$8</f>
        <v>0</v>
      </c>
      <c r="GY9" s="538"/>
      <c r="GZ9" s="539">
        <f t="shared" ref="GZ9:GZ39" si="67">+GY9/$E9</f>
        <v>0</v>
      </c>
      <c r="HA9" s="540">
        <f>+GY9*$H$8</f>
        <v>0</v>
      </c>
      <c r="HB9" s="538"/>
      <c r="HC9" s="539">
        <f t="shared" ref="HC9:HC39" si="68">+HB9/$E9</f>
        <v>0</v>
      </c>
      <c r="HD9" s="540">
        <f>+HB9*$H$8</f>
        <v>0</v>
      </c>
      <c r="HE9" s="538"/>
      <c r="HF9" s="539">
        <f t="shared" ref="HF9:HF39" si="69">+HE9/$E9</f>
        <v>0</v>
      </c>
      <c r="HG9" s="540">
        <f>+HE9*$H$8</f>
        <v>0</v>
      </c>
      <c r="HH9" s="538"/>
      <c r="HI9" s="539">
        <f t="shared" ref="HI9:HI39" si="70">+HH9/$E9</f>
        <v>0</v>
      </c>
      <c r="HJ9" s="540">
        <f>+HH9*$H$8</f>
        <v>0</v>
      </c>
      <c r="HK9" s="538"/>
      <c r="HL9" s="539">
        <f t="shared" ref="HL9:HL39" si="71">+HK9/$E9</f>
        <v>0</v>
      </c>
      <c r="HM9" s="540">
        <f>+HK9*$H$8</f>
        <v>0</v>
      </c>
      <c r="HN9" s="538"/>
      <c r="HO9" s="539">
        <f t="shared" ref="HO9:HO39" si="72">+HN9/$E9</f>
        <v>0</v>
      </c>
      <c r="HP9" s="540">
        <f>+HN9*$H$8</f>
        <v>0</v>
      </c>
      <c r="HQ9" s="538"/>
      <c r="HR9" s="539">
        <f t="shared" ref="HR9:HR39" si="73">+HQ9/$E9</f>
        <v>0</v>
      </c>
      <c r="HS9" s="540">
        <f>+HQ9*$H$8</f>
        <v>0</v>
      </c>
      <c r="HT9" s="538"/>
      <c r="HU9" s="539">
        <f t="shared" ref="HU9:HU39" si="74">+HT9/$E9</f>
        <v>0</v>
      </c>
      <c r="HV9" s="540">
        <f>+HT9*$H$8</f>
        <v>0</v>
      </c>
      <c r="HW9" s="538"/>
      <c r="HX9" s="539">
        <f t="shared" ref="HX9:HX39" si="75">+HW9/$E9</f>
        <v>0</v>
      </c>
      <c r="HY9" s="540">
        <f>+HW9*$H$8</f>
        <v>0</v>
      </c>
      <c r="HZ9" s="538"/>
      <c r="IA9" s="539">
        <f t="shared" ref="IA9:IA39" si="76">+HZ9/$E9</f>
        <v>0</v>
      </c>
      <c r="IB9" s="540">
        <f>+HZ9*$H$8</f>
        <v>0</v>
      </c>
      <c r="IC9" s="538"/>
      <c r="ID9" s="539">
        <f t="shared" ref="ID9:ID39" si="77">+IC9/$E9</f>
        <v>0</v>
      </c>
      <c r="IE9" s="540">
        <f>+IC9*$H$8</f>
        <v>0</v>
      </c>
      <c r="IF9" s="538"/>
      <c r="IG9" s="539">
        <f t="shared" ref="IG9:IG39" si="78">+IF9/$E9</f>
        <v>0</v>
      </c>
      <c r="IH9" s="540">
        <f>+IF9*$H$8</f>
        <v>0</v>
      </c>
      <c r="II9" s="538"/>
      <c r="IJ9" s="539">
        <f t="shared" ref="IJ9:IJ39" si="79">+II9/$E9</f>
        <v>0</v>
      </c>
      <c r="IK9" s="540">
        <f>+II9*$H$8</f>
        <v>0</v>
      </c>
      <c r="IL9" s="538"/>
      <c r="IM9" s="539">
        <f t="shared" ref="IM9:IM39" si="80">+IL9/$E9</f>
        <v>0</v>
      </c>
      <c r="IN9" s="540">
        <f>+IL9*$H$8</f>
        <v>0</v>
      </c>
      <c r="IO9" s="538"/>
      <c r="IP9" s="539">
        <f t="shared" ref="IP9:IP39" si="81">+IO9/$E9</f>
        <v>0</v>
      </c>
      <c r="IQ9" s="540">
        <f>+IO9*$H$8</f>
        <v>0</v>
      </c>
      <c r="IR9" s="538"/>
      <c r="IS9" s="539">
        <f t="shared" ref="IS9:IS39" si="82">+IR9/$E9</f>
        <v>0</v>
      </c>
      <c r="IT9" s="540">
        <f>+IR9*$H$8</f>
        <v>0</v>
      </c>
      <c r="IU9" s="538"/>
      <c r="IV9" s="539">
        <f t="shared" ref="IV9:IV39" si="83">+IU9/$E9</f>
        <v>0</v>
      </c>
      <c r="IW9" s="540">
        <f>+IU9*$H$8</f>
        <v>0</v>
      </c>
      <c r="IX9" s="538"/>
      <c r="IY9" s="539">
        <f t="shared" ref="IY9:IY39" si="84">+IX9/$E9</f>
        <v>0</v>
      </c>
      <c r="IZ9" s="540">
        <f>+IX9*$H$8</f>
        <v>0</v>
      </c>
      <c r="JA9" s="538"/>
      <c r="JB9" s="539">
        <f t="shared" ref="JB9:JB39" si="85">+JA9/$E9</f>
        <v>0</v>
      </c>
      <c r="JC9" s="540">
        <f>+JA9*$H$8</f>
        <v>0</v>
      </c>
      <c r="JD9" s="538"/>
      <c r="JE9" s="539">
        <f t="shared" ref="JE9:JE39" si="86">+JD9/$E9</f>
        <v>0</v>
      </c>
      <c r="JF9" s="540">
        <f>+JD9*$H$8</f>
        <v>0</v>
      </c>
      <c r="JG9" s="538"/>
      <c r="JH9" s="539">
        <f t="shared" ref="JH9:JH39" si="87">+JG9/$E9</f>
        <v>0</v>
      </c>
      <c r="JI9" s="540">
        <f>+JG9*$H$8</f>
        <v>0</v>
      </c>
      <c r="JJ9" s="538"/>
      <c r="JK9" s="540" t="str">
        <f t="shared" ref="JK9:JK39" si="88">IFERROR((JJ9/$L9),"0")</f>
        <v>0</v>
      </c>
      <c r="JL9" s="540" t="str">
        <f t="shared" ref="JL9:JL39" si="89">IFERROR(((JJ9*JL$8)/$L9),"0")</f>
        <v>0</v>
      </c>
      <c r="JM9" s="538"/>
      <c r="JN9" s="540" t="str">
        <f t="shared" ref="JN9:JN39" si="90">IFERROR((JM9/$L9),"0")</f>
        <v>0</v>
      </c>
      <c r="JO9" s="540" t="str">
        <f t="shared" ref="JO9:JO39" si="91">IFERROR(((JM9*JO$8)/$L9),"0")</f>
        <v>0</v>
      </c>
      <c r="JP9" s="538"/>
      <c r="JQ9" s="540" t="str">
        <f t="shared" ref="JQ9:JQ39" si="92">IFERROR((JP9/$L9),"0")</f>
        <v>0</v>
      </c>
      <c r="JR9" s="540" t="str">
        <f t="shared" ref="JR9:JR39" si="93">IFERROR(((JP9*JR$8)/$L9),"0")</f>
        <v>0</v>
      </c>
      <c r="JS9" s="538"/>
      <c r="JT9" s="540" t="str">
        <f t="shared" ref="JT9:JT39" si="94">IFERROR((JS9/$L9),"0")</f>
        <v>0</v>
      </c>
      <c r="JU9" s="540" t="str">
        <f t="shared" ref="JU9:JU39" si="95">IFERROR(((JS9*JU$8)/$L9),"0")</f>
        <v>0</v>
      </c>
      <c r="JV9" s="538"/>
      <c r="JW9" s="540" t="str">
        <f t="shared" ref="JW9:JW39" si="96">IFERROR((JV9/$L9),"0")</f>
        <v>0</v>
      </c>
      <c r="JX9" s="540" t="str">
        <f t="shared" ref="JX9:JX39" si="97">IFERROR(((JV9*JX$8)/$L9),"0")</f>
        <v>0</v>
      </c>
      <c r="JY9" s="538"/>
      <c r="JZ9" s="540" t="str">
        <f t="shared" ref="JZ9:JZ39" si="98">IFERROR((JY9/$L9),"0")</f>
        <v>0</v>
      </c>
      <c r="KA9" s="540" t="str">
        <f t="shared" ref="KA9:KA39" si="99">IFERROR(((JY9*KA$8)/$L9),"0")</f>
        <v>0</v>
      </c>
      <c r="KB9" s="538"/>
      <c r="KC9" s="540" t="str">
        <f t="shared" ref="KC9:KC39" si="100">IFERROR((KB9/$L9),"0")</f>
        <v>0</v>
      </c>
      <c r="KD9" s="540" t="str">
        <f t="shared" ref="KD9:KD39" si="101">IFERROR(((KB9*KD$8)/$L9),"0")</f>
        <v>0</v>
      </c>
      <c r="KE9" s="538"/>
      <c r="KF9" s="540" t="str">
        <f t="shared" ref="KF9:KF39" si="102">IFERROR((KE9/$L9),"0")</f>
        <v>0</v>
      </c>
      <c r="KG9" s="540" t="str">
        <f t="shared" ref="KG9:KG39" si="103">IFERROR(((KE9*KG$8)/$L9),"0")</f>
        <v>0</v>
      </c>
      <c r="KH9" s="538"/>
      <c r="KI9" s="540" t="str">
        <f t="shared" ref="KI9:KI39" si="104">IFERROR((KH9/$L9),"0")</f>
        <v>0</v>
      </c>
      <c r="KJ9" s="540" t="str">
        <f t="shared" ref="KJ9:KJ39" si="105">IFERROR(((KH9*KJ$8)/$L9),"0")</f>
        <v>0</v>
      </c>
      <c r="KK9" s="538"/>
      <c r="KL9" s="540" t="str">
        <f t="shared" ref="KL9:KL39" si="106">IFERROR((KK9/$L9),"0")</f>
        <v>0</v>
      </c>
      <c r="KM9" s="540" t="str">
        <f t="shared" ref="KM9:KM39" si="107">IFERROR(((KK9*KM$8)/$L9),"0")</f>
        <v>0</v>
      </c>
      <c r="KN9" s="538"/>
      <c r="KO9" s="540" t="str">
        <f t="shared" ref="KO9:KO39" si="108">IFERROR((KN9/$L9),"0")</f>
        <v>0</v>
      </c>
      <c r="KP9" s="540" t="str">
        <f t="shared" ref="KP9:KP39" si="109">IFERROR(((KN9*KP$8)/$L9),"0")</f>
        <v>0</v>
      </c>
      <c r="KQ9" s="538"/>
      <c r="KR9" s="540" t="str">
        <f t="shared" ref="KR9:KR39" si="110">IFERROR((KQ9/$L9),"0")</f>
        <v>0</v>
      </c>
      <c r="KS9" s="540" t="str">
        <f t="shared" ref="KS9:KS39" si="111">IFERROR(((KQ9*KS$8)/$L9),"0")</f>
        <v>0</v>
      </c>
      <c r="KT9" s="540">
        <f>H9+K9+N9+Q9+T9+W9+Z9+AC9+AF9+AI9+AL9+AO9+AR9+AU9+AX9+BA9+BD9+BG9+BJ9+BM9+BP9+BS9+BV9+BY9+CB9+CE9+CH9+CK9+CN9+CQ9+CT9+CW9+CZ9+DC9+DF9+DI9+DL9+DO9+DR9+DU9+DX9+EA9+ED9+EG9+EJ9+EM9+EP9+ES9+EV9+EY9+FB9+FE9+FH9+FK9+FN9+FQ9+FT9+FW9+FZ9+GC9</f>
        <v>0</v>
      </c>
      <c r="KU9" s="540">
        <f>GF9+GI9+GL9+GO9+GR9+GU9+GX9+HA9+HD9+HG9+HJ9+HM9+HP9+HS9+HV9+HY9+IB9+IE9+IH9+IK9+IN9+IQ9+IT9+IW9+IZ9+JC9+JF9+JI9+JL9+JO9+JR9+JU9+JX9++KA9+KD9+KG9+KJ9++KM9+KP9+KS9</f>
        <v>0</v>
      </c>
      <c r="KV9" s="274">
        <f>+F9+I9+L9+O9+R9+U9+X9+AA9+AD9+AG9+AJ9+AM9+AP9+AS9+AV9+AY9+BB9+BE9+BH9+BK9+BN9+BQ9+BT9+BW9+BZ9+CC9+CF9+CI9+CL9+CO9+CR9+CU9+CX9+DA9+DD9+DJ9+DM9+DP9+DS9+DV9+DY9+EB9+DG9+EE9</f>
        <v>800.82444367942639</v>
      </c>
    </row>
    <row r="10" spans="1:309" ht="15" customHeight="1">
      <c r="A10" s="276">
        <f>+A9+1</f>
        <v>45871</v>
      </c>
      <c r="B10" s="277" t="str">
        <f>+Report1!B10</f>
        <v>Facial</v>
      </c>
      <c r="C10" s="417" t="str">
        <f>+Report1!C10</f>
        <v>13,5</v>
      </c>
      <c r="D10" s="278">
        <f>+Report1!P10</f>
        <v>46.855999999999995</v>
      </c>
      <c r="E10" s="279">
        <f>+Report1!R10</f>
        <v>44.24</v>
      </c>
      <c r="F10" s="538"/>
      <c r="G10" s="539">
        <f t="shared" si="0"/>
        <v>0</v>
      </c>
      <c r="H10" s="540">
        <f t="shared" ref="H10:H39" si="112">+F10*$H$8</f>
        <v>0</v>
      </c>
      <c r="I10" s="538">
        <v>271.93379534883707</v>
      </c>
      <c r="J10" s="539">
        <f t="shared" si="1"/>
        <v>6.1467856091509283</v>
      </c>
      <c r="K10" s="540">
        <f t="shared" ref="K10:K39" si="113">+I10*$H$8</f>
        <v>0</v>
      </c>
      <c r="L10" s="538"/>
      <c r="M10" s="539">
        <f t="shared" si="2"/>
        <v>0</v>
      </c>
      <c r="N10" s="540">
        <f t="shared" ref="N10:N39" si="114">+L10*$H$8</f>
        <v>0</v>
      </c>
      <c r="O10" s="538">
        <v>8.4168000000000234</v>
      </c>
      <c r="P10" s="539">
        <f t="shared" si="3"/>
        <v>0.19025316455696253</v>
      </c>
      <c r="Q10" s="540">
        <f t="shared" ref="Q10:Q39" si="115">+O10*$H$8</f>
        <v>0</v>
      </c>
      <c r="R10" s="538"/>
      <c r="S10" s="539">
        <f t="shared" si="4"/>
        <v>0</v>
      </c>
      <c r="T10" s="540">
        <f t="shared" ref="T10:T39" si="116">+R10*$H$8</f>
        <v>0</v>
      </c>
      <c r="U10" s="538">
        <v>7.1881999999999948</v>
      </c>
      <c r="V10" s="539">
        <f t="shared" si="5"/>
        <v>0.16248191681735974</v>
      </c>
      <c r="W10" s="540">
        <f t="shared" ref="W10:W39" si="117">+U10*$H$8</f>
        <v>0</v>
      </c>
      <c r="X10" s="538"/>
      <c r="Y10" s="539">
        <f t="shared" si="6"/>
        <v>0</v>
      </c>
      <c r="Z10" s="540">
        <f t="shared" ref="Z10:Z39" si="118">+X10*$H$8</f>
        <v>0</v>
      </c>
      <c r="AA10" s="538"/>
      <c r="AB10" s="539">
        <f t="shared" si="7"/>
        <v>0</v>
      </c>
      <c r="AC10" s="540">
        <f t="shared" ref="AC10:AC39" si="119">+AA10*$H$8</f>
        <v>0</v>
      </c>
      <c r="AD10" s="538"/>
      <c r="AE10" s="539">
        <f t="shared" si="8"/>
        <v>0</v>
      </c>
      <c r="AF10" s="540">
        <f t="shared" ref="AF10:AF39" si="120">+AD10*$H$8</f>
        <v>0</v>
      </c>
      <c r="AG10" s="538"/>
      <c r="AH10" s="539">
        <f t="shared" si="9"/>
        <v>0</v>
      </c>
      <c r="AI10" s="540">
        <f t="shared" ref="AI10:AI39" si="121">+AG10*$H$8</f>
        <v>0</v>
      </c>
      <c r="AJ10" s="538">
        <v>0</v>
      </c>
      <c r="AK10" s="539">
        <f t="shared" si="10"/>
        <v>0</v>
      </c>
      <c r="AL10" s="540">
        <f t="shared" ref="AL10:AL39" si="122">+AJ10*$H$8</f>
        <v>0</v>
      </c>
      <c r="AM10" s="538">
        <v>0</v>
      </c>
      <c r="AN10" s="539">
        <f t="shared" si="11"/>
        <v>0</v>
      </c>
      <c r="AO10" s="540">
        <f t="shared" ref="AO10:AO39" si="123">+AM10*$H$8</f>
        <v>0</v>
      </c>
      <c r="AP10" s="538">
        <v>35.972120253164519</v>
      </c>
      <c r="AQ10" s="539">
        <f t="shared" si="12"/>
        <v>0.81311302561402621</v>
      </c>
      <c r="AR10" s="540">
        <f t="shared" ref="AR10:AR39" si="124">+AP10*$H$8</f>
        <v>0</v>
      </c>
      <c r="AS10" s="538"/>
      <c r="AT10" s="539">
        <f t="shared" si="13"/>
        <v>0</v>
      </c>
      <c r="AU10" s="540">
        <f t="shared" ref="AU10:AU39" si="125">+AS10*$H$8</f>
        <v>0</v>
      </c>
      <c r="AV10" s="538">
        <v>1.2950000000000159</v>
      </c>
      <c r="AW10" s="539">
        <f t="shared" si="14"/>
        <v>2.9272151898734534E-2</v>
      </c>
      <c r="AX10" s="540">
        <f t="shared" ref="AX10:AX39" si="126">+AV10*$H$8</f>
        <v>0</v>
      </c>
      <c r="AY10" s="538">
        <v>62.205600000000004</v>
      </c>
      <c r="AZ10" s="539">
        <f t="shared" si="15"/>
        <v>1.4060940325497289</v>
      </c>
      <c r="BA10" s="540">
        <f t="shared" ref="BA10:BA39" si="127">+AY10*$H$8</f>
        <v>0</v>
      </c>
      <c r="BB10" s="538">
        <v>0</v>
      </c>
      <c r="BC10" s="539">
        <f t="shared" si="16"/>
        <v>0</v>
      </c>
      <c r="BD10" s="540">
        <f t="shared" ref="BD10:BD39" si="128">+BB10*$H$8</f>
        <v>0</v>
      </c>
      <c r="BE10" s="538"/>
      <c r="BF10" s="539">
        <f t="shared" si="17"/>
        <v>0</v>
      </c>
      <c r="BG10" s="540">
        <f t="shared" ref="BG10:BG39" si="129">+BE10*$H$8</f>
        <v>0</v>
      </c>
      <c r="BH10" s="538"/>
      <c r="BI10" s="539">
        <f t="shared" si="18"/>
        <v>0</v>
      </c>
      <c r="BJ10" s="540">
        <f t="shared" ref="BJ10:BJ39" si="130">+BH10*$H$8</f>
        <v>0</v>
      </c>
      <c r="BK10" s="538"/>
      <c r="BL10" s="539">
        <f t="shared" si="19"/>
        <v>0</v>
      </c>
      <c r="BM10" s="540">
        <f t="shared" ref="BM10:BM39" si="131">+BK10*$H$8</f>
        <v>0</v>
      </c>
      <c r="BN10" s="538">
        <v>3.5506345679012341</v>
      </c>
      <c r="BO10" s="539">
        <f t="shared" si="20"/>
        <v>8.025846672471143E-2</v>
      </c>
      <c r="BP10" s="540">
        <f t="shared" ref="BP10:BP39" si="132">+BN10*$H$8</f>
        <v>0</v>
      </c>
      <c r="BQ10" s="538">
        <v>0</v>
      </c>
      <c r="BR10" s="539">
        <f t="shared" si="21"/>
        <v>0</v>
      </c>
      <c r="BS10" s="540">
        <f t="shared" ref="BS10:BS39" si="133">+BQ10*$H$8</f>
        <v>0</v>
      </c>
      <c r="BT10" s="538"/>
      <c r="BU10" s="539">
        <f t="shared" si="22"/>
        <v>0</v>
      </c>
      <c r="BV10" s="540">
        <f t="shared" ref="BV10:BV39" si="134">+BT10*$H$8</f>
        <v>0</v>
      </c>
      <c r="BW10" s="538">
        <v>0</v>
      </c>
      <c r="BX10" s="539">
        <f t="shared" si="23"/>
        <v>0</v>
      </c>
      <c r="BY10" s="540">
        <f t="shared" ref="BY10:BY39" si="135">+BW10*$H$8</f>
        <v>0</v>
      </c>
      <c r="BZ10" s="538">
        <v>0</v>
      </c>
      <c r="CA10" s="539">
        <f t="shared" si="24"/>
        <v>0</v>
      </c>
      <c r="CB10" s="540">
        <f t="shared" ref="CB10:CB39" si="136">+BZ10*$H$8</f>
        <v>0</v>
      </c>
      <c r="CC10" s="538">
        <v>0</v>
      </c>
      <c r="CD10" s="539">
        <f t="shared" si="25"/>
        <v>0</v>
      </c>
      <c r="CE10" s="540">
        <f t="shared" ref="CE10:CE39" si="137">+CC10*$H$8</f>
        <v>0</v>
      </c>
      <c r="CF10" s="538">
        <v>9.9999999999999978E-2</v>
      </c>
      <c r="CG10" s="539">
        <f t="shared" si="26"/>
        <v>2.2603978300180824E-3</v>
      </c>
      <c r="CH10" s="540">
        <f t="shared" ref="CH10:CH39" si="138">+CF10*$H$8</f>
        <v>0</v>
      </c>
      <c r="CI10" s="538">
        <v>0</v>
      </c>
      <c r="CJ10" s="539">
        <f t="shared" si="27"/>
        <v>0</v>
      </c>
      <c r="CK10" s="540">
        <f t="shared" ref="CK10:CK39" si="139">+CI10*$H$8</f>
        <v>0</v>
      </c>
      <c r="CL10" s="538"/>
      <c r="CM10" s="539">
        <f t="shared" si="28"/>
        <v>0</v>
      </c>
      <c r="CN10" s="540">
        <f t="shared" ref="CN10:CN39" si="140">+CL10*$H$8</f>
        <v>0</v>
      </c>
      <c r="CO10" s="538"/>
      <c r="CP10" s="539">
        <f t="shared" si="29"/>
        <v>0</v>
      </c>
      <c r="CQ10" s="540">
        <f t="shared" ref="CQ10:CQ39" si="141">+CO10*$H$8</f>
        <v>0</v>
      </c>
      <c r="CR10" s="538"/>
      <c r="CS10" s="539">
        <f t="shared" si="30"/>
        <v>0</v>
      </c>
      <c r="CT10" s="540">
        <f t="shared" ref="CT10:CT39" si="142">+CR10*$H$8</f>
        <v>0</v>
      </c>
      <c r="CU10" s="538"/>
      <c r="CV10" s="539">
        <f t="shared" si="31"/>
        <v>0</v>
      </c>
      <c r="CW10" s="540">
        <f t="shared" ref="CW10:CW39" si="143">+CU10*$H$8</f>
        <v>0</v>
      </c>
      <c r="CX10" s="538"/>
      <c r="CY10" s="539">
        <f t="shared" si="32"/>
        <v>0</v>
      </c>
      <c r="CZ10" s="540">
        <f t="shared" ref="CZ10:CZ39" si="144">+CX10*$H$8</f>
        <v>0</v>
      </c>
      <c r="DA10" s="538"/>
      <c r="DB10" s="539">
        <f t="shared" si="33"/>
        <v>0</v>
      </c>
      <c r="DC10" s="540">
        <f t="shared" ref="DC10:DC39" si="145">+DA10*$H$8</f>
        <v>0</v>
      </c>
      <c r="DD10" s="538"/>
      <c r="DE10" s="539">
        <f t="shared" si="34"/>
        <v>0</v>
      </c>
      <c r="DF10" s="540">
        <f t="shared" ref="DF10:DF39" si="146">+DD10*$H$8</f>
        <v>0</v>
      </c>
      <c r="DG10" s="538">
        <v>0</v>
      </c>
      <c r="DH10" s="539">
        <f t="shared" si="35"/>
        <v>0</v>
      </c>
      <c r="DI10" s="540">
        <v>0</v>
      </c>
      <c r="DJ10" s="538"/>
      <c r="DK10" s="539">
        <f t="shared" si="36"/>
        <v>0</v>
      </c>
      <c r="DL10" s="540">
        <f t="shared" ref="DL10:DL39" si="147">+DJ10*$H$8</f>
        <v>0</v>
      </c>
      <c r="DM10" s="538"/>
      <c r="DN10" s="539">
        <f t="shared" si="37"/>
        <v>0</v>
      </c>
      <c r="DO10" s="540">
        <f t="shared" ref="DO10:DO39" si="148">+DM10*$H$8</f>
        <v>0</v>
      </c>
      <c r="DP10" s="538"/>
      <c r="DQ10" s="539">
        <f t="shared" si="38"/>
        <v>0</v>
      </c>
      <c r="DR10" s="540">
        <f t="shared" ref="DR10:DR39" si="149">+DP10*$H$8</f>
        <v>0</v>
      </c>
      <c r="DS10" s="538"/>
      <c r="DT10" s="539">
        <f t="shared" si="39"/>
        <v>0</v>
      </c>
      <c r="DU10" s="540">
        <f t="shared" ref="DU10:DU39" si="150">+DS10*$H$8</f>
        <v>0</v>
      </c>
      <c r="DV10" s="538"/>
      <c r="DW10" s="539">
        <f t="shared" si="40"/>
        <v>0</v>
      </c>
      <c r="DX10" s="540">
        <f t="shared" ref="DX10:DX39" si="151">+DV10*$H$8</f>
        <v>0</v>
      </c>
      <c r="DY10" s="538"/>
      <c r="DZ10" s="539">
        <f t="shared" si="41"/>
        <v>0</v>
      </c>
      <c r="EA10" s="540">
        <f t="shared" ref="EA10:EA39" si="152">+DY10*$H$8</f>
        <v>0</v>
      </c>
      <c r="EB10" s="538">
        <v>14.534883720930225</v>
      </c>
      <c r="EC10" s="539">
        <f t="shared" si="42"/>
        <v>0.32854619622355841</v>
      </c>
      <c r="ED10" s="540">
        <f t="shared" ref="ED10:ED39" si="153">+EB10*$H$8</f>
        <v>0</v>
      </c>
      <c r="EE10" s="538">
        <v>1</v>
      </c>
      <c r="EF10" s="539">
        <f t="shared" si="43"/>
        <v>2.2603978300180832E-2</v>
      </c>
      <c r="EG10" s="540">
        <f t="shared" ref="EG10:EG39" si="154">+EE10*$H$8</f>
        <v>0</v>
      </c>
      <c r="EH10" s="538"/>
      <c r="EI10" s="539">
        <f t="shared" si="44"/>
        <v>0</v>
      </c>
      <c r="EJ10" s="540">
        <f t="shared" ref="EJ10:EJ39" si="155">+EH10*$H$8</f>
        <v>0</v>
      </c>
      <c r="EK10" s="538"/>
      <c r="EL10" s="539">
        <f t="shared" si="45"/>
        <v>0</v>
      </c>
      <c r="EM10" s="540">
        <f t="shared" ref="EM10:EM39" si="156">+EK10*$H$8</f>
        <v>0</v>
      </c>
      <c r="EN10" s="538"/>
      <c r="EO10" s="539">
        <f t="shared" si="46"/>
        <v>0</v>
      </c>
      <c r="EP10" s="540">
        <f t="shared" ref="EP10:EP39" si="157">+EN10*$H$8</f>
        <v>0</v>
      </c>
      <c r="EQ10" s="538"/>
      <c r="ER10" s="539">
        <f t="shared" si="47"/>
        <v>0</v>
      </c>
      <c r="ES10" s="540">
        <f t="shared" ref="ES10:ES39" si="158">+EQ10*$H$8</f>
        <v>0</v>
      </c>
      <c r="ET10" s="538"/>
      <c r="EU10" s="539">
        <f t="shared" si="48"/>
        <v>0</v>
      </c>
      <c r="EV10" s="540">
        <f t="shared" ref="EV10:EV39" si="159">+ET10*$H$8</f>
        <v>0</v>
      </c>
      <c r="EW10" s="538"/>
      <c r="EX10" s="539">
        <f t="shared" si="49"/>
        <v>0</v>
      </c>
      <c r="EY10" s="540">
        <f t="shared" ref="EY10:EY39" si="160">+EW10*$H$8</f>
        <v>0</v>
      </c>
      <c r="EZ10" s="538"/>
      <c r="FA10" s="539">
        <f t="shared" si="50"/>
        <v>0</v>
      </c>
      <c r="FB10" s="540">
        <f t="shared" ref="FB10:FB39" si="161">+EZ10*$H$8</f>
        <v>0</v>
      </c>
      <c r="FC10" s="538"/>
      <c r="FD10" s="539">
        <f t="shared" si="51"/>
        <v>0</v>
      </c>
      <c r="FE10" s="540">
        <f t="shared" ref="FE10:FE39" si="162">+FC10*$H$8</f>
        <v>0</v>
      </c>
      <c r="FF10" s="538"/>
      <c r="FG10" s="539">
        <f t="shared" si="52"/>
        <v>0</v>
      </c>
      <c r="FH10" s="540">
        <f t="shared" ref="FH10:FH39" si="163">+FF10*$H$8</f>
        <v>0</v>
      </c>
      <c r="FI10" s="538"/>
      <c r="FJ10" s="539">
        <f t="shared" si="53"/>
        <v>0</v>
      </c>
      <c r="FK10" s="540">
        <f t="shared" ref="FK10:FK39" si="164">+FI10*$H$8</f>
        <v>0</v>
      </c>
      <c r="FL10" s="538"/>
      <c r="FM10" s="539">
        <f t="shared" si="54"/>
        <v>0</v>
      </c>
      <c r="FN10" s="540">
        <f t="shared" ref="FN10:FN39" si="165">+FL10*$H$8</f>
        <v>0</v>
      </c>
      <c r="FO10" s="538"/>
      <c r="FP10" s="539">
        <f t="shared" si="55"/>
        <v>0</v>
      </c>
      <c r="FQ10" s="540">
        <f t="shared" ref="FQ10:FQ39" si="166">+FO10*$H$8</f>
        <v>0</v>
      </c>
      <c r="FR10" s="538"/>
      <c r="FS10" s="539">
        <f t="shared" si="56"/>
        <v>0</v>
      </c>
      <c r="FT10" s="540">
        <f t="shared" ref="FT10:FT39" si="167">+FR10*$H$8</f>
        <v>0</v>
      </c>
      <c r="FU10" s="538"/>
      <c r="FV10" s="539">
        <f t="shared" si="57"/>
        <v>0</v>
      </c>
      <c r="FW10" s="540">
        <f t="shared" ref="FW10:FW39" si="168">+FU10*$H$8</f>
        <v>0</v>
      </c>
      <c r="FX10" s="538"/>
      <c r="FY10" s="539">
        <f t="shared" si="58"/>
        <v>0</v>
      </c>
      <c r="FZ10" s="540">
        <f t="shared" ref="FZ10:FZ39" si="169">+FX10*$H$8</f>
        <v>0</v>
      </c>
      <c r="GA10" s="538"/>
      <c r="GB10" s="539">
        <f t="shared" si="59"/>
        <v>0</v>
      </c>
      <c r="GC10" s="540">
        <f t="shared" ref="GC10:GC39" si="170">+GA10*$H$8</f>
        <v>0</v>
      </c>
      <c r="GD10" s="538"/>
      <c r="GE10" s="539">
        <f t="shared" si="60"/>
        <v>0</v>
      </c>
      <c r="GF10" s="540">
        <f t="shared" ref="GF10:GF39" si="171">+GD10*$H$8</f>
        <v>0</v>
      </c>
      <c r="GG10" s="538"/>
      <c r="GH10" s="539">
        <f t="shared" si="61"/>
        <v>0</v>
      </c>
      <c r="GI10" s="540">
        <f t="shared" ref="GI10:GI39" si="172">+GG10*$H$8</f>
        <v>0</v>
      </c>
      <c r="GJ10" s="538"/>
      <c r="GK10" s="539">
        <f t="shared" si="62"/>
        <v>0</v>
      </c>
      <c r="GL10" s="540">
        <f t="shared" ref="GL10:GL39" si="173">+GJ10*$H$8</f>
        <v>0</v>
      </c>
      <c r="GM10" s="538"/>
      <c r="GN10" s="539">
        <f t="shared" si="63"/>
        <v>0</v>
      </c>
      <c r="GO10" s="540">
        <f t="shared" ref="GO10:GO39" si="174">+GM10*$H$8</f>
        <v>0</v>
      </c>
      <c r="GP10" s="538"/>
      <c r="GQ10" s="539">
        <f t="shared" si="64"/>
        <v>0</v>
      </c>
      <c r="GR10" s="540">
        <f t="shared" ref="GR10:GR39" si="175">+GP10*$H$8</f>
        <v>0</v>
      </c>
      <c r="GS10" s="538"/>
      <c r="GT10" s="539">
        <f t="shared" si="65"/>
        <v>0</v>
      </c>
      <c r="GU10" s="540">
        <f t="shared" ref="GU10:GU39" si="176">+GS10*$H$8</f>
        <v>0</v>
      </c>
      <c r="GV10" s="538"/>
      <c r="GW10" s="539">
        <f t="shared" si="66"/>
        <v>0</v>
      </c>
      <c r="GX10" s="540">
        <f t="shared" ref="GX10:GX39" si="177">+GV10*$H$8</f>
        <v>0</v>
      </c>
      <c r="GY10" s="538"/>
      <c r="GZ10" s="539">
        <f t="shared" si="67"/>
        <v>0</v>
      </c>
      <c r="HA10" s="540">
        <f t="shared" ref="HA10:HA39" si="178">+GY10*$H$8</f>
        <v>0</v>
      </c>
      <c r="HB10" s="538"/>
      <c r="HC10" s="539">
        <f t="shared" si="68"/>
        <v>0</v>
      </c>
      <c r="HD10" s="540">
        <f t="shared" ref="HD10:HD39" si="179">+HB10*$H$8</f>
        <v>0</v>
      </c>
      <c r="HE10" s="538"/>
      <c r="HF10" s="539">
        <f t="shared" si="69"/>
        <v>0</v>
      </c>
      <c r="HG10" s="540">
        <f t="shared" ref="HG10:HG39" si="180">+HE10*$H$8</f>
        <v>0</v>
      </c>
      <c r="HH10" s="538"/>
      <c r="HI10" s="539">
        <f t="shared" si="70"/>
        <v>0</v>
      </c>
      <c r="HJ10" s="540">
        <f t="shared" ref="HJ10:HJ39" si="181">+HH10*$H$8</f>
        <v>0</v>
      </c>
      <c r="HK10" s="538"/>
      <c r="HL10" s="539">
        <f t="shared" si="71"/>
        <v>0</v>
      </c>
      <c r="HM10" s="540">
        <f t="shared" ref="HM10:HM39" si="182">+HK10*$H$8</f>
        <v>0</v>
      </c>
      <c r="HN10" s="538"/>
      <c r="HO10" s="539">
        <f t="shared" si="72"/>
        <v>0</v>
      </c>
      <c r="HP10" s="540">
        <f t="shared" ref="HP10:HP39" si="183">+HN10*$H$8</f>
        <v>0</v>
      </c>
      <c r="HQ10" s="538"/>
      <c r="HR10" s="539">
        <f t="shared" si="73"/>
        <v>0</v>
      </c>
      <c r="HS10" s="540">
        <f t="shared" ref="HS10:HS39" si="184">+HQ10*$H$8</f>
        <v>0</v>
      </c>
      <c r="HT10" s="538"/>
      <c r="HU10" s="539">
        <f t="shared" si="74"/>
        <v>0</v>
      </c>
      <c r="HV10" s="540">
        <f t="shared" ref="HV10:HV39" si="185">+HT10*$H$8</f>
        <v>0</v>
      </c>
      <c r="HW10" s="538"/>
      <c r="HX10" s="539">
        <f t="shared" si="75"/>
        <v>0</v>
      </c>
      <c r="HY10" s="540">
        <f t="shared" ref="HY10:HY39" si="186">+HW10*$H$8</f>
        <v>0</v>
      </c>
      <c r="HZ10" s="538"/>
      <c r="IA10" s="539">
        <f t="shared" si="76"/>
        <v>0</v>
      </c>
      <c r="IB10" s="540">
        <f t="shared" ref="IB10:IB39" si="187">+HZ10*$H$8</f>
        <v>0</v>
      </c>
      <c r="IC10" s="538"/>
      <c r="ID10" s="539">
        <f t="shared" si="77"/>
        <v>0</v>
      </c>
      <c r="IE10" s="540">
        <f t="shared" ref="IE10:IE39" si="188">+IC10*$H$8</f>
        <v>0</v>
      </c>
      <c r="IF10" s="538"/>
      <c r="IG10" s="539">
        <f t="shared" si="78"/>
        <v>0</v>
      </c>
      <c r="IH10" s="540">
        <f t="shared" ref="IH10:IH39" si="189">+IF10*$H$8</f>
        <v>0</v>
      </c>
      <c r="II10" s="538"/>
      <c r="IJ10" s="539">
        <f t="shared" si="79"/>
        <v>0</v>
      </c>
      <c r="IK10" s="540">
        <f t="shared" ref="IK10:IK39" si="190">+II10*$H$8</f>
        <v>0</v>
      </c>
      <c r="IL10" s="538"/>
      <c r="IM10" s="539">
        <f t="shared" si="80"/>
        <v>0</v>
      </c>
      <c r="IN10" s="540">
        <f t="shared" ref="IN10:IN39" si="191">+IL10*$H$8</f>
        <v>0</v>
      </c>
      <c r="IO10" s="538"/>
      <c r="IP10" s="539">
        <f t="shared" si="81"/>
        <v>0</v>
      </c>
      <c r="IQ10" s="540">
        <f t="shared" ref="IQ10:IQ39" si="192">+IO10*$H$8</f>
        <v>0</v>
      </c>
      <c r="IR10" s="538"/>
      <c r="IS10" s="539">
        <f t="shared" si="82"/>
        <v>0</v>
      </c>
      <c r="IT10" s="540">
        <f t="shared" ref="IT10:IT39" si="193">+IR10*$H$8</f>
        <v>0</v>
      </c>
      <c r="IU10" s="538"/>
      <c r="IV10" s="539">
        <f t="shared" si="83"/>
        <v>0</v>
      </c>
      <c r="IW10" s="540">
        <f t="shared" ref="IW10:IW39" si="194">+IU10*$H$8</f>
        <v>0</v>
      </c>
      <c r="IX10" s="538"/>
      <c r="IY10" s="539">
        <f t="shared" si="84"/>
        <v>0</v>
      </c>
      <c r="IZ10" s="540">
        <f t="shared" ref="IZ10:IZ39" si="195">+IX10*$H$8</f>
        <v>0</v>
      </c>
      <c r="JA10" s="538"/>
      <c r="JB10" s="539">
        <f t="shared" si="85"/>
        <v>0</v>
      </c>
      <c r="JC10" s="540">
        <f t="shared" ref="JC10:JC39" si="196">+JA10*$H$8</f>
        <v>0</v>
      </c>
      <c r="JD10" s="538"/>
      <c r="JE10" s="539">
        <f t="shared" si="86"/>
        <v>0</v>
      </c>
      <c r="JF10" s="540">
        <f t="shared" ref="JF10:JF39" si="197">+JD10*$H$8</f>
        <v>0</v>
      </c>
      <c r="JG10" s="538"/>
      <c r="JH10" s="539">
        <f t="shared" si="87"/>
        <v>0</v>
      </c>
      <c r="JI10" s="540">
        <f t="shared" ref="JI10:JI39" si="198">+JG10*$H$8</f>
        <v>0</v>
      </c>
      <c r="JJ10" s="538"/>
      <c r="JK10" s="540" t="str">
        <f t="shared" si="88"/>
        <v>0</v>
      </c>
      <c r="JL10" s="540" t="str">
        <f t="shared" si="89"/>
        <v>0</v>
      </c>
      <c r="JM10" s="538"/>
      <c r="JN10" s="540" t="str">
        <f t="shared" si="90"/>
        <v>0</v>
      </c>
      <c r="JO10" s="540" t="str">
        <f t="shared" si="91"/>
        <v>0</v>
      </c>
      <c r="JP10" s="538"/>
      <c r="JQ10" s="540" t="str">
        <f t="shared" si="92"/>
        <v>0</v>
      </c>
      <c r="JR10" s="540" t="str">
        <f t="shared" si="93"/>
        <v>0</v>
      </c>
      <c r="JS10" s="538"/>
      <c r="JT10" s="540" t="str">
        <f t="shared" si="94"/>
        <v>0</v>
      </c>
      <c r="JU10" s="540" t="str">
        <f t="shared" si="95"/>
        <v>0</v>
      </c>
      <c r="JV10" s="538"/>
      <c r="JW10" s="540" t="str">
        <f t="shared" si="96"/>
        <v>0</v>
      </c>
      <c r="JX10" s="540" t="str">
        <f t="shared" si="97"/>
        <v>0</v>
      </c>
      <c r="JY10" s="538"/>
      <c r="JZ10" s="540" t="str">
        <f t="shared" si="98"/>
        <v>0</v>
      </c>
      <c r="KA10" s="540" t="str">
        <f t="shared" si="99"/>
        <v>0</v>
      </c>
      <c r="KB10" s="538"/>
      <c r="KC10" s="540" t="str">
        <f t="shared" si="100"/>
        <v>0</v>
      </c>
      <c r="KD10" s="540" t="str">
        <f t="shared" si="101"/>
        <v>0</v>
      </c>
      <c r="KE10" s="538"/>
      <c r="KF10" s="540" t="str">
        <f t="shared" si="102"/>
        <v>0</v>
      </c>
      <c r="KG10" s="540" t="str">
        <f t="shared" si="103"/>
        <v>0</v>
      </c>
      <c r="KH10" s="538"/>
      <c r="KI10" s="540" t="str">
        <f t="shared" si="104"/>
        <v>0</v>
      </c>
      <c r="KJ10" s="540" t="str">
        <f t="shared" si="105"/>
        <v>0</v>
      </c>
      <c r="KK10" s="538"/>
      <c r="KL10" s="540" t="str">
        <f t="shared" si="106"/>
        <v>0</v>
      </c>
      <c r="KM10" s="540" t="str">
        <f t="shared" si="107"/>
        <v>0</v>
      </c>
      <c r="KN10" s="538"/>
      <c r="KO10" s="540" t="str">
        <f t="shared" si="108"/>
        <v>0</v>
      </c>
      <c r="KP10" s="540" t="str">
        <f t="shared" si="109"/>
        <v>0</v>
      </c>
      <c r="KQ10" s="538"/>
      <c r="KR10" s="540" t="str">
        <f t="shared" si="110"/>
        <v>0</v>
      </c>
      <c r="KS10" s="540" t="str">
        <f t="shared" si="111"/>
        <v>0</v>
      </c>
      <c r="KT10" s="540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540">
        <f>GF10+GI10+GL10+GO10+GR10+GU10+GX10+HA10+HD10+HG10+HJ10+HM10+HP10+HS10+HV10+HY10+IB10+IE10+IH10+IK10+IN10+IQ10+IT10+IW10+IZ10+JC10+JF10+JI10+JL10+JO10+JR10+JU10+JX10++KA10+KD10+KG10+KJ10++KM10+KP10+KS10</f>
        <v>0</v>
      </c>
      <c r="KV10" s="274">
        <f t="shared" ref="KV10:KV41" si="199">+F10+I10+L10+O10+R10+U10+X10+AA10+AD10+AG10+AJ10+AM10+AP10+AS10+AV10+AY10+BB10+BE10+BH10+BK10+BN10+BQ10+BT10+BW10+BZ10+CC10+CF10+CI10+CL10+CO10+CR10+CU10+CX10+DA10+DD10+DJ10+DM10+DP10+DS10+DV10+DY10+EB10+DG10+EE10</f>
        <v>406.1970338908331</v>
      </c>
    </row>
    <row r="11" spans="1:309" ht="15" customHeight="1">
      <c r="A11" s="276">
        <f t="shared" ref="A11:A39" si="200">+A10+1</f>
        <v>45872</v>
      </c>
      <c r="B11" s="277" t="str">
        <f>+Report1!B11</f>
        <v>Facial</v>
      </c>
      <c r="C11" s="417" t="str">
        <f>+Report1!C11</f>
        <v>13,5/13</v>
      </c>
      <c r="D11" s="278">
        <f>+Report1!P11</f>
        <v>53.323000000000008</v>
      </c>
      <c r="E11" s="279">
        <f>+Report1!R11</f>
        <v>51.625</v>
      </c>
      <c r="F11" s="538"/>
      <c r="G11" s="539">
        <f t="shared" si="0"/>
        <v>0</v>
      </c>
      <c r="H11" s="540">
        <f t="shared" si="112"/>
        <v>0</v>
      </c>
      <c r="I11" s="538">
        <v>309.45780000000013</v>
      </c>
      <c r="J11" s="539">
        <f t="shared" si="1"/>
        <v>5.9943399515738527</v>
      </c>
      <c r="K11" s="540">
        <f t="shared" si="113"/>
        <v>0</v>
      </c>
      <c r="L11" s="538"/>
      <c r="M11" s="539">
        <f t="shared" si="2"/>
        <v>0</v>
      </c>
      <c r="N11" s="540">
        <f t="shared" si="114"/>
        <v>0</v>
      </c>
      <c r="O11" s="538">
        <v>9.5816000000000088</v>
      </c>
      <c r="P11" s="539">
        <f t="shared" si="3"/>
        <v>0.18560000000000018</v>
      </c>
      <c r="Q11" s="540">
        <f t="shared" si="115"/>
        <v>0</v>
      </c>
      <c r="R11" s="538"/>
      <c r="S11" s="539">
        <f t="shared" si="4"/>
        <v>0</v>
      </c>
      <c r="T11" s="540">
        <f t="shared" si="116"/>
        <v>0</v>
      </c>
      <c r="U11" s="538">
        <v>8.1885000000000048</v>
      </c>
      <c r="V11" s="539">
        <f t="shared" si="5"/>
        <v>0.15861501210653761</v>
      </c>
      <c r="W11" s="540">
        <f t="shared" si="117"/>
        <v>0</v>
      </c>
      <c r="X11" s="538"/>
      <c r="Y11" s="539">
        <f t="shared" si="6"/>
        <v>0</v>
      </c>
      <c r="Z11" s="540">
        <f t="shared" si="118"/>
        <v>0</v>
      </c>
      <c r="AA11" s="538"/>
      <c r="AB11" s="539">
        <f t="shared" si="7"/>
        <v>0</v>
      </c>
      <c r="AC11" s="540">
        <f t="shared" si="119"/>
        <v>0</v>
      </c>
      <c r="AD11" s="538"/>
      <c r="AE11" s="539">
        <f t="shared" si="8"/>
        <v>0</v>
      </c>
      <c r="AF11" s="540">
        <f t="shared" si="120"/>
        <v>0</v>
      </c>
      <c r="AG11" s="538"/>
      <c r="AH11" s="539">
        <f t="shared" si="9"/>
        <v>0</v>
      </c>
      <c r="AI11" s="540">
        <f t="shared" si="121"/>
        <v>0</v>
      </c>
      <c r="AJ11" s="538">
        <v>0</v>
      </c>
      <c r="AK11" s="539">
        <f t="shared" si="10"/>
        <v>0</v>
      </c>
      <c r="AL11" s="540">
        <f t="shared" si="122"/>
        <v>0</v>
      </c>
      <c r="AM11" s="538">
        <v>0</v>
      </c>
      <c r="AN11" s="539">
        <f t="shared" si="11"/>
        <v>0</v>
      </c>
      <c r="AO11" s="540">
        <f t="shared" si="123"/>
        <v>0</v>
      </c>
      <c r="AP11" s="538">
        <v>40.927500000000009</v>
      </c>
      <c r="AQ11" s="539">
        <f t="shared" si="12"/>
        <v>0.7927845036319614</v>
      </c>
      <c r="AR11" s="540">
        <f t="shared" si="124"/>
        <v>0</v>
      </c>
      <c r="AS11" s="538"/>
      <c r="AT11" s="539">
        <f t="shared" si="13"/>
        <v>0</v>
      </c>
      <c r="AU11" s="540">
        <f t="shared" si="125"/>
        <v>0</v>
      </c>
      <c r="AV11" s="538">
        <v>0</v>
      </c>
      <c r="AW11" s="539">
        <f t="shared" si="14"/>
        <v>0</v>
      </c>
      <c r="AX11" s="540">
        <f t="shared" si="126"/>
        <v>0</v>
      </c>
      <c r="AY11" s="538">
        <v>70.793999999999983</v>
      </c>
      <c r="AZ11" s="539">
        <f t="shared" si="15"/>
        <v>1.3713123486682806</v>
      </c>
      <c r="BA11" s="540">
        <f t="shared" si="127"/>
        <v>0</v>
      </c>
      <c r="BB11" s="538">
        <v>0</v>
      </c>
      <c r="BC11" s="539">
        <f t="shared" si="16"/>
        <v>0</v>
      </c>
      <c r="BD11" s="540">
        <f t="shared" si="128"/>
        <v>0</v>
      </c>
      <c r="BE11" s="538"/>
      <c r="BF11" s="539">
        <f t="shared" si="17"/>
        <v>0</v>
      </c>
      <c r="BG11" s="540">
        <f t="shared" si="129"/>
        <v>0</v>
      </c>
      <c r="BH11" s="538"/>
      <c r="BI11" s="539">
        <f t="shared" si="18"/>
        <v>0</v>
      </c>
      <c r="BJ11" s="540">
        <f t="shared" si="130"/>
        <v>0</v>
      </c>
      <c r="BK11" s="538"/>
      <c r="BL11" s="539">
        <f t="shared" si="19"/>
        <v>0</v>
      </c>
      <c r="BM11" s="540">
        <f t="shared" si="131"/>
        <v>0</v>
      </c>
      <c r="BN11" s="538">
        <v>4.0400000000000027</v>
      </c>
      <c r="BO11" s="539">
        <f t="shared" si="20"/>
        <v>7.8256658595641695E-2</v>
      </c>
      <c r="BP11" s="540">
        <f t="shared" si="132"/>
        <v>0</v>
      </c>
      <c r="BQ11" s="538">
        <v>0</v>
      </c>
      <c r="BR11" s="539">
        <f t="shared" si="21"/>
        <v>0</v>
      </c>
      <c r="BS11" s="540">
        <f t="shared" si="133"/>
        <v>0</v>
      </c>
      <c r="BT11" s="538"/>
      <c r="BU11" s="539">
        <f t="shared" si="22"/>
        <v>0</v>
      </c>
      <c r="BV11" s="540">
        <f t="shared" si="134"/>
        <v>0</v>
      </c>
      <c r="BW11" s="538">
        <v>0</v>
      </c>
      <c r="BX11" s="539">
        <f t="shared" si="23"/>
        <v>0</v>
      </c>
      <c r="BY11" s="540">
        <f t="shared" si="135"/>
        <v>0</v>
      </c>
      <c r="BZ11" s="538">
        <v>0</v>
      </c>
      <c r="CA11" s="539">
        <f t="shared" si="24"/>
        <v>0</v>
      </c>
      <c r="CB11" s="540">
        <f t="shared" si="136"/>
        <v>0</v>
      </c>
      <c r="CC11" s="538">
        <v>0</v>
      </c>
      <c r="CD11" s="539">
        <f t="shared" si="25"/>
        <v>0</v>
      </c>
      <c r="CE11" s="540">
        <f t="shared" si="137"/>
        <v>0</v>
      </c>
      <c r="CF11" s="538">
        <v>9.9999999999999978E-2</v>
      </c>
      <c r="CG11" s="539">
        <f t="shared" si="26"/>
        <v>1.9370460048426146E-3</v>
      </c>
      <c r="CH11" s="540">
        <f t="shared" si="138"/>
        <v>0</v>
      </c>
      <c r="CI11" s="538">
        <v>0</v>
      </c>
      <c r="CJ11" s="539">
        <f t="shared" si="27"/>
        <v>0</v>
      </c>
      <c r="CK11" s="540">
        <f t="shared" si="139"/>
        <v>0</v>
      </c>
      <c r="CL11" s="538"/>
      <c r="CM11" s="539">
        <f t="shared" si="28"/>
        <v>0</v>
      </c>
      <c r="CN11" s="540">
        <f t="shared" si="140"/>
        <v>0</v>
      </c>
      <c r="CO11" s="538"/>
      <c r="CP11" s="539">
        <f t="shared" si="29"/>
        <v>0</v>
      </c>
      <c r="CQ11" s="540">
        <f t="shared" si="141"/>
        <v>0</v>
      </c>
      <c r="CR11" s="538"/>
      <c r="CS11" s="539">
        <f t="shared" si="30"/>
        <v>0</v>
      </c>
      <c r="CT11" s="540">
        <f t="shared" si="142"/>
        <v>0</v>
      </c>
      <c r="CU11" s="538"/>
      <c r="CV11" s="539">
        <f t="shared" si="31"/>
        <v>0</v>
      </c>
      <c r="CW11" s="540">
        <f t="shared" si="143"/>
        <v>0</v>
      </c>
      <c r="CX11" s="538"/>
      <c r="CY11" s="539">
        <f t="shared" si="32"/>
        <v>0</v>
      </c>
      <c r="CZ11" s="540">
        <f t="shared" si="144"/>
        <v>0</v>
      </c>
      <c r="DA11" s="538"/>
      <c r="DB11" s="539">
        <f t="shared" si="33"/>
        <v>0</v>
      </c>
      <c r="DC11" s="540">
        <f t="shared" si="145"/>
        <v>0</v>
      </c>
      <c r="DD11" s="538"/>
      <c r="DE11" s="539">
        <f t="shared" si="34"/>
        <v>0</v>
      </c>
      <c r="DF11" s="540">
        <f t="shared" si="146"/>
        <v>0</v>
      </c>
      <c r="DG11" s="538">
        <v>0</v>
      </c>
      <c r="DH11" s="539">
        <f t="shared" si="35"/>
        <v>0</v>
      </c>
      <c r="DI11" s="540">
        <v>0</v>
      </c>
      <c r="DJ11" s="538"/>
      <c r="DK11" s="539">
        <f t="shared" si="36"/>
        <v>0</v>
      </c>
      <c r="DL11" s="540">
        <f t="shared" si="147"/>
        <v>0</v>
      </c>
      <c r="DM11" s="538"/>
      <c r="DN11" s="539">
        <f t="shared" si="37"/>
        <v>0</v>
      </c>
      <c r="DO11" s="540">
        <f t="shared" si="148"/>
        <v>0</v>
      </c>
      <c r="DP11" s="538"/>
      <c r="DQ11" s="539">
        <f t="shared" si="38"/>
        <v>0</v>
      </c>
      <c r="DR11" s="540">
        <f t="shared" si="149"/>
        <v>0</v>
      </c>
      <c r="DS11" s="538"/>
      <c r="DT11" s="539">
        <f t="shared" si="39"/>
        <v>0</v>
      </c>
      <c r="DU11" s="540">
        <f t="shared" si="150"/>
        <v>0</v>
      </c>
      <c r="DV11" s="538"/>
      <c r="DW11" s="539">
        <f t="shared" si="40"/>
        <v>0</v>
      </c>
      <c r="DX11" s="540">
        <f t="shared" si="151"/>
        <v>0</v>
      </c>
      <c r="DY11" s="538"/>
      <c r="DZ11" s="539">
        <f t="shared" si="41"/>
        <v>0</v>
      </c>
      <c r="EA11" s="540">
        <f t="shared" si="152"/>
        <v>0</v>
      </c>
      <c r="EB11" s="538">
        <v>14.534883720930338</v>
      </c>
      <c r="EC11" s="539">
        <f t="shared" si="42"/>
        <v>0.28154738442480076</v>
      </c>
      <c r="ED11" s="540">
        <f t="shared" si="153"/>
        <v>0</v>
      </c>
      <c r="EE11" s="538">
        <v>1</v>
      </c>
      <c r="EF11" s="539">
        <f t="shared" si="43"/>
        <v>1.9370460048426151E-2</v>
      </c>
      <c r="EG11" s="540">
        <f t="shared" si="154"/>
        <v>0</v>
      </c>
      <c r="EH11" s="538"/>
      <c r="EI11" s="539">
        <f t="shared" si="44"/>
        <v>0</v>
      </c>
      <c r="EJ11" s="540">
        <f t="shared" si="155"/>
        <v>0</v>
      </c>
      <c r="EK11" s="538"/>
      <c r="EL11" s="539">
        <f t="shared" si="45"/>
        <v>0</v>
      </c>
      <c r="EM11" s="540">
        <f t="shared" si="156"/>
        <v>0</v>
      </c>
      <c r="EN11" s="538"/>
      <c r="EO11" s="539">
        <f t="shared" si="46"/>
        <v>0</v>
      </c>
      <c r="EP11" s="540">
        <f t="shared" si="157"/>
        <v>0</v>
      </c>
      <c r="EQ11" s="538"/>
      <c r="ER11" s="539">
        <f t="shared" si="47"/>
        <v>0</v>
      </c>
      <c r="ES11" s="540">
        <f t="shared" si="158"/>
        <v>0</v>
      </c>
      <c r="ET11" s="538"/>
      <c r="EU11" s="539">
        <f t="shared" si="48"/>
        <v>0</v>
      </c>
      <c r="EV11" s="540">
        <f t="shared" si="159"/>
        <v>0</v>
      </c>
      <c r="EW11" s="538"/>
      <c r="EX11" s="539">
        <f t="shared" si="49"/>
        <v>0</v>
      </c>
      <c r="EY11" s="540">
        <f t="shared" si="160"/>
        <v>0</v>
      </c>
      <c r="EZ11" s="538"/>
      <c r="FA11" s="539">
        <f t="shared" si="50"/>
        <v>0</v>
      </c>
      <c r="FB11" s="540">
        <f t="shared" si="161"/>
        <v>0</v>
      </c>
      <c r="FC11" s="538"/>
      <c r="FD11" s="539">
        <f t="shared" si="51"/>
        <v>0</v>
      </c>
      <c r="FE11" s="540">
        <f t="shared" si="162"/>
        <v>0</v>
      </c>
      <c r="FF11" s="538"/>
      <c r="FG11" s="539">
        <f t="shared" si="52"/>
        <v>0</v>
      </c>
      <c r="FH11" s="540">
        <f t="shared" si="163"/>
        <v>0</v>
      </c>
      <c r="FI11" s="538"/>
      <c r="FJ11" s="539">
        <f t="shared" si="53"/>
        <v>0</v>
      </c>
      <c r="FK11" s="540">
        <f t="shared" si="164"/>
        <v>0</v>
      </c>
      <c r="FL11" s="538"/>
      <c r="FM11" s="539">
        <f t="shared" si="54"/>
        <v>0</v>
      </c>
      <c r="FN11" s="540">
        <f t="shared" si="165"/>
        <v>0</v>
      </c>
      <c r="FO11" s="538"/>
      <c r="FP11" s="539">
        <f t="shared" si="55"/>
        <v>0</v>
      </c>
      <c r="FQ11" s="540">
        <f t="shared" si="166"/>
        <v>0</v>
      </c>
      <c r="FR11" s="538"/>
      <c r="FS11" s="539">
        <f t="shared" si="56"/>
        <v>0</v>
      </c>
      <c r="FT11" s="540">
        <f t="shared" si="167"/>
        <v>0</v>
      </c>
      <c r="FU11" s="538"/>
      <c r="FV11" s="539">
        <f t="shared" si="57"/>
        <v>0</v>
      </c>
      <c r="FW11" s="540">
        <f t="shared" si="168"/>
        <v>0</v>
      </c>
      <c r="FX11" s="538"/>
      <c r="FY11" s="539">
        <f t="shared" si="58"/>
        <v>0</v>
      </c>
      <c r="FZ11" s="540">
        <f t="shared" si="169"/>
        <v>0</v>
      </c>
      <c r="GA11" s="538"/>
      <c r="GB11" s="539">
        <f t="shared" si="59"/>
        <v>0</v>
      </c>
      <c r="GC11" s="540">
        <f t="shared" si="170"/>
        <v>0</v>
      </c>
      <c r="GD11" s="538"/>
      <c r="GE11" s="539">
        <f t="shared" si="60"/>
        <v>0</v>
      </c>
      <c r="GF11" s="540">
        <f t="shared" si="171"/>
        <v>0</v>
      </c>
      <c r="GG11" s="538"/>
      <c r="GH11" s="539">
        <f t="shared" si="61"/>
        <v>0</v>
      </c>
      <c r="GI11" s="540">
        <f t="shared" si="172"/>
        <v>0</v>
      </c>
      <c r="GJ11" s="538"/>
      <c r="GK11" s="539">
        <f t="shared" si="62"/>
        <v>0</v>
      </c>
      <c r="GL11" s="540">
        <f t="shared" si="173"/>
        <v>0</v>
      </c>
      <c r="GM11" s="538"/>
      <c r="GN11" s="539">
        <f t="shared" si="63"/>
        <v>0</v>
      </c>
      <c r="GO11" s="540">
        <f t="shared" si="174"/>
        <v>0</v>
      </c>
      <c r="GP11" s="538"/>
      <c r="GQ11" s="539">
        <f t="shared" si="64"/>
        <v>0</v>
      </c>
      <c r="GR11" s="540">
        <f t="shared" si="175"/>
        <v>0</v>
      </c>
      <c r="GS11" s="538"/>
      <c r="GT11" s="539">
        <f t="shared" si="65"/>
        <v>0</v>
      </c>
      <c r="GU11" s="540">
        <f t="shared" si="176"/>
        <v>0</v>
      </c>
      <c r="GV11" s="538"/>
      <c r="GW11" s="539">
        <f t="shared" si="66"/>
        <v>0</v>
      </c>
      <c r="GX11" s="540">
        <f t="shared" si="177"/>
        <v>0</v>
      </c>
      <c r="GY11" s="538"/>
      <c r="GZ11" s="539">
        <f t="shared" si="67"/>
        <v>0</v>
      </c>
      <c r="HA11" s="540">
        <f t="shared" si="178"/>
        <v>0</v>
      </c>
      <c r="HB11" s="538"/>
      <c r="HC11" s="539">
        <f t="shared" si="68"/>
        <v>0</v>
      </c>
      <c r="HD11" s="540">
        <f t="shared" si="179"/>
        <v>0</v>
      </c>
      <c r="HE11" s="538"/>
      <c r="HF11" s="539">
        <f t="shared" si="69"/>
        <v>0</v>
      </c>
      <c r="HG11" s="540">
        <f t="shared" si="180"/>
        <v>0</v>
      </c>
      <c r="HH11" s="538"/>
      <c r="HI11" s="539">
        <f t="shared" si="70"/>
        <v>0</v>
      </c>
      <c r="HJ11" s="540">
        <f t="shared" si="181"/>
        <v>0</v>
      </c>
      <c r="HK11" s="538"/>
      <c r="HL11" s="539">
        <f t="shared" si="71"/>
        <v>0</v>
      </c>
      <c r="HM11" s="540">
        <f t="shared" si="182"/>
        <v>0</v>
      </c>
      <c r="HN11" s="538"/>
      <c r="HO11" s="539">
        <f t="shared" si="72"/>
        <v>0</v>
      </c>
      <c r="HP11" s="540">
        <f t="shared" si="183"/>
        <v>0</v>
      </c>
      <c r="HQ11" s="538"/>
      <c r="HR11" s="539">
        <f t="shared" si="73"/>
        <v>0</v>
      </c>
      <c r="HS11" s="540">
        <f t="shared" si="184"/>
        <v>0</v>
      </c>
      <c r="HT11" s="538"/>
      <c r="HU11" s="539">
        <f t="shared" si="74"/>
        <v>0</v>
      </c>
      <c r="HV11" s="540">
        <f t="shared" si="185"/>
        <v>0</v>
      </c>
      <c r="HW11" s="538"/>
      <c r="HX11" s="539">
        <f t="shared" si="75"/>
        <v>0</v>
      </c>
      <c r="HY11" s="540">
        <f t="shared" si="186"/>
        <v>0</v>
      </c>
      <c r="HZ11" s="538"/>
      <c r="IA11" s="539">
        <f t="shared" si="76"/>
        <v>0</v>
      </c>
      <c r="IB11" s="540">
        <f t="shared" si="187"/>
        <v>0</v>
      </c>
      <c r="IC11" s="538"/>
      <c r="ID11" s="539">
        <f t="shared" si="77"/>
        <v>0</v>
      </c>
      <c r="IE11" s="540">
        <f t="shared" si="188"/>
        <v>0</v>
      </c>
      <c r="IF11" s="538"/>
      <c r="IG11" s="539">
        <f t="shared" si="78"/>
        <v>0</v>
      </c>
      <c r="IH11" s="540">
        <f t="shared" si="189"/>
        <v>0</v>
      </c>
      <c r="II11" s="538"/>
      <c r="IJ11" s="539">
        <f t="shared" si="79"/>
        <v>0</v>
      </c>
      <c r="IK11" s="540">
        <f t="shared" si="190"/>
        <v>0</v>
      </c>
      <c r="IL11" s="538"/>
      <c r="IM11" s="539">
        <f t="shared" si="80"/>
        <v>0</v>
      </c>
      <c r="IN11" s="540">
        <f t="shared" si="191"/>
        <v>0</v>
      </c>
      <c r="IO11" s="538"/>
      <c r="IP11" s="539">
        <f t="shared" si="81"/>
        <v>0</v>
      </c>
      <c r="IQ11" s="540">
        <f t="shared" si="192"/>
        <v>0</v>
      </c>
      <c r="IR11" s="538"/>
      <c r="IS11" s="539">
        <f t="shared" si="82"/>
        <v>0</v>
      </c>
      <c r="IT11" s="540">
        <f t="shared" si="193"/>
        <v>0</v>
      </c>
      <c r="IU11" s="538"/>
      <c r="IV11" s="539">
        <f t="shared" si="83"/>
        <v>0</v>
      </c>
      <c r="IW11" s="540">
        <f t="shared" si="194"/>
        <v>0</v>
      </c>
      <c r="IX11" s="538"/>
      <c r="IY11" s="539">
        <f t="shared" si="84"/>
        <v>0</v>
      </c>
      <c r="IZ11" s="540">
        <f t="shared" si="195"/>
        <v>0</v>
      </c>
      <c r="JA11" s="538"/>
      <c r="JB11" s="539">
        <f t="shared" si="85"/>
        <v>0</v>
      </c>
      <c r="JC11" s="540">
        <f t="shared" si="196"/>
        <v>0</v>
      </c>
      <c r="JD11" s="538"/>
      <c r="JE11" s="539">
        <f t="shared" si="86"/>
        <v>0</v>
      </c>
      <c r="JF11" s="540">
        <f t="shared" si="197"/>
        <v>0</v>
      </c>
      <c r="JG11" s="538"/>
      <c r="JH11" s="539">
        <f t="shared" si="87"/>
        <v>0</v>
      </c>
      <c r="JI11" s="540">
        <f t="shared" si="198"/>
        <v>0</v>
      </c>
      <c r="JJ11" s="538"/>
      <c r="JK11" s="540" t="str">
        <f t="shared" si="88"/>
        <v>0</v>
      </c>
      <c r="JL11" s="540" t="str">
        <f t="shared" si="89"/>
        <v>0</v>
      </c>
      <c r="JM11" s="538"/>
      <c r="JN11" s="540" t="str">
        <f t="shared" si="90"/>
        <v>0</v>
      </c>
      <c r="JO11" s="540" t="str">
        <f t="shared" si="91"/>
        <v>0</v>
      </c>
      <c r="JP11" s="538"/>
      <c r="JQ11" s="540" t="str">
        <f t="shared" si="92"/>
        <v>0</v>
      </c>
      <c r="JR11" s="540" t="str">
        <f t="shared" si="93"/>
        <v>0</v>
      </c>
      <c r="JS11" s="538"/>
      <c r="JT11" s="540" t="str">
        <f t="shared" si="94"/>
        <v>0</v>
      </c>
      <c r="JU11" s="540" t="str">
        <f t="shared" si="95"/>
        <v>0</v>
      </c>
      <c r="JV11" s="538"/>
      <c r="JW11" s="540" t="str">
        <f t="shared" si="96"/>
        <v>0</v>
      </c>
      <c r="JX11" s="540" t="str">
        <f t="shared" si="97"/>
        <v>0</v>
      </c>
      <c r="JY11" s="538"/>
      <c r="JZ11" s="540" t="str">
        <f t="shared" si="98"/>
        <v>0</v>
      </c>
      <c r="KA11" s="540" t="str">
        <f t="shared" si="99"/>
        <v>0</v>
      </c>
      <c r="KB11" s="538"/>
      <c r="KC11" s="540" t="str">
        <f t="shared" si="100"/>
        <v>0</v>
      </c>
      <c r="KD11" s="540" t="str">
        <f t="shared" si="101"/>
        <v>0</v>
      </c>
      <c r="KE11" s="538"/>
      <c r="KF11" s="540" t="str">
        <f t="shared" si="102"/>
        <v>0</v>
      </c>
      <c r="KG11" s="540" t="str">
        <f t="shared" si="103"/>
        <v>0</v>
      </c>
      <c r="KH11" s="538"/>
      <c r="KI11" s="540" t="str">
        <f t="shared" si="104"/>
        <v>0</v>
      </c>
      <c r="KJ11" s="540" t="str">
        <f t="shared" si="105"/>
        <v>0</v>
      </c>
      <c r="KK11" s="538"/>
      <c r="KL11" s="540" t="str">
        <f t="shared" si="106"/>
        <v>0</v>
      </c>
      <c r="KM11" s="540" t="str">
        <f t="shared" si="107"/>
        <v>0</v>
      </c>
      <c r="KN11" s="538"/>
      <c r="KO11" s="540" t="str">
        <f t="shared" si="108"/>
        <v>0</v>
      </c>
      <c r="KP11" s="540" t="str">
        <f t="shared" si="109"/>
        <v>0</v>
      </c>
      <c r="KQ11" s="538"/>
      <c r="KR11" s="540" t="str">
        <f t="shared" si="110"/>
        <v>0</v>
      </c>
      <c r="KS11" s="540" t="str">
        <f t="shared" si="111"/>
        <v>0</v>
      </c>
      <c r="KT11" s="540">
        <f t="shared" ref="KT11:KT41" si="201"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540">
        <f t="shared" ref="KU11:KU41" si="202">GF11+GI11+GL11+GO11+GR11+GU11+GX11+HA11+HD11+HG11+HJ11+HM11+HP11+HS11+HV11+HY11+IB11+IE11+IH11+IK11+IN11+IQ11+IT11+IW11+IZ11+JC11+JF11+JI11+JL11+JO11+JR11+JU11+JX11++KA11+KD11+KG11+KJ11++KM11+KP11+KS11</f>
        <v>0</v>
      </c>
      <c r="KV11" s="274">
        <f t="shared" si="199"/>
        <v>458.62428372093046</v>
      </c>
    </row>
    <row r="12" spans="1:309" ht="15" customHeight="1">
      <c r="A12" s="276">
        <f t="shared" si="200"/>
        <v>45873</v>
      </c>
      <c r="B12" s="277" t="str">
        <f>+Report1!B12</f>
        <v>Facial</v>
      </c>
      <c r="C12" s="417" t="str">
        <f>+Report1!C12</f>
        <v>13</v>
      </c>
      <c r="D12" s="278">
        <f>+Report1!P12</f>
        <v>53.478000000000002</v>
      </c>
      <c r="E12" s="279">
        <f>+Report1!R12</f>
        <v>43.804000000000002</v>
      </c>
      <c r="F12" s="538"/>
      <c r="G12" s="539">
        <f t="shared" si="0"/>
        <v>0</v>
      </c>
      <c r="H12" s="540">
        <f t="shared" si="112"/>
        <v>0</v>
      </c>
      <c r="I12" s="538">
        <v>209.30607906976752</v>
      </c>
      <c r="J12" s="539">
        <f t="shared" si="1"/>
        <v>4.7782412352700101</v>
      </c>
      <c r="K12" s="540">
        <f t="shared" si="113"/>
        <v>0</v>
      </c>
      <c r="L12" s="538"/>
      <c r="M12" s="539">
        <f t="shared" si="2"/>
        <v>0</v>
      </c>
      <c r="N12" s="540">
        <f t="shared" si="114"/>
        <v>0</v>
      </c>
      <c r="O12" s="538">
        <v>9.0015999999999678</v>
      </c>
      <c r="P12" s="539">
        <f t="shared" si="3"/>
        <v>0.20549721486622152</v>
      </c>
      <c r="Q12" s="540">
        <f t="shared" si="115"/>
        <v>0</v>
      </c>
      <c r="R12" s="538"/>
      <c r="S12" s="539">
        <f t="shared" si="4"/>
        <v>0</v>
      </c>
      <c r="T12" s="540">
        <f t="shared" si="116"/>
        <v>0</v>
      </c>
      <c r="U12" s="538">
        <v>5.1233000000000004</v>
      </c>
      <c r="V12" s="539">
        <f t="shared" si="5"/>
        <v>0.1169596383891882</v>
      </c>
      <c r="W12" s="540">
        <f t="shared" si="117"/>
        <v>0</v>
      </c>
      <c r="X12" s="538"/>
      <c r="Y12" s="539">
        <f t="shared" si="6"/>
        <v>0</v>
      </c>
      <c r="Z12" s="540">
        <f t="shared" si="118"/>
        <v>0</v>
      </c>
      <c r="AA12" s="538"/>
      <c r="AB12" s="539">
        <f t="shared" si="7"/>
        <v>0</v>
      </c>
      <c r="AC12" s="540">
        <f t="shared" si="119"/>
        <v>0</v>
      </c>
      <c r="AD12" s="538"/>
      <c r="AE12" s="539">
        <f t="shared" si="8"/>
        <v>0</v>
      </c>
      <c r="AF12" s="540">
        <f t="shared" si="120"/>
        <v>0</v>
      </c>
      <c r="AG12" s="538"/>
      <c r="AH12" s="539">
        <f t="shared" si="9"/>
        <v>0</v>
      </c>
      <c r="AI12" s="540">
        <f t="shared" si="121"/>
        <v>0</v>
      </c>
      <c r="AJ12" s="538">
        <v>0</v>
      </c>
      <c r="AK12" s="539">
        <f t="shared" si="10"/>
        <v>0</v>
      </c>
      <c r="AL12" s="540">
        <f t="shared" si="122"/>
        <v>0</v>
      </c>
      <c r="AM12" s="538">
        <v>0</v>
      </c>
      <c r="AN12" s="539">
        <f t="shared" si="11"/>
        <v>0</v>
      </c>
      <c r="AO12" s="540">
        <f t="shared" si="123"/>
        <v>0</v>
      </c>
      <c r="AP12" s="538">
        <v>54.11303797468355</v>
      </c>
      <c r="AQ12" s="539">
        <f t="shared" si="12"/>
        <v>1.2353446711415292</v>
      </c>
      <c r="AR12" s="540">
        <f t="shared" si="124"/>
        <v>0</v>
      </c>
      <c r="AS12" s="538"/>
      <c r="AT12" s="539">
        <f t="shared" si="13"/>
        <v>0</v>
      </c>
      <c r="AU12" s="540">
        <f t="shared" si="125"/>
        <v>0</v>
      </c>
      <c r="AV12" s="538">
        <v>4.2549999999999741</v>
      </c>
      <c r="AW12" s="539">
        <f t="shared" si="14"/>
        <v>9.7137247739931834E-2</v>
      </c>
      <c r="AX12" s="540">
        <f t="shared" si="126"/>
        <v>0</v>
      </c>
      <c r="AY12" s="538">
        <v>60.667066666666699</v>
      </c>
      <c r="AZ12" s="539">
        <f t="shared" si="15"/>
        <v>1.3849663653243243</v>
      </c>
      <c r="BA12" s="540">
        <f t="shared" si="127"/>
        <v>0</v>
      </c>
      <c r="BB12" s="538">
        <v>0</v>
      </c>
      <c r="BC12" s="539">
        <f t="shared" si="16"/>
        <v>0</v>
      </c>
      <c r="BD12" s="540">
        <f t="shared" si="128"/>
        <v>0</v>
      </c>
      <c r="BE12" s="538"/>
      <c r="BF12" s="539">
        <f t="shared" si="17"/>
        <v>0</v>
      </c>
      <c r="BG12" s="540">
        <f t="shared" si="129"/>
        <v>0</v>
      </c>
      <c r="BH12" s="538"/>
      <c r="BI12" s="539">
        <f t="shared" si="18"/>
        <v>0</v>
      </c>
      <c r="BJ12" s="540">
        <f t="shared" si="130"/>
        <v>0</v>
      </c>
      <c r="BK12" s="538"/>
      <c r="BL12" s="539">
        <f t="shared" si="19"/>
        <v>0</v>
      </c>
      <c r="BM12" s="540">
        <f t="shared" si="131"/>
        <v>0</v>
      </c>
      <c r="BN12" s="538">
        <v>5.0636864197530826</v>
      </c>
      <c r="BO12" s="539">
        <f t="shared" si="20"/>
        <v>0.11559872202888052</v>
      </c>
      <c r="BP12" s="540">
        <f t="shared" si="132"/>
        <v>0</v>
      </c>
      <c r="BQ12" s="538">
        <v>0</v>
      </c>
      <c r="BR12" s="539">
        <f t="shared" si="21"/>
        <v>0</v>
      </c>
      <c r="BS12" s="540">
        <f t="shared" si="133"/>
        <v>0</v>
      </c>
      <c r="BT12" s="538"/>
      <c r="BU12" s="539">
        <f t="shared" si="22"/>
        <v>0</v>
      </c>
      <c r="BV12" s="540">
        <f t="shared" si="134"/>
        <v>0</v>
      </c>
      <c r="BW12" s="538">
        <v>0</v>
      </c>
      <c r="BX12" s="539">
        <f t="shared" si="23"/>
        <v>0</v>
      </c>
      <c r="BY12" s="540">
        <f t="shared" si="135"/>
        <v>0</v>
      </c>
      <c r="BZ12" s="538">
        <v>0</v>
      </c>
      <c r="CA12" s="539">
        <f t="shared" si="24"/>
        <v>0</v>
      </c>
      <c r="CB12" s="540">
        <f t="shared" si="136"/>
        <v>0</v>
      </c>
      <c r="CC12" s="538">
        <v>0</v>
      </c>
      <c r="CD12" s="539">
        <f t="shared" si="25"/>
        <v>0</v>
      </c>
      <c r="CE12" s="540">
        <f t="shared" si="137"/>
        <v>0</v>
      </c>
      <c r="CF12" s="538">
        <v>0.10000000000000003</v>
      </c>
      <c r="CG12" s="539">
        <f t="shared" si="26"/>
        <v>2.2828965391288474E-3</v>
      </c>
      <c r="CH12" s="540">
        <f t="shared" si="138"/>
        <v>0</v>
      </c>
      <c r="CI12" s="538">
        <v>0</v>
      </c>
      <c r="CJ12" s="539">
        <f t="shared" si="27"/>
        <v>0</v>
      </c>
      <c r="CK12" s="540">
        <f t="shared" si="139"/>
        <v>0</v>
      </c>
      <c r="CL12" s="538"/>
      <c r="CM12" s="539">
        <f t="shared" si="28"/>
        <v>0</v>
      </c>
      <c r="CN12" s="540">
        <f t="shared" si="140"/>
        <v>0</v>
      </c>
      <c r="CO12" s="538"/>
      <c r="CP12" s="539">
        <f t="shared" si="29"/>
        <v>0</v>
      </c>
      <c r="CQ12" s="540">
        <f t="shared" si="141"/>
        <v>0</v>
      </c>
      <c r="CR12" s="538"/>
      <c r="CS12" s="539">
        <f t="shared" si="30"/>
        <v>0</v>
      </c>
      <c r="CT12" s="540">
        <f t="shared" si="142"/>
        <v>0</v>
      </c>
      <c r="CU12" s="538"/>
      <c r="CV12" s="539">
        <f t="shared" si="31"/>
        <v>0</v>
      </c>
      <c r="CW12" s="540">
        <f t="shared" si="143"/>
        <v>0</v>
      </c>
      <c r="CX12" s="538"/>
      <c r="CY12" s="539">
        <f t="shared" si="32"/>
        <v>0</v>
      </c>
      <c r="CZ12" s="540">
        <f t="shared" si="144"/>
        <v>0</v>
      </c>
      <c r="DA12" s="538"/>
      <c r="DB12" s="539">
        <f t="shared" si="33"/>
        <v>0</v>
      </c>
      <c r="DC12" s="540">
        <f t="shared" si="145"/>
        <v>0</v>
      </c>
      <c r="DD12" s="538"/>
      <c r="DE12" s="539">
        <f t="shared" si="34"/>
        <v>0</v>
      </c>
      <c r="DF12" s="540">
        <f t="shared" si="146"/>
        <v>0</v>
      </c>
      <c r="DG12" s="538">
        <v>0</v>
      </c>
      <c r="DH12" s="539">
        <f t="shared" si="35"/>
        <v>0</v>
      </c>
      <c r="DI12" s="540">
        <v>0</v>
      </c>
      <c r="DJ12" s="538"/>
      <c r="DK12" s="539">
        <f t="shared" si="36"/>
        <v>0</v>
      </c>
      <c r="DL12" s="540">
        <f t="shared" si="147"/>
        <v>0</v>
      </c>
      <c r="DM12" s="538"/>
      <c r="DN12" s="539">
        <f t="shared" si="37"/>
        <v>0</v>
      </c>
      <c r="DO12" s="540">
        <f t="shared" si="148"/>
        <v>0</v>
      </c>
      <c r="DP12" s="538"/>
      <c r="DQ12" s="539">
        <f t="shared" si="38"/>
        <v>0</v>
      </c>
      <c r="DR12" s="540">
        <f t="shared" si="149"/>
        <v>0</v>
      </c>
      <c r="DS12" s="538"/>
      <c r="DT12" s="539">
        <f t="shared" si="39"/>
        <v>0</v>
      </c>
      <c r="DU12" s="540">
        <f t="shared" si="150"/>
        <v>0</v>
      </c>
      <c r="DV12" s="538"/>
      <c r="DW12" s="539">
        <f t="shared" si="40"/>
        <v>0</v>
      </c>
      <c r="DX12" s="540">
        <f t="shared" si="151"/>
        <v>0</v>
      </c>
      <c r="DY12" s="538"/>
      <c r="DZ12" s="539">
        <f t="shared" si="41"/>
        <v>0</v>
      </c>
      <c r="EA12" s="540">
        <f t="shared" si="152"/>
        <v>0</v>
      </c>
      <c r="EB12" s="538">
        <v>14.534883720930225</v>
      </c>
      <c r="EC12" s="539">
        <f t="shared" si="42"/>
        <v>0.33181635743151822</v>
      </c>
      <c r="ED12" s="540">
        <f t="shared" si="153"/>
        <v>0</v>
      </c>
      <c r="EE12" s="538">
        <v>1</v>
      </c>
      <c r="EF12" s="539">
        <f t="shared" si="43"/>
        <v>2.2828965391288467E-2</v>
      </c>
      <c r="EG12" s="540">
        <f t="shared" si="154"/>
        <v>0</v>
      </c>
      <c r="EH12" s="538"/>
      <c r="EI12" s="539">
        <f t="shared" si="44"/>
        <v>0</v>
      </c>
      <c r="EJ12" s="540">
        <f t="shared" si="155"/>
        <v>0</v>
      </c>
      <c r="EK12" s="538"/>
      <c r="EL12" s="539">
        <f t="shared" si="45"/>
        <v>0</v>
      </c>
      <c r="EM12" s="540">
        <f t="shared" si="156"/>
        <v>0</v>
      </c>
      <c r="EN12" s="538"/>
      <c r="EO12" s="539">
        <f t="shared" si="46"/>
        <v>0</v>
      </c>
      <c r="EP12" s="540">
        <f t="shared" si="157"/>
        <v>0</v>
      </c>
      <c r="EQ12" s="538"/>
      <c r="ER12" s="539">
        <f t="shared" si="47"/>
        <v>0</v>
      </c>
      <c r="ES12" s="540">
        <f t="shared" si="158"/>
        <v>0</v>
      </c>
      <c r="ET12" s="538"/>
      <c r="EU12" s="539">
        <f t="shared" si="48"/>
        <v>0</v>
      </c>
      <c r="EV12" s="540">
        <f t="shared" si="159"/>
        <v>0</v>
      </c>
      <c r="EW12" s="538"/>
      <c r="EX12" s="539">
        <f t="shared" si="49"/>
        <v>0</v>
      </c>
      <c r="EY12" s="540">
        <f t="shared" si="160"/>
        <v>0</v>
      </c>
      <c r="EZ12" s="538"/>
      <c r="FA12" s="539">
        <f t="shared" si="50"/>
        <v>0</v>
      </c>
      <c r="FB12" s="540">
        <f t="shared" si="161"/>
        <v>0</v>
      </c>
      <c r="FC12" s="538"/>
      <c r="FD12" s="539">
        <f t="shared" si="51"/>
        <v>0</v>
      </c>
      <c r="FE12" s="540">
        <f t="shared" si="162"/>
        <v>0</v>
      </c>
      <c r="FF12" s="538"/>
      <c r="FG12" s="539">
        <f t="shared" si="52"/>
        <v>0</v>
      </c>
      <c r="FH12" s="540">
        <f t="shared" si="163"/>
        <v>0</v>
      </c>
      <c r="FI12" s="538"/>
      <c r="FJ12" s="539">
        <f t="shared" si="53"/>
        <v>0</v>
      </c>
      <c r="FK12" s="540">
        <f t="shared" si="164"/>
        <v>0</v>
      </c>
      <c r="FL12" s="538"/>
      <c r="FM12" s="539">
        <f t="shared" si="54"/>
        <v>0</v>
      </c>
      <c r="FN12" s="540">
        <f t="shared" si="165"/>
        <v>0</v>
      </c>
      <c r="FO12" s="538"/>
      <c r="FP12" s="539">
        <f t="shared" si="55"/>
        <v>0</v>
      </c>
      <c r="FQ12" s="540">
        <f t="shared" si="166"/>
        <v>0</v>
      </c>
      <c r="FR12" s="538"/>
      <c r="FS12" s="539">
        <f t="shared" si="56"/>
        <v>0</v>
      </c>
      <c r="FT12" s="540">
        <f t="shared" si="167"/>
        <v>0</v>
      </c>
      <c r="FU12" s="538"/>
      <c r="FV12" s="539">
        <f t="shared" si="57"/>
        <v>0</v>
      </c>
      <c r="FW12" s="540">
        <f t="shared" si="168"/>
        <v>0</v>
      </c>
      <c r="FX12" s="538"/>
      <c r="FY12" s="539">
        <f t="shared" si="58"/>
        <v>0</v>
      </c>
      <c r="FZ12" s="540">
        <f t="shared" si="169"/>
        <v>0</v>
      </c>
      <c r="GA12" s="538"/>
      <c r="GB12" s="539">
        <f t="shared" si="59"/>
        <v>0</v>
      </c>
      <c r="GC12" s="540">
        <f t="shared" si="170"/>
        <v>0</v>
      </c>
      <c r="GD12" s="538"/>
      <c r="GE12" s="539">
        <f t="shared" si="60"/>
        <v>0</v>
      </c>
      <c r="GF12" s="540">
        <f t="shared" si="171"/>
        <v>0</v>
      </c>
      <c r="GG12" s="538"/>
      <c r="GH12" s="539">
        <f t="shared" si="61"/>
        <v>0</v>
      </c>
      <c r="GI12" s="540">
        <f t="shared" si="172"/>
        <v>0</v>
      </c>
      <c r="GJ12" s="538"/>
      <c r="GK12" s="539">
        <f t="shared" si="62"/>
        <v>0</v>
      </c>
      <c r="GL12" s="540">
        <f t="shared" si="173"/>
        <v>0</v>
      </c>
      <c r="GM12" s="538"/>
      <c r="GN12" s="539">
        <f t="shared" si="63"/>
        <v>0</v>
      </c>
      <c r="GO12" s="540">
        <f t="shared" si="174"/>
        <v>0</v>
      </c>
      <c r="GP12" s="538"/>
      <c r="GQ12" s="539">
        <f t="shared" si="64"/>
        <v>0</v>
      </c>
      <c r="GR12" s="540">
        <f t="shared" si="175"/>
        <v>0</v>
      </c>
      <c r="GS12" s="538"/>
      <c r="GT12" s="539">
        <f t="shared" si="65"/>
        <v>0</v>
      </c>
      <c r="GU12" s="540">
        <f t="shared" si="176"/>
        <v>0</v>
      </c>
      <c r="GV12" s="538"/>
      <c r="GW12" s="539">
        <f t="shared" si="66"/>
        <v>0</v>
      </c>
      <c r="GX12" s="540">
        <f t="shared" si="177"/>
        <v>0</v>
      </c>
      <c r="GY12" s="538"/>
      <c r="GZ12" s="539">
        <f t="shared" si="67"/>
        <v>0</v>
      </c>
      <c r="HA12" s="540">
        <f t="shared" si="178"/>
        <v>0</v>
      </c>
      <c r="HB12" s="538"/>
      <c r="HC12" s="539">
        <f t="shared" si="68"/>
        <v>0</v>
      </c>
      <c r="HD12" s="540">
        <f t="shared" si="179"/>
        <v>0</v>
      </c>
      <c r="HE12" s="538"/>
      <c r="HF12" s="539">
        <f t="shared" si="69"/>
        <v>0</v>
      </c>
      <c r="HG12" s="540">
        <f t="shared" si="180"/>
        <v>0</v>
      </c>
      <c r="HH12" s="538"/>
      <c r="HI12" s="539">
        <f t="shared" si="70"/>
        <v>0</v>
      </c>
      <c r="HJ12" s="540">
        <f t="shared" si="181"/>
        <v>0</v>
      </c>
      <c r="HK12" s="538"/>
      <c r="HL12" s="539">
        <f t="shared" si="71"/>
        <v>0</v>
      </c>
      <c r="HM12" s="540">
        <f t="shared" si="182"/>
        <v>0</v>
      </c>
      <c r="HN12" s="538"/>
      <c r="HO12" s="539">
        <f t="shared" si="72"/>
        <v>0</v>
      </c>
      <c r="HP12" s="540">
        <f t="shared" si="183"/>
        <v>0</v>
      </c>
      <c r="HQ12" s="538"/>
      <c r="HR12" s="539">
        <f t="shared" si="73"/>
        <v>0</v>
      </c>
      <c r="HS12" s="540">
        <f t="shared" si="184"/>
        <v>0</v>
      </c>
      <c r="HT12" s="538"/>
      <c r="HU12" s="539">
        <f t="shared" si="74"/>
        <v>0</v>
      </c>
      <c r="HV12" s="540">
        <f t="shared" si="185"/>
        <v>0</v>
      </c>
      <c r="HW12" s="538"/>
      <c r="HX12" s="539">
        <f t="shared" si="75"/>
        <v>0</v>
      </c>
      <c r="HY12" s="540">
        <f t="shared" si="186"/>
        <v>0</v>
      </c>
      <c r="HZ12" s="538"/>
      <c r="IA12" s="539">
        <f t="shared" si="76"/>
        <v>0</v>
      </c>
      <c r="IB12" s="540">
        <f t="shared" si="187"/>
        <v>0</v>
      </c>
      <c r="IC12" s="538"/>
      <c r="ID12" s="539">
        <f t="shared" si="77"/>
        <v>0</v>
      </c>
      <c r="IE12" s="540">
        <f t="shared" si="188"/>
        <v>0</v>
      </c>
      <c r="IF12" s="538"/>
      <c r="IG12" s="539">
        <f t="shared" si="78"/>
        <v>0</v>
      </c>
      <c r="IH12" s="540">
        <f t="shared" si="189"/>
        <v>0</v>
      </c>
      <c r="II12" s="538"/>
      <c r="IJ12" s="539">
        <f t="shared" si="79"/>
        <v>0</v>
      </c>
      <c r="IK12" s="540">
        <f t="shared" si="190"/>
        <v>0</v>
      </c>
      <c r="IL12" s="538"/>
      <c r="IM12" s="539">
        <f t="shared" si="80"/>
        <v>0</v>
      </c>
      <c r="IN12" s="540">
        <f t="shared" si="191"/>
        <v>0</v>
      </c>
      <c r="IO12" s="538"/>
      <c r="IP12" s="539">
        <f t="shared" si="81"/>
        <v>0</v>
      </c>
      <c r="IQ12" s="540">
        <f t="shared" si="192"/>
        <v>0</v>
      </c>
      <c r="IR12" s="538"/>
      <c r="IS12" s="539">
        <f t="shared" si="82"/>
        <v>0</v>
      </c>
      <c r="IT12" s="540">
        <f t="shared" si="193"/>
        <v>0</v>
      </c>
      <c r="IU12" s="538"/>
      <c r="IV12" s="539">
        <f t="shared" si="83"/>
        <v>0</v>
      </c>
      <c r="IW12" s="540">
        <f t="shared" si="194"/>
        <v>0</v>
      </c>
      <c r="IX12" s="538"/>
      <c r="IY12" s="539">
        <f t="shared" si="84"/>
        <v>0</v>
      </c>
      <c r="IZ12" s="540">
        <f t="shared" si="195"/>
        <v>0</v>
      </c>
      <c r="JA12" s="538"/>
      <c r="JB12" s="539">
        <f t="shared" si="85"/>
        <v>0</v>
      </c>
      <c r="JC12" s="540">
        <f t="shared" si="196"/>
        <v>0</v>
      </c>
      <c r="JD12" s="538"/>
      <c r="JE12" s="539">
        <f t="shared" si="86"/>
        <v>0</v>
      </c>
      <c r="JF12" s="540">
        <f t="shared" si="197"/>
        <v>0</v>
      </c>
      <c r="JG12" s="538"/>
      <c r="JH12" s="539">
        <f t="shared" si="87"/>
        <v>0</v>
      </c>
      <c r="JI12" s="540">
        <f t="shared" si="198"/>
        <v>0</v>
      </c>
      <c r="JJ12" s="538"/>
      <c r="JK12" s="540" t="str">
        <f t="shared" si="88"/>
        <v>0</v>
      </c>
      <c r="JL12" s="540" t="str">
        <f t="shared" si="89"/>
        <v>0</v>
      </c>
      <c r="JM12" s="538"/>
      <c r="JN12" s="540" t="str">
        <f t="shared" si="90"/>
        <v>0</v>
      </c>
      <c r="JO12" s="540" t="str">
        <f t="shared" si="91"/>
        <v>0</v>
      </c>
      <c r="JP12" s="538"/>
      <c r="JQ12" s="540" t="str">
        <f t="shared" si="92"/>
        <v>0</v>
      </c>
      <c r="JR12" s="540" t="str">
        <f t="shared" si="93"/>
        <v>0</v>
      </c>
      <c r="JS12" s="538"/>
      <c r="JT12" s="540" t="str">
        <f t="shared" si="94"/>
        <v>0</v>
      </c>
      <c r="JU12" s="540" t="str">
        <f t="shared" si="95"/>
        <v>0</v>
      </c>
      <c r="JV12" s="538"/>
      <c r="JW12" s="540" t="str">
        <f t="shared" si="96"/>
        <v>0</v>
      </c>
      <c r="JX12" s="540" t="str">
        <f t="shared" si="97"/>
        <v>0</v>
      </c>
      <c r="JY12" s="538"/>
      <c r="JZ12" s="540" t="str">
        <f t="shared" si="98"/>
        <v>0</v>
      </c>
      <c r="KA12" s="540" t="str">
        <f t="shared" si="99"/>
        <v>0</v>
      </c>
      <c r="KB12" s="538"/>
      <c r="KC12" s="540" t="str">
        <f t="shared" si="100"/>
        <v>0</v>
      </c>
      <c r="KD12" s="540" t="str">
        <f t="shared" si="101"/>
        <v>0</v>
      </c>
      <c r="KE12" s="538"/>
      <c r="KF12" s="540" t="str">
        <f t="shared" si="102"/>
        <v>0</v>
      </c>
      <c r="KG12" s="540" t="str">
        <f t="shared" si="103"/>
        <v>0</v>
      </c>
      <c r="KH12" s="538"/>
      <c r="KI12" s="540" t="str">
        <f t="shared" si="104"/>
        <v>0</v>
      </c>
      <c r="KJ12" s="540" t="str">
        <f t="shared" si="105"/>
        <v>0</v>
      </c>
      <c r="KK12" s="538"/>
      <c r="KL12" s="540" t="str">
        <f t="shared" si="106"/>
        <v>0</v>
      </c>
      <c r="KM12" s="540" t="str">
        <f t="shared" si="107"/>
        <v>0</v>
      </c>
      <c r="KN12" s="538"/>
      <c r="KO12" s="540" t="str">
        <f t="shared" si="108"/>
        <v>0</v>
      </c>
      <c r="KP12" s="540" t="str">
        <f t="shared" si="109"/>
        <v>0</v>
      </c>
      <c r="KQ12" s="538"/>
      <c r="KR12" s="540" t="str">
        <f t="shared" si="110"/>
        <v>0</v>
      </c>
      <c r="KS12" s="540" t="str">
        <f t="shared" si="111"/>
        <v>0</v>
      </c>
      <c r="KT12" s="540">
        <f t="shared" si="201"/>
        <v>0</v>
      </c>
      <c r="KU12" s="540">
        <f t="shared" si="202"/>
        <v>0</v>
      </c>
      <c r="KV12" s="274">
        <f t="shared" si="199"/>
        <v>363.16465385180106</v>
      </c>
    </row>
    <row r="13" spans="1:309" ht="15" customHeight="1">
      <c r="A13" s="276">
        <f t="shared" si="200"/>
        <v>45874</v>
      </c>
      <c r="B13" s="277" t="str">
        <f>+Report1!B13</f>
        <v>Facial/MG</v>
      </c>
      <c r="C13" s="417" t="str">
        <f>+Report1!C13</f>
        <v>13/17/16,5</v>
      </c>
      <c r="D13" s="278">
        <f>+Report1!P13</f>
        <v>68.591999999999999</v>
      </c>
      <c r="E13" s="279">
        <f>+Report1!R13</f>
        <v>56.883000000000003</v>
      </c>
      <c r="F13" s="538"/>
      <c r="G13" s="539">
        <f t="shared" si="0"/>
        <v>0</v>
      </c>
      <c r="H13" s="540">
        <f t="shared" si="112"/>
        <v>0</v>
      </c>
      <c r="I13" s="538">
        <v>546.51162790697674</v>
      </c>
      <c r="J13" s="539">
        <f t="shared" si="1"/>
        <v>9.6076442506017035</v>
      </c>
      <c r="K13" s="540">
        <f t="shared" si="113"/>
        <v>0</v>
      </c>
      <c r="L13" s="538"/>
      <c r="M13" s="539">
        <f t="shared" si="2"/>
        <v>0</v>
      </c>
      <c r="N13" s="540">
        <f t="shared" si="114"/>
        <v>0</v>
      </c>
      <c r="O13" s="538">
        <v>9</v>
      </c>
      <c r="P13" s="539">
        <f t="shared" si="3"/>
        <v>0.15821950319075997</v>
      </c>
      <c r="Q13" s="540">
        <f t="shared" si="115"/>
        <v>0</v>
      </c>
      <c r="R13" s="538"/>
      <c r="S13" s="539">
        <f t="shared" si="4"/>
        <v>0</v>
      </c>
      <c r="T13" s="540">
        <f t="shared" si="116"/>
        <v>0</v>
      </c>
      <c r="U13" s="538">
        <v>5.125</v>
      </c>
      <c r="V13" s="539">
        <f t="shared" si="5"/>
        <v>9.0097217094738322E-2</v>
      </c>
      <c r="W13" s="540">
        <f t="shared" si="117"/>
        <v>0</v>
      </c>
      <c r="X13" s="538"/>
      <c r="Y13" s="539">
        <f t="shared" si="6"/>
        <v>0</v>
      </c>
      <c r="Z13" s="540">
        <f t="shared" si="118"/>
        <v>0</v>
      </c>
      <c r="AA13" s="538"/>
      <c r="AB13" s="539">
        <f t="shared" si="7"/>
        <v>0</v>
      </c>
      <c r="AC13" s="540">
        <f t="shared" si="119"/>
        <v>0</v>
      </c>
      <c r="AD13" s="538"/>
      <c r="AE13" s="539">
        <f t="shared" si="8"/>
        <v>0</v>
      </c>
      <c r="AF13" s="540">
        <f t="shared" si="120"/>
        <v>0</v>
      </c>
      <c r="AG13" s="538"/>
      <c r="AH13" s="539">
        <f t="shared" si="9"/>
        <v>0</v>
      </c>
      <c r="AI13" s="540">
        <f t="shared" si="121"/>
        <v>0</v>
      </c>
      <c r="AJ13" s="538">
        <v>0</v>
      </c>
      <c r="AK13" s="539">
        <f t="shared" si="10"/>
        <v>0</v>
      </c>
      <c r="AL13" s="540">
        <f t="shared" si="122"/>
        <v>0</v>
      </c>
      <c r="AM13" s="538">
        <v>0</v>
      </c>
      <c r="AN13" s="539">
        <f t="shared" si="11"/>
        <v>0</v>
      </c>
      <c r="AO13" s="540">
        <f t="shared" si="123"/>
        <v>0</v>
      </c>
      <c r="AP13" s="538">
        <v>39.87341772151899</v>
      </c>
      <c r="AQ13" s="539">
        <f t="shared" si="12"/>
        <v>0.70097248249070876</v>
      </c>
      <c r="AR13" s="540">
        <f t="shared" si="124"/>
        <v>0</v>
      </c>
      <c r="AS13" s="538"/>
      <c r="AT13" s="539">
        <f t="shared" si="13"/>
        <v>0</v>
      </c>
      <c r="AU13" s="540">
        <f t="shared" si="125"/>
        <v>0</v>
      </c>
      <c r="AV13" s="538">
        <v>5.5500000000000043</v>
      </c>
      <c r="AW13" s="539">
        <f t="shared" si="14"/>
        <v>9.7568693634302053E-2</v>
      </c>
      <c r="AX13" s="540">
        <f t="shared" si="126"/>
        <v>0</v>
      </c>
      <c r="AY13" s="538">
        <v>58.333333333333329</v>
      </c>
      <c r="AZ13" s="539">
        <f t="shared" si="15"/>
        <v>1.0254967799401109</v>
      </c>
      <c r="BA13" s="540">
        <f t="shared" si="127"/>
        <v>0</v>
      </c>
      <c r="BB13" s="538">
        <v>0</v>
      </c>
      <c r="BC13" s="539">
        <f t="shared" si="16"/>
        <v>0</v>
      </c>
      <c r="BD13" s="540">
        <f t="shared" si="128"/>
        <v>0</v>
      </c>
      <c r="BE13" s="538"/>
      <c r="BF13" s="539">
        <f t="shared" si="17"/>
        <v>0</v>
      </c>
      <c r="BG13" s="540">
        <f t="shared" si="129"/>
        <v>0</v>
      </c>
      <c r="BH13" s="538"/>
      <c r="BI13" s="539">
        <f t="shared" si="18"/>
        <v>0</v>
      </c>
      <c r="BJ13" s="540">
        <f t="shared" si="130"/>
        <v>0</v>
      </c>
      <c r="BK13" s="538"/>
      <c r="BL13" s="539">
        <f t="shared" si="19"/>
        <v>0</v>
      </c>
      <c r="BM13" s="540">
        <f t="shared" si="131"/>
        <v>0</v>
      </c>
      <c r="BN13" s="538">
        <v>10.123456790123457</v>
      </c>
      <c r="BO13" s="539">
        <f t="shared" si="20"/>
        <v>0.17796981154516212</v>
      </c>
      <c r="BP13" s="540">
        <f t="shared" si="132"/>
        <v>0</v>
      </c>
      <c r="BQ13" s="538">
        <v>0</v>
      </c>
      <c r="BR13" s="539">
        <f t="shared" si="21"/>
        <v>0</v>
      </c>
      <c r="BS13" s="540">
        <f t="shared" si="133"/>
        <v>0</v>
      </c>
      <c r="BT13" s="538"/>
      <c r="BU13" s="539">
        <f t="shared" si="22"/>
        <v>0</v>
      </c>
      <c r="BV13" s="540">
        <f t="shared" si="134"/>
        <v>0</v>
      </c>
      <c r="BW13" s="538">
        <v>0.68000000000000682</v>
      </c>
      <c r="BX13" s="539">
        <f t="shared" si="23"/>
        <v>1.1954362463301985E-2</v>
      </c>
      <c r="BY13" s="540">
        <f t="shared" si="135"/>
        <v>0</v>
      </c>
      <c r="BZ13" s="538">
        <v>0</v>
      </c>
      <c r="CA13" s="539">
        <f t="shared" si="24"/>
        <v>0</v>
      </c>
      <c r="CB13" s="540">
        <f t="shared" si="136"/>
        <v>0</v>
      </c>
      <c r="CC13" s="538">
        <v>0</v>
      </c>
      <c r="CD13" s="539">
        <f t="shared" si="25"/>
        <v>0</v>
      </c>
      <c r="CE13" s="540">
        <f t="shared" si="137"/>
        <v>0</v>
      </c>
      <c r="CF13" s="538">
        <v>9.9999999999999978E-2</v>
      </c>
      <c r="CG13" s="539">
        <f t="shared" si="26"/>
        <v>1.7579944798973327E-3</v>
      </c>
      <c r="CH13" s="540">
        <f t="shared" si="138"/>
        <v>0</v>
      </c>
      <c r="CI13" s="538">
        <v>0</v>
      </c>
      <c r="CJ13" s="539">
        <f t="shared" si="27"/>
        <v>0</v>
      </c>
      <c r="CK13" s="540">
        <f t="shared" si="139"/>
        <v>0</v>
      </c>
      <c r="CL13" s="538"/>
      <c r="CM13" s="539">
        <f t="shared" si="28"/>
        <v>0</v>
      </c>
      <c r="CN13" s="540">
        <f t="shared" si="140"/>
        <v>0</v>
      </c>
      <c r="CO13" s="538"/>
      <c r="CP13" s="539">
        <f t="shared" si="29"/>
        <v>0</v>
      </c>
      <c r="CQ13" s="540">
        <f t="shared" si="141"/>
        <v>0</v>
      </c>
      <c r="CR13" s="538"/>
      <c r="CS13" s="539">
        <f t="shared" si="30"/>
        <v>0</v>
      </c>
      <c r="CT13" s="540">
        <f t="shared" si="142"/>
        <v>0</v>
      </c>
      <c r="CU13" s="538"/>
      <c r="CV13" s="539">
        <f t="shared" si="31"/>
        <v>0</v>
      </c>
      <c r="CW13" s="540">
        <f t="shared" si="143"/>
        <v>0</v>
      </c>
      <c r="CX13" s="538"/>
      <c r="CY13" s="539">
        <f t="shared" si="32"/>
        <v>0</v>
      </c>
      <c r="CZ13" s="540">
        <f t="shared" si="144"/>
        <v>0</v>
      </c>
      <c r="DA13" s="538"/>
      <c r="DB13" s="539">
        <f t="shared" si="33"/>
        <v>0</v>
      </c>
      <c r="DC13" s="540">
        <f t="shared" si="145"/>
        <v>0</v>
      </c>
      <c r="DD13" s="538"/>
      <c r="DE13" s="539">
        <f t="shared" si="34"/>
        <v>0</v>
      </c>
      <c r="DF13" s="540">
        <f t="shared" si="146"/>
        <v>0</v>
      </c>
      <c r="DG13" s="538">
        <v>1.1750000000000043</v>
      </c>
      <c r="DH13" s="539">
        <f t="shared" si="35"/>
        <v>2.0656435138793738E-2</v>
      </c>
      <c r="DI13" s="540">
        <v>0</v>
      </c>
      <c r="DJ13" s="538"/>
      <c r="DK13" s="539">
        <f t="shared" si="36"/>
        <v>0</v>
      </c>
      <c r="DL13" s="540">
        <f t="shared" si="147"/>
        <v>0</v>
      </c>
      <c r="DM13" s="538"/>
      <c r="DN13" s="539">
        <f t="shared" si="37"/>
        <v>0</v>
      </c>
      <c r="DO13" s="540">
        <f t="shared" si="148"/>
        <v>0</v>
      </c>
      <c r="DP13" s="538"/>
      <c r="DQ13" s="539">
        <f t="shared" si="38"/>
        <v>0</v>
      </c>
      <c r="DR13" s="540">
        <f t="shared" si="149"/>
        <v>0</v>
      </c>
      <c r="DS13" s="538"/>
      <c r="DT13" s="539">
        <f t="shared" si="39"/>
        <v>0</v>
      </c>
      <c r="DU13" s="540">
        <f t="shared" si="150"/>
        <v>0</v>
      </c>
      <c r="DV13" s="538"/>
      <c r="DW13" s="539">
        <f t="shared" si="40"/>
        <v>0</v>
      </c>
      <c r="DX13" s="540">
        <f t="shared" si="151"/>
        <v>0</v>
      </c>
      <c r="DY13" s="538"/>
      <c r="DZ13" s="539">
        <f t="shared" si="41"/>
        <v>0</v>
      </c>
      <c r="EA13" s="540">
        <f t="shared" si="152"/>
        <v>0</v>
      </c>
      <c r="EB13" s="538">
        <v>14.534883720930225</v>
      </c>
      <c r="EC13" s="539">
        <f t="shared" si="42"/>
        <v>0.25552245347344943</v>
      </c>
      <c r="ED13" s="540">
        <f t="shared" si="153"/>
        <v>0</v>
      </c>
      <c r="EE13" s="538">
        <v>1</v>
      </c>
      <c r="EF13" s="539">
        <f t="shared" si="43"/>
        <v>1.7579944798973332E-2</v>
      </c>
      <c r="EG13" s="540">
        <f t="shared" si="154"/>
        <v>0</v>
      </c>
      <c r="EH13" s="538"/>
      <c r="EI13" s="539">
        <f t="shared" si="44"/>
        <v>0</v>
      </c>
      <c r="EJ13" s="540">
        <f t="shared" si="155"/>
        <v>0</v>
      </c>
      <c r="EK13" s="538"/>
      <c r="EL13" s="539">
        <f t="shared" si="45"/>
        <v>0</v>
      </c>
      <c r="EM13" s="540">
        <f t="shared" si="156"/>
        <v>0</v>
      </c>
      <c r="EN13" s="538"/>
      <c r="EO13" s="539">
        <f t="shared" si="46"/>
        <v>0</v>
      </c>
      <c r="EP13" s="540">
        <f t="shared" si="157"/>
        <v>0</v>
      </c>
      <c r="EQ13" s="538"/>
      <c r="ER13" s="539">
        <f t="shared" si="47"/>
        <v>0</v>
      </c>
      <c r="ES13" s="540">
        <f t="shared" si="158"/>
        <v>0</v>
      </c>
      <c r="ET13" s="538"/>
      <c r="EU13" s="539">
        <f t="shared" si="48"/>
        <v>0</v>
      </c>
      <c r="EV13" s="540">
        <f t="shared" si="159"/>
        <v>0</v>
      </c>
      <c r="EW13" s="538"/>
      <c r="EX13" s="539">
        <f t="shared" si="49"/>
        <v>0</v>
      </c>
      <c r="EY13" s="540">
        <f t="shared" si="160"/>
        <v>0</v>
      </c>
      <c r="EZ13" s="538"/>
      <c r="FA13" s="539">
        <f t="shared" si="50"/>
        <v>0</v>
      </c>
      <c r="FB13" s="540">
        <f t="shared" si="161"/>
        <v>0</v>
      </c>
      <c r="FC13" s="538"/>
      <c r="FD13" s="539">
        <f t="shared" si="51"/>
        <v>0</v>
      </c>
      <c r="FE13" s="540">
        <f t="shared" si="162"/>
        <v>0</v>
      </c>
      <c r="FF13" s="538"/>
      <c r="FG13" s="539">
        <f t="shared" si="52"/>
        <v>0</v>
      </c>
      <c r="FH13" s="540">
        <f t="shared" si="163"/>
        <v>0</v>
      </c>
      <c r="FI13" s="538"/>
      <c r="FJ13" s="539">
        <f t="shared" si="53"/>
        <v>0</v>
      </c>
      <c r="FK13" s="540">
        <f t="shared" si="164"/>
        <v>0</v>
      </c>
      <c r="FL13" s="538"/>
      <c r="FM13" s="539">
        <f t="shared" si="54"/>
        <v>0</v>
      </c>
      <c r="FN13" s="540">
        <f t="shared" si="165"/>
        <v>0</v>
      </c>
      <c r="FO13" s="538"/>
      <c r="FP13" s="539">
        <f t="shared" si="55"/>
        <v>0</v>
      </c>
      <c r="FQ13" s="540">
        <f t="shared" si="166"/>
        <v>0</v>
      </c>
      <c r="FR13" s="538"/>
      <c r="FS13" s="539">
        <f t="shared" si="56"/>
        <v>0</v>
      </c>
      <c r="FT13" s="540">
        <f t="shared" si="167"/>
        <v>0</v>
      </c>
      <c r="FU13" s="538"/>
      <c r="FV13" s="539">
        <f t="shared" si="57"/>
        <v>0</v>
      </c>
      <c r="FW13" s="540">
        <f t="shared" si="168"/>
        <v>0</v>
      </c>
      <c r="FX13" s="538"/>
      <c r="FY13" s="539">
        <f t="shared" si="58"/>
        <v>0</v>
      </c>
      <c r="FZ13" s="540">
        <f t="shared" si="169"/>
        <v>0</v>
      </c>
      <c r="GA13" s="538"/>
      <c r="GB13" s="539">
        <f t="shared" si="59"/>
        <v>0</v>
      </c>
      <c r="GC13" s="540">
        <f t="shared" si="170"/>
        <v>0</v>
      </c>
      <c r="GD13" s="538"/>
      <c r="GE13" s="539">
        <f t="shared" si="60"/>
        <v>0</v>
      </c>
      <c r="GF13" s="540">
        <f t="shared" si="171"/>
        <v>0</v>
      </c>
      <c r="GG13" s="538"/>
      <c r="GH13" s="539">
        <f t="shared" si="61"/>
        <v>0</v>
      </c>
      <c r="GI13" s="540">
        <f t="shared" si="172"/>
        <v>0</v>
      </c>
      <c r="GJ13" s="538"/>
      <c r="GK13" s="539">
        <f t="shared" si="62"/>
        <v>0</v>
      </c>
      <c r="GL13" s="540">
        <f t="shared" si="173"/>
        <v>0</v>
      </c>
      <c r="GM13" s="538"/>
      <c r="GN13" s="539">
        <f t="shared" si="63"/>
        <v>0</v>
      </c>
      <c r="GO13" s="540">
        <f t="shared" si="174"/>
        <v>0</v>
      </c>
      <c r="GP13" s="538"/>
      <c r="GQ13" s="539">
        <f t="shared" si="64"/>
        <v>0</v>
      </c>
      <c r="GR13" s="540">
        <f t="shared" si="175"/>
        <v>0</v>
      </c>
      <c r="GS13" s="538"/>
      <c r="GT13" s="539">
        <f t="shared" si="65"/>
        <v>0</v>
      </c>
      <c r="GU13" s="540">
        <f t="shared" si="176"/>
        <v>0</v>
      </c>
      <c r="GV13" s="538"/>
      <c r="GW13" s="539">
        <f t="shared" si="66"/>
        <v>0</v>
      </c>
      <c r="GX13" s="540">
        <f t="shared" si="177"/>
        <v>0</v>
      </c>
      <c r="GY13" s="538"/>
      <c r="GZ13" s="539">
        <f t="shared" si="67"/>
        <v>0</v>
      </c>
      <c r="HA13" s="540">
        <f t="shared" si="178"/>
        <v>0</v>
      </c>
      <c r="HB13" s="538"/>
      <c r="HC13" s="539">
        <f t="shared" si="68"/>
        <v>0</v>
      </c>
      <c r="HD13" s="540">
        <f t="shared" si="179"/>
        <v>0</v>
      </c>
      <c r="HE13" s="538"/>
      <c r="HF13" s="539">
        <f t="shared" si="69"/>
        <v>0</v>
      </c>
      <c r="HG13" s="540">
        <f t="shared" si="180"/>
        <v>0</v>
      </c>
      <c r="HH13" s="538"/>
      <c r="HI13" s="539">
        <f t="shared" si="70"/>
        <v>0</v>
      </c>
      <c r="HJ13" s="540">
        <f t="shared" si="181"/>
        <v>0</v>
      </c>
      <c r="HK13" s="538"/>
      <c r="HL13" s="539">
        <f t="shared" si="71"/>
        <v>0</v>
      </c>
      <c r="HM13" s="540">
        <f t="shared" si="182"/>
        <v>0</v>
      </c>
      <c r="HN13" s="538"/>
      <c r="HO13" s="539">
        <f t="shared" si="72"/>
        <v>0</v>
      </c>
      <c r="HP13" s="540">
        <f t="shared" si="183"/>
        <v>0</v>
      </c>
      <c r="HQ13" s="538"/>
      <c r="HR13" s="539">
        <f t="shared" si="73"/>
        <v>0</v>
      </c>
      <c r="HS13" s="540">
        <f t="shared" si="184"/>
        <v>0</v>
      </c>
      <c r="HT13" s="538"/>
      <c r="HU13" s="539">
        <f t="shared" si="74"/>
        <v>0</v>
      </c>
      <c r="HV13" s="540">
        <f t="shared" si="185"/>
        <v>0</v>
      </c>
      <c r="HW13" s="538"/>
      <c r="HX13" s="539">
        <f t="shared" si="75"/>
        <v>0</v>
      </c>
      <c r="HY13" s="540">
        <f t="shared" si="186"/>
        <v>0</v>
      </c>
      <c r="HZ13" s="538"/>
      <c r="IA13" s="539">
        <f t="shared" si="76"/>
        <v>0</v>
      </c>
      <c r="IB13" s="540">
        <f t="shared" si="187"/>
        <v>0</v>
      </c>
      <c r="IC13" s="538"/>
      <c r="ID13" s="539">
        <f t="shared" si="77"/>
        <v>0</v>
      </c>
      <c r="IE13" s="540">
        <f t="shared" si="188"/>
        <v>0</v>
      </c>
      <c r="IF13" s="538"/>
      <c r="IG13" s="539">
        <f t="shared" si="78"/>
        <v>0</v>
      </c>
      <c r="IH13" s="540">
        <f t="shared" si="189"/>
        <v>0</v>
      </c>
      <c r="II13" s="538"/>
      <c r="IJ13" s="539">
        <f t="shared" si="79"/>
        <v>0</v>
      </c>
      <c r="IK13" s="540">
        <f t="shared" si="190"/>
        <v>0</v>
      </c>
      <c r="IL13" s="538"/>
      <c r="IM13" s="539">
        <f t="shared" si="80"/>
        <v>0</v>
      </c>
      <c r="IN13" s="540">
        <f t="shared" si="191"/>
        <v>0</v>
      </c>
      <c r="IO13" s="538"/>
      <c r="IP13" s="539">
        <f t="shared" si="81"/>
        <v>0</v>
      </c>
      <c r="IQ13" s="540">
        <f t="shared" si="192"/>
        <v>0</v>
      </c>
      <c r="IR13" s="538"/>
      <c r="IS13" s="539">
        <f t="shared" si="82"/>
        <v>0</v>
      </c>
      <c r="IT13" s="540">
        <f t="shared" si="193"/>
        <v>0</v>
      </c>
      <c r="IU13" s="538"/>
      <c r="IV13" s="539">
        <f t="shared" si="83"/>
        <v>0</v>
      </c>
      <c r="IW13" s="540">
        <f t="shared" si="194"/>
        <v>0</v>
      </c>
      <c r="IX13" s="538"/>
      <c r="IY13" s="539">
        <f t="shared" si="84"/>
        <v>0</v>
      </c>
      <c r="IZ13" s="540">
        <f t="shared" si="195"/>
        <v>0</v>
      </c>
      <c r="JA13" s="538"/>
      <c r="JB13" s="539">
        <f t="shared" si="85"/>
        <v>0</v>
      </c>
      <c r="JC13" s="540">
        <f t="shared" si="196"/>
        <v>0</v>
      </c>
      <c r="JD13" s="538"/>
      <c r="JE13" s="539">
        <f t="shared" si="86"/>
        <v>0</v>
      </c>
      <c r="JF13" s="540">
        <f t="shared" si="197"/>
        <v>0</v>
      </c>
      <c r="JG13" s="538"/>
      <c r="JH13" s="539">
        <f t="shared" si="87"/>
        <v>0</v>
      </c>
      <c r="JI13" s="540">
        <f t="shared" si="198"/>
        <v>0</v>
      </c>
      <c r="JJ13" s="538"/>
      <c r="JK13" s="540" t="str">
        <f t="shared" si="88"/>
        <v>0</v>
      </c>
      <c r="JL13" s="540" t="str">
        <f t="shared" si="89"/>
        <v>0</v>
      </c>
      <c r="JM13" s="538"/>
      <c r="JN13" s="540" t="str">
        <f t="shared" si="90"/>
        <v>0</v>
      </c>
      <c r="JO13" s="540" t="str">
        <f t="shared" si="91"/>
        <v>0</v>
      </c>
      <c r="JP13" s="538"/>
      <c r="JQ13" s="540" t="str">
        <f t="shared" si="92"/>
        <v>0</v>
      </c>
      <c r="JR13" s="540" t="str">
        <f t="shared" si="93"/>
        <v>0</v>
      </c>
      <c r="JS13" s="538"/>
      <c r="JT13" s="540" t="str">
        <f t="shared" si="94"/>
        <v>0</v>
      </c>
      <c r="JU13" s="540" t="str">
        <f t="shared" si="95"/>
        <v>0</v>
      </c>
      <c r="JV13" s="538"/>
      <c r="JW13" s="540" t="str">
        <f t="shared" si="96"/>
        <v>0</v>
      </c>
      <c r="JX13" s="540" t="str">
        <f t="shared" si="97"/>
        <v>0</v>
      </c>
      <c r="JY13" s="538"/>
      <c r="JZ13" s="540" t="str">
        <f t="shared" si="98"/>
        <v>0</v>
      </c>
      <c r="KA13" s="540" t="str">
        <f t="shared" si="99"/>
        <v>0</v>
      </c>
      <c r="KB13" s="538"/>
      <c r="KC13" s="540" t="str">
        <f t="shared" si="100"/>
        <v>0</v>
      </c>
      <c r="KD13" s="540" t="str">
        <f t="shared" si="101"/>
        <v>0</v>
      </c>
      <c r="KE13" s="538"/>
      <c r="KF13" s="540" t="str">
        <f t="shared" si="102"/>
        <v>0</v>
      </c>
      <c r="KG13" s="540" t="str">
        <f t="shared" si="103"/>
        <v>0</v>
      </c>
      <c r="KH13" s="538"/>
      <c r="KI13" s="540" t="str">
        <f t="shared" si="104"/>
        <v>0</v>
      </c>
      <c r="KJ13" s="540" t="str">
        <f t="shared" si="105"/>
        <v>0</v>
      </c>
      <c r="KK13" s="538"/>
      <c r="KL13" s="540" t="str">
        <f t="shared" si="106"/>
        <v>0</v>
      </c>
      <c r="KM13" s="540" t="str">
        <f t="shared" si="107"/>
        <v>0</v>
      </c>
      <c r="KN13" s="538"/>
      <c r="KO13" s="540" t="str">
        <f t="shared" si="108"/>
        <v>0</v>
      </c>
      <c r="KP13" s="540" t="str">
        <f t="shared" si="109"/>
        <v>0</v>
      </c>
      <c r="KQ13" s="538"/>
      <c r="KR13" s="540" t="str">
        <f t="shared" si="110"/>
        <v>0</v>
      </c>
      <c r="KS13" s="540" t="str">
        <f t="shared" si="111"/>
        <v>0</v>
      </c>
      <c r="KT13" s="540">
        <f t="shared" si="201"/>
        <v>0</v>
      </c>
      <c r="KU13" s="540">
        <f t="shared" si="202"/>
        <v>0</v>
      </c>
      <c r="KV13" s="274">
        <f t="shared" si="199"/>
        <v>692.00671947288265</v>
      </c>
    </row>
    <row r="14" spans="1:309" ht="15" customHeight="1">
      <c r="A14" s="276">
        <f t="shared" si="200"/>
        <v>45875</v>
      </c>
      <c r="B14" s="277" t="str">
        <f>+Report1!B14</f>
        <v>MG</v>
      </c>
      <c r="C14" s="417" t="str">
        <f>+Report1!C14</f>
        <v>16,5</v>
      </c>
      <c r="D14" s="278">
        <f>+Report1!P14</f>
        <v>78.070999999999998</v>
      </c>
      <c r="E14" s="279">
        <f>+Report1!R14</f>
        <v>73.584000000000003</v>
      </c>
      <c r="F14" s="538"/>
      <c r="G14" s="539">
        <f t="shared" si="0"/>
        <v>0</v>
      </c>
      <c r="H14" s="540">
        <f t="shared" si="112"/>
        <v>0</v>
      </c>
      <c r="I14" s="538">
        <v>546.51162790697674</v>
      </c>
      <c r="J14" s="539">
        <f t="shared" si="1"/>
        <v>7.4270443018451937</v>
      </c>
      <c r="K14" s="540">
        <f t="shared" si="113"/>
        <v>0</v>
      </c>
      <c r="L14" s="538"/>
      <c r="M14" s="539">
        <f t="shared" si="2"/>
        <v>0</v>
      </c>
      <c r="N14" s="540">
        <f t="shared" si="114"/>
        <v>0</v>
      </c>
      <c r="O14" s="538">
        <v>9</v>
      </c>
      <c r="P14" s="539">
        <f t="shared" si="3"/>
        <v>0.1223091976516634</v>
      </c>
      <c r="Q14" s="540">
        <f t="shared" si="115"/>
        <v>0</v>
      </c>
      <c r="R14" s="538"/>
      <c r="S14" s="539">
        <f t="shared" si="4"/>
        <v>0</v>
      </c>
      <c r="T14" s="540">
        <f t="shared" si="116"/>
        <v>0</v>
      </c>
      <c r="U14" s="538">
        <v>5.125</v>
      </c>
      <c r="V14" s="539">
        <f t="shared" si="5"/>
        <v>6.9648293107197209E-2</v>
      </c>
      <c r="W14" s="540">
        <f t="shared" si="117"/>
        <v>0</v>
      </c>
      <c r="X14" s="538"/>
      <c r="Y14" s="539">
        <f t="shared" si="6"/>
        <v>0</v>
      </c>
      <c r="Z14" s="540">
        <f t="shared" si="118"/>
        <v>0</v>
      </c>
      <c r="AA14" s="538"/>
      <c r="AB14" s="539">
        <f t="shared" si="7"/>
        <v>0</v>
      </c>
      <c r="AC14" s="540">
        <f t="shared" si="119"/>
        <v>0</v>
      </c>
      <c r="AD14" s="538"/>
      <c r="AE14" s="539">
        <f t="shared" si="8"/>
        <v>0</v>
      </c>
      <c r="AF14" s="540">
        <f t="shared" si="120"/>
        <v>0</v>
      </c>
      <c r="AG14" s="538"/>
      <c r="AH14" s="539">
        <f t="shared" si="9"/>
        <v>0</v>
      </c>
      <c r="AI14" s="540">
        <f t="shared" si="121"/>
        <v>0</v>
      </c>
      <c r="AJ14" s="538">
        <v>0</v>
      </c>
      <c r="AK14" s="539">
        <f t="shared" si="10"/>
        <v>0</v>
      </c>
      <c r="AL14" s="540">
        <f t="shared" si="122"/>
        <v>0</v>
      </c>
      <c r="AM14" s="538">
        <v>0</v>
      </c>
      <c r="AN14" s="539">
        <f t="shared" si="11"/>
        <v>0</v>
      </c>
      <c r="AO14" s="540">
        <f t="shared" si="123"/>
        <v>0</v>
      </c>
      <c r="AP14" s="538">
        <v>39.87341772151899</v>
      </c>
      <c r="AQ14" s="539">
        <f t="shared" si="12"/>
        <v>0.54187619212762272</v>
      </c>
      <c r="AR14" s="540">
        <f t="shared" si="124"/>
        <v>0</v>
      </c>
      <c r="AS14" s="538"/>
      <c r="AT14" s="539">
        <f t="shared" si="13"/>
        <v>0</v>
      </c>
      <c r="AU14" s="540">
        <f t="shared" si="125"/>
        <v>0</v>
      </c>
      <c r="AV14" s="538">
        <v>5.5500000000000043</v>
      </c>
      <c r="AW14" s="539">
        <f t="shared" si="14"/>
        <v>7.5424005218525825E-2</v>
      </c>
      <c r="AX14" s="540">
        <f t="shared" si="126"/>
        <v>0</v>
      </c>
      <c r="AY14" s="538">
        <v>58.333333333333329</v>
      </c>
      <c r="AZ14" s="539">
        <f t="shared" si="15"/>
        <v>0.79274479959411459</v>
      </c>
      <c r="BA14" s="540">
        <f t="shared" si="127"/>
        <v>0</v>
      </c>
      <c r="BB14" s="538">
        <v>0</v>
      </c>
      <c r="BC14" s="539">
        <f t="shared" si="16"/>
        <v>0</v>
      </c>
      <c r="BD14" s="540">
        <f t="shared" si="128"/>
        <v>0</v>
      </c>
      <c r="BE14" s="538"/>
      <c r="BF14" s="539">
        <f t="shared" si="17"/>
        <v>0</v>
      </c>
      <c r="BG14" s="540">
        <f t="shared" si="129"/>
        <v>0</v>
      </c>
      <c r="BH14" s="538"/>
      <c r="BI14" s="539">
        <f t="shared" si="18"/>
        <v>0</v>
      </c>
      <c r="BJ14" s="540">
        <f t="shared" si="130"/>
        <v>0</v>
      </c>
      <c r="BK14" s="538"/>
      <c r="BL14" s="539">
        <f t="shared" si="19"/>
        <v>0</v>
      </c>
      <c r="BM14" s="540">
        <f t="shared" si="131"/>
        <v>0</v>
      </c>
      <c r="BN14" s="538">
        <v>10.123456790123457</v>
      </c>
      <c r="BO14" s="539">
        <f t="shared" si="20"/>
        <v>0.13757687527347598</v>
      </c>
      <c r="BP14" s="540">
        <f t="shared" si="132"/>
        <v>0</v>
      </c>
      <c r="BQ14" s="538">
        <v>0</v>
      </c>
      <c r="BR14" s="539">
        <f t="shared" si="21"/>
        <v>0</v>
      </c>
      <c r="BS14" s="540">
        <f t="shared" si="133"/>
        <v>0</v>
      </c>
      <c r="BT14" s="538"/>
      <c r="BU14" s="539">
        <f t="shared" si="22"/>
        <v>0</v>
      </c>
      <c r="BV14" s="540">
        <f t="shared" si="134"/>
        <v>0</v>
      </c>
      <c r="BW14" s="538">
        <v>0.68000000000000682</v>
      </c>
      <c r="BX14" s="539">
        <f t="shared" si="23"/>
        <v>9.2411393781257727E-3</v>
      </c>
      <c r="BY14" s="540">
        <f t="shared" si="135"/>
        <v>0</v>
      </c>
      <c r="BZ14" s="538">
        <v>0</v>
      </c>
      <c r="CA14" s="539">
        <f t="shared" si="24"/>
        <v>0</v>
      </c>
      <c r="CB14" s="540">
        <f t="shared" si="136"/>
        <v>0</v>
      </c>
      <c r="CC14" s="538">
        <v>0</v>
      </c>
      <c r="CD14" s="539">
        <f t="shared" si="25"/>
        <v>0</v>
      </c>
      <c r="CE14" s="540">
        <f t="shared" si="137"/>
        <v>0</v>
      </c>
      <c r="CF14" s="538">
        <v>9.9999999999999978E-2</v>
      </c>
      <c r="CG14" s="539">
        <f t="shared" si="26"/>
        <v>1.358991085018482E-3</v>
      </c>
      <c r="CH14" s="540">
        <f t="shared" si="138"/>
        <v>0</v>
      </c>
      <c r="CI14" s="538">
        <v>0</v>
      </c>
      <c r="CJ14" s="539">
        <f t="shared" si="27"/>
        <v>0</v>
      </c>
      <c r="CK14" s="540">
        <f t="shared" si="139"/>
        <v>0</v>
      </c>
      <c r="CL14" s="538"/>
      <c r="CM14" s="539">
        <f t="shared" si="28"/>
        <v>0</v>
      </c>
      <c r="CN14" s="540">
        <f t="shared" si="140"/>
        <v>0</v>
      </c>
      <c r="CO14" s="538"/>
      <c r="CP14" s="539">
        <f t="shared" si="29"/>
        <v>0</v>
      </c>
      <c r="CQ14" s="540">
        <f t="shared" si="141"/>
        <v>0</v>
      </c>
      <c r="CR14" s="538"/>
      <c r="CS14" s="539">
        <f t="shared" si="30"/>
        <v>0</v>
      </c>
      <c r="CT14" s="540">
        <f t="shared" si="142"/>
        <v>0</v>
      </c>
      <c r="CU14" s="538"/>
      <c r="CV14" s="539">
        <f t="shared" si="31"/>
        <v>0</v>
      </c>
      <c r="CW14" s="540">
        <f t="shared" si="143"/>
        <v>0</v>
      </c>
      <c r="CX14" s="538"/>
      <c r="CY14" s="539">
        <f t="shared" si="32"/>
        <v>0</v>
      </c>
      <c r="CZ14" s="540">
        <f t="shared" si="144"/>
        <v>0</v>
      </c>
      <c r="DA14" s="538"/>
      <c r="DB14" s="539">
        <f t="shared" si="33"/>
        <v>0</v>
      </c>
      <c r="DC14" s="540">
        <f t="shared" si="145"/>
        <v>0</v>
      </c>
      <c r="DD14" s="538"/>
      <c r="DE14" s="539">
        <f t="shared" si="34"/>
        <v>0</v>
      </c>
      <c r="DF14" s="540">
        <f t="shared" si="146"/>
        <v>0</v>
      </c>
      <c r="DG14" s="538">
        <v>1.1750000000000043</v>
      </c>
      <c r="DH14" s="539">
        <f t="shared" si="35"/>
        <v>1.5968145248967225E-2</v>
      </c>
      <c r="DI14" s="540">
        <f t="shared" ref="DI14:DI39" si="203">+DG14*$H$8</f>
        <v>0</v>
      </c>
      <c r="DJ14" s="538"/>
      <c r="DK14" s="539">
        <f t="shared" si="36"/>
        <v>0</v>
      </c>
      <c r="DL14" s="540">
        <f t="shared" si="147"/>
        <v>0</v>
      </c>
      <c r="DM14" s="538"/>
      <c r="DN14" s="539">
        <f t="shared" si="37"/>
        <v>0</v>
      </c>
      <c r="DO14" s="540">
        <f t="shared" si="148"/>
        <v>0</v>
      </c>
      <c r="DP14" s="538"/>
      <c r="DQ14" s="539">
        <f t="shared" si="38"/>
        <v>0</v>
      </c>
      <c r="DR14" s="540">
        <f t="shared" si="149"/>
        <v>0</v>
      </c>
      <c r="DS14" s="538"/>
      <c r="DT14" s="539">
        <f t="shared" si="39"/>
        <v>0</v>
      </c>
      <c r="DU14" s="540">
        <f t="shared" si="150"/>
        <v>0</v>
      </c>
      <c r="DV14" s="538"/>
      <c r="DW14" s="539">
        <f t="shared" si="40"/>
        <v>0</v>
      </c>
      <c r="DX14" s="540">
        <f t="shared" si="151"/>
        <v>0</v>
      </c>
      <c r="DY14" s="538"/>
      <c r="DZ14" s="539">
        <f t="shared" si="41"/>
        <v>0</v>
      </c>
      <c r="EA14" s="540">
        <f t="shared" si="152"/>
        <v>0</v>
      </c>
      <c r="EB14" s="538">
        <v>14.534883720930225</v>
      </c>
      <c r="EC14" s="539">
        <f t="shared" si="42"/>
        <v>0.1975277739852444</v>
      </c>
      <c r="ED14" s="540">
        <f t="shared" si="153"/>
        <v>0</v>
      </c>
      <c r="EE14" s="538">
        <v>1</v>
      </c>
      <c r="EF14" s="539">
        <f t="shared" si="43"/>
        <v>1.3589910850184822E-2</v>
      </c>
      <c r="EG14" s="540">
        <f t="shared" si="154"/>
        <v>0</v>
      </c>
      <c r="EH14" s="538"/>
      <c r="EI14" s="539">
        <f t="shared" si="44"/>
        <v>0</v>
      </c>
      <c r="EJ14" s="540">
        <f t="shared" si="155"/>
        <v>0</v>
      </c>
      <c r="EK14" s="538"/>
      <c r="EL14" s="539">
        <f t="shared" si="45"/>
        <v>0</v>
      </c>
      <c r="EM14" s="540">
        <f t="shared" si="156"/>
        <v>0</v>
      </c>
      <c r="EN14" s="538"/>
      <c r="EO14" s="539">
        <f t="shared" si="46"/>
        <v>0</v>
      </c>
      <c r="EP14" s="540">
        <f t="shared" si="157"/>
        <v>0</v>
      </c>
      <c r="EQ14" s="538"/>
      <c r="ER14" s="539">
        <f t="shared" si="47"/>
        <v>0</v>
      </c>
      <c r="ES14" s="540">
        <f t="shared" si="158"/>
        <v>0</v>
      </c>
      <c r="ET14" s="538"/>
      <c r="EU14" s="539">
        <f t="shared" si="48"/>
        <v>0</v>
      </c>
      <c r="EV14" s="540">
        <f t="shared" si="159"/>
        <v>0</v>
      </c>
      <c r="EW14" s="538"/>
      <c r="EX14" s="539">
        <f t="shared" si="49"/>
        <v>0</v>
      </c>
      <c r="EY14" s="540">
        <f t="shared" si="160"/>
        <v>0</v>
      </c>
      <c r="EZ14" s="538"/>
      <c r="FA14" s="539">
        <f t="shared" si="50"/>
        <v>0</v>
      </c>
      <c r="FB14" s="540">
        <f t="shared" si="161"/>
        <v>0</v>
      </c>
      <c r="FC14" s="538"/>
      <c r="FD14" s="539">
        <f t="shared" si="51"/>
        <v>0</v>
      </c>
      <c r="FE14" s="540">
        <f t="shared" si="162"/>
        <v>0</v>
      </c>
      <c r="FF14" s="538"/>
      <c r="FG14" s="539">
        <f t="shared" si="52"/>
        <v>0</v>
      </c>
      <c r="FH14" s="540">
        <f t="shared" si="163"/>
        <v>0</v>
      </c>
      <c r="FI14" s="538"/>
      <c r="FJ14" s="539">
        <f t="shared" si="53"/>
        <v>0</v>
      </c>
      <c r="FK14" s="540">
        <f t="shared" si="164"/>
        <v>0</v>
      </c>
      <c r="FL14" s="538"/>
      <c r="FM14" s="539">
        <f t="shared" si="54"/>
        <v>0</v>
      </c>
      <c r="FN14" s="540">
        <f t="shared" si="165"/>
        <v>0</v>
      </c>
      <c r="FO14" s="538"/>
      <c r="FP14" s="539">
        <f t="shared" si="55"/>
        <v>0</v>
      </c>
      <c r="FQ14" s="540">
        <f t="shared" si="166"/>
        <v>0</v>
      </c>
      <c r="FR14" s="538"/>
      <c r="FS14" s="539">
        <f t="shared" si="56"/>
        <v>0</v>
      </c>
      <c r="FT14" s="540">
        <f t="shared" si="167"/>
        <v>0</v>
      </c>
      <c r="FU14" s="538"/>
      <c r="FV14" s="539">
        <f t="shared" si="57"/>
        <v>0</v>
      </c>
      <c r="FW14" s="540">
        <f t="shared" si="168"/>
        <v>0</v>
      </c>
      <c r="FX14" s="538"/>
      <c r="FY14" s="539">
        <f t="shared" si="58"/>
        <v>0</v>
      </c>
      <c r="FZ14" s="540">
        <f t="shared" si="169"/>
        <v>0</v>
      </c>
      <c r="GA14" s="538"/>
      <c r="GB14" s="539">
        <f t="shared" si="59"/>
        <v>0</v>
      </c>
      <c r="GC14" s="540">
        <f t="shared" si="170"/>
        <v>0</v>
      </c>
      <c r="GD14" s="538"/>
      <c r="GE14" s="539">
        <f t="shared" si="60"/>
        <v>0</v>
      </c>
      <c r="GF14" s="540">
        <f t="shared" si="171"/>
        <v>0</v>
      </c>
      <c r="GG14" s="538"/>
      <c r="GH14" s="539">
        <f t="shared" si="61"/>
        <v>0</v>
      </c>
      <c r="GI14" s="540">
        <f t="shared" si="172"/>
        <v>0</v>
      </c>
      <c r="GJ14" s="538"/>
      <c r="GK14" s="539">
        <f t="shared" si="62"/>
        <v>0</v>
      </c>
      <c r="GL14" s="540">
        <f t="shared" si="173"/>
        <v>0</v>
      </c>
      <c r="GM14" s="538"/>
      <c r="GN14" s="539">
        <f t="shared" si="63"/>
        <v>0</v>
      </c>
      <c r="GO14" s="540">
        <f t="shared" si="174"/>
        <v>0</v>
      </c>
      <c r="GP14" s="538"/>
      <c r="GQ14" s="539">
        <f t="shared" si="64"/>
        <v>0</v>
      </c>
      <c r="GR14" s="540">
        <f t="shared" si="175"/>
        <v>0</v>
      </c>
      <c r="GS14" s="538"/>
      <c r="GT14" s="539">
        <f t="shared" si="65"/>
        <v>0</v>
      </c>
      <c r="GU14" s="540">
        <f t="shared" si="176"/>
        <v>0</v>
      </c>
      <c r="GV14" s="538"/>
      <c r="GW14" s="539">
        <f t="shared" si="66"/>
        <v>0</v>
      </c>
      <c r="GX14" s="540">
        <f t="shared" si="177"/>
        <v>0</v>
      </c>
      <c r="GY14" s="538"/>
      <c r="GZ14" s="539">
        <f t="shared" si="67"/>
        <v>0</v>
      </c>
      <c r="HA14" s="540">
        <f t="shared" si="178"/>
        <v>0</v>
      </c>
      <c r="HB14" s="538"/>
      <c r="HC14" s="539">
        <f t="shared" si="68"/>
        <v>0</v>
      </c>
      <c r="HD14" s="540">
        <f t="shared" si="179"/>
        <v>0</v>
      </c>
      <c r="HE14" s="538"/>
      <c r="HF14" s="539">
        <f t="shared" si="69"/>
        <v>0</v>
      </c>
      <c r="HG14" s="540">
        <f t="shared" si="180"/>
        <v>0</v>
      </c>
      <c r="HH14" s="538"/>
      <c r="HI14" s="539">
        <f t="shared" si="70"/>
        <v>0</v>
      </c>
      <c r="HJ14" s="540">
        <f t="shared" si="181"/>
        <v>0</v>
      </c>
      <c r="HK14" s="538"/>
      <c r="HL14" s="539">
        <f t="shared" si="71"/>
        <v>0</v>
      </c>
      <c r="HM14" s="540">
        <f t="shared" si="182"/>
        <v>0</v>
      </c>
      <c r="HN14" s="538"/>
      <c r="HO14" s="539">
        <f t="shared" si="72"/>
        <v>0</v>
      </c>
      <c r="HP14" s="540">
        <f t="shared" si="183"/>
        <v>0</v>
      </c>
      <c r="HQ14" s="538"/>
      <c r="HR14" s="539">
        <f t="shared" si="73"/>
        <v>0</v>
      </c>
      <c r="HS14" s="540">
        <f t="shared" si="184"/>
        <v>0</v>
      </c>
      <c r="HT14" s="538"/>
      <c r="HU14" s="539">
        <f t="shared" si="74"/>
        <v>0</v>
      </c>
      <c r="HV14" s="540">
        <f t="shared" si="185"/>
        <v>0</v>
      </c>
      <c r="HW14" s="538"/>
      <c r="HX14" s="539">
        <f t="shared" si="75"/>
        <v>0</v>
      </c>
      <c r="HY14" s="540">
        <f t="shared" si="186"/>
        <v>0</v>
      </c>
      <c r="HZ14" s="538"/>
      <c r="IA14" s="539">
        <f t="shared" si="76"/>
        <v>0</v>
      </c>
      <c r="IB14" s="540">
        <f t="shared" si="187"/>
        <v>0</v>
      </c>
      <c r="IC14" s="538"/>
      <c r="ID14" s="539">
        <f t="shared" si="77"/>
        <v>0</v>
      </c>
      <c r="IE14" s="540">
        <f t="shared" si="188"/>
        <v>0</v>
      </c>
      <c r="IF14" s="538"/>
      <c r="IG14" s="539">
        <f t="shared" si="78"/>
        <v>0</v>
      </c>
      <c r="IH14" s="540">
        <f t="shared" si="189"/>
        <v>0</v>
      </c>
      <c r="II14" s="538"/>
      <c r="IJ14" s="539">
        <f t="shared" si="79"/>
        <v>0</v>
      </c>
      <c r="IK14" s="540">
        <f t="shared" si="190"/>
        <v>0</v>
      </c>
      <c r="IL14" s="538"/>
      <c r="IM14" s="539">
        <f t="shared" si="80"/>
        <v>0</v>
      </c>
      <c r="IN14" s="540">
        <f t="shared" si="191"/>
        <v>0</v>
      </c>
      <c r="IO14" s="538"/>
      <c r="IP14" s="539">
        <f t="shared" si="81"/>
        <v>0</v>
      </c>
      <c r="IQ14" s="540">
        <f t="shared" si="192"/>
        <v>0</v>
      </c>
      <c r="IR14" s="538"/>
      <c r="IS14" s="539">
        <f t="shared" si="82"/>
        <v>0</v>
      </c>
      <c r="IT14" s="540">
        <f t="shared" si="193"/>
        <v>0</v>
      </c>
      <c r="IU14" s="538"/>
      <c r="IV14" s="539">
        <f t="shared" si="83"/>
        <v>0</v>
      </c>
      <c r="IW14" s="540">
        <f t="shared" si="194"/>
        <v>0</v>
      </c>
      <c r="IX14" s="538"/>
      <c r="IY14" s="539">
        <f t="shared" si="84"/>
        <v>0</v>
      </c>
      <c r="IZ14" s="540">
        <f t="shared" si="195"/>
        <v>0</v>
      </c>
      <c r="JA14" s="538"/>
      <c r="JB14" s="539">
        <f t="shared" si="85"/>
        <v>0</v>
      </c>
      <c r="JC14" s="540">
        <f t="shared" si="196"/>
        <v>0</v>
      </c>
      <c r="JD14" s="538"/>
      <c r="JE14" s="539">
        <f t="shared" si="86"/>
        <v>0</v>
      </c>
      <c r="JF14" s="540">
        <f t="shared" si="197"/>
        <v>0</v>
      </c>
      <c r="JG14" s="538"/>
      <c r="JH14" s="539">
        <f t="shared" si="87"/>
        <v>0</v>
      </c>
      <c r="JI14" s="540">
        <f t="shared" si="198"/>
        <v>0</v>
      </c>
      <c r="JJ14" s="538"/>
      <c r="JK14" s="540" t="str">
        <f t="shared" si="88"/>
        <v>0</v>
      </c>
      <c r="JL14" s="540" t="str">
        <f t="shared" si="89"/>
        <v>0</v>
      </c>
      <c r="JM14" s="538"/>
      <c r="JN14" s="540" t="str">
        <f t="shared" si="90"/>
        <v>0</v>
      </c>
      <c r="JO14" s="540" t="str">
        <f t="shared" si="91"/>
        <v>0</v>
      </c>
      <c r="JP14" s="538"/>
      <c r="JQ14" s="540" t="str">
        <f t="shared" si="92"/>
        <v>0</v>
      </c>
      <c r="JR14" s="540" t="str">
        <f t="shared" si="93"/>
        <v>0</v>
      </c>
      <c r="JS14" s="538"/>
      <c r="JT14" s="540" t="str">
        <f t="shared" si="94"/>
        <v>0</v>
      </c>
      <c r="JU14" s="540" t="str">
        <f t="shared" si="95"/>
        <v>0</v>
      </c>
      <c r="JV14" s="538"/>
      <c r="JW14" s="540" t="str">
        <f t="shared" si="96"/>
        <v>0</v>
      </c>
      <c r="JX14" s="540" t="str">
        <f t="shared" si="97"/>
        <v>0</v>
      </c>
      <c r="JY14" s="538"/>
      <c r="JZ14" s="540" t="str">
        <f t="shared" si="98"/>
        <v>0</v>
      </c>
      <c r="KA14" s="540" t="str">
        <f t="shared" si="99"/>
        <v>0</v>
      </c>
      <c r="KB14" s="538"/>
      <c r="KC14" s="540" t="str">
        <f t="shared" si="100"/>
        <v>0</v>
      </c>
      <c r="KD14" s="540" t="str">
        <f t="shared" si="101"/>
        <v>0</v>
      </c>
      <c r="KE14" s="538"/>
      <c r="KF14" s="540" t="str">
        <f t="shared" si="102"/>
        <v>0</v>
      </c>
      <c r="KG14" s="540" t="str">
        <f t="shared" si="103"/>
        <v>0</v>
      </c>
      <c r="KH14" s="538"/>
      <c r="KI14" s="540" t="str">
        <f t="shared" si="104"/>
        <v>0</v>
      </c>
      <c r="KJ14" s="540" t="str">
        <f t="shared" si="105"/>
        <v>0</v>
      </c>
      <c r="KK14" s="538"/>
      <c r="KL14" s="540" t="str">
        <f t="shared" si="106"/>
        <v>0</v>
      </c>
      <c r="KM14" s="540" t="str">
        <f t="shared" si="107"/>
        <v>0</v>
      </c>
      <c r="KN14" s="538"/>
      <c r="KO14" s="540" t="str">
        <f t="shared" si="108"/>
        <v>0</v>
      </c>
      <c r="KP14" s="540" t="str">
        <f t="shared" si="109"/>
        <v>0</v>
      </c>
      <c r="KQ14" s="538"/>
      <c r="KR14" s="540" t="str">
        <f t="shared" si="110"/>
        <v>0</v>
      </c>
      <c r="KS14" s="540" t="str">
        <f t="shared" si="111"/>
        <v>0</v>
      </c>
      <c r="KT14" s="540">
        <f t="shared" si="201"/>
        <v>0</v>
      </c>
      <c r="KU14" s="540">
        <f t="shared" si="202"/>
        <v>0</v>
      </c>
      <c r="KV14" s="274">
        <f t="shared" si="199"/>
        <v>692.00671947288265</v>
      </c>
    </row>
    <row r="15" spans="1:309" ht="15" customHeight="1">
      <c r="A15" s="276">
        <f t="shared" si="200"/>
        <v>45876</v>
      </c>
      <c r="B15" s="277" t="str">
        <f>+Report1!B15</f>
        <v>MG</v>
      </c>
      <c r="C15" s="417" t="str">
        <f>+Report1!C15</f>
        <v>16/14</v>
      </c>
      <c r="D15" s="278">
        <f>+Report1!P15</f>
        <v>65.799000000000007</v>
      </c>
      <c r="E15" s="279">
        <f>+Report1!R15</f>
        <v>69.284000000000006</v>
      </c>
      <c r="F15" s="538"/>
      <c r="G15" s="539">
        <f t="shared" si="0"/>
        <v>0</v>
      </c>
      <c r="H15" s="540">
        <f t="shared" si="112"/>
        <v>0</v>
      </c>
      <c r="I15" s="538">
        <v>569.76744186046517</v>
      </c>
      <c r="J15" s="539">
        <f t="shared" si="1"/>
        <v>8.2236510862603929</v>
      </c>
      <c r="K15" s="540">
        <f t="shared" si="113"/>
        <v>0</v>
      </c>
      <c r="L15" s="538"/>
      <c r="M15" s="539">
        <f t="shared" si="2"/>
        <v>0</v>
      </c>
      <c r="N15" s="540">
        <f t="shared" si="114"/>
        <v>0</v>
      </c>
      <c r="O15" s="538">
        <v>8.9999999999999716</v>
      </c>
      <c r="P15" s="539">
        <f t="shared" si="3"/>
        <v>0.12990012124011274</v>
      </c>
      <c r="Q15" s="540">
        <f t="shared" si="115"/>
        <v>0</v>
      </c>
      <c r="R15" s="538"/>
      <c r="S15" s="539">
        <f t="shared" si="4"/>
        <v>0</v>
      </c>
      <c r="T15" s="540">
        <f t="shared" si="116"/>
        <v>0</v>
      </c>
      <c r="U15" s="538">
        <v>5.1250000000000071</v>
      </c>
      <c r="V15" s="539">
        <f t="shared" si="5"/>
        <v>7.3970902372842318E-2</v>
      </c>
      <c r="W15" s="540">
        <f t="shared" si="117"/>
        <v>0</v>
      </c>
      <c r="X15" s="538"/>
      <c r="Y15" s="539">
        <f t="shared" si="6"/>
        <v>0</v>
      </c>
      <c r="Z15" s="540">
        <f t="shared" si="118"/>
        <v>0</v>
      </c>
      <c r="AA15" s="538"/>
      <c r="AB15" s="539">
        <f t="shared" si="7"/>
        <v>0</v>
      </c>
      <c r="AC15" s="540">
        <f t="shared" si="119"/>
        <v>0</v>
      </c>
      <c r="AD15" s="538"/>
      <c r="AE15" s="539">
        <f t="shared" si="8"/>
        <v>0</v>
      </c>
      <c r="AF15" s="540">
        <f t="shared" si="120"/>
        <v>0</v>
      </c>
      <c r="AG15" s="538"/>
      <c r="AH15" s="539">
        <f t="shared" si="9"/>
        <v>0</v>
      </c>
      <c r="AI15" s="540">
        <f t="shared" si="121"/>
        <v>0</v>
      </c>
      <c r="AJ15" s="538">
        <v>0</v>
      </c>
      <c r="AK15" s="539">
        <f t="shared" si="10"/>
        <v>0</v>
      </c>
      <c r="AL15" s="540">
        <f t="shared" si="122"/>
        <v>0</v>
      </c>
      <c r="AM15" s="538">
        <v>0</v>
      </c>
      <c r="AN15" s="539">
        <f t="shared" si="11"/>
        <v>0</v>
      </c>
      <c r="AO15" s="540">
        <f t="shared" si="123"/>
        <v>0</v>
      </c>
      <c r="AP15" s="538">
        <v>0</v>
      </c>
      <c r="AQ15" s="539">
        <f t="shared" si="12"/>
        <v>0</v>
      </c>
      <c r="AR15" s="540">
        <f t="shared" si="124"/>
        <v>0</v>
      </c>
      <c r="AS15" s="538"/>
      <c r="AT15" s="539">
        <f t="shared" si="13"/>
        <v>0</v>
      </c>
      <c r="AU15" s="540">
        <f t="shared" si="125"/>
        <v>0</v>
      </c>
      <c r="AV15" s="538">
        <v>5.5499999999999545</v>
      </c>
      <c r="AW15" s="539">
        <f t="shared" si="14"/>
        <v>8.0105074764735787E-2</v>
      </c>
      <c r="AX15" s="540">
        <f t="shared" si="126"/>
        <v>0</v>
      </c>
      <c r="AY15" s="538">
        <v>62.999999999999972</v>
      </c>
      <c r="AZ15" s="539">
        <f t="shared" si="15"/>
        <v>0.90930084868079164</v>
      </c>
      <c r="BA15" s="540">
        <f t="shared" si="127"/>
        <v>0</v>
      </c>
      <c r="BB15" s="538">
        <v>0</v>
      </c>
      <c r="BC15" s="539">
        <f t="shared" si="16"/>
        <v>0</v>
      </c>
      <c r="BD15" s="540">
        <f t="shared" si="128"/>
        <v>0</v>
      </c>
      <c r="BE15" s="538"/>
      <c r="BF15" s="539">
        <f t="shared" si="17"/>
        <v>0</v>
      </c>
      <c r="BG15" s="540">
        <f t="shared" si="129"/>
        <v>0</v>
      </c>
      <c r="BH15" s="538"/>
      <c r="BI15" s="539">
        <f t="shared" si="18"/>
        <v>0</v>
      </c>
      <c r="BJ15" s="540">
        <f t="shared" si="130"/>
        <v>0</v>
      </c>
      <c r="BK15" s="538"/>
      <c r="BL15" s="539">
        <f t="shared" si="19"/>
        <v>0</v>
      </c>
      <c r="BM15" s="540">
        <f t="shared" si="131"/>
        <v>0</v>
      </c>
      <c r="BN15" s="538">
        <v>20.246913580246883</v>
      </c>
      <c r="BO15" s="539">
        <f t="shared" si="20"/>
        <v>0.2922307254235737</v>
      </c>
      <c r="BP15" s="540">
        <f t="shared" si="132"/>
        <v>0</v>
      </c>
      <c r="BQ15" s="538">
        <v>0</v>
      </c>
      <c r="BR15" s="539">
        <f t="shared" si="21"/>
        <v>0</v>
      </c>
      <c r="BS15" s="540">
        <f t="shared" si="133"/>
        <v>0</v>
      </c>
      <c r="BT15" s="538"/>
      <c r="BU15" s="539">
        <f t="shared" si="22"/>
        <v>0</v>
      </c>
      <c r="BV15" s="540">
        <f t="shared" si="134"/>
        <v>0</v>
      </c>
      <c r="BW15" s="538">
        <v>0.68000000000000682</v>
      </c>
      <c r="BX15" s="539">
        <f t="shared" si="23"/>
        <v>9.8146758270308693E-3</v>
      </c>
      <c r="BY15" s="540">
        <f t="shared" si="135"/>
        <v>0</v>
      </c>
      <c r="BZ15" s="538">
        <v>0</v>
      </c>
      <c r="CA15" s="539">
        <f t="shared" si="24"/>
        <v>0</v>
      </c>
      <c r="CB15" s="540">
        <f t="shared" si="136"/>
        <v>0</v>
      </c>
      <c r="CC15" s="538">
        <v>6.25</v>
      </c>
      <c r="CD15" s="539">
        <f t="shared" si="25"/>
        <v>9.0208417527856355E-2</v>
      </c>
      <c r="CE15" s="540">
        <f t="shared" si="137"/>
        <v>0</v>
      </c>
      <c r="CF15" s="538">
        <v>0.10000000000000009</v>
      </c>
      <c r="CG15" s="539">
        <f t="shared" si="26"/>
        <v>1.4433346804457029E-3</v>
      </c>
      <c r="CH15" s="540">
        <f t="shared" si="138"/>
        <v>0</v>
      </c>
      <c r="CI15" s="538">
        <v>0</v>
      </c>
      <c r="CJ15" s="539">
        <f t="shared" si="27"/>
        <v>0</v>
      </c>
      <c r="CK15" s="540">
        <f t="shared" si="139"/>
        <v>0</v>
      </c>
      <c r="CL15" s="538"/>
      <c r="CM15" s="539">
        <f t="shared" si="28"/>
        <v>0</v>
      </c>
      <c r="CN15" s="540">
        <f t="shared" si="140"/>
        <v>0</v>
      </c>
      <c r="CO15" s="538"/>
      <c r="CP15" s="539">
        <f t="shared" si="29"/>
        <v>0</v>
      </c>
      <c r="CQ15" s="540">
        <f t="shared" si="141"/>
        <v>0</v>
      </c>
      <c r="CR15" s="538"/>
      <c r="CS15" s="539">
        <f t="shared" si="30"/>
        <v>0</v>
      </c>
      <c r="CT15" s="540">
        <f t="shared" si="142"/>
        <v>0</v>
      </c>
      <c r="CU15" s="538"/>
      <c r="CV15" s="539">
        <f t="shared" si="31"/>
        <v>0</v>
      </c>
      <c r="CW15" s="540">
        <f t="shared" si="143"/>
        <v>0</v>
      </c>
      <c r="CX15" s="538"/>
      <c r="CY15" s="539">
        <f t="shared" si="32"/>
        <v>0</v>
      </c>
      <c r="CZ15" s="540">
        <f t="shared" si="144"/>
        <v>0</v>
      </c>
      <c r="DA15" s="538"/>
      <c r="DB15" s="539">
        <f t="shared" si="33"/>
        <v>0</v>
      </c>
      <c r="DC15" s="540">
        <f t="shared" si="145"/>
        <v>0</v>
      </c>
      <c r="DD15" s="538"/>
      <c r="DE15" s="539">
        <f t="shared" si="34"/>
        <v>0</v>
      </c>
      <c r="DF15" s="540">
        <f t="shared" si="146"/>
        <v>0</v>
      </c>
      <c r="DG15" s="538">
        <v>4.7250000000000014</v>
      </c>
      <c r="DH15" s="539">
        <f t="shared" si="35"/>
        <v>6.8197563651059417E-2</v>
      </c>
      <c r="DI15" s="540">
        <f t="shared" si="203"/>
        <v>0</v>
      </c>
      <c r="DJ15" s="538"/>
      <c r="DK15" s="539">
        <f t="shared" si="36"/>
        <v>0</v>
      </c>
      <c r="DL15" s="540">
        <f t="shared" si="147"/>
        <v>0</v>
      </c>
      <c r="DM15" s="538"/>
      <c r="DN15" s="539">
        <f t="shared" si="37"/>
        <v>0</v>
      </c>
      <c r="DO15" s="540">
        <f t="shared" si="148"/>
        <v>0</v>
      </c>
      <c r="DP15" s="538"/>
      <c r="DQ15" s="539">
        <f t="shared" si="38"/>
        <v>0</v>
      </c>
      <c r="DR15" s="540">
        <f t="shared" si="149"/>
        <v>0</v>
      </c>
      <c r="DS15" s="538"/>
      <c r="DT15" s="539">
        <f t="shared" si="39"/>
        <v>0</v>
      </c>
      <c r="DU15" s="540">
        <f t="shared" si="150"/>
        <v>0</v>
      </c>
      <c r="DV15" s="538"/>
      <c r="DW15" s="539">
        <f t="shared" si="40"/>
        <v>0</v>
      </c>
      <c r="DX15" s="540">
        <f t="shared" si="151"/>
        <v>0</v>
      </c>
      <c r="DY15" s="538"/>
      <c r="DZ15" s="539">
        <f t="shared" si="41"/>
        <v>0</v>
      </c>
      <c r="EA15" s="540">
        <f t="shared" si="152"/>
        <v>0</v>
      </c>
      <c r="EB15" s="538">
        <v>14.534883720930338</v>
      </c>
      <c r="EC15" s="539">
        <f t="shared" si="42"/>
        <v>0.20978701750664419</v>
      </c>
      <c r="ED15" s="540">
        <f t="shared" si="153"/>
        <v>0</v>
      </c>
      <c r="EE15" s="538">
        <v>0.5</v>
      </c>
      <c r="EF15" s="539">
        <f t="shared" si="43"/>
        <v>7.2166734022285082E-3</v>
      </c>
      <c r="EG15" s="540">
        <f t="shared" si="154"/>
        <v>0</v>
      </c>
      <c r="EH15" s="538"/>
      <c r="EI15" s="539">
        <f t="shared" si="44"/>
        <v>0</v>
      </c>
      <c r="EJ15" s="540">
        <f t="shared" si="155"/>
        <v>0</v>
      </c>
      <c r="EK15" s="538"/>
      <c r="EL15" s="539">
        <f t="shared" si="45"/>
        <v>0</v>
      </c>
      <c r="EM15" s="540">
        <f t="shared" si="156"/>
        <v>0</v>
      </c>
      <c r="EN15" s="538"/>
      <c r="EO15" s="539">
        <f t="shared" si="46"/>
        <v>0</v>
      </c>
      <c r="EP15" s="540">
        <f t="shared" si="157"/>
        <v>0</v>
      </c>
      <c r="EQ15" s="538"/>
      <c r="ER15" s="539">
        <f t="shared" si="47"/>
        <v>0</v>
      </c>
      <c r="ES15" s="540">
        <f t="shared" si="158"/>
        <v>0</v>
      </c>
      <c r="ET15" s="538"/>
      <c r="EU15" s="539">
        <f t="shared" si="48"/>
        <v>0</v>
      </c>
      <c r="EV15" s="540">
        <f t="shared" si="159"/>
        <v>0</v>
      </c>
      <c r="EW15" s="538"/>
      <c r="EX15" s="539">
        <f t="shared" si="49"/>
        <v>0</v>
      </c>
      <c r="EY15" s="540">
        <f t="shared" si="160"/>
        <v>0</v>
      </c>
      <c r="EZ15" s="538"/>
      <c r="FA15" s="539">
        <f t="shared" si="50"/>
        <v>0</v>
      </c>
      <c r="FB15" s="540">
        <f t="shared" si="161"/>
        <v>0</v>
      </c>
      <c r="FC15" s="538"/>
      <c r="FD15" s="539">
        <f t="shared" si="51"/>
        <v>0</v>
      </c>
      <c r="FE15" s="540">
        <f t="shared" si="162"/>
        <v>0</v>
      </c>
      <c r="FF15" s="538"/>
      <c r="FG15" s="539">
        <f t="shared" si="52"/>
        <v>0</v>
      </c>
      <c r="FH15" s="540">
        <f t="shared" si="163"/>
        <v>0</v>
      </c>
      <c r="FI15" s="538"/>
      <c r="FJ15" s="539">
        <f t="shared" si="53"/>
        <v>0</v>
      </c>
      <c r="FK15" s="540">
        <f t="shared" si="164"/>
        <v>0</v>
      </c>
      <c r="FL15" s="538"/>
      <c r="FM15" s="539">
        <f t="shared" si="54"/>
        <v>0</v>
      </c>
      <c r="FN15" s="540">
        <f t="shared" si="165"/>
        <v>0</v>
      </c>
      <c r="FO15" s="538"/>
      <c r="FP15" s="539">
        <f t="shared" si="55"/>
        <v>0</v>
      </c>
      <c r="FQ15" s="540">
        <f t="shared" si="166"/>
        <v>0</v>
      </c>
      <c r="FR15" s="538"/>
      <c r="FS15" s="539">
        <f t="shared" si="56"/>
        <v>0</v>
      </c>
      <c r="FT15" s="540">
        <f t="shared" si="167"/>
        <v>0</v>
      </c>
      <c r="FU15" s="538"/>
      <c r="FV15" s="539">
        <f t="shared" si="57"/>
        <v>0</v>
      </c>
      <c r="FW15" s="540">
        <f t="shared" si="168"/>
        <v>0</v>
      </c>
      <c r="FX15" s="538"/>
      <c r="FY15" s="539">
        <f t="shared" si="58"/>
        <v>0</v>
      </c>
      <c r="FZ15" s="540">
        <f t="shared" si="169"/>
        <v>0</v>
      </c>
      <c r="GA15" s="538"/>
      <c r="GB15" s="539">
        <f t="shared" si="59"/>
        <v>0</v>
      </c>
      <c r="GC15" s="540">
        <f t="shared" si="170"/>
        <v>0</v>
      </c>
      <c r="GD15" s="538"/>
      <c r="GE15" s="539">
        <f t="shared" si="60"/>
        <v>0</v>
      </c>
      <c r="GF15" s="540">
        <f t="shared" si="171"/>
        <v>0</v>
      </c>
      <c r="GG15" s="538"/>
      <c r="GH15" s="539">
        <f t="shared" si="61"/>
        <v>0</v>
      </c>
      <c r="GI15" s="540">
        <f t="shared" si="172"/>
        <v>0</v>
      </c>
      <c r="GJ15" s="538"/>
      <c r="GK15" s="539">
        <f t="shared" si="62"/>
        <v>0</v>
      </c>
      <c r="GL15" s="540">
        <f t="shared" si="173"/>
        <v>0</v>
      </c>
      <c r="GM15" s="538"/>
      <c r="GN15" s="539">
        <f t="shared" si="63"/>
        <v>0</v>
      </c>
      <c r="GO15" s="540">
        <f t="shared" si="174"/>
        <v>0</v>
      </c>
      <c r="GP15" s="538"/>
      <c r="GQ15" s="539">
        <f t="shared" si="64"/>
        <v>0</v>
      </c>
      <c r="GR15" s="540">
        <f t="shared" si="175"/>
        <v>0</v>
      </c>
      <c r="GS15" s="538"/>
      <c r="GT15" s="539">
        <f t="shared" si="65"/>
        <v>0</v>
      </c>
      <c r="GU15" s="540">
        <f t="shared" si="176"/>
        <v>0</v>
      </c>
      <c r="GV15" s="538"/>
      <c r="GW15" s="539">
        <f t="shared" si="66"/>
        <v>0</v>
      </c>
      <c r="GX15" s="540">
        <f t="shared" si="177"/>
        <v>0</v>
      </c>
      <c r="GY15" s="538"/>
      <c r="GZ15" s="539">
        <f t="shared" si="67"/>
        <v>0</v>
      </c>
      <c r="HA15" s="540">
        <f t="shared" si="178"/>
        <v>0</v>
      </c>
      <c r="HB15" s="538"/>
      <c r="HC15" s="539">
        <f t="shared" si="68"/>
        <v>0</v>
      </c>
      <c r="HD15" s="540">
        <f t="shared" si="179"/>
        <v>0</v>
      </c>
      <c r="HE15" s="538"/>
      <c r="HF15" s="539">
        <f t="shared" si="69"/>
        <v>0</v>
      </c>
      <c r="HG15" s="540">
        <f t="shared" si="180"/>
        <v>0</v>
      </c>
      <c r="HH15" s="538"/>
      <c r="HI15" s="539">
        <f t="shared" si="70"/>
        <v>0</v>
      </c>
      <c r="HJ15" s="540">
        <f t="shared" si="181"/>
        <v>0</v>
      </c>
      <c r="HK15" s="538"/>
      <c r="HL15" s="539">
        <f t="shared" si="71"/>
        <v>0</v>
      </c>
      <c r="HM15" s="540">
        <f t="shared" si="182"/>
        <v>0</v>
      </c>
      <c r="HN15" s="538"/>
      <c r="HO15" s="539">
        <f t="shared" si="72"/>
        <v>0</v>
      </c>
      <c r="HP15" s="540">
        <f t="shared" si="183"/>
        <v>0</v>
      </c>
      <c r="HQ15" s="538"/>
      <c r="HR15" s="539">
        <f t="shared" si="73"/>
        <v>0</v>
      </c>
      <c r="HS15" s="540">
        <f t="shared" si="184"/>
        <v>0</v>
      </c>
      <c r="HT15" s="538"/>
      <c r="HU15" s="539">
        <f t="shared" si="74"/>
        <v>0</v>
      </c>
      <c r="HV15" s="540">
        <f t="shared" si="185"/>
        <v>0</v>
      </c>
      <c r="HW15" s="538"/>
      <c r="HX15" s="539">
        <f t="shared" si="75"/>
        <v>0</v>
      </c>
      <c r="HY15" s="540">
        <f t="shared" si="186"/>
        <v>0</v>
      </c>
      <c r="HZ15" s="538"/>
      <c r="IA15" s="539">
        <f t="shared" si="76"/>
        <v>0</v>
      </c>
      <c r="IB15" s="540">
        <f t="shared" si="187"/>
        <v>0</v>
      </c>
      <c r="IC15" s="538"/>
      <c r="ID15" s="539">
        <f t="shared" si="77"/>
        <v>0</v>
      </c>
      <c r="IE15" s="540">
        <f t="shared" si="188"/>
        <v>0</v>
      </c>
      <c r="IF15" s="538"/>
      <c r="IG15" s="539">
        <f t="shared" si="78"/>
        <v>0</v>
      </c>
      <c r="IH15" s="540">
        <f t="shared" si="189"/>
        <v>0</v>
      </c>
      <c r="II15" s="538"/>
      <c r="IJ15" s="539">
        <f t="shared" si="79"/>
        <v>0</v>
      </c>
      <c r="IK15" s="540">
        <f t="shared" si="190"/>
        <v>0</v>
      </c>
      <c r="IL15" s="538"/>
      <c r="IM15" s="539">
        <f t="shared" si="80"/>
        <v>0</v>
      </c>
      <c r="IN15" s="540">
        <f t="shared" si="191"/>
        <v>0</v>
      </c>
      <c r="IO15" s="538"/>
      <c r="IP15" s="539">
        <f t="shared" si="81"/>
        <v>0</v>
      </c>
      <c r="IQ15" s="540">
        <f t="shared" si="192"/>
        <v>0</v>
      </c>
      <c r="IR15" s="538"/>
      <c r="IS15" s="539">
        <f t="shared" si="82"/>
        <v>0</v>
      </c>
      <c r="IT15" s="540">
        <f t="shared" si="193"/>
        <v>0</v>
      </c>
      <c r="IU15" s="538"/>
      <c r="IV15" s="539">
        <f t="shared" si="83"/>
        <v>0</v>
      </c>
      <c r="IW15" s="540">
        <f t="shared" si="194"/>
        <v>0</v>
      </c>
      <c r="IX15" s="538"/>
      <c r="IY15" s="539">
        <f t="shared" si="84"/>
        <v>0</v>
      </c>
      <c r="IZ15" s="540">
        <f t="shared" si="195"/>
        <v>0</v>
      </c>
      <c r="JA15" s="538"/>
      <c r="JB15" s="539">
        <f t="shared" si="85"/>
        <v>0</v>
      </c>
      <c r="JC15" s="540">
        <f t="shared" si="196"/>
        <v>0</v>
      </c>
      <c r="JD15" s="538"/>
      <c r="JE15" s="539">
        <f t="shared" si="86"/>
        <v>0</v>
      </c>
      <c r="JF15" s="540">
        <f t="shared" si="197"/>
        <v>0</v>
      </c>
      <c r="JG15" s="538"/>
      <c r="JH15" s="539">
        <f t="shared" si="87"/>
        <v>0</v>
      </c>
      <c r="JI15" s="540">
        <f t="shared" si="198"/>
        <v>0</v>
      </c>
      <c r="JJ15" s="538"/>
      <c r="JK15" s="540" t="str">
        <f t="shared" si="88"/>
        <v>0</v>
      </c>
      <c r="JL15" s="540" t="str">
        <f t="shared" si="89"/>
        <v>0</v>
      </c>
      <c r="JM15" s="538"/>
      <c r="JN15" s="540" t="str">
        <f t="shared" si="90"/>
        <v>0</v>
      </c>
      <c r="JO15" s="540" t="str">
        <f t="shared" si="91"/>
        <v>0</v>
      </c>
      <c r="JP15" s="538"/>
      <c r="JQ15" s="540" t="str">
        <f t="shared" si="92"/>
        <v>0</v>
      </c>
      <c r="JR15" s="540" t="str">
        <f t="shared" si="93"/>
        <v>0</v>
      </c>
      <c r="JS15" s="538"/>
      <c r="JT15" s="540" t="str">
        <f t="shared" si="94"/>
        <v>0</v>
      </c>
      <c r="JU15" s="540" t="str">
        <f t="shared" si="95"/>
        <v>0</v>
      </c>
      <c r="JV15" s="538"/>
      <c r="JW15" s="540" t="str">
        <f t="shared" si="96"/>
        <v>0</v>
      </c>
      <c r="JX15" s="540" t="str">
        <f t="shared" si="97"/>
        <v>0</v>
      </c>
      <c r="JY15" s="538"/>
      <c r="JZ15" s="540" t="str">
        <f t="shared" si="98"/>
        <v>0</v>
      </c>
      <c r="KA15" s="540" t="str">
        <f t="shared" si="99"/>
        <v>0</v>
      </c>
      <c r="KB15" s="538"/>
      <c r="KC15" s="540" t="str">
        <f t="shared" si="100"/>
        <v>0</v>
      </c>
      <c r="KD15" s="540" t="str">
        <f t="shared" si="101"/>
        <v>0</v>
      </c>
      <c r="KE15" s="538"/>
      <c r="KF15" s="540" t="str">
        <f t="shared" si="102"/>
        <v>0</v>
      </c>
      <c r="KG15" s="540" t="str">
        <f t="shared" si="103"/>
        <v>0</v>
      </c>
      <c r="KH15" s="538"/>
      <c r="KI15" s="540" t="str">
        <f t="shared" si="104"/>
        <v>0</v>
      </c>
      <c r="KJ15" s="540" t="str">
        <f t="shared" si="105"/>
        <v>0</v>
      </c>
      <c r="KK15" s="538"/>
      <c r="KL15" s="540" t="str">
        <f t="shared" si="106"/>
        <v>0</v>
      </c>
      <c r="KM15" s="540" t="str">
        <f t="shared" si="107"/>
        <v>0</v>
      </c>
      <c r="KN15" s="538"/>
      <c r="KO15" s="540" t="str">
        <f t="shared" si="108"/>
        <v>0</v>
      </c>
      <c r="KP15" s="540" t="str">
        <f t="shared" si="109"/>
        <v>0</v>
      </c>
      <c r="KQ15" s="538"/>
      <c r="KR15" s="540" t="str">
        <f t="shared" si="110"/>
        <v>0</v>
      </c>
      <c r="KS15" s="540" t="str">
        <f t="shared" si="111"/>
        <v>0</v>
      </c>
      <c r="KT15" s="540">
        <f t="shared" si="201"/>
        <v>0</v>
      </c>
      <c r="KU15" s="540">
        <f t="shared" si="202"/>
        <v>0</v>
      </c>
      <c r="KV15" s="274">
        <f t="shared" si="199"/>
        <v>699.47923916164245</v>
      </c>
    </row>
    <row r="16" spans="1:309" ht="15" customHeight="1">
      <c r="A16" s="276">
        <f t="shared" si="200"/>
        <v>45877</v>
      </c>
      <c r="B16" s="277" t="str">
        <f>+Report1!B16</f>
        <v>MG</v>
      </c>
      <c r="C16" s="417" t="str">
        <f>+Report1!C16</f>
        <v>14</v>
      </c>
      <c r="D16" s="278">
        <f>+Report1!P16</f>
        <v>68.445000000000007</v>
      </c>
      <c r="E16" s="279">
        <f>+Report1!R16</f>
        <v>70.066000000000003</v>
      </c>
      <c r="F16" s="538"/>
      <c r="G16" s="539">
        <f t="shared" si="0"/>
        <v>0</v>
      </c>
      <c r="H16" s="540">
        <f t="shared" si="112"/>
        <v>0</v>
      </c>
      <c r="I16" s="538">
        <v>627.90697674418607</v>
      </c>
      <c r="J16" s="539">
        <f t="shared" si="1"/>
        <v>8.9616501119542438</v>
      </c>
      <c r="K16" s="540">
        <f t="shared" si="113"/>
        <v>0</v>
      </c>
      <c r="L16" s="538"/>
      <c r="M16" s="539">
        <f t="shared" si="2"/>
        <v>0</v>
      </c>
      <c r="N16" s="540">
        <f t="shared" si="114"/>
        <v>0</v>
      </c>
      <c r="O16" s="538">
        <v>9</v>
      </c>
      <c r="P16" s="539">
        <f t="shared" si="3"/>
        <v>0.12845031827134415</v>
      </c>
      <c r="Q16" s="540">
        <f t="shared" si="115"/>
        <v>0</v>
      </c>
      <c r="R16" s="538"/>
      <c r="S16" s="539">
        <f t="shared" si="4"/>
        <v>0</v>
      </c>
      <c r="T16" s="540">
        <f t="shared" si="116"/>
        <v>0</v>
      </c>
      <c r="U16" s="538">
        <v>5.125</v>
      </c>
      <c r="V16" s="539">
        <f t="shared" si="5"/>
        <v>7.3145320126737648E-2</v>
      </c>
      <c r="W16" s="540">
        <f t="shared" si="117"/>
        <v>0</v>
      </c>
      <c r="X16" s="538"/>
      <c r="Y16" s="539">
        <f t="shared" si="6"/>
        <v>0</v>
      </c>
      <c r="Z16" s="540">
        <f t="shared" si="118"/>
        <v>0</v>
      </c>
      <c r="AA16" s="538"/>
      <c r="AB16" s="539">
        <f t="shared" si="7"/>
        <v>0</v>
      </c>
      <c r="AC16" s="540">
        <f t="shared" si="119"/>
        <v>0</v>
      </c>
      <c r="AD16" s="538"/>
      <c r="AE16" s="539">
        <f t="shared" si="8"/>
        <v>0</v>
      </c>
      <c r="AF16" s="540">
        <f t="shared" si="120"/>
        <v>0</v>
      </c>
      <c r="AG16" s="538"/>
      <c r="AH16" s="539">
        <f t="shared" si="9"/>
        <v>0</v>
      </c>
      <c r="AI16" s="540">
        <f t="shared" si="121"/>
        <v>0</v>
      </c>
      <c r="AJ16" s="538">
        <v>0</v>
      </c>
      <c r="AK16" s="539">
        <f t="shared" si="10"/>
        <v>0</v>
      </c>
      <c r="AL16" s="540">
        <f t="shared" si="122"/>
        <v>0</v>
      </c>
      <c r="AM16" s="538">
        <v>0</v>
      </c>
      <c r="AN16" s="539">
        <f t="shared" si="11"/>
        <v>0</v>
      </c>
      <c r="AO16" s="540">
        <f t="shared" si="123"/>
        <v>0</v>
      </c>
      <c r="AP16" s="538">
        <v>0</v>
      </c>
      <c r="AQ16" s="539">
        <f t="shared" si="12"/>
        <v>0</v>
      </c>
      <c r="AR16" s="540">
        <f t="shared" si="124"/>
        <v>0</v>
      </c>
      <c r="AS16" s="538"/>
      <c r="AT16" s="539">
        <f t="shared" si="13"/>
        <v>0</v>
      </c>
      <c r="AU16" s="540">
        <f t="shared" si="125"/>
        <v>0</v>
      </c>
      <c r="AV16" s="538">
        <v>11.099999999999994</v>
      </c>
      <c r="AW16" s="539">
        <f t="shared" si="14"/>
        <v>0.15842205920132438</v>
      </c>
      <c r="AX16" s="540">
        <f t="shared" si="126"/>
        <v>0</v>
      </c>
      <c r="AY16" s="538">
        <v>23.333333333333343</v>
      </c>
      <c r="AZ16" s="539">
        <f t="shared" si="15"/>
        <v>0.33301934366644798</v>
      </c>
      <c r="BA16" s="540">
        <f t="shared" si="127"/>
        <v>0</v>
      </c>
      <c r="BB16" s="538">
        <v>46.666666666666714</v>
      </c>
      <c r="BC16" s="539">
        <f t="shared" si="16"/>
        <v>0.66603868733289628</v>
      </c>
      <c r="BD16" s="540">
        <f t="shared" si="128"/>
        <v>0</v>
      </c>
      <c r="BE16" s="538"/>
      <c r="BF16" s="539">
        <f t="shared" si="17"/>
        <v>0</v>
      </c>
      <c r="BG16" s="540">
        <f t="shared" si="129"/>
        <v>0</v>
      </c>
      <c r="BH16" s="538"/>
      <c r="BI16" s="539">
        <f t="shared" si="18"/>
        <v>0</v>
      </c>
      <c r="BJ16" s="540">
        <f t="shared" si="130"/>
        <v>0</v>
      </c>
      <c r="BK16" s="538"/>
      <c r="BL16" s="539">
        <f t="shared" si="19"/>
        <v>0</v>
      </c>
      <c r="BM16" s="540">
        <f t="shared" si="131"/>
        <v>0</v>
      </c>
      <c r="BN16" s="538">
        <v>17.716049382716079</v>
      </c>
      <c r="BO16" s="539">
        <f t="shared" si="20"/>
        <v>0.25284802019119229</v>
      </c>
      <c r="BP16" s="540">
        <f t="shared" si="132"/>
        <v>0</v>
      </c>
      <c r="BQ16" s="538">
        <v>0</v>
      </c>
      <c r="BR16" s="539">
        <f t="shared" si="21"/>
        <v>0</v>
      </c>
      <c r="BS16" s="540">
        <f t="shared" si="133"/>
        <v>0</v>
      </c>
      <c r="BT16" s="538"/>
      <c r="BU16" s="539">
        <f t="shared" si="22"/>
        <v>0</v>
      </c>
      <c r="BV16" s="540">
        <f t="shared" si="134"/>
        <v>0</v>
      </c>
      <c r="BW16" s="538">
        <v>0.67999999999999972</v>
      </c>
      <c r="BX16" s="539">
        <f t="shared" si="23"/>
        <v>9.7051351582793325E-3</v>
      </c>
      <c r="BY16" s="540">
        <f t="shared" si="135"/>
        <v>0</v>
      </c>
      <c r="BZ16" s="538">
        <v>0</v>
      </c>
      <c r="CA16" s="539">
        <f t="shared" si="24"/>
        <v>0</v>
      </c>
      <c r="CB16" s="540">
        <f t="shared" si="136"/>
        <v>0</v>
      </c>
      <c r="CC16" s="538">
        <v>6.25</v>
      </c>
      <c r="CD16" s="539">
        <f t="shared" si="25"/>
        <v>8.9201609910655663E-2</v>
      </c>
      <c r="CE16" s="540">
        <f t="shared" si="137"/>
        <v>0</v>
      </c>
      <c r="CF16" s="538">
        <v>9.9999999999999978E-2</v>
      </c>
      <c r="CG16" s="539">
        <f t="shared" si="26"/>
        <v>1.4272257585704903E-3</v>
      </c>
      <c r="CH16" s="540">
        <f t="shared" si="138"/>
        <v>0</v>
      </c>
      <c r="CI16" s="538">
        <v>0</v>
      </c>
      <c r="CJ16" s="539">
        <f t="shared" si="27"/>
        <v>0</v>
      </c>
      <c r="CK16" s="540">
        <f t="shared" si="139"/>
        <v>0</v>
      </c>
      <c r="CL16" s="538"/>
      <c r="CM16" s="539">
        <f t="shared" si="28"/>
        <v>0</v>
      </c>
      <c r="CN16" s="540">
        <f t="shared" si="140"/>
        <v>0</v>
      </c>
      <c r="CO16" s="538"/>
      <c r="CP16" s="539">
        <f t="shared" si="29"/>
        <v>0</v>
      </c>
      <c r="CQ16" s="540">
        <f t="shared" si="141"/>
        <v>0</v>
      </c>
      <c r="CR16" s="538"/>
      <c r="CS16" s="539">
        <f t="shared" si="30"/>
        <v>0</v>
      </c>
      <c r="CT16" s="540">
        <f t="shared" si="142"/>
        <v>0</v>
      </c>
      <c r="CU16" s="538"/>
      <c r="CV16" s="539">
        <f t="shared" si="31"/>
        <v>0</v>
      </c>
      <c r="CW16" s="540">
        <f t="shared" si="143"/>
        <v>0</v>
      </c>
      <c r="CX16" s="538"/>
      <c r="CY16" s="539">
        <f t="shared" si="32"/>
        <v>0</v>
      </c>
      <c r="CZ16" s="540">
        <f t="shared" si="144"/>
        <v>0</v>
      </c>
      <c r="DA16" s="538"/>
      <c r="DB16" s="539">
        <f t="shared" si="33"/>
        <v>0</v>
      </c>
      <c r="DC16" s="540">
        <f t="shared" si="145"/>
        <v>0</v>
      </c>
      <c r="DD16" s="538"/>
      <c r="DE16" s="539">
        <f t="shared" si="34"/>
        <v>0</v>
      </c>
      <c r="DF16" s="540">
        <f t="shared" si="146"/>
        <v>0</v>
      </c>
      <c r="DG16" s="538">
        <v>4.7250000000000014</v>
      </c>
      <c r="DH16" s="539">
        <f t="shared" si="35"/>
        <v>6.7436417092455708E-2</v>
      </c>
      <c r="DI16" s="540">
        <f t="shared" si="203"/>
        <v>0</v>
      </c>
      <c r="DJ16" s="538"/>
      <c r="DK16" s="539">
        <f t="shared" si="36"/>
        <v>0</v>
      </c>
      <c r="DL16" s="540">
        <f t="shared" si="147"/>
        <v>0</v>
      </c>
      <c r="DM16" s="538"/>
      <c r="DN16" s="539">
        <f t="shared" si="37"/>
        <v>0</v>
      </c>
      <c r="DO16" s="540">
        <f t="shared" si="148"/>
        <v>0</v>
      </c>
      <c r="DP16" s="538"/>
      <c r="DQ16" s="539">
        <f t="shared" si="38"/>
        <v>0</v>
      </c>
      <c r="DR16" s="540">
        <f t="shared" si="149"/>
        <v>0</v>
      </c>
      <c r="DS16" s="538"/>
      <c r="DT16" s="539">
        <f t="shared" si="39"/>
        <v>0</v>
      </c>
      <c r="DU16" s="540">
        <f t="shared" si="150"/>
        <v>0</v>
      </c>
      <c r="DV16" s="538"/>
      <c r="DW16" s="539">
        <f t="shared" si="40"/>
        <v>0</v>
      </c>
      <c r="DX16" s="540">
        <f t="shared" si="151"/>
        <v>0</v>
      </c>
      <c r="DY16" s="538"/>
      <c r="DZ16" s="539">
        <f t="shared" si="41"/>
        <v>0</v>
      </c>
      <c r="EA16" s="540">
        <f t="shared" si="152"/>
        <v>0</v>
      </c>
      <c r="EB16" s="538">
        <v>14.534883720930225</v>
      </c>
      <c r="EC16" s="539">
        <f t="shared" si="42"/>
        <v>0.20744560444338514</v>
      </c>
      <c r="ED16" s="540">
        <f t="shared" si="153"/>
        <v>0</v>
      </c>
      <c r="EE16" s="538">
        <v>1.5</v>
      </c>
      <c r="EF16" s="539">
        <f t="shared" si="43"/>
        <v>2.1408386378557361E-2</v>
      </c>
      <c r="EG16" s="540">
        <f t="shared" si="154"/>
        <v>0</v>
      </c>
      <c r="EH16" s="538"/>
      <c r="EI16" s="539">
        <f t="shared" si="44"/>
        <v>0</v>
      </c>
      <c r="EJ16" s="540">
        <f t="shared" si="155"/>
        <v>0</v>
      </c>
      <c r="EK16" s="538"/>
      <c r="EL16" s="539">
        <f t="shared" si="45"/>
        <v>0</v>
      </c>
      <c r="EM16" s="540">
        <f t="shared" si="156"/>
        <v>0</v>
      </c>
      <c r="EN16" s="538"/>
      <c r="EO16" s="539">
        <f t="shared" si="46"/>
        <v>0</v>
      </c>
      <c r="EP16" s="540">
        <f t="shared" si="157"/>
        <v>0</v>
      </c>
      <c r="EQ16" s="538"/>
      <c r="ER16" s="539">
        <f t="shared" si="47"/>
        <v>0</v>
      </c>
      <c r="ES16" s="540">
        <f t="shared" si="158"/>
        <v>0</v>
      </c>
      <c r="ET16" s="538"/>
      <c r="EU16" s="539">
        <f t="shared" si="48"/>
        <v>0</v>
      </c>
      <c r="EV16" s="540">
        <f t="shared" si="159"/>
        <v>0</v>
      </c>
      <c r="EW16" s="538"/>
      <c r="EX16" s="539">
        <f t="shared" si="49"/>
        <v>0</v>
      </c>
      <c r="EY16" s="540">
        <f t="shared" si="160"/>
        <v>0</v>
      </c>
      <c r="EZ16" s="538"/>
      <c r="FA16" s="539">
        <f t="shared" si="50"/>
        <v>0</v>
      </c>
      <c r="FB16" s="540">
        <f t="shared" si="161"/>
        <v>0</v>
      </c>
      <c r="FC16" s="538"/>
      <c r="FD16" s="539">
        <f t="shared" si="51"/>
        <v>0</v>
      </c>
      <c r="FE16" s="540">
        <f t="shared" si="162"/>
        <v>0</v>
      </c>
      <c r="FF16" s="538"/>
      <c r="FG16" s="539">
        <f t="shared" si="52"/>
        <v>0</v>
      </c>
      <c r="FH16" s="540">
        <f t="shared" si="163"/>
        <v>0</v>
      </c>
      <c r="FI16" s="538"/>
      <c r="FJ16" s="539">
        <f t="shared" si="53"/>
        <v>0</v>
      </c>
      <c r="FK16" s="540">
        <f t="shared" si="164"/>
        <v>0</v>
      </c>
      <c r="FL16" s="538"/>
      <c r="FM16" s="539">
        <f t="shared" si="54"/>
        <v>0</v>
      </c>
      <c r="FN16" s="540">
        <f t="shared" si="165"/>
        <v>0</v>
      </c>
      <c r="FO16" s="538"/>
      <c r="FP16" s="539">
        <f t="shared" si="55"/>
        <v>0</v>
      </c>
      <c r="FQ16" s="540">
        <f t="shared" si="166"/>
        <v>0</v>
      </c>
      <c r="FR16" s="538"/>
      <c r="FS16" s="539">
        <f t="shared" si="56"/>
        <v>0</v>
      </c>
      <c r="FT16" s="540">
        <f t="shared" si="167"/>
        <v>0</v>
      </c>
      <c r="FU16" s="538"/>
      <c r="FV16" s="539">
        <f t="shared" si="57"/>
        <v>0</v>
      </c>
      <c r="FW16" s="540">
        <f t="shared" si="168"/>
        <v>0</v>
      </c>
      <c r="FX16" s="538"/>
      <c r="FY16" s="539">
        <f t="shared" si="58"/>
        <v>0</v>
      </c>
      <c r="FZ16" s="540">
        <f t="shared" si="169"/>
        <v>0</v>
      </c>
      <c r="GA16" s="538"/>
      <c r="GB16" s="539">
        <f t="shared" si="59"/>
        <v>0</v>
      </c>
      <c r="GC16" s="540">
        <f t="shared" si="170"/>
        <v>0</v>
      </c>
      <c r="GD16" s="538"/>
      <c r="GE16" s="539">
        <f t="shared" si="60"/>
        <v>0</v>
      </c>
      <c r="GF16" s="540">
        <f t="shared" si="171"/>
        <v>0</v>
      </c>
      <c r="GG16" s="538"/>
      <c r="GH16" s="539">
        <f t="shared" si="61"/>
        <v>0</v>
      </c>
      <c r="GI16" s="540">
        <f t="shared" si="172"/>
        <v>0</v>
      </c>
      <c r="GJ16" s="538"/>
      <c r="GK16" s="539">
        <f t="shared" si="62"/>
        <v>0</v>
      </c>
      <c r="GL16" s="540">
        <f t="shared" si="173"/>
        <v>0</v>
      </c>
      <c r="GM16" s="538"/>
      <c r="GN16" s="539">
        <f t="shared" si="63"/>
        <v>0</v>
      </c>
      <c r="GO16" s="540">
        <f t="shared" si="174"/>
        <v>0</v>
      </c>
      <c r="GP16" s="538"/>
      <c r="GQ16" s="539">
        <f t="shared" si="64"/>
        <v>0</v>
      </c>
      <c r="GR16" s="540">
        <f t="shared" si="175"/>
        <v>0</v>
      </c>
      <c r="GS16" s="538"/>
      <c r="GT16" s="539">
        <f t="shared" si="65"/>
        <v>0</v>
      </c>
      <c r="GU16" s="540">
        <f t="shared" si="176"/>
        <v>0</v>
      </c>
      <c r="GV16" s="538"/>
      <c r="GW16" s="539">
        <f t="shared" si="66"/>
        <v>0</v>
      </c>
      <c r="GX16" s="540">
        <f t="shared" si="177"/>
        <v>0</v>
      </c>
      <c r="GY16" s="538"/>
      <c r="GZ16" s="539">
        <f t="shared" si="67"/>
        <v>0</v>
      </c>
      <c r="HA16" s="540">
        <f t="shared" si="178"/>
        <v>0</v>
      </c>
      <c r="HB16" s="538"/>
      <c r="HC16" s="539">
        <f t="shared" si="68"/>
        <v>0</v>
      </c>
      <c r="HD16" s="540">
        <f t="shared" si="179"/>
        <v>0</v>
      </c>
      <c r="HE16" s="538"/>
      <c r="HF16" s="539">
        <f t="shared" si="69"/>
        <v>0</v>
      </c>
      <c r="HG16" s="540">
        <f t="shared" si="180"/>
        <v>0</v>
      </c>
      <c r="HH16" s="538"/>
      <c r="HI16" s="539">
        <f t="shared" si="70"/>
        <v>0</v>
      </c>
      <c r="HJ16" s="540">
        <f t="shared" si="181"/>
        <v>0</v>
      </c>
      <c r="HK16" s="538"/>
      <c r="HL16" s="539">
        <f t="shared" si="71"/>
        <v>0</v>
      </c>
      <c r="HM16" s="540">
        <f t="shared" si="182"/>
        <v>0</v>
      </c>
      <c r="HN16" s="538"/>
      <c r="HO16" s="539">
        <f t="shared" si="72"/>
        <v>0</v>
      </c>
      <c r="HP16" s="540">
        <f t="shared" si="183"/>
        <v>0</v>
      </c>
      <c r="HQ16" s="538"/>
      <c r="HR16" s="539">
        <f t="shared" si="73"/>
        <v>0</v>
      </c>
      <c r="HS16" s="540">
        <f t="shared" si="184"/>
        <v>0</v>
      </c>
      <c r="HT16" s="538"/>
      <c r="HU16" s="539">
        <f t="shared" si="74"/>
        <v>0</v>
      </c>
      <c r="HV16" s="540">
        <f t="shared" si="185"/>
        <v>0</v>
      </c>
      <c r="HW16" s="538"/>
      <c r="HX16" s="539">
        <f t="shared" si="75"/>
        <v>0</v>
      </c>
      <c r="HY16" s="540">
        <f t="shared" si="186"/>
        <v>0</v>
      </c>
      <c r="HZ16" s="538"/>
      <c r="IA16" s="539">
        <f t="shared" si="76"/>
        <v>0</v>
      </c>
      <c r="IB16" s="540">
        <f t="shared" si="187"/>
        <v>0</v>
      </c>
      <c r="IC16" s="538"/>
      <c r="ID16" s="539">
        <f t="shared" si="77"/>
        <v>0</v>
      </c>
      <c r="IE16" s="540">
        <f t="shared" si="188"/>
        <v>0</v>
      </c>
      <c r="IF16" s="538"/>
      <c r="IG16" s="539">
        <f t="shared" si="78"/>
        <v>0</v>
      </c>
      <c r="IH16" s="540">
        <f t="shared" si="189"/>
        <v>0</v>
      </c>
      <c r="II16" s="538"/>
      <c r="IJ16" s="539">
        <f t="shared" si="79"/>
        <v>0</v>
      </c>
      <c r="IK16" s="540">
        <f t="shared" si="190"/>
        <v>0</v>
      </c>
      <c r="IL16" s="538"/>
      <c r="IM16" s="539">
        <f t="shared" si="80"/>
        <v>0</v>
      </c>
      <c r="IN16" s="540">
        <f t="shared" si="191"/>
        <v>0</v>
      </c>
      <c r="IO16" s="538"/>
      <c r="IP16" s="539">
        <f t="shared" si="81"/>
        <v>0</v>
      </c>
      <c r="IQ16" s="540">
        <f t="shared" si="192"/>
        <v>0</v>
      </c>
      <c r="IR16" s="538"/>
      <c r="IS16" s="539">
        <f t="shared" si="82"/>
        <v>0</v>
      </c>
      <c r="IT16" s="540">
        <f t="shared" si="193"/>
        <v>0</v>
      </c>
      <c r="IU16" s="538"/>
      <c r="IV16" s="539">
        <f t="shared" si="83"/>
        <v>0</v>
      </c>
      <c r="IW16" s="540">
        <f t="shared" si="194"/>
        <v>0</v>
      </c>
      <c r="IX16" s="538"/>
      <c r="IY16" s="539">
        <f t="shared" si="84"/>
        <v>0</v>
      </c>
      <c r="IZ16" s="540">
        <f t="shared" si="195"/>
        <v>0</v>
      </c>
      <c r="JA16" s="538"/>
      <c r="JB16" s="539">
        <f t="shared" si="85"/>
        <v>0</v>
      </c>
      <c r="JC16" s="540">
        <f t="shared" si="196"/>
        <v>0</v>
      </c>
      <c r="JD16" s="538"/>
      <c r="JE16" s="539">
        <f t="shared" si="86"/>
        <v>0</v>
      </c>
      <c r="JF16" s="540">
        <f t="shared" si="197"/>
        <v>0</v>
      </c>
      <c r="JG16" s="538"/>
      <c r="JH16" s="539">
        <f t="shared" si="87"/>
        <v>0</v>
      </c>
      <c r="JI16" s="540">
        <f t="shared" si="198"/>
        <v>0</v>
      </c>
      <c r="JJ16" s="538"/>
      <c r="JK16" s="540" t="str">
        <f t="shared" si="88"/>
        <v>0</v>
      </c>
      <c r="JL16" s="540" t="str">
        <f t="shared" si="89"/>
        <v>0</v>
      </c>
      <c r="JM16" s="538"/>
      <c r="JN16" s="540" t="str">
        <f t="shared" si="90"/>
        <v>0</v>
      </c>
      <c r="JO16" s="540" t="str">
        <f t="shared" si="91"/>
        <v>0</v>
      </c>
      <c r="JP16" s="538"/>
      <c r="JQ16" s="540" t="str">
        <f t="shared" si="92"/>
        <v>0</v>
      </c>
      <c r="JR16" s="540" t="str">
        <f t="shared" si="93"/>
        <v>0</v>
      </c>
      <c r="JS16" s="538"/>
      <c r="JT16" s="540" t="str">
        <f t="shared" si="94"/>
        <v>0</v>
      </c>
      <c r="JU16" s="540" t="str">
        <f t="shared" si="95"/>
        <v>0</v>
      </c>
      <c r="JV16" s="538"/>
      <c r="JW16" s="540" t="str">
        <f t="shared" si="96"/>
        <v>0</v>
      </c>
      <c r="JX16" s="540" t="str">
        <f t="shared" si="97"/>
        <v>0</v>
      </c>
      <c r="JY16" s="538"/>
      <c r="JZ16" s="540" t="str">
        <f t="shared" si="98"/>
        <v>0</v>
      </c>
      <c r="KA16" s="540" t="str">
        <f t="shared" si="99"/>
        <v>0</v>
      </c>
      <c r="KB16" s="538"/>
      <c r="KC16" s="540" t="str">
        <f t="shared" si="100"/>
        <v>0</v>
      </c>
      <c r="KD16" s="540" t="str">
        <f t="shared" si="101"/>
        <v>0</v>
      </c>
      <c r="KE16" s="538"/>
      <c r="KF16" s="540" t="str">
        <f t="shared" si="102"/>
        <v>0</v>
      </c>
      <c r="KG16" s="540" t="str">
        <f t="shared" si="103"/>
        <v>0</v>
      </c>
      <c r="KH16" s="538"/>
      <c r="KI16" s="540" t="str">
        <f t="shared" si="104"/>
        <v>0</v>
      </c>
      <c r="KJ16" s="540" t="str">
        <f t="shared" si="105"/>
        <v>0</v>
      </c>
      <c r="KK16" s="538"/>
      <c r="KL16" s="540" t="str">
        <f t="shared" si="106"/>
        <v>0</v>
      </c>
      <c r="KM16" s="540" t="str">
        <f t="shared" si="107"/>
        <v>0</v>
      </c>
      <c r="KN16" s="538"/>
      <c r="KO16" s="540" t="str">
        <f t="shared" si="108"/>
        <v>0</v>
      </c>
      <c r="KP16" s="540" t="str">
        <f t="shared" si="109"/>
        <v>0</v>
      </c>
      <c r="KQ16" s="538"/>
      <c r="KR16" s="540" t="str">
        <f t="shared" si="110"/>
        <v>0</v>
      </c>
      <c r="KS16" s="540" t="str">
        <f t="shared" si="111"/>
        <v>0</v>
      </c>
      <c r="KT16" s="540">
        <f t="shared" si="201"/>
        <v>0</v>
      </c>
      <c r="KU16" s="540">
        <f t="shared" si="202"/>
        <v>0</v>
      </c>
      <c r="KV16" s="274">
        <f t="shared" si="199"/>
        <v>768.63790984783247</v>
      </c>
      <c r="KW16" s="274"/>
    </row>
    <row r="17" spans="1:309" ht="15" customHeight="1">
      <c r="A17" s="276">
        <f t="shared" si="200"/>
        <v>45878</v>
      </c>
      <c r="B17" s="277" t="str">
        <f>+Report1!B17</f>
        <v>MG</v>
      </c>
      <c r="C17" s="417" t="str">
        <f>+Report1!C17</f>
        <v>14/17</v>
      </c>
      <c r="D17" s="278">
        <f>+Report1!P17</f>
        <v>72.554000000000002</v>
      </c>
      <c r="E17" s="279">
        <f>+Report1!R17</f>
        <v>74.421000000000006</v>
      </c>
      <c r="F17" s="538"/>
      <c r="G17" s="539">
        <f t="shared" si="0"/>
        <v>0</v>
      </c>
      <c r="H17" s="540">
        <f t="shared" si="112"/>
        <v>0</v>
      </c>
      <c r="I17" s="538">
        <v>695.39159999999993</v>
      </c>
      <c r="J17" s="539">
        <f t="shared" si="1"/>
        <v>9.3440238642318683</v>
      </c>
      <c r="K17" s="540">
        <f t="shared" si="113"/>
        <v>0</v>
      </c>
      <c r="L17" s="538"/>
      <c r="M17" s="539">
        <f t="shared" si="2"/>
        <v>0</v>
      </c>
      <c r="N17" s="540">
        <f t="shared" si="114"/>
        <v>0</v>
      </c>
      <c r="O17" s="538">
        <v>4.3332000000000335</v>
      </c>
      <c r="P17" s="539">
        <f t="shared" si="3"/>
        <v>5.8225500866691295E-2</v>
      </c>
      <c r="Q17" s="540">
        <f t="shared" si="115"/>
        <v>0</v>
      </c>
      <c r="R17" s="538"/>
      <c r="S17" s="539">
        <f t="shared" si="4"/>
        <v>0</v>
      </c>
      <c r="T17" s="540">
        <f t="shared" si="116"/>
        <v>0</v>
      </c>
      <c r="U17" s="538">
        <v>2.4751000000000047</v>
      </c>
      <c r="V17" s="539">
        <f t="shared" si="5"/>
        <v>3.3258085755364812E-2</v>
      </c>
      <c r="W17" s="540">
        <f t="shared" si="117"/>
        <v>0</v>
      </c>
      <c r="X17" s="538"/>
      <c r="Y17" s="539">
        <f t="shared" si="6"/>
        <v>0</v>
      </c>
      <c r="Z17" s="540">
        <f t="shared" si="118"/>
        <v>0</v>
      </c>
      <c r="AA17" s="538"/>
      <c r="AB17" s="539">
        <f t="shared" si="7"/>
        <v>0</v>
      </c>
      <c r="AC17" s="540">
        <f t="shared" si="119"/>
        <v>0</v>
      </c>
      <c r="AD17" s="538"/>
      <c r="AE17" s="539">
        <f t="shared" si="8"/>
        <v>0</v>
      </c>
      <c r="AF17" s="540">
        <f t="shared" si="120"/>
        <v>0</v>
      </c>
      <c r="AG17" s="538"/>
      <c r="AH17" s="539">
        <f t="shared" si="9"/>
        <v>0</v>
      </c>
      <c r="AI17" s="540">
        <f t="shared" si="121"/>
        <v>0</v>
      </c>
      <c r="AJ17" s="538">
        <v>0</v>
      </c>
      <c r="AK17" s="539">
        <f t="shared" si="10"/>
        <v>0</v>
      </c>
      <c r="AL17" s="540">
        <f t="shared" si="122"/>
        <v>0</v>
      </c>
      <c r="AM17" s="538">
        <v>0</v>
      </c>
      <c r="AN17" s="539">
        <f t="shared" si="11"/>
        <v>0</v>
      </c>
      <c r="AO17" s="540">
        <f t="shared" si="123"/>
        <v>0</v>
      </c>
      <c r="AP17" s="538">
        <v>0</v>
      </c>
      <c r="AQ17" s="539">
        <f t="shared" si="12"/>
        <v>0</v>
      </c>
      <c r="AR17" s="540">
        <f t="shared" si="124"/>
        <v>0</v>
      </c>
      <c r="AS17" s="538"/>
      <c r="AT17" s="539">
        <f t="shared" si="13"/>
        <v>0</v>
      </c>
      <c r="AU17" s="540">
        <f t="shared" si="125"/>
        <v>0</v>
      </c>
      <c r="AV17" s="538">
        <v>9.3725000000000307</v>
      </c>
      <c r="AW17" s="539">
        <f t="shared" si="14"/>
        <v>0.12593891509117092</v>
      </c>
      <c r="AX17" s="540">
        <f t="shared" si="126"/>
        <v>0</v>
      </c>
      <c r="AY17" s="538">
        <v>0</v>
      </c>
      <c r="AZ17" s="539">
        <f t="shared" si="15"/>
        <v>0</v>
      </c>
      <c r="BA17" s="540">
        <f t="shared" si="127"/>
        <v>0</v>
      </c>
      <c r="BB17" s="538">
        <v>69.767599999999959</v>
      </c>
      <c r="BC17" s="539">
        <f t="shared" si="16"/>
        <v>0.93747195012160478</v>
      </c>
      <c r="BD17" s="540">
        <f t="shared" si="128"/>
        <v>0</v>
      </c>
      <c r="BE17" s="538"/>
      <c r="BF17" s="539">
        <f t="shared" si="17"/>
        <v>0</v>
      </c>
      <c r="BG17" s="540">
        <f t="shared" si="129"/>
        <v>0</v>
      </c>
      <c r="BH17" s="538"/>
      <c r="BI17" s="539">
        <f t="shared" si="18"/>
        <v>0</v>
      </c>
      <c r="BJ17" s="540">
        <f t="shared" si="130"/>
        <v>0</v>
      </c>
      <c r="BK17" s="538"/>
      <c r="BL17" s="539">
        <f t="shared" si="19"/>
        <v>0</v>
      </c>
      <c r="BM17" s="540">
        <f t="shared" si="131"/>
        <v>0</v>
      </c>
      <c r="BN17" s="538">
        <v>10.983565432098743</v>
      </c>
      <c r="BO17" s="539">
        <f t="shared" si="20"/>
        <v>0.14758691004015992</v>
      </c>
      <c r="BP17" s="540">
        <f t="shared" si="132"/>
        <v>0</v>
      </c>
      <c r="BQ17" s="538">
        <v>0</v>
      </c>
      <c r="BR17" s="539">
        <f t="shared" si="21"/>
        <v>0</v>
      </c>
      <c r="BS17" s="540">
        <f t="shared" si="133"/>
        <v>0</v>
      </c>
      <c r="BT17" s="538"/>
      <c r="BU17" s="539">
        <f t="shared" si="22"/>
        <v>0</v>
      </c>
      <c r="BV17" s="540">
        <f t="shared" si="134"/>
        <v>0</v>
      </c>
      <c r="BW17" s="538">
        <v>0</v>
      </c>
      <c r="BX17" s="539">
        <f t="shared" si="23"/>
        <v>0</v>
      </c>
      <c r="BY17" s="540">
        <f t="shared" si="135"/>
        <v>0</v>
      </c>
      <c r="BZ17" s="538">
        <v>0</v>
      </c>
      <c r="CA17" s="539">
        <f t="shared" si="24"/>
        <v>0</v>
      </c>
      <c r="CB17" s="540">
        <f t="shared" si="136"/>
        <v>0</v>
      </c>
      <c r="CC17" s="538">
        <v>6.25</v>
      </c>
      <c r="CD17" s="539">
        <f>+CC17/$E17</f>
        <v>8.3981671839937641E-2</v>
      </c>
      <c r="CE17" s="540">
        <f>+CC17*$H$8</f>
        <v>0</v>
      </c>
      <c r="CF17" s="538">
        <v>0.10000000000000003</v>
      </c>
      <c r="CG17" s="539">
        <f t="shared" si="26"/>
        <v>1.3437067494390027E-3</v>
      </c>
      <c r="CH17" s="540">
        <f t="shared" si="138"/>
        <v>0</v>
      </c>
      <c r="CI17" s="538">
        <v>0</v>
      </c>
      <c r="CJ17" s="539">
        <f t="shared" si="27"/>
        <v>0</v>
      </c>
      <c r="CK17" s="540">
        <f t="shared" si="139"/>
        <v>0</v>
      </c>
      <c r="CL17" s="538"/>
      <c r="CM17" s="539">
        <f t="shared" si="28"/>
        <v>0</v>
      </c>
      <c r="CN17" s="540">
        <f t="shared" si="140"/>
        <v>0</v>
      </c>
      <c r="CO17" s="538"/>
      <c r="CP17" s="539">
        <f t="shared" si="29"/>
        <v>0</v>
      </c>
      <c r="CQ17" s="540">
        <f t="shared" si="141"/>
        <v>0</v>
      </c>
      <c r="CR17" s="538"/>
      <c r="CS17" s="539">
        <f t="shared" si="30"/>
        <v>0</v>
      </c>
      <c r="CT17" s="540">
        <f t="shared" si="142"/>
        <v>0</v>
      </c>
      <c r="CU17" s="538"/>
      <c r="CV17" s="539">
        <f t="shared" si="31"/>
        <v>0</v>
      </c>
      <c r="CW17" s="540">
        <f t="shared" si="143"/>
        <v>0</v>
      </c>
      <c r="CX17" s="538"/>
      <c r="CY17" s="539">
        <f t="shared" si="32"/>
        <v>0</v>
      </c>
      <c r="CZ17" s="540">
        <f t="shared" si="144"/>
        <v>0</v>
      </c>
      <c r="DA17" s="538"/>
      <c r="DB17" s="539">
        <f t="shared" si="33"/>
        <v>0</v>
      </c>
      <c r="DC17" s="540">
        <f t="shared" si="145"/>
        <v>0</v>
      </c>
      <c r="DD17" s="538"/>
      <c r="DE17" s="539">
        <f t="shared" si="34"/>
        <v>0</v>
      </c>
      <c r="DF17" s="540">
        <f t="shared" si="146"/>
        <v>0</v>
      </c>
      <c r="DG17" s="538">
        <v>0</v>
      </c>
      <c r="DH17" s="539">
        <f t="shared" si="35"/>
        <v>0</v>
      </c>
      <c r="DI17" s="540">
        <f t="shared" si="203"/>
        <v>0</v>
      </c>
      <c r="DJ17" s="538"/>
      <c r="DK17" s="539">
        <f t="shared" si="36"/>
        <v>0</v>
      </c>
      <c r="DL17" s="540">
        <f t="shared" si="147"/>
        <v>0</v>
      </c>
      <c r="DM17" s="538"/>
      <c r="DN17" s="539">
        <f t="shared" si="37"/>
        <v>0</v>
      </c>
      <c r="DO17" s="540">
        <f t="shared" si="148"/>
        <v>0</v>
      </c>
      <c r="DP17" s="538"/>
      <c r="DQ17" s="539">
        <f t="shared" si="38"/>
        <v>0</v>
      </c>
      <c r="DR17" s="540">
        <f t="shared" si="149"/>
        <v>0</v>
      </c>
      <c r="DS17" s="538"/>
      <c r="DT17" s="539">
        <f t="shared" si="39"/>
        <v>0</v>
      </c>
      <c r="DU17" s="540">
        <f t="shared" si="150"/>
        <v>0</v>
      </c>
      <c r="DV17" s="538"/>
      <c r="DW17" s="539">
        <f t="shared" si="40"/>
        <v>0</v>
      </c>
      <c r="DX17" s="540">
        <f t="shared" si="151"/>
        <v>0</v>
      </c>
      <c r="DY17" s="538"/>
      <c r="DZ17" s="539">
        <f t="shared" si="41"/>
        <v>0</v>
      </c>
      <c r="EA17" s="540">
        <f t="shared" si="152"/>
        <v>0</v>
      </c>
      <c r="EB17" s="538">
        <v>14.016781395348858</v>
      </c>
      <c r="EC17" s="539">
        <f t="shared" si="42"/>
        <v>0.18834443766341297</v>
      </c>
      <c r="ED17" s="540">
        <f t="shared" si="153"/>
        <v>0</v>
      </c>
      <c r="EE17" s="538">
        <v>1</v>
      </c>
      <c r="EF17" s="539">
        <f t="shared" si="43"/>
        <v>1.3437067494390022E-2</v>
      </c>
      <c r="EG17" s="540">
        <f t="shared" si="154"/>
        <v>0</v>
      </c>
      <c r="EH17" s="538"/>
      <c r="EI17" s="539">
        <f t="shared" si="44"/>
        <v>0</v>
      </c>
      <c r="EJ17" s="540">
        <f t="shared" si="155"/>
        <v>0</v>
      </c>
      <c r="EK17" s="538"/>
      <c r="EL17" s="539">
        <f t="shared" si="45"/>
        <v>0</v>
      </c>
      <c r="EM17" s="540">
        <f t="shared" si="156"/>
        <v>0</v>
      </c>
      <c r="EN17" s="538"/>
      <c r="EO17" s="539">
        <f t="shared" si="46"/>
        <v>0</v>
      </c>
      <c r="EP17" s="540">
        <f t="shared" si="157"/>
        <v>0</v>
      </c>
      <c r="EQ17" s="538"/>
      <c r="ER17" s="539">
        <f t="shared" si="47"/>
        <v>0</v>
      </c>
      <c r="ES17" s="540">
        <f t="shared" si="158"/>
        <v>0</v>
      </c>
      <c r="ET17" s="538"/>
      <c r="EU17" s="539">
        <f t="shared" si="48"/>
        <v>0</v>
      </c>
      <c r="EV17" s="540">
        <f t="shared" si="159"/>
        <v>0</v>
      </c>
      <c r="EW17" s="538"/>
      <c r="EX17" s="539">
        <f t="shared" si="49"/>
        <v>0</v>
      </c>
      <c r="EY17" s="540">
        <f t="shared" si="160"/>
        <v>0</v>
      </c>
      <c r="EZ17" s="538"/>
      <c r="FA17" s="539">
        <f t="shared" si="50"/>
        <v>0</v>
      </c>
      <c r="FB17" s="540">
        <f t="shared" si="161"/>
        <v>0</v>
      </c>
      <c r="FC17" s="538"/>
      <c r="FD17" s="539">
        <f t="shared" si="51"/>
        <v>0</v>
      </c>
      <c r="FE17" s="540">
        <f t="shared" si="162"/>
        <v>0</v>
      </c>
      <c r="FF17" s="538"/>
      <c r="FG17" s="539">
        <f t="shared" si="52"/>
        <v>0</v>
      </c>
      <c r="FH17" s="540">
        <f t="shared" si="163"/>
        <v>0</v>
      </c>
      <c r="FI17" s="538"/>
      <c r="FJ17" s="539">
        <f t="shared" si="53"/>
        <v>0</v>
      </c>
      <c r="FK17" s="540">
        <f t="shared" si="164"/>
        <v>0</v>
      </c>
      <c r="FL17" s="538"/>
      <c r="FM17" s="539">
        <f t="shared" si="54"/>
        <v>0</v>
      </c>
      <c r="FN17" s="540">
        <f t="shared" si="165"/>
        <v>0</v>
      </c>
      <c r="FO17" s="538"/>
      <c r="FP17" s="539">
        <f t="shared" si="55"/>
        <v>0</v>
      </c>
      <c r="FQ17" s="540">
        <f t="shared" si="166"/>
        <v>0</v>
      </c>
      <c r="FR17" s="538"/>
      <c r="FS17" s="539">
        <f t="shared" si="56"/>
        <v>0</v>
      </c>
      <c r="FT17" s="540">
        <f t="shared" si="167"/>
        <v>0</v>
      </c>
      <c r="FU17" s="538"/>
      <c r="FV17" s="539">
        <f t="shared" si="57"/>
        <v>0</v>
      </c>
      <c r="FW17" s="540">
        <f t="shared" si="168"/>
        <v>0</v>
      </c>
      <c r="FX17" s="538"/>
      <c r="FY17" s="539">
        <f t="shared" si="58"/>
        <v>0</v>
      </c>
      <c r="FZ17" s="540">
        <f t="shared" si="169"/>
        <v>0</v>
      </c>
      <c r="GA17" s="538"/>
      <c r="GB17" s="539">
        <f t="shared" si="59"/>
        <v>0</v>
      </c>
      <c r="GC17" s="540">
        <f t="shared" si="170"/>
        <v>0</v>
      </c>
      <c r="GD17" s="538"/>
      <c r="GE17" s="539">
        <f t="shared" si="60"/>
        <v>0</v>
      </c>
      <c r="GF17" s="540">
        <f t="shared" si="171"/>
        <v>0</v>
      </c>
      <c r="GG17" s="538"/>
      <c r="GH17" s="539">
        <f t="shared" si="61"/>
        <v>0</v>
      </c>
      <c r="GI17" s="540">
        <f t="shared" si="172"/>
        <v>0</v>
      </c>
      <c r="GJ17" s="538"/>
      <c r="GK17" s="539">
        <f t="shared" si="62"/>
        <v>0</v>
      </c>
      <c r="GL17" s="540">
        <f t="shared" si="173"/>
        <v>0</v>
      </c>
      <c r="GM17" s="538"/>
      <c r="GN17" s="539">
        <f t="shared" si="63"/>
        <v>0</v>
      </c>
      <c r="GO17" s="540">
        <f t="shared" si="174"/>
        <v>0</v>
      </c>
      <c r="GP17" s="538"/>
      <c r="GQ17" s="539">
        <f t="shared" si="64"/>
        <v>0</v>
      </c>
      <c r="GR17" s="540">
        <f t="shared" si="175"/>
        <v>0</v>
      </c>
      <c r="GS17" s="538"/>
      <c r="GT17" s="539">
        <f t="shared" si="65"/>
        <v>0</v>
      </c>
      <c r="GU17" s="540">
        <f t="shared" si="176"/>
        <v>0</v>
      </c>
      <c r="GV17" s="538"/>
      <c r="GW17" s="539">
        <f t="shared" si="66"/>
        <v>0</v>
      </c>
      <c r="GX17" s="540">
        <f t="shared" si="177"/>
        <v>0</v>
      </c>
      <c r="GY17" s="538"/>
      <c r="GZ17" s="539">
        <f t="shared" si="67"/>
        <v>0</v>
      </c>
      <c r="HA17" s="540">
        <f t="shared" si="178"/>
        <v>0</v>
      </c>
      <c r="HB17" s="538"/>
      <c r="HC17" s="539">
        <f t="shared" si="68"/>
        <v>0</v>
      </c>
      <c r="HD17" s="540">
        <f t="shared" si="179"/>
        <v>0</v>
      </c>
      <c r="HE17" s="538"/>
      <c r="HF17" s="539">
        <f t="shared" si="69"/>
        <v>0</v>
      </c>
      <c r="HG17" s="540">
        <f t="shared" si="180"/>
        <v>0</v>
      </c>
      <c r="HH17" s="538"/>
      <c r="HI17" s="539">
        <f t="shared" si="70"/>
        <v>0</v>
      </c>
      <c r="HJ17" s="540">
        <f t="shared" si="181"/>
        <v>0</v>
      </c>
      <c r="HK17" s="538"/>
      <c r="HL17" s="539">
        <f t="shared" si="71"/>
        <v>0</v>
      </c>
      <c r="HM17" s="540">
        <f t="shared" si="182"/>
        <v>0</v>
      </c>
      <c r="HN17" s="538"/>
      <c r="HO17" s="539">
        <f t="shared" si="72"/>
        <v>0</v>
      </c>
      <c r="HP17" s="540">
        <f t="shared" si="183"/>
        <v>0</v>
      </c>
      <c r="HQ17" s="538"/>
      <c r="HR17" s="539">
        <f t="shared" si="73"/>
        <v>0</v>
      </c>
      <c r="HS17" s="540">
        <f t="shared" si="184"/>
        <v>0</v>
      </c>
      <c r="HT17" s="538"/>
      <c r="HU17" s="539">
        <f t="shared" si="74"/>
        <v>0</v>
      </c>
      <c r="HV17" s="540">
        <f t="shared" si="185"/>
        <v>0</v>
      </c>
      <c r="HW17" s="538"/>
      <c r="HX17" s="539">
        <f t="shared" si="75"/>
        <v>0</v>
      </c>
      <c r="HY17" s="540">
        <f t="shared" si="186"/>
        <v>0</v>
      </c>
      <c r="HZ17" s="538"/>
      <c r="IA17" s="539">
        <f t="shared" si="76"/>
        <v>0</v>
      </c>
      <c r="IB17" s="540">
        <f t="shared" si="187"/>
        <v>0</v>
      </c>
      <c r="IC17" s="538"/>
      <c r="ID17" s="539">
        <f t="shared" si="77"/>
        <v>0</v>
      </c>
      <c r="IE17" s="540">
        <f t="shared" si="188"/>
        <v>0</v>
      </c>
      <c r="IF17" s="538"/>
      <c r="IG17" s="539">
        <f t="shared" si="78"/>
        <v>0</v>
      </c>
      <c r="IH17" s="540">
        <f t="shared" si="189"/>
        <v>0</v>
      </c>
      <c r="II17" s="538"/>
      <c r="IJ17" s="539">
        <f t="shared" si="79"/>
        <v>0</v>
      </c>
      <c r="IK17" s="540">
        <f t="shared" si="190"/>
        <v>0</v>
      </c>
      <c r="IL17" s="538"/>
      <c r="IM17" s="539">
        <f t="shared" si="80"/>
        <v>0</v>
      </c>
      <c r="IN17" s="540">
        <f t="shared" si="191"/>
        <v>0</v>
      </c>
      <c r="IO17" s="538"/>
      <c r="IP17" s="539">
        <f t="shared" si="81"/>
        <v>0</v>
      </c>
      <c r="IQ17" s="540">
        <f t="shared" si="192"/>
        <v>0</v>
      </c>
      <c r="IR17" s="538"/>
      <c r="IS17" s="539">
        <f t="shared" si="82"/>
        <v>0</v>
      </c>
      <c r="IT17" s="540">
        <f t="shared" si="193"/>
        <v>0</v>
      </c>
      <c r="IU17" s="538"/>
      <c r="IV17" s="539">
        <f t="shared" si="83"/>
        <v>0</v>
      </c>
      <c r="IW17" s="540">
        <f t="shared" si="194"/>
        <v>0</v>
      </c>
      <c r="IX17" s="538"/>
      <c r="IY17" s="539">
        <f t="shared" si="84"/>
        <v>0</v>
      </c>
      <c r="IZ17" s="540">
        <f t="shared" si="195"/>
        <v>0</v>
      </c>
      <c r="JA17" s="538"/>
      <c r="JB17" s="539">
        <f t="shared" si="85"/>
        <v>0</v>
      </c>
      <c r="JC17" s="540">
        <f t="shared" si="196"/>
        <v>0</v>
      </c>
      <c r="JD17" s="538"/>
      <c r="JE17" s="539">
        <f t="shared" si="86"/>
        <v>0</v>
      </c>
      <c r="JF17" s="540">
        <f t="shared" si="197"/>
        <v>0</v>
      </c>
      <c r="JG17" s="538"/>
      <c r="JH17" s="539">
        <f t="shared" si="87"/>
        <v>0</v>
      </c>
      <c r="JI17" s="540">
        <f t="shared" si="198"/>
        <v>0</v>
      </c>
      <c r="JJ17" s="538"/>
      <c r="JK17" s="540" t="str">
        <f t="shared" si="88"/>
        <v>0</v>
      </c>
      <c r="JL17" s="540" t="str">
        <f t="shared" si="89"/>
        <v>0</v>
      </c>
      <c r="JM17" s="538"/>
      <c r="JN17" s="540" t="str">
        <f t="shared" si="90"/>
        <v>0</v>
      </c>
      <c r="JO17" s="540" t="str">
        <f t="shared" si="91"/>
        <v>0</v>
      </c>
      <c r="JP17" s="538"/>
      <c r="JQ17" s="540" t="str">
        <f t="shared" si="92"/>
        <v>0</v>
      </c>
      <c r="JR17" s="540" t="str">
        <f t="shared" si="93"/>
        <v>0</v>
      </c>
      <c r="JS17" s="538"/>
      <c r="JT17" s="540" t="str">
        <f t="shared" si="94"/>
        <v>0</v>
      </c>
      <c r="JU17" s="540" t="str">
        <f t="shared" si="95"/>
        <v>0</v>
      </c>
      <c r="JV17" s="538"/>
      <c r="JW17" s="540" t="str">
        <f t="shared" si="96"/>
        <v>0</v>
      </c>
      <c r="JX17" s="540" t="str">
        <f t="shared" si="97"/>
        <v>0</v>
      </c>
      <c r="JY17" s="538"/>
      <c r="JZ17" s="540" t="str">
        <f t="shared" si="98"/>
        <v>0</v>
      </c>
      <c r="KA17" s="540" t="str">
        <f t="shared" si="99"/>
        <v>0</v>
      </c>
      <c r="KB17" s="538"/>
      <c r="KC17" s="540" t="str">
        <f t="shared" si="100"/>
        <v>0</v>
      </c>
      <c r="KD17" s="540" t="str">
        <f t="shared" si="101"/>
        <v>0</v>
      </c>
      <c r="KE17" s="538"/>
      <c r="KF17" s="540" t="str">
        <f t="shared" si="102"/>
        <v>0</v>
      </c>
      <c r="KG17" s="540" t="str">
        <f t="shared" si="103"/>
        <v>0</v>
      </c>
      <c r="KH17" s="538"/>
      <c r="KI17" s="540" t="str">
        <f t="shared" si="104"/>
        <v>0</v>
      </c>
      <c r="KJ17" s="540" t="str">
        <f t="shared" si="105"/>
        <v>0</v>
      </c>
      <c r="KK17" s="538"/>
      <c r="KL17" s="540" t="str">
        <f t="shared" si="106"/>
        <v>0</v>
      </c>
      <c r="KM17" s="540" t="str">
        <f t="shared" si="107"/>
        <v>0</v>
      </c>
      <c r="KN17" s="538"/>
      <c r="KO17" s="540" t="str">
        <f t="shared" si="108"/>
        <v>0</v>
      </c>
      <c r="KP17" s="540" t="str">
        <f t="shared" si="109"/>
        <v>0</v>
      </c>
      <c r="KQ17" s="538"/>
      <c r="KR17" s="540" t="str">
        <f t="shared" si="110"/>
        <v>0</v>
      </c>
      <c r="KS17" s="540" t="str">
        <f t="shared" si="111"/>
        <v>0</v>
      </c>
      <c r="KT17" s="540">
        <f t="shared" si="201"/>
        <v>0</v>
      </c>
      <c r="KU17" s="540">
        <f t="shared" si="202"/>
        <v>0</v>
      </c>
      <c r="KV17" s="274">
        <f>+F17+I17+L17+O17+R17+U17+X17+AA17+AD17+AG17+AJ17+AM17+AP17+AS17+AV17+AY17+BB17+BE17+BH17+BK17+BN17+BQ17+BT17+BW17+BZ17+CC17+CF17+CI17+CL17+CO17+CR17+CU17+CX17+DA17+DD17+DJ17+DM17+DP17+DS17+DV17+DY17+EB17+DG17+EE17</f>
        <v>813.69034682744757</v>
      </c>
    </row>
    <row r="18" spans="1:309" ht="15" customHeight="1">
      <c r="A18" s="276">
        <f t="shared" si="200"/>
        <v>45879</v>
      </c>
      <c r="B18" s="277" t="str">
        <f>+Report1!B18</f>
        <v>MG</v>
      </c>
      <c r="C18" s="417" t="str">
        <f>+Report1!C18</f>
        <v>17</v>
      </c>
      <c r="D18" s="278">
        <f>+Report1!P18</f>
        <v>77.882000000000005</v>
      </c>
      <c r="E18" s="279">
        <f>+Report1!R18</f>
        <v>81.748999999999995</v>
      </c>
      <c r="F18" s="538"/>
      <c r="G18" s="539">
        <f t="shared" si="0"/>
        <v>0</v>
      </c>
      <c r="H18" s="540">
        <f t="shared" si="112"/>
        <v>0</v>
      </c>
      <c r="I18" s="538">
        <v>746.4666000000002</v>
      </c>
      <c r="J18" s="539">
        <f t="shared" si="1"/>
        <v>9.1312016049126008</v>
      </c>
      <c r="K18" s="540">
        <f t="shared" si="113"/>
        <v>0</v>
      </c>
      <c r="L18" s="538"/>
      <c r="M18" s="539">
        <f t="shared" si="2"/>
        <v>0</v>
      </c>
      <c r="N18" s="540">
        <f t="shared" si="114"/>
        <v>0</v>
      </c>
      <c r="O18" s="538">
        <v>4.6631999999999891</v>
      </c>
      <c r="P18" s="539">
        <f t="shared" si="3"/>
        <v>5.7042899607334517E-2</v>
      </c>
      <c r="Q18" s="540">
        <f t="shared" si="115"/>
        <v>0</v>
      </c>
      <c r="R18" s="538"/>
      <c r="S18" s="539">
        <f t="shared" si="4"/>
        <v>0</v>
      </c>
      <c r="T18" s="540">
        <f t="shared" si="116"/>
        <v>0</v>
      </c>
      <c r="U18" s="538">
        <v>2.6471000000000018</v>
      </c>
      <c r="V18" s="539">
        <f t="shared" si="5"/>
        <v>3.2380824230265837E-2</v>
      </c>
      <c r="W18" s="540">
        <f t="shared" si="117"/>
        <v>0</v>
      </c>
      <c r="X18" s="538"/>
      <c r="Y18" s="539">
        <f t="shared" si="6"/>
        <v>0</v>
      </c>
      <c r="Z18" s="540">
        <f t="shared" si="118"/>
        <v>0</v>
      </c>
      <c r="AA18" s="538"/>
      <c r="AB18" s="539">
        <f t="shared" si="7"/>
        <v>0</v>
      </c>
      <c r="AC18" s="540">
        <f t="shared" si="119"/>
        <v>0</v>
      </c>
      <c r="AD18" s="538"/>
      <c r="AE18" s="539">
        <f t="shared" si="8"/>
        <v>0</v>
      </c>
      <c r="AF18" s="540">
        <f t="shared" si="120"/>
        <v>0</v>
      </c>
      <c r="AG18" s="538"/>
      <c r="AH18" s="539">
        <f t="shared" si="9"/>
        <v>0</v>
      </c>
      <c r="AI18" s="540">
        <f t="shared" si="121"/>
        <v>0</v>
      </c>
      <c r="AJ18" s="538">
        <v>0</v>
      </c>
      <c r="AK18" s="539">
        <f t="shared" si="10"/>
        <v>0</v>
      </c>
      <c r="AL18" s="540">
        <f t="shared" si="122"/>
        <v>0</v>
      </c>
      <c r="AM18" s="538">
        <v>0</v>
      </c>
      <c r="AN18" s="539">
        <f t="shared" si="11"/>
        <v>0</v>
      </c>
      <c r="AO18" s="540">
        <f t="shared" si="123"/>
        <v>0</v>
      </c>
      <c r="AP18" s="538">
        <v>0</v>
      </c>
      <c r="AQ18" s="539">
        <f t="shared" si="12"/>
        <v>0</v>
      </c>
      <c r="AR18" s="540">
        <f t="shared" si="124"/>
        <v>0</v>
      </c>
      <c r="AS18" s="538"/>
      <c r="AT18" s="539">
        <f t="shared" si="13"/>
        <v>0</v>
      </c>
      <c r="AU18" s="540">
        <f t="shared" si="125"/>
        <v>0</v>
      </c>
      <c r="AV18" s="538">
        <v>10.051000000000016</v>
      </c>
      <c r="AW18" s="539">
        <f t="shared" si="14"/>
        <v>0.12294951620203326</v>
      </c>
      <c r="AX18" s="540">
        <f t="shared" si="126"/>
        <v>0</v>
      </c>
      <c r="AY18" s="538">
        <v>0</v>
      </c>
      <c r="AZ18" s="539">
        <f t="shared" si="15"/>
        <v>0</v>
      </c>
      <c r="BA18" s="540">
        <f t="shared" si="127"/>
        <v>0</v>
      </c>
      <c r="BB18" s="538">
        <v>74.897200000000055</v>
      </c>
      <c r="BC18" s="539">
        <f t="shared" si="16"/>
        <v>0.91618490746064241</v>
      </c>
      <c r="BD18" s="540">
        <f t="shared" si="128"/>
        <v>0</v>
      </c>
      <c r="BE18" s="538"/>
      <c r="BF18" s="539">
        <f t="shared" si="17"/>
        <v>0</v>
      </c>
      <c r="BG18" s="540">
        <f t="shared" si="129"/>
        <v>0</v>
      </c>
      <c r="BH18" s="538"/>
      <c r="BI18" s="539">
        <f t="shared" si="18"/>
        <v>0</v>
      </c>
      <c r="BJ18" s="540">
        <f t="shared" si="130"/>
        <v>0</v>
      </c>
      <c r="BK18" s="538"/>
      <c r="BL18" s="539">
        <f t="shared" si="19"/>
        <v>0</v>
      </c>
      <c r="BM18" s="540">
        <f t="shared" si="131"/>
        <v>0</v>
      </c>
      <c r="BN18" s="538">
        <v>11.796800000000019</v>
      </c>
      <c r="BO18" s="539">
        <f t="shared" si="20"/>
        <v>0.14430512911472948</v>
      </c>
      <c r="BP18" s="540">
        <f t="shared" si="132"/>
        <v>0</v>
      </c>
      <c r="BQ18" s="538">
        <v>0</v>
      </c>
      <c r="BR18" s="539">
        <f t="shared" si="21"/>
        <v>0</v>
      </c>
      <c r="BS18" s="540">
        <f t="shared" si="133"/>
        <v>0</v>
      </c>
      <c r="BT18" s="538"/>
      <c r="BU18" s="539">
        <f t="shared" si="22"/>
        <v>0</v>
      </c>
      <c r="BV18" s="540">
        <f t="shared" si="134"/>
        <v>0</v>
      </c>
      <c r="BW18" s="538">
        <v>0</v>
      </c>
      <c r="BX18" s="539">
        <f t="shared" si="23"/>
        <v>0</v>
      </c>
      <c r="BY18" s="540">
        <f t="shared" si="135"/>
        <v>0</v>
      </c>
      <c r="BZ18" s="538">
        <v>0</v>
      </c>
      <c r="CA18" s="539">
        <f t="shared" si="24"/>
        <v>0</v>
      </c>
      <c r="CB18" s="540">
        <f t="shared" si="136"/>
        <v>0</v>
      </c>
      <c r="CC18" s="538">
        <v>6.25</v>
      </c>
      <c r="CD18" s="539">
        <f t="shared" si="25"/>
        <v>7.6453534599811621E-2</v>
      </c>
      <c r="CE18" s="540">
        <f t="shared" si="137"/>
        <v>0</v>
      </c>
      <c r="CF18" s="538">
        <v>0.10000000000000003</v>
      </c>
      <c r="CG18" s="539">
        <f t="shared" si="26"/>
        <v>1.2232565535969864E-3</v>
      </c>
      <c r="CH18" s="540">
        <f t="shared" si="138"/>
        <v>0</v>
      </c>
      <c r="CI18" s="538">
        <v>0</v>
      </c>
      <c r="CJ18" s="539">
        <f t="shared" si="27"/>
        <v>0</v>
      </c>
      <c r="CK18" s="540">
        <f t="shared" si="139"/>
        <v>0</v>
      </c>
      <c r="CL18" s="538"/>
      <c r="CM18" s="539">
        <f t="shared" si="28"/>
        <v>0</v>
      </c>
      <c r="CN18" s="540">
        <f t="shared" si="140"/>
        <v>0</v>
      </c>
      <c r="CO18" s="538"/>
      <c r="CP18" s="539">
        <f t="shared" si="29"/>
        <v>0</v>
      </c>
      <c r="CQ18" s="540">
        <f t="shared" si="141"/>
        <v>0</v>
      </c>
      <c r="CR18" s="538"/>
      <c r="CS18" s="539">
        <f t="shared" si="30"/>
        <v>0</v>
      </c>
      <c r="CT18" s="540">
        <f t="shared" si="142"/>
        <v>0</v>
      </c>
      <c r="CU18" s="538"/>
      <c r="CV18" s="539">
        <f t="shared" si="31"/>
        <v>0</v>
      </c>
      <c r="CW18" s="540">
        <f t="shared" si="143"/>
        <v>0</v>
      </c>
      <c r="CX18" s="538"/>
      <c r="CY18" s="539">
        <f t="shared" si="32"/>
        <v>0</v>
      </c>
      <c r="CZ18" s="540">
        <f t="shared" si="144"/>
        <v>0</v>
      </c>
      <c r="DA18" s="538"/>
      <c r="DB18" s="539">
        <f t="shared" si="33"/>
        <v>0</v>
      </c>
      <c r="DC18" s="540">
        <f t="shared" si="145"/>
        <v>0</v>
      </c>
      <c r="DD18" s="538"/>
      <c r="DE18" s="539">
        <f t="shared" si="34"/>
        <v>0</v>
      </c>
      <c r="DF18" s="540">
        <f t="shared" si="146"/>
        <v>0</v>
      </c>
      <c r="DG18" s="538">
        <v>0</v>
      </c>
      <c r="DH18" s="539">
        <f t="shared" si="35"/>
        <v>0</v>
      </c>
      <c r="DI18" s="540">
        <f t="shared" si="203"/>
        <v>0</v>
      </c>
      <c r="DJ18" s="538"/>
      <c r="DK18" s="539">
        <f t="shared" si="36"/>
        <v>0</v>
      </c>
      <c r="DL18" s="540">
        <f t="shared" si="147"/>
        <v>0</v>
      </c>
      <c r="DM18" s="538"/>
      <c r="DN18" s="539">
        <f t="shared" si="37"/>
        <v>0</v>
      </c>
      <c r="DO18" s="540">
        <f t="shared" si="148"/>
        <v>0</v>
      </c>
      <c r="DP18" s="538"/>
      <c r="DQ18" s="539">
        <f t="shared" si="38"/>
        <v>0</v>
      </c>
      <c r="DR18" s="540">
        <f t="shared" si="149"/>
        <v>0</v>
      </c>
      <c r="DS18" s="538"/>
      <c r="DT18" s="539">
        <f t="shared" si="39"/>
        <v>0</v>
      </c>
      <c r="DU18" s="540">
        <f t="shared" si="150"/>
        <v>0</v>
      </c>
      <c r="DV18" s="538"/>
      <c r="DW18" s="539">
        <f t="shared" si="40"/>
        <v>0</v>
      </c>
      <c r="DX18" s="540">
        <f t="shared" si="151"/>
        <v>0</v>
      </c>
      <c r="DY18" s="538"/>
      <c r="DZ18" s="539">
        <f t="shared" si="41"/>
        <v>0</v>
      </c>
      <c r="EA18" s="540">
        <f t="shared" si="152"/>
        <v>0</v>
      </c>
      <c r="EB18" s="538">
        <v>15.05359999999996</v>
      </c>
      <c r="EC18" s="539">
        <f t="shared" si="42"/>
        <v>0.1841441485522754</v>
      </c>
      <c r="ED18" s="540">
        <f t="shared" si="153"/>
        <v>0</v>
      </c>
      <c r="EE18" s="538">
        <v>1</v>
      </c>
      <c r="EF18" s="539">
        <f t="shared" si="43"/>
        <v>1.223256553596986E-2</v>
      </c>
      <c r="EG18" s="540">
        <f t="shared" si="154"/>
        <v>0</v>
      </c>
      <c r="EH18" s="538"/>
      <c r="EI18" s="539">
        <f t="shared" si="44"/>
        <v>0</v>
      </c>
      <c r="EJ18" s="540">
        <f t="shared" si="155"/>
        <v>0</v>
      </c>
      <c r="EK18" s="538"/>
      <c r="EL18" s="539">
        <f t="shared" si="45"/>
        <v>0</v>
      </c>
      <c r="EM18" s="540">
        <f t="shared" si="156"/>
        <v>0</v>
      </c>
      <c r="EN18" s="538"/>
      <c r="EO18" s="539">
        <f t="shared" si="46"/>
        <v>0</v>
      </c>
      <c r="EP18" s="540">
        <f t="shared" si="157"/>
        <v>0</v>
      </c>
      <c r="EQ18" s="538"/>
      <c r="ER18" s="539">
        <f t="shared" si="47"/>
        <v>0</v>
      </c>
      <c r="ES18" s="540">
        <f t="shared" si="158"/>
        <v>0</v>
      </c>
      <c r="ET18" s="538"/>
      <c r="EU18" s="539">
        <f t="shared" si="48"/>
        <v>0</v>
      </c>
      <c r="EV18" s="540">
        <f t="shared" si="159"/>
        <v>0</v>
      </c>
      <c r="EW18" s="538"/>
      <c r="EX18" s="539">
        <f t="shared" si="49"/>
        <v>0</v>
      </c>
      <c r="EY18" s="540">
        <f t="shared" si="160"/>
        <v>0</v>
      </c>
      <c r="EZ18" s="538"/>
      <c r="FA18" s="539">
        <f t="shared" si="50"/>
        <v>0</v>
      </c>
      <c r="FB18" s="540">
        <f t="shared" si="161"/>
        <v>0</v>
      </c>
      <c r="FC18" s="538"/>
      <c r="FD18" s="539">
        <f t="shared" si="51"/>
        <v>0</v>
      </c>
      <c r="FE18" s="540">
        <f t="shared" si="162"/>
        <v>0</v>
      </c>
      <c r="FF18" s="538"/>
      <c r="FG18" s="539">
        <f t="shared" si="52"/>
        <v>0</v>
      </c>
      <c r="FH18" s="540">
        <f t="shared" si="163"/>
        <v>0</v>
      </c>
      <c r="FI18" s="538"/>
      <c r="FJ18" s="539">
        <f t="shared" si="53"/>
        <v>0</v>
      </c>
      <c r="FK18" s="540">
        <f t="shared" si="164"/>
        <v>0</v>
      </c>
      <c r="FL18" s="538"/>
      <c r="FM18" s="539">
        <f t="shared" si="54"/>
        <v>0</v>
      </c>
      <c r="FN18" s="540">
        <f t="shared" si="165"/>
        <v>0</v>
      </c>
      <c r="FO18" s="538"/>
      <c r="FP18" s="539">
        <f t="shared" si="55"/>
        <v>0</v>
      </c>
      <c r="FQ18" s="540">
        <f t="shared" si="166"/>
        <v>0</v>
      </c>
      <c r="FR18" s="538"/>
      <c r="FS18" s="539">
        <f t="shared" si="56"/>
        <v>0</v>
      </c>
      <c r="FT18" s="540">
        <f t="shared" si="167"/>
        <v>0</v>
      </c>
      <c r="FU18" s="538"/>
      <c r="FV18" s="539">
        <f t="shared" si="57"/>
        <v>0</v>
      </c>
      <c r="FW18" s="540">
        <f t="shared" si="168"/>
        <v>0</v>
      </c>
      <c r="FX18" s="538"/>
      <c r="FY18" s="539">
        <f t="shared" si="58"/>
        <v>0</v>
      </c>
      <c r="FZ18" s="540">
        <f t="shared" si="169"/>
        <v>0</v>
      </c>
      <c r="GA18" s="538"/>
      <c r="GB18" s="539">
        <f t="shared" si="59"/>
        <v>0</v>
      </c>
      <c r="GC18" s="540">
        <f t="shared" si="170"/>
        <v>0</v>
      </c>
      <c r="GD18" s="538"/>
      <c r="GE18" s="539">
        <f t="shared" si="60"/>
        <v>0</v>
      </c>
      <c r="GF18" s="540">
        <f t="shared" si="171"/>
        <v>0</v>
      </c>
      <c r="GG18" s="538"/>
      <c r="GH18" s="539">
        <f t="shared" si="61"/>
        <v>0</v>
      </c>
      <c r="GI18" s="540">
        <f t="shared" si="172"/>
        <v>0</v>
      </c>
      <c r="GJ18" s="538"/>
      <c r="GK18" s="539">
        <f t="shared" si="62"/>
        <v>0</v>
      </c>
      <c r="GL18" s="540">
        <f t="shared" si="173"/>
        <v>0</v>
      </c>
      <c r="GM18" s="538"/>
      <c r="GN18" s="539">
        <f t="shared" si="63"/>
        <v>0</v>
      </c>
      <c r="GO18" s="540">
        <f t="shared" si="174"/>
        <v>0</v>
      </c>
      <c r="GP18" s="538"/>
      <c r="GQ18" s="539">
        <f t="shared" si="64"/>
        <v>0</v>
      </c>
      <c r="GR18" s="540">
        <f t="shared" si="175"/>
        <v>0</v>
      </c>
      <c r="GS18" s="538"/>
      <c r="GT18" s="539">
        <f t="shared" si="65"/>
        <v>0</v>
      </c>
      <c r="GU18" s="540">
        <f t="shared" si="176"/>
        <v>0</v>
      </c>
      <c r="GV18" s="538"/>
      <c r="GW18" s="539">
        <f t="shared" si="66"/>
        <v>0</v>
      </c>
      <c r="GX18" s="540">
        <f t="shared" si="177"/>
        <v>0</v>
      </c>
      <c r="GY18" s="538"/>
      <c r="GZ18" s="539">
        <f t="shared" si="67"/>
        <v>0</v>
      </c>
      <c r="HA18" s="540">
        <f t="shared" si="178"/>
        <v>0</v>
      </c>
      <c r="HB18" s="538"/>
      <c r="HC18" s="539">
        <f t="shared" si="68"/>
        <v>0</v>
      </c>
      <c r="HD18" s="540">
        <f t="shared" si="179"/>
        <v>0</v>
      </c>
      <c r="HE18" s="538"/>
      <c r="HF18" s="539">
        <f t="shared" si="69"/>
        <v>0</v>
      </c>
      <c r="HG18" s="540">
        <f t="shared" si="180"/>
        <v>0</v>
      </c>
      <c r="HH18" s="538"/>
      <c r="HI18" s="539">
        <f t="shared" si="70"/>
        <v>0</v>
      </c>
      <c r="HJ18" s="540">
        <f t="shared" si="181"/>
        <v>0</v>
      </c>
      <c r="HK18" s="538"/>
      <c r="HL18" s="539">
        <f t="shared" si="71"/>
        <v>0</v>
      </c>
      <c r="HM18" s="540">
        <f t="shared" si="182"/>
        <v>0</v>
      </c>
      <c r="HN18" s="538"/>
      <c r="HO18" s="539">
        <f t="shared" si="72"/>
        <v>0</v>
      </c>
      <c r="HP18" s="540">
        <f t="shared" si="183"/>
        <v>0</v>
      </c>
      <c r="HQ18" s="538"/>
      <c r="HR18" s="539">
        <f t="shared" si="73"/>
        <v>0</v>
      </c>
      <c r="HS18" s="540">
        <f t="shared" si="184"/>
        <v>0</v>
      </c>
      <c r="HT18" s="538"/>
      <c r="HU18" s="539">
        <f t="shared" si="74"/>
        <v>0</v>
      </c>
      <c r="HV18" s="540">
        <f t="shared" si="185"/>
        <v>0</v>
      </c>
      <c r="HW18" s="538"/>
      <c r="HX18" s="539">
        <f t="shared" si="75"/>
        <v>0</v>
      </c>
      <c r="HY18" s="540">
        <f t="shared" si="186"/>
        <v>0</v>
      </c>
      <c r="HZ18" s="538"/>
      <c r="IA18" s="539">
        <f t="shared" si="76"/>
        <v>0</v>
      </c>
      <c r="IB18" s="540">
        <f t="shared" si="187"/>
        <v>0</v>
      </c>
      <c r="IC18" s="538"/>
      <c r="ID18" s="539">
        <f t="shared" si="77"/>
        <v>0</v>
      </c>
      <c r="IE18" s="540">
        <f t="shared" si="188"/>
        <v>0</v>
      </c>
      <c r="IF18" s="538"/>
      <c r="IG18" s="539">
        <f t="shared" si="78"/>
        <v>0</v>
      </c>
      <c r="IH18" s="540">
        <f t="shared" si="189"/>
        <v>0</v>
      </c>
      <c r="II18" s="538"/>
      <c r="IJ18" s="539">
        <f t="shared" si="79"/>
        <v>0</v>
      </c>
      <c r="IK18" s="540">
        <f t="shared" si="190"/>
        <v>0</v>
      </c>
      <c r="IL18" s="538"/>
      <c r="IM18" s="539">
        <f t="shared" si="80"/>
        <v>0</v>
      </c>
      <c r="IN18" s="540">
        <f t="shared" si="191"/>
        <v>0</v>
      </c>
      <c r="IO18" s="538"/>
      <c r="IP18" s="539">
        <f t="shared" si="81"/>
        <v>0</v>
      </c>
      <c r="IQ18" s="540">
        <f t="shared" si="192"/>
        <v>0</v>
      </c>
      <c r="IR18" s="538"/>
      <c r="IS18" s="539">
        <f t="shared" si="82"/>
        <v>0</v>
      </c>
      <c r="IT18" s="540">
        <f t="shared" si="193"/>
        <v>0</v>
      </c>
      <c r="IU18" s="538"/>
      <c r="IV18" s="539">
        <f t="shared" si="83"/>
        <v>0</v>
      </c>
      <c r="IW18" s="540">
        <f t="shared" si="194"/>
        <v>0</v>
      </c>
      <c r="IX18" s="538"/>
      <c r="IY18" s="539">
        <f t="shared" si="84"/>
        <v>0</v>
      </c>
      <c r="IZ18" s="540">
        <f t="shared" si="195"/>
        <v>0</v>
      </c>
      <c r="JA18" s="538"/>
      <c r="JB18" s="539">
        <f t="shared" si="85"/>
        <v>0</v>
      </c>
      <c r="JC18" s="540">
        <f t="shared" si="196"/>
        <v>0</v>
      </c>
      <c r="JD18" s="538"/>
      <c r="JE18" s="539">
        <f t="shared" si="86"/>
        <v>0</v>
      </c>
      <c r="JF18" s="540">
        <f t="shared" si="197"/>
        <v>0</v>
      </c>
      <c r="JG18" s="538"/>
      <c r="JH18" s="539">
        <f t="shared" si="87"/>
        <v>0</v>
      </c>
      <c r="JI18" s="540">
        <f t="shared" si="198"/>
        <v>0</v>
      </c>
      <c r="JJ18" s="538"/>
      <c r="JK18" s="540" t="str">
        <f t="shared" si="88"/>
        <v>0</v>
      </c>
      <c r="JL18" s="540" t="str">
        <f t="shared" si="89"/>
        <v>0</v>
      </c>
      <c r="JM18" s="538"/>
      <c r="JN18" s="540" t="str">
        <f t="shared" si="90"/>
        <v>0</v>
      </c>
      <c r="JO18" s="540" t="str">
        <f t="shared" si="91"/>
        <v>0</v>
      </c>
      <c r="JP18" s="538"/>
      <c r="JQ18" s="540" t="str">
        <f t="shared" si="92"/>
        <v>0</v>
      </c>
      <c r="JR18" s="540" t="str">
        <f t="shared" si="93"/>
        <v>0</v>
      </c>
      <c r="JS18" s="538"/>
      <c r="JT18" s="540" t="str">
        <f t="shared" si="94"/>
        <v>0</v>
      </c>
      <c r="JU18" s="540" t="str">
        <f t="shared" si="95"/>
        <v>0</v>
      </c>
      <c r="JV18" s="538"/>
      <c r="JW18" s="540" t="str">
        <f t="shared" si="96"/>
        <v>0</v>
      </c>
      <c r="JX18" s="540" t="str">
        <f t="shared" si="97"/>
        <v>0</v>
      </c>
      <c r="JY18" s="538"/>
      <c r="JZ18" s="540" t="str">
        <f t="shared" si="98"/>
        <v>0</v>
      </c>
      <c r="KA18" s="540" t="str">
        <f t="shared" si="99"/>
        <v>0</v>
      </c>
      <c r="KB18" s="538"/>
      <c r="KC18" s="540" t="str">
        <f t="shared" si="100"/>
        <v>0</v>
      </c>
      <c r="KD18" s="540" t="str">
        <f t="shared" si="101"/>
        <v>0</v>
      </c>
      <c r="KE18" s="538"/>
      <c r="KF18" s="540" t="str">
        <f t="shared" si="102"/>
        <v>0</v>
      </c>
      <c r="KG18" s="540" t="str">
        <f t="shared" si="103"/>
        <v>0</v>
      </c>
      <c r="KH18" s="538"/>
      <c r="KI18" s="540" t="str">
        <f t="shared" si="104"/>
        <v>0</v>
      </c>
      <c r="KJ18" s="540" t="str">
        <f t="shared" si="105"/>
        <v>0</v>
      </c>
      <c r="KK18" s="538"/>
      <c r="KL18" s="540" t="str">
        <f t="shared" si="106"/>
        <v>0</v>
      </c>
      <c r="KM18" s="540" t="str">
        <f t="shared" si="107"/>
        <v>0</v>
      </c>
      <c r="KN18" s="538"/>
      <c r="KO18" s="540" t="str">
        <f t="shared" si="108"/>
        <v>0</v>
      </c>
      <c r="KP18" s="540" t="str">
        <f t="shared" si="109"/>
        <v>0</v>
      </c>
      <c r="KQ18" s="538"/>
      <c r="KR18" s="540" t="str">
        <f t="shared" si="110"/>
        <v>0</v>
      </c>
      <c r="KS18" s="540" t="str">
        <f t="shared" si="111"/>
        <v>0</v>
      </c>
      <c r="KT18" s="540">
        <f t="shared" si="201"/>
        <v>0</v>
      </c>
      <c r="KU18" s="540">
        <f t="shared" si="202"/>
        <v>0</v>
      </c>
      <c r="KV18" s="274">
        <f t="shared" si="199"/>
        <v>872.9255000000004</v>
      </c>
    </row>
    <row r="19" spans="1:309" ht="15" customHeight="1">
      <c r="A19" s="276">
        <f t="shared" si="200"/>
        <v>45880</v>
      </c>
      <c r="B19" s="277" t="str">
        <f>+Report1!B19</f>
        <v>MG</v>
      </c>
      <c r="C19" s="417" t="str">
        <f>+Report1!C19</f>
        <v>17/21/16,5</v>
      </c>
      <c r="D19" s="278">
        <f>+Report1!P19</f>
        <v>77.539999999999992</v>
      </c>
      <c r="E19" s="279">
        <f>+Report1!R19</f>
        <v>61.018000000000001</v>
      </c>
      <c r="F19" s="538"/>
      <c r="G19" s="539">
        <f t="shared" si="0"/>
        <v>0</v>
      </c>
      <c r="H19" s="540">
        <f t="shared" si="112"/>
        <v>0</v>
      </c>
      <c r="I19" s="538">
        <v>790.69993953488347</v>
      </c>
      <c r="J19" s="539">
        <f t="shared" si="1"/>
        <v>12.958470279833548</v>
      </c>
      <c r="K19" s="540">
        <f t="shared" si="113"/>
        <v>0</v>
      </c>
      <c r="L19" s="538"/>
      <c r="M19" s="539">
        <f t="shared" si="2"/>
        <v>0</v>
      </c>
      <c r="N19" s="540">
        <f t="shared" si="114"/>
        <v>0</v>
      </c>
      <c r="O19" s="538">
        <v>9.0035999999999774</v>
      </c>
      <c r="P19" s="539">
        <f t="shared" si="3"/>
        <v>0.14755645874987672</v>
      </c>
      <c r="Q19" s="540">
        <f t="shared" si="115"/>
        <v>0</v>
      </c>
      <c r="R19" s="538"/>
      <c r="S19" s="539">
        <f t="shared" si="4"/>
        <v>0</v>
      </c>
      <c r="T19" s="540">
        <f t="shared" si="116"/>
        <v>0</v>
      </c>
      <c r="U19" s="538">
        <v>5.1277999999999935</v>
      </c>
      <c r="V19" s="539">
        <f t="shared" si="5"/>
        <v>8.4037497131993724E-2</v>
      </c>
      <c r="W19" s="540">
        <f t="shared" si="117"/>
        <v>0</v>
      </c>
      <c r="X19" s="538"/>
      <c r="Y19" s="539">
        <f t="shared" si="6"/>
        <v>0</v>
      </c>
      <c r="Z19" s="540">
        <f t="shared" si="118"/>
        <v>0</v>
      </c>
      <c r="AA19" s="538"/>
      <c r="AB19" s="539">
        <f t="shared" si="7"/>
        <v>0</v>
      </c>
      <c r="AC19" s="540">
        <f t="shared" si="119"/>
        <v>0</v>
      </c>
      <c r="AD19" s="538"/>
      <c r="AE19" s="539">
        <f t="shared" si="8"/>
        <v>0</v>
      </c>
      <c r="AF19" s="540">
        <f t="shared" si="120"/>
        <v>0</v>
      </c>
      <c r="AG19" s="538"/>
      <c r="AH19" s="539">
        <f t="shared" si="9"/>
        <v>0</v>
      </c>
      <c r="AI19" s="540">
        <f t="shared" si="121"/>
        <v>0</v>
      </c>
      <c r="AJ19" s="538">
        <v>0</v>
      </c>
      <c r="AK19" s="539">
        <f t="shared" si="10"/>
        <v>0</v>
      </c>
      <c r="AL19" s="540">
        <f t="shared" si="122"/>
        <v>0</v>
      </c>
      <c r="AM19" s="538">
        <v>0</v>
      </c>
      <c r="AN19" s="539">
        <f t="shared" si="11"/>
        <v>0</v>
      </c>
      <c r="AO19" s="540">
        <f t="shared" si="123"/>
        <v>0</v>
      </c>
      <c r="AP19" s="538">
        <v>0</v>
      </c>
      <c r="AQ19" s="539">
        <f t="shared" si="12"/>
        <v>0</v>
      </c>
      <c r="AR19" s="540">
        <f t="shared" si="124"/>
        <v>0</v>
      </c>
      <c r="AS19" s="538"/>
      <c r="AT19" s="539">
        <f t="shared" si="13"/>
        <v>0</v>
      </c>
      <c r="AU19" s="540">
        <f t="shared" si="125"/>
        <v>0</v>
      </c>
      <c r="AV19" s="538">
        <v>11.101499999999987</v>
      </c>
      <c r="AW19" s="539">
        <f t="shared" si="14"/>
        <v>0.18193811662132464</v>
      </c>
      <c r="AX19" s="540">
        <f t="shared" si="126"/>
        <v>0</v>
      </c>
      <c r="AY19" s="538">
        <v>0</v>
      </c>
      <c r="AZ19" s="539">
        <f t="shared" si="15"/>
        <v>0</v>
      </c>
      <c r="BA19" s="540">
        <f t="shared" si="127"/>
        <v>0</v>
      </c>
      <c r="BB19" s="538">
        <v>65.335200000000015</v>
      </c>
      <c r="BC19" s="539">
        <f t="shared" si="16"/>
        <v>1.0707528925890724</v>
      </c>
      <c r="BD19" s="540">
        <f t="shared" si="128"/>
        <v>0</v>
      </c>
      <c r="BE19" s="538"/>
      <c r="BF19" s="539">
        <f t="shared" si="17"/>
        <v>0</v>
      </c>
      <c r="BG19" s="540">
        <f t="shared" si="129"/>
        <v>0</v>
      </c>
      <c r="BH19" s="538"/>
      <c r="BI19" s="539">
        <f t="shared" si="18"/>
        <v>0</v>
      </c>
      <c r="BJ19" s="540">
        <f t="shared" si="130"/>
        <v>0</v>
      </c>
      <c r="BK19" s="538"/>
      <c r="BL19" s="539">
        <f t="shared" si="19"/>
        <v>0</v>
      </c>
      <c r="BM19" s="540">
        <f t="shared" si="131"/>
        <v>0</v>
      </c>
      <c r="BN19" s="538">
        <v>10.120869135802451</v>
      </c>
      <c r="BO19" s="539">
        <f t="shared" si="20"/>
        <v>0.16586694312829739</v>
      </c>
      <c r="BP19" s="540">
        <f t="shared" si="132"/>
        <v>0</v>
      </c>
      <c r="BQ19" s="538">
        <v>0</v>
      </c>
      <c r="BR19" s="539">
        <f t="shared" si="21"/>
        <v>0</v>
      </c>
      <c r="BS19" s="540">
        <f t="shared" si="133"/>
        <v>0</v>
      </c>
      <c r="BT19" s="538"/>
      <c r="BU19" s="539">
        <f t="shared" si="22"/>
        <v>0</v>
      </c>
      <c r="BV19" s="540">
        <f t="shared" si="134"/>
        <v>0</v>
      </c>
      <c r="BW19" s="538">
        <v>0.67999999999999972</v>
      </c>
      <c r="BX19" s="539">
        <f t="shared" si="23"/>
        <v>1.1144252515651114E-2</v>
      </c>
      <c r="BY19" s="540">
        <f t="shared" si="135"/>
        <v>0</v>
      </c>
      <c r="BZ19" s="538">
        <v>0</v>
      </c>
      <c r="CA19" s="539">
        <f t="shared" si="24"/>
        <v>0</v>
      </c>
      <c r="CB19" s="540">
        <f t="shared" si="136"/>
        <v>0</v>
      </c>
      <c r="CC19" s="538">
        <v>6.25</v>
      </c>
      <c r="CD19" s="539">
        <f t="shared" si="25"/>
        <v>0.10242879150414631</v>
      </c>
      <c r="CE19" s="540">
        <f t="shared" si="137"/>
        <v>0</v>
      </c>
      <c r="CF19" s="538">
        <v>9.9999999999999978E-2</v>
      </c>
      <c r="CG19" s="539">
        <f t="shared" si="26"/>
        <v>1.6388606640663408E-3</v>
      </c>
      <c r="CH19" s="540">
        <f t="shared" si="138"/>
        <v>0</v>
      </c>
      <c r="CI19" s="538">
        <v>0</v>
      </c>
      <c r="CJ19" s="539">
        <f t="shared" si="27"/>
        <v>0</v>
      </c>
      <c r="CK19" s="540">
        <f t="shared" si="139"/>
        <v>0</v>
      </c>
      <c r="CL19" s="538"/>
      <c r="CM19" s="539">
        <f t="shared" si="28"/>
        <v>0</v>
      </c>
      <c r="CN19" s="540">
        <f t="shared" si="140"/>
        <v>0</v>
      </c>
      <c r="CO19" s="538"/>
      <c r="CP19" s="539">
        <f t="shared" si="29"/>
        <v>0</v>
      </c>
      <c r="CQ19" s="540">
        <f t="shared" si="141"/>
        <v>0</v>
      </c>
      <c r="CR19" s="538"/>
      <c r="CS19" s="539">
        <f t="shared" si="30"/>
        <v>0</v>
      </c>
      <c r="CT19" s="540">
        <f t="shared" si="142"/>
        <v>0</v>
      </c>
      <c r="CU19" s="538"/>
      <c r="CV19" s="539">
        <f t="shared" si="31"/>
        <v>0</v>
      </c>
      <c r="CW19" s="540">
        <f t="shared" si="143"/>
        <v>0</v>
      </c>
      <c r="CX19" s="538"/>
      <c r="CY19" s="539">
        <f t="shared" si="32"/>
        <v>0</v>
      </c>
      <c r="CZ19" s="540">
        <f t="shared" si="144"/>
        <v>0</v>
      </c>
      <c r="DA19" s="538"/>
      <c r="DB19" s="539">
        <f t="shared" si="33"/>
        <v>0</v>
      </c>
      <c r="DC19" s="540">
        <f t="shared" si="145"/>
        <v>0</v>
      </c>
      <c r="DD19" s="538"/>
      <c r="DE19" s="539">
        <f t="shared" si="34"/>
        <v>0</v>
      </c>
      <c r="DF19" s="540">
        <f t="shared" si="146"/>
        <v>0</v>
      </c>
      <c r="DG19" s="538">
        <v>4.7250000000000014</v>
      </c>
      <c r="DH19" s="539">
        <f t="shared" si="35"/>
        <v>7.7436166377134644E-2</v>
      </c>
      <c r="DI19" s="540">
        <f t="shared" si="203"/>
        <v>0</v>
      </c>
      <c r="DJ19" s="538"/>
      <c r="DK19" s="539">
        <f t="shared" si="36"/>
        <v>0</v>
      </c>
      <c r="DL19" s="540">
        <f t="shared" si="147"/>
        <v>0</v>
      </c>
      <c r="DM19" s="538"/>
      <c r="DN19" s="539">
        <f t="shared" si="37"/>
        <v>0</v>
      </c>
      <c r="DO19" s="540">
        <f t="shared" si="148"/>
        <v>0</v>
      </c>
      <c r="DP19" s="538"/>
      <c r="DQ19" s="539">
        <f t="shared" si="38"/>
        <v>0</v>
      </c>
      <c r="DR19" s="540">
        <f t="shared" si="149"/>
        <v>0</v>
      </c>
      <c r="DS19" s="538"/>
      <c r="DT19" s="539">
        <f t="shared" si="39"/>
        <v>0</v>
      </c>
      <c r="DU19" s="540">
        <f t="shared" si="150"/>
        <v>0</v>
      </c>
      <c r="DV19" s="538"/>
      <c r="DW19" s="539">
        <f t="shared" si="40"/>
        <v>0</v>
      </c>
      <c r="DX19" s="540">
        <f t="shared" si="151"/>
        <v>0</v>
      </c>
      <c r="DY19" s="538"/>
      <c r="DZ19" s="539">
        <f t="shared" si="41"/>
        <v>0</v>
      </c>
      <c r="EA19" s="540">
        <f t="shared" si="152"/>
        <v>0</v>
      </c>
      <c r="EB19" s="538">
        <v>14.534269767441856</v>
      </c>
      <c r="EC19" s="539">
        <f t="shared" si="42"/>
        <v>0.23819643002789104</v>
      </c>
      <c r="ED19" s="540">
        <f t="shared" si="153"/>
        <v>0</v>
      </c>
      <c r="EE19" s="538">
        <v>2</v>
      </c>
      <c r="EF19" s="539">
        <f t="shared" si="43"/>
        <v>3.2777213281326822E-2</v>
      </c>
      <c r="EG19" s="540">
        <f t="shared" si="154"/>
        <v>0</v>
      </c>
      <c r="EH19" s="538"/>
      <c r="EI19" s="539">
        <f t="shared" si="44"/>
        <v>0</v>
      </c>
      <c r="EJ19" s="540">
        <f t="shared" si="155"/>
        <v>0</v>
      </c>
      <c r="EK19" s="538"/>
      <c r="EL19" s="539">
        <f t="shared" si="45"/>
        <v>0</v>
      </c>
      <c r="EM19" s="540">
        <f t="shared" si="156"/>
        <v>0</v>
      </c>
      <c r="EN19" s="538"/>
      <c r="EO19" s="539">
        <f t="shared" si="46"/>
        <v>0</v>
      </c>
      <c r="EP19" s="540">
        <f t="shared" si="157"/>
        <v>0</v>
      </c>
      <c r="EQ19" s="538"/>
      <c r="ER19" s="539">
        <f t="shared" si="47"/>
        <v>0</v>
      </c>
      <c r="ES19" s="540">
        <f t="shared" si="158"/>
        <v>0</v>
      </c>
      <c r="ET19" s="538"/>
      <c r="EU19" s="539">
        <f t="shared" si="48"/>
        <v>0</v>
      </c>
      <c r="EV19" s="540">
        <f t="shared" si="159"/>
        <v>0</v>
      </c>
      <c r="EW19" s="538"/>
      <c r="EX19" s="539">
        <f t="shared" si="49"/>
        <v>0</v>
      </c>
      <c r="EY19" s="540">
        <f t="shared" si="160"/>
        <v>0</v>
      </c>
      <c r="EZ19" s="538"/>
      <c r="FA19" s="539">
        <f t="shared" si="50"/>
        <v>0</v>
      </c>
      <c r="FB19" s="540">
        <f t="shared" si="161"/>
        <v>0</v>
      </c>
      <c r="FC19" s="538"/>
      <c r="FD19" s="539">
        <f t="shared" si="51"/>
        <v>0</v>
      </c>
      <c r="FE19" s="540">
        <f t="shared" si="162"/>
        <v>0</v>
      </c>
      <c r="FF19" s="538"/>
      <c r="FG19" s="539">
        <f t="shared" si="52"/>
        <v>0</v>
      </c>
      <c r="FH19" s="540">
        <f t="shared" si="163"/>
        <v>0</v>
      </c>
      <c r="FI19" s="538"/>
      <c r="FJ19" s="539">
        <f t="shared" si="53"/>
        <v>0</v>
      </c>
      <c r="FK19" s="540">
        <f t="shared" si="164"/>
        <v>0</v>
      </c>
      <c r="FL19" s="538"/>
      <c r="FM19" s="539">
        <f t="shared" si="54"/>
        <v>0</v>
      </c>
      <c r="FN19" s="540">
        <f t="shared" si="165"/>
        <v>0</v>
      </c>
      <c r="FO19" s="538"/>
      <c r="FP19" s="539">
        <f t="shared" si="55"/>
        <v>0</v>
      </c>
      <c r="FQ19" s="540">
        <f t="shared" si="166"/>
        <v>0</v>
      </c>
      <c r="FR19" s="538"/>
      <c r="FS19" s="539">
        <f t="shared" si="56"/>
        <v>0</v>
      </c>
      <c r="FT19" s="540">
        <f t="shared" si="167"/>
        <v>0</v>
      </c>
      <c r="FU19" s="538"/>
      <c r="FV19" s="539">
        <f t="shared" si="57"/>
        <v>0</v>
      </c>
      <c r="FW19" s="540">
        <f t="shared" si="168"/>
        <v>0</v>
      </c>
      <c r="FX19" s="538"/>
      <c r="FY19" s="539">
        <f t="shared" si="58"/>
        <v>0</v>
      </c>
      <c r="FZ19" s="540">
        <f t="shared" si="169"/>
        <v>0</v>
      </c>
      <c r="GA19" s="538"/>
      <c r="GB19" s="539">
        <f t="shared" si="59"/>
        <v>0</v>
      </c>
      <c r="GC19" s="540">
        <f t="shared" si="170"/>
        <v>0</v>
      </c>
      <c r="GD19" s="538"/>
      <c r="GE19" s="539">
        <f t="shared" si="60"/>
        <v>0</v>
      </c>
      <c r="GF19" s="540">
        <f t="shared" si="171"/>
        <v>0</v>
      </c>
      <c r="GG19" s="538"/>
      <c r="GH19" s="539">
        <f t="shared" si="61"/>
        <v>0</v>
      </c>
      <c r="GI19" s="540">
        <f t="shared" si="172"/>
        <v>0</v>
      </c>
      <c r="GJ19" s="538"/>
      <c r="GK19" s="539">
        <f t="shared" si="62"/>
        <v>0</v>
      </c>
      <c r="GL19" s="540">
        <f t="shared" si="173"/>
        <v>0</v>
      </c>
      <c r="GM19" s="538"/>
      <c r="GN19" s="539">
        <f t="shared" si="63"/>
        <v>0</v>
      </c>
      <c r="GO19" s="540">
        <f t="shared" si="174"/>
        <v>0</v>
      </c>
      <c r="GP19" s="538"/>
      <c r="GQ19" s="539">
        <f t="shared" si="64"/>
        <v>0</v>
      </c>
      <c r="GR19" s="540">
        <f t="shared" si="175"/>
        <v>0</v>
      </c>
      <c r="GS19" s="538"/>
      <c r="GT19" s="539">
        <f t="shared" si="65"/>
        <v>0</v>
      </c>
      <c r="GU19" s="540">
        <f t="shared" si="176"/>
        <v>0</v>
      </c>
      <c r="GV19" s="538"/>
      <c r="GW19" s="539">
        <f t="shared" si="66"/>
        <v>0</v>
      </c>
      <c r="GX19" s="540">
        <f t="shared" si="177"/>
        <v>0</v>
      </c>
      <c r="GY19" s="538"/>
      <c r="GZ19" s="539">
        <f t="shared" si="67"/>
        <v>0</v>
      </c>
      <c r="HA19" s="540">
        <f t="shared" si="178"/>
        <v>0</v>
      </c>
      <c r="HB19" s="538"/>
      <c r="HC19" s="539">
        <f t="shared" si="68"/>
        <v>0</v>
      </c>
      <c r="HD19" s="540">
        <f t="shared" si="179"/>
        <v>0</v>
      </c>
      <c r="HE19" s="538"/>
      <c r="HF19" s="539">
        <f t="shared" si="69"/>
        <v>0</v>
      </c>
      <c r="HG19" s="540">
        <f t="shared" si="180"/>
        <v>0</v>
      </c>
      <c r="HH19" s="538"/>
      <c r="HI19" s="539">
        <f t="shared" si="70"/>
        <v>0</v>
      </c>
      <c r="HJ19" s="540">
        <f t="shared" si="181"/>
        <v>0</v>
      </c>
      <c r="HK19" s="538"/>
      <c r="HL19" s="539">
        <f t="shared" si="71"/>
        <v>0</v>
      </c>
      <c r="HM19" s="540">
        <f t="shared" si="182"/>
        <v>0</v>
      </c>
      <c r="HN19" s="538"/>
      <c r="HO19" s="539">
        <f t="shared" si="72"/>
        <v>0</v>
      </c>
      <c r="HP19" s="540">
        <f t="shared" si="183"/>
        <v>0</v>
      </c>
      <c r="HQ19" s="538"/>
      <c r="HR19" s="539">
        <f t="shared" si="73"/>
        <v>0</v>
      </c>
      <c r="HS19" s="540">
        <f t="shared" si="184"/>
        <v>0</v>
      </c>
      <c r="HT19" s="538"/>
      <c r="HU19" s="539">
        <f t="shared" si="74"/>
        <v>0</v>
      </c>
      <c r="HV19" s="540">
        <f t="shared" si="185"/>
        <v>0</v>
      </c>
      <c r="HW19" s="538"/>
      <c r="HX19" s="539">
        <f t="shared" si="75"/>
        <v>0</v>
      </c>
      <c r="HY19" s="540">
        <f t="shared" si="186"/>
        <v>0</v>
      </c>
      <c r="HZ19" s="538"/>
      <c r="IA19" s="539">
        <f t="shared" si="76"/>
        <v>0</v>
      </c>
      <c r="IB19" s="540">
        <f t="shared" si="187"/>
        <v>0</v>
      </c>
      <c r="IC19" s="538"/>
      <c r="ID19" s="539">
        <f t="shared" si="77"/>
        <v>0</v>
      </c>
      <c r="IE19" s="540">
        <f t="shared" si="188"/>
        <v>0</v>
      </c>
      <c r="IF19" s="538"/>
      <c r="IG19" s="539">
        <f t="shared" si="78"/>
        <v>0</v>
      </c>
      <c r="IH19" s="540">
        <f t="shared" si="189"/>
        <v>0</v>
      </c>
      <c r="II19" s="538"/>
      <c r="IJ19" s="539">
        <f t="shared" si="79"/>
        <v>0</v>
      </c>
      <c r="IK19" s="540">
        <f t="shared" si="190"/>
        <v>0</v>
      </c>
      <c r="IL19" s="538"/>
      <c r="IM19" s="539">
        <f t="shared" si="80"/>
        <v>0</v>
      </c>
      <c r="IN19" s="540">
        <f t="shared" si="191"/>
        <v>0</v>
      </c>
      <c r="IO19" s="538"/>
      <c r="IP19" s="539">
        <f t="shared" si="81"/>
        <v>0</v>
      </c>
      <c r="IQ19" s="540">
        <f t="shared" si="192"/>
        <v>0</v>
      </c>
      <c r="IR19" s="538"/>
      <c r="IS19" s="539">
        <f t="shared" si="82"/>
        <v>0</v>
      </c>
      <c r="IT19" s="540">
        <f t="shared" si="193"/>
        <v>0</v>
      </c>
      <c r="IU19" s="538"/>
      <c r="IV19" s="539">
        <f t="shared" si="83"/>
        <v>0</v>
      </c>
      <c r="IW19" s="540">
        <f t="shared" si="194"/>
        <v>0</v>
      </c>
      <c r="IX19" s="538"/>
      <c r="IY19" s="539">
        <f t="shared" si="84"/>
        <v>0</v>
      </c>
      <c r="IZ19" s="540">
        <f t="shared" si="195"/>
        <v>0</v>
      </c>
      <c r="JA19" s="538"/>
      <c r="JB19" s="539">
        <f t="shared" si="85"/>
        <v>0</v>
      </c>
      <c r="JC19" s="540">
        <f t="shared" si="196"/>
        <v>0</v>
      </c>
      <c r="JD19" s="538"/>
      <c r="JE19" s="539">
        <f t="shared" si="86"/>
        <v>0</v>
      </c>
      <c r="JF19" s="540">
        <f t="shared" si="197"/>
        <v>0</v>
      </c>
      <c r="JG19" s="538"/>
      <c r="JH19" s="539">
        <f t="shared" si="87"/>
        <v>0</v>
      </c>
      <c r="JI19" s="540">
        <f t="shared" si="198"/>
        <v>0</v>
      </c>
      <c r="JJ19" s="538"/>
      <c r="JK19" s="540" t="str">
        <f t="shared" si="88"/>
        <v>0</v>
      </c>
      <c r="JL19" s="540" t="str">
        <f t="shared" si="89"/>
        <v>0</v>
      </c>
      <c r="JM19" s="538"/>
      <c r="JN19" s="540" t="str">
        <f t="shared" si="90"/>
        <v>0</v>
      </c>
      <c r="JO19" s="540" t="str">
        <f t="shared" si="91"/>
        <v>0</v>
      </c>
      <c r="JP19" s="538"/>
      <c r="JQ19" s="540" t="str">
        <f t="shared" si="92"/>
        <v>0</v>
      </c>
      <c r="JR19" s="540" t="str">
        <f t="shared" si="93"/>
        <v>0</v>
      </c>
      <c r="JS19" s="538"/>
      <c r="JT19" s="540" t="str">
        <f t="shared" si="94"/>
        <v>0</v>
      </c>
      <c r="JU19" s="540" t="str">
        <f t="shared" si="95"/>
        <v>0</v>
      </c>
      <c r="JV19" s="538"/>
      <c r="JW19" s="540" t="str">
        <f t="shared" si="96"/>
        <v>0</v>
      </c>
      <c r="JX19" s="540" t="str">
        <f t="shared" si="97"/>
        <v>0</v>
      </c>
      <c r="JY19" s="538"/>
      <c r="JZ19" s="540" t="str">
        <f t="shared" si="98"/>
        <v>0</v>
      </c>
      <c r="KA19" s="540" t="str">
        <f t="shared" si="99"/>
        <v>0</v>
      </c>
      <c r="KB19" s="538"/>
      <c r="KC19" s="540" t="str">
        <f t="shared" si="100"/>
        <v>0</v>
      </c>
      <c r="KD19" s="540" t="str">
        <f t="shared" si="101"/>
        <v>0</v>
      </c>
      <c r="KE19" s="538"/>
      <c r="KF19" s="540" t="str">
        <f t="shared" si="102"/>
        <v>0</v>
      </c>
      <c r="KG19" s="540" t="str">
        <f t="shared" si="103"/>
        <v>0</v>
      </c>
      <c r="KH19" s="538"/>
      <c r="KI19" s="540" t="str">
        <f t="shared" si="104"/>
        <v>0</v>
      </c>
      <c r="KJ19" s="540" t="str">
        <f t="shared" si="105"/>
        <v>0</v>
      </c>
      <c r="KK19" s="538"/>
      <c r="KL19" s="540" t="str">
        <f t="shared" si="106"/>
        <v>0</v>
      </c>
      <c r="KM19" s="540" t="str">
        <f t="shared" si="107"/>
        <v>0</v>
      </c>
      <c r="KN19" s="538"/>
      <c r="KO19" s="540" t="str">
        <f t="shared" si="108"/>
        <v>0</v>
      </c>
      <c r="KP19" s="540" t="str">
        <f t="shared" si="109"/>
        <v>0</v>
      </c>
      <c r="KQ19" s="538"/>
      <c r="KR19" s="540" t="str">
        <f t="shared" si="110"/>
        <v>0</v>
      </c>
      <c r="KS19" s="540" t="str">
        <f t="shared" si="111"/>
        <v>0</v>
      </c>
      <c r="KT19" s="540">
        <f t="shared" si="201"/>
        <v>0</v>
      </c>
      <c r="KU19" s="540">
        <f t="shared" si="202"/>
        <v>0</v>
      </c>
      <c r="KV19" s="274">
        <f t="shared" si="199"/>
        <v>919.6781784381277</v>
      </c>
    </row>
    <row r="20" spans="1:309" ht="15" customHeight="1">
      <c r="A20" s="276">
        <f t="shared" si="200"/>
        <v>45881</v>
      </c>
      <c r="B20" s="277" t="str">
        <f>+Report1!B20</f>
        <v>MG</v>
      </c>
      <c r="C20" s="417" t="str">
        <f>+Report1!C20</f>
        <v>16,5/17/21</v>
      </c>
      <c r="D20" s="278">
        <f>+Report1!P20</f>
        <v>78.825999999999993</v>
      </c>
      <c r="E20" s="279">
        <f>+Report1!R20</f>
        <v>84.668000000000006</v>
      </c>
      <c r="F20" s="538"/>
      <c r="G20" s="539">
        <f t="shared" si="0"/>
        <v>0</v>
      </c>
      <c r="H20" s="540">
        <f t="shared" si="112"/>
        <v>0</v>
      </c>
      <c r="I20" s="538">
        <v>674.41860465116292</v>
      </c>
      <c r="J20" s="539">
        <f t="shared" si="1"/>
        <v>7.9654486305471117</v>
      </c>
      <c r="K20" s="540">
        <f t="shared" si="113"/>
        <v>0</v>
      </c>
      <c r="L20" s="538"/>
      <c r="M20" s="539">
        <f t="shared" si="2"/>
        <v>0</v>
      </c>
      <c r="N20" s="540">
        <f t="shared" si="114"/>
        <v>0</v>
      </c>
      <c r="O20" s="538">
        <v>9</v>
      </c>
      <c r="P20" s="539">
        <f t="shared" si="3"/>
        <v>0.10629753862143902</v>
      </c>
      <c r="Q20" s="540">
        <f t="shared" si="115"/>
        <v>0</v>
      </c>
      <c r="R20" s="538"/>
      <c r="S20" s="539">
        <f t="shared" si="4"/>
        <v>0</v>
      </c>
      <c r="T20" s="540">
        <f t="shared" si="116"/>
        <v>0</v>
      </c>
      <c r="U20" s="538">
        <v>5.1250000000000071</v>
      </c>
      <c r="V20" s="539">
        <f t="shared" si="5"/>
        <v>6.0530542826097308E-2</v>
      </c>
      <c r="W20" s="540">
        <f t="shared" si="117"/>
        <v>0</v>
      </c>
      <c r="X20" s="538"/>
      <c r="Y20" s="539">
        <f t="shared" si="6"/>
        <v>0</v>
      </c>
      <c r="Z20" s="540">
        <f t="shared" si="118"/>
        <v>0</v>
      </c>
      <c r="AA20" s="538"/>
      <c r="AB20" s="539">
        <f t="shared" si="7"/>
        <v>0</v>
      </c>
      <c r="AC20" s="540">
        <f t="shared" si="119"/>
        <v>0</v>
      </c>
      <c r="AD20" s="538"/>
      <c r="AE20" s="539">
        <f t="shared" si="8"/>
        <v>0</v>
      </c>
      <c r="AF20" s="540">
        <f t="shared" si="120"/>
        <v>0</v>
      </c>
      <c r="AG20" s="538"/>
      <c r="AH20" s="539">
        <f t="shared" si="9"/>
        <v>0</v>
      </c>
      <c r="AI20" s="540">
        <f t="shared" si="121"/>
        <v>0</v>
      </c>
      <c r="AJ20" s="538">
        <v>44.062499999999993</v>
      </c>
      <c r="AK20" s="539">
        <f t="shared" si="10"/>
        <v>0.52041503283412849</v>
      </c>
      <c r="AL20" s="540">
        <f t="shared" si="122"/>
        <v>0</v>
      </c>
      <c r="AM20" s="538">
        <v>0</v>
      </c>
      <c r="AN20" s="539">
        <f t="shared" si="11"/>
        <v>0</v>
      </c>
      <c r="AO20" s="540">
        <f t="shared" si="123"/>
        <v>0</v>
      </c>
      <c r="AP20" s="538">
        <v>0</v>
      </c>
      <c r="AQ20" s="539">
        <f t="shared" si="12"/>
        <v>0</v>
      </c>
      <c r="AR20" s="540">
        <f t="shared" si="124"/>
        <v>0</v>
      </c>
      <c r="AS20" s="538"/>
      <c r="AT20" s="539">
        <f t="shared" si="13"/>
        <v>0</v>
      </c>
      <c r="AU20" s="540">
        <f t="shared" si="125"/>
        <v>0</v>
      </c>
      <c r="AV20" s="538">
        <v>8.3249999999999602</v>
      </c>
      <c r="AW20" s="539">
        <f t="shared" si="14"/>
        <v>9.832522322483063E-2</v>
      </c>
      <c r="AX20" s="540">
        <f t="shared" si="126"/>
        <v>0</v>
      </c>
      <c r="AY20" s="538">
        <v>0</v>
      </c>
      <c r="AZ20" s="539">
        <f t="shared" si="15"/>
        <v>0</v>
      </c>
      <c r="BA20" s="540">
        <f t="shared" si="127"/>
        <v>0</v>
      </c>
      <c r="BB20" s="538">
        <v>76.999999999999986</v>
      </c>
      <c r="BC20" s="539">
        <f t="shared" si="16"/>
        <v>0.90943449709453372</v>
      </c>
      <c r="BD20" s="540">
        <f t="shared" si="128"/>
        <v>0</v>
      </c>
      <c r="BE20" s="538"/>
      <c r="BF20" s="539">
        <f t="shared" si="17"/>
        <v>0</v>
      </c>
      <c r="BG20" s="540">
        <f t="shared" si="129"/>
        <v>0</v>
      </c>
      <c r="BH20" s="538"/>
      <c r="BI20" s="539">
        <f t="shared" si="18"/>
        <v>0</v>
      </c>
      <c r="BJ20" s="540">
        <f t="shared" si="130"/>
        <v>0</v>
      </c>
      <c r="BK20" s="538"/>
      <c r="BL20" s="539">
        <f t="shared" si="19"/>
        <v>0</v>
      </c>
      <c r="BM20" s="540">
        <f t="shared" si="131"/>
        <v>0</v>
      </c>
      <c r="BN20" s="538">
        <v>10.12345679012347</v>
      </c>
      <c r="BO20" s="539">
        <f t="shared" si="20"/>
        <v>0.11956650434784652</v>
      </c>
      <c r="BP20" s="540">
        <f t="shared" si="132"/>
        <v>0</v>
      </c>
      <c r="BQ20" s="538">
        <v>0</v>
      </c>
      <c r="BR20" s="539">
        <f t="shared" si="21"/>
        <v>0</v>
      </c>
      <c r="BS20" s="540">
        <f t="shared" si="133"/>
        <v>0</v>
      </c>
      <c r="BT20" s="538"/>
      <c r="BU20" s="539">
        <f t="shared" si="22"/>
        <v>0</v>
      </c>
      <c r="BV20" s="540">
        <f t="shared" si="134"/>
        <v>0</v>
      </c>
      <c r="BW20" s="538">
        <v>0</v>
      </c>
      <c r="BX20" s="539">
        <f t="shared" si="23"/>
        <v>0</v>
      </c>
      <c r="BY20" s="540">
        <f t="shared" si="135"/>
        <v>0</v>
      </c>
      <c r="BZ20" s="538">
        <v>0</v>
      </c>
      <c r="CA20" s="539">
        <f t="shared" si="24"/>
        <v>0</v>
      </c>
      <c r="CB20" s="540">
        <f t="shared" si="136"/>
        <v>0</v>
      </c>
      <c r="CC20" s="538">
        <v>6.25</v>
      </c>
      <c r="CD20" s="539">
        <f t="shared" si="25"/>
        <v>7.3817735153777098E-2</v>
      </c>
      <c r="CE20" s="540">
        <f t="shared" si="137"/>
        <v>0</v>
      </c>
      <c r="CF20" s="538">
        <v>9.9999999999999978E-2</v>
      </c>
      <c r="CG20" s="539">
        <f t="shared" si="26"/>
        <v>1.1810837624604334E-3</v>
      </c>
      <c r="CH20" s="540">
        <f t="shared" si="138"/>
        <v>0</v>
      </c>
      <c r="CI20" s="538">
        <v>0</v>
      </c>
      <c r="CJ20" s="539">
        <f t="shared" si="27"/>
        <v>0</v>
      </c>
      <c r="CK20" s="540">
        <f t="shared" si="139"/>
        <v>0</v>
      </c>
      <c r="CL20" s="538"/>
      <c r="CM20" s="539">
        <f t="shared" si="28"/>
        <v>0</v>
      </c>
      <c r="CN20" s="540">
        <f t="shared" si="140"/>
        <v>0</v>
      </c>
      <c r="CO20" s="538"/>
      <c r="CP20" s="539">
        <f t="shared" si="29"/>
        <v>0</v>
      </c>
      <c r="CQ20" s="540">
        <f t="shared" si="141"/>
        <v>0</v>
      </c>
      <c r="CR20" s="538"/>
      <c r="CS20" s="539">
        <f t="shared" si="30"/>
        <v>0</v>
      </c>
      <c r="CT20" s="540">
        <f t="shared" si="142"/>
        <v>0</v>
      </c>
      <c r="CU20" s="538"/>
      <c r="CV20" s="539">
        <f t="shared" si="31"/>
        <v>0</v>
      </c>
      <c r="CW20" s="540">
        <f t="shared" si="143"/>
        <v>0</v>
      </c>
      <c r="CX20" s="538"/>
      <c r="CY20" s="539">
        <f t="shared" si="32"/>
        <v>0</v>
      </c>
      <c r="CZ20" s="540">
        <f t="shared" si="144"/>
        <v>0</v>
      </c>
      <c r="DA20" s="538"/>
      <c r="DB20" s="539">
        <f t="shared" si="33"/>
        <v>0</v>
      </c>
      <c r="DC20" s="540">
        <f t="shared" si="145"/>
        <v>0</v>
      </c>
      <c r="DD20" s="538"/>
      <c r="DE20" s="539">
        <f t="shared" si="34"/>
        <v>0</v>
      </c>
      <c r="DF20" s="540">
        <f t="shared" si="146"/>
        <v>0</v>
      </c>
      <c r="DG20" s="538">
        <v>0</v>
      </c>
      <c r="DH20" s="539">
        <f t="shared" si="35"/>
        <v>0</v>
      </c>
      <c r="DI20" s="540">
        <f t="shared" si="203"/>
        <v>0</v>
      </c>
      <c r="DJ20" s="538"/>
      <c r="DK20" s="539">
        <f t="shared" si="36"/>
        <v>0</v>
      </c>
      <c r="DL20" s="540">
        <f t="shared" si="147"/>
        <v>0</v>
      </c>
      <c r="DM20" s="538"/>
      <c r="DN20" s="539">
        <f t="shared" si="37"/>
        <v>0</v>
      </c>
      <c r="DO20" s="540">
        <f t="shared" si="148"/>
        <v>0</v>
      </c>
      <c r="DP20" s="538"/>
      <c r="DQ20" s="539">
        <f t="shared" si="38"/>
        <v>0</v>
      </c>
      <c r="DR20" s="540">
        <f t="shared" si="149"/>
        <v>0</v>
      </c>
      <c r="DS20" s="538"/>
      <c r="DT20" s="539">
        <f t="shared" si="39"/>
        <v>0</v>
      </c>
      <c r="DU20" s="540">
        <f t="shared" si="150"/>
        <v>0</v>
      </c>
      <c r="DV20" s="538"/>
      <c r="DW20" s="539">
        <f t="shared" si="40"/>
        <v>0</v>
      </c>
      <c r="DX20" s="540">
        <f t="shared" si="151"/>
        <v>0</v>
      </c>
      <c r="DY20" s="538"/>
      <c r="DZ20" s="539">
        <f t="shared" si="41"/>
        <v>0</v>
      </c>
      <c r="EA20" s="540">
        <f t="shared" si="152"/>
        <v>0</v>
      </c>
      <c r="EB20" s="538">
        <v>14.534883720930225</v>
      </c>
      <c r="EC20" s="539">
        <f t="shared" si="42"/>
        <v>0.17166915152041176</v>
      </c>
      <c r="ED20" s="540">
        <f t="shared" si="153"/>
        <v>0</v>
      </c>
      <c r="EE20" s="538">
        <v>2</v>
      </c>
      <c r="EF20" s="539">
        <f t="shared" si="43"/>
        <v>2.3621675249208673E-2</v>
      </c>
      <c r="EG20" s="540">
        <f t="shared" si="154"/>
        <v>0</v>
      </c>
      <c r="EH20" s="538"/>
      <c r="EI20" s="539">
        <f t="shared" si="44"/>
        <v>0</v>
      </c>
      <c r="EJ20" s="540">
        <f t="shared" si="155"/>
        <v>0</v>
      </c>
      <c r="EK20" s="538"/>
      <c r="EL20" s="539">
        <f t="shared" si="45"/>
        <v>0</v>
      </c>
      <c r="EM20" s="540">
        <f t="shared" si="156"/>
        <v>0</v>
      </c>
      <c r="EN20" s="538"/>
      <c r="EO20" s="539">
        <f t="shared" si="46"/>
        <v>0</v>
      </c>
      <c r="EP20" s="540">
        <f t="shared" si="157"/>
        <v>0</v>
      </c>
      <c r="EQ20" s="538"/>
      <c r="ER20" s="539">
        <f t="shared" si="47"/>
        <v>0</v>
      </c>
      <c r="ES20" s="540">
        <f t="shared" si="158"/>
        <v>0</v>
      </c>
      <c r="ET20" s="538"/>
      <c r="EU20" s="539">
        <f t="shared" si="48"/>
        <v>0</v>
      </c>
      <c r="EV20" s="540">
        <f t="shared" si="159"/>
        <v>0</v>
      </c>
      <c r="EW20" s="538"/>
      <c r="EX20" s="539">
        <f t="shared" si="49"/>
        <v>0</v>
      </c>
      <c r="EY20" s="540">
        <f t="shared" si="160"/>
        <v>0</v>
      </c>
      <c r="EZ20" s="538"/>
      <c r="FA20" s="539">
        <f t="shared" si="50"/>
        <v>0</v>
      </c>
      <c r="FB20" s="540">
        <f t="shared" si="161"/>
        <v>0</v>
      </c>
      <c r="FC20" s="538"/>
      <c r="FD20" s="539">
        <f t="shared" si="51"/>
        <v>0</v>
      </c>
      <c r="FE20" s="540">
        <f t="shared" si="162"/>
        <v>0</v>
      </c>
      <c r="FF20" s="538"/>
      <c r="FG20" s="539">
        <f t="shared" si="52"/>
        <v>0</v>
      </c>
      <c r="FH20" s="540">
        <f t="shared" si="163"/>
        <v>0</v>
      </c>
      <c r="FI20" s="538"/>
      <c r="FJ20" s="539">
        <f t="shared" si="53"/>
        <v>0</v>
      </c>
      <c r="FK20" s="540">
        <f t="shared" si="164"/>
        <v>0</v>
      </c>
      <c r="FL20" s="538"/>
      <c r="FM20" s="539">
        <f t="shared" si="54"/>
        <v>0</v>
      </c>
      <c r="FN20" s="540">
        <f t="shared" si="165"/>
        <v>0</v>
      </c>
      <c r="FO20" s="538"/>
      <c r="FP20" s="539">
        <f t="shared" si="55"/>
        <v>0</v>
      </c>
      <c r="FQ20" s="540">
        <f t="shared" si="166"/>
        <v>0</v>
      </c>
      <c r="FR20" s="538"/>
      <c r="FS20" s="539">
        <f t="shared" si="56"/>
        <v>0</v>
      </c>
      <c r="FT20" s="540">
        <f t="shared" si="167"/>
        <v>0</v>
      </c>
      <c r="FU20" s="538"/>
      <c r="FV20" s="539">
        <f t="shared" si="57"/>
        <v>0</v>
      </c>
      <c r="FW20" s="540">
        <f t="shared" si="168"/>
        <v>0</v>
      </c>
      <c r="FX20" s="538"/>
      <c r="FY20" s="539">
        <f t="shared" si="58"/>
        <v>0</v>
      </c>
      <c r="FZ20" s="540">
        <f t="shared" si="169"/>
        <v>0</v>
      </c>
      <c r="GA20" s="538"/>
      <c r="GB20" s="539">
        <f t="shared" si="59"/>
        <v>0</v>
      </c>
      <c r="GC20" s="540">
        <f t="shared" si="170"/>
        <v>0</v>
      </c>
      <c r="GD20" s="538"/>
      <c r="GE20" s="539">
        <f t="shared" si="60"/>
        <v>0</v>
      </c>
      <c r="GF20" s="540">
        <f t="shared" si="171"/>
        <v>0</v>
      </c>
      <c r="GG20" s="538"/>
      <c r="GH20" s="539">
        <f t="shared" si="61"/>
        <v>0</v>
      </c>
      <c r="GI20" s="540">
        <f t="shared" si="172"/>
        <v>0</v>
      </c>
      <c r="GJ20" s="538"/>
      <c r="GK20" s="539">
        <f t="shared" si="62"/>
        <v>0</v>
      </c>
      <c r="GL20" s="540">
        <f t="shared" si="173"/>
        <v>0</v>
      </c>
      <c r="GM20" s="538"/>
      <c r="GN20" s="539">
        <f t="shared" si="63"/>
        <v>0</v>
      </c>
      <c r="GO20" s="540">
        <f t="shared" si="174"/>
        <v>0</v>
      </c>
      <c r="GP20" s="538"/>
      <c r="GQ20" s="539">
        <f t="shared" si="64"/>
        <v>0</v>
      </c>
      <c r="GR20" s="540">
        <f t="shared" si="175"/>
        <v>0</v>
      </c>
      <c r="GS20" s="538"/>
      <c r="GT20" s="539">
        <f t="shared" si="65"/>
        <v>0</v>
      </c>
      <c r="GU20" s="540">
        <f t="shared" si="176"/>
        <v>0</v>
      </c>
      <c r="GV20" s="538"/>
      <c r="GW20" s="539">
        <f t="shared" si="66"/>
        <v>0</v>
      </c>
      <c r="GX20" s="540">
        <f t="shared" si="177"/>
        <v>0</v>
      </c>
      <c r="GY20" s="538"/>
      <c r="GZ20" s="539">
        <f t="shared" si="67"/>
        <v>0</v>
      </c>
      <c r="HA20" s="540">
        <f t="shared" si="178"/>
        <v>0</v>
      </c>
      <c r="HB20" s="538"/>
      <c r="HC20" s="539">
        <f t="shared" si="68"/>
        <v>0</v>
      </c>
      <c r="HD20" s="540">
        <f t="shared" si="179"/>
        <v>0</v>
      </c>
      <c r="HE20" s="538"/>
      <c r="HF20" s="539">
        <f t="shared" si="69"/>
        <v>0</v>
      </c>
      <c r="HG20" s="540">
        <f t="shared" si="180"/>
        <v>0</v>
      </c>
      <c r="HH20" s="538"/>
      <c r="HI20" s="539">
        <f t="shared" si="70"/>
        <v>0</v>
      </c>
      <c r="HJ20" s="540">
        <f t="shared" si="181"/>
        <v>0</v>
      </c>
      <c r="HK20" s="538"/>
      <c r="HL20" s="539">
        <f t="shared" si="71"/>
        <v>0</v>
      </c>
      <c r="HM20" s="540">
        <f t="shared" si="182"/>
        <v>0</v>
      </c>
      <c r="HN20" s="538"/>
      <c r="HO20" s="539">
        <f t="shared" si="72"/>
        <v>0</v>
      </c>
      <c r="HP20" s="540">
        <f t="shared" si="183"/>
        <v>0</v>
      </c>
      <c r="HQ20" s="538"/>
      <c r="HR20" s="539">
        <f t="shared" si="73"/>
        <v>0</v>
      </c>
      <c r="HS20" s="540">
        <f t="shared" si="184"/>
        <v>0</v>
      </c>
      <c r="HT20" s="538"/>
      <c r="HU20" s="539">
        <f t="shared" si="74"/>
        <v>0</v>
      </c>
      <c r="HV20" s="540">
        <f t="shared" si="185"/>
        <v>0</v>
      </c>
      <c r="HW20" s="538"/>
      <c r="HX20" s="539">
        <f t="shared" si="75"/>
        <v>0</v>
      </c>
      <c r="HY20" s="540">
        <f t="shared" si="186"/>
        <v>0</v>
      </c>
      <c r="HZ20" s="538"/>
      <c r="IA20" s="539">
        <f t="shared" si="76"/>
        <v>0</v>
      </c>
      <c r="IB20" s="540">
        <f t="shared" si="187"/>
        <v>0</v>
      </c>
      <c r="IC20" s="538"/>
      <c r="ID20" s="539">
        <f t="shared" si="77"/>
        <v>0</v>
      </c>
      <c r="IE20" s="540">
        <f t="shared" si="188"/>
        <v>0</v>
      </c>
      <c r="IF20" s="538"/>
      <c r="IG20" s="539">
        <f t="shared" si="78"/>
        <v>0</v>
      </c>
      <c r="IH20" s="540">
        <f t="shared" si="189"/>
        <v>0</v>
      </c>
      <c r="II20" s="538"/>
      <c r="IJ20" s="539">
        <f t="shared" si="79"/>
        <v>0</v>
      </c>
      <c r="IK20" s="540">
        <f t="shared" si="190"/>
        <v>0</v>
      </c>
      <c r="IL20" s="538"/>
      <c r="IM20" s="539">
        <f t="shared" si="80"/>
        <v>0</v>
      </c>
      <c r="IN20" s="540">
        <f t="shared" si="191"/>
        <v>0</v>
      </c>
      <c r="IO20" s="538"/>
      <c r="IP20" s="539">
        <f t="shared" si="81"/>
        <v>0</v>
      </c>
      <c r="IQ20" s="540">
        <f t="shared" si="192"/>
        <v>0</v>
      </c>
      <c r="IR20" s="538"/>
      <c r="IS20" s="539">
        <f t="shared" si="82"/>
        <v>0</v>
      </c>
      <c r="IT20" s="540">
        <f t="shared" si="193"/>
        <v>0</v>
      </c>
      <c r="IU20" s="538"/>
      <c r="IV20" s="539">
        <f t="shared" si="83"/>
        <v>0</v>
      </c>
      <c r="IW20" s="540">
        <f t="shared" si="194"/>
        <v>0</v>
      </c>
      <c r="IX20" s="538"/>
      <c r="IY20" s="539">
        <f t="shared" si="84"/>
        <v>0</v>
      </c>
      <c r="IZ20" s="540">
        <f t="shared" si="195"/>
        <v>0</v>
      </c>
      <c r="JA20" s="538"/>
      <c r="JB20" s="539">
        <f t="shared" si="85"/>
        <v>0</v>
      </c>
      <c r="JC20" s="540">
        <f t="shared" si="196"/>
        <v>0</v>
      </c>
      <c r="JD20" s="538"/>
      <c r="JE20" s="539">
        <f t="shared" si="86"/>
        <v>0</v>
      </c>
      <c r="JF20" s="540">
        <f t="shared" si="197"/>
        <v>0</v>
      </c>
      <c r="JG20" s="538"/>
      <c r="JH20" s="539">
        <f t="shared" si="87"/>
        <v>0</v>
      </c>
      <c r="JI20" s="540">
        <f t="shared" si="198"/>
        <v>0</v>
      </c>
      <c r="JJ20" s="538"/>
      <c r="JK20" s="540" t="str">
        <f t="shared" si="88"/>
        <v>0</v>
      </c>
      <c r="JL20" s="540" t="str">
        <f t="shared" si="89"/>
        <v>0</v>
      </c>
      <c r="JM20" s="538"/>
      <c r="JN20" s="540" t="str">
        <f t="shared" si="90"/>
        <v>0</v>
      </c>
      <c r="JO20" s="540" t="str">
        <f t="shared" si="91"/>
        <v>0</v>
      </c>
      <c r="JP20" s="538"/>
      <c r="JQ20" s="540" t="str">
        <f t="shared" si="92"/>
        <v>0</v>
      </c>
      <c r="JR20" s="540" t="str">
        <f t="shared" si="93"/>
        <v>0</v>
      </c>
      <c r="JS20" s="538"/>
      <c r="JT20" s="540" t="str">
        <f t="shared" si="94"/>
        <v>0</v>
      </c>
      <c r="JU20" s="540" t="str">
        <f t="shared" si="95"/>
        <v>0</v>
      </c>
      <c r="JV20" s="538"/>
      <c r="JW20" s="540" t="str">
        <f t="shared" si="96"/>
        <v>0</v>
      </c>
      <c r="JX20" s="540" t="str">
        <f t="shared" si="97"/>
        <v>0</v>
      </c>
      <c r="JY20" s="538"/>
      <c r="JZ20" s="540" t="str">
        <f t="shared" si="98"/>
        <v>0</v>
      </c>
      <c r="KA20" s="540" t="str">
        <f t="shared" si="99"/>
        <v>0</v>
      </c>
      <c r="KB20" s="538"/>
      <c r="KC20" s="540" t="str">
        <f t="shared" si="100"/>
        <v>0</v>
      </c>
      <c r="KD20" s="540" t="str">
        <f t="shared" si="101"/>
        <v>0</v>
      </c>
      <c r="KE20" s="538"/>
      <c r="KF20" s="540" t="str">
        <f t="shared" si="102"/>
        <v>0</v>
      </c>
      <c r="KG20" s="540" t="str">
        <f t="shared" si="103"/>
        <v>0</v>
      </c>
      <c r="KH20" s="538"/>
      <c r="KI20" s="540" t="str">
        <f t="shared" si="104"/>
        <v>0</v>
      </c>
      <c r="KJ20" s="540" t="str">
        <f t="shared" si="105"/>
        <v>0</v>
      </c>
      <c r="KK20" s="538"/>
      <c r="KL20" s="540" t="str">
        <f t="shared" si="106"/>
        <v>0</v>
      </c>
      <c r="KM20" s="540" t="str">
        <f t="shared" si="107"/>
        <v>0</v>
      </c>
      <c r="KN20" s="538"/>
      <c r="KO20" s="540" t="str">
        <f t="shared" si="108"/>
        <v>0</v>
      </c>
      <c r="KP20" s="540" t="str">
        <f t="shared" si="109"/>
        <v>0</v>
      </c>
      <c r="KQ20" s="538"/>
      <c r="KR20" s="540" t="str">
        <f t="shared" si="110"/>
        <v>0</v>
      </c>
      <c r="KS20" s="540" t="str">
        <f t="shared" si="111"/>
        <v>0</v>
      </c>
      <c r="KT20" s="540">
        <f t="shared" si="201"/>
        <v>0</v>
      </c>
      <c r="KU20" s="540">
        <f t="shared" si="202"/>
        <v>0</v>
      </c>
      <c r="KV20" s="274">
        <f t="shared" si="199"/>
        <v>850.93944516221654</v>
      </c>
    </row>
    <row r="21" spans="1:309" ht="15" customHeight="1">
      <c r="A21" s="276">
        <f t="shared" si="200"/>
        <v>45882</v>
      </c>
      <c r="B21" s="277" t="str">
        <f>+Report1!B21</f>
        <v>MG</v>
      </c>
      <c r="C21" s="417" t="str">
        <f>+Report1!C21</f>
        <v>21/22/16</v>
      </c>
      <c r="D21" s="278">
        <f>+Report1!P21</f>
        <v>79.756</v>
      </c>
      <c r="E21" s="279">
        <f>+Report1!R21</f>
        <v>75.933000000000007</v>
      </c>
      <c r="F21" s="538"/>
      <c r="G21" s="539">
        <f t="shared" si="0"/>
        <v>0</v>
      </c>
      <c r="H21" s="540">
        <f t="shared" si="112"/>
        <v>0</v>
      </c>
      <c r="I21" s="538">
        <v>744.18604651162764</v>
      </c>
      <c r="J21" s="539">
        <f t="shared" si="1"/>
        <v>9.8005616334351018</v>
      </c>
      <c r="K21" s="540">
        <f t="shared" si="113"/>
        <v>0</v>
      </c>
      <c r="L21" s="538"/>
      <c r="M21" s="539">
        <f t="shared" si="2"/>
        <v>0</v>
      </c>
      <c r="N21" s="540">
        <f t="shared" si="114"/>
        <v>0</v>
      </c>
      <c r="O21" s="538">
        <v>9.0000000000000142</v>
      </c>
      <c r="P21" s="539">
        <f t="shared" si="3"/>
        <v>0.11852554225435599</v>
      </c>
      <c r="Q21" s="540">
        <f t="shared" si="115"/>
        <v>0</v>
      </c>
      <c r="R21" s="538"/>
      <c r="S21" s="539">
        <f t="shared" si="4"/>
        <v>0</v>
      </c>
      <c r="T21" s="540">
        <f t="shared" si="116"/>
        <v>0</v>
      </c>
      <c r="U21" s="538">
        <v>5.125</v>
      </c>
      <c r="V21" s="539">
        <f t="shared" si="5"/>
        <v>6.7493711561508171E-2</v>
      </c>
      <c r="W21" s="540">
        <f t="shared" si="117"/>
        <v>0</v>
      </c>
      <c r="X21" s="538"/>
      <c r="Y21" s="539">
        <f t="shared" si="6"/>
        <v>0</v>
      </c>
      <c r="Z21" s="540">
        <f t="shared" si="118"/>
        <v>0</v>
      </c>
      <c r="AA21" s="538"/>
      <c r="AB21" s="539">
        <f t="shared" si="7"/>
        <v>0</v>
      </c>
      <c r="AC21" s="540">
        <f t="shared" si="119"/>
        <v>0</v>
      </c>
      <c r="AD21" s="538"/>
      <c r="AE21" s="539">
        <f t="shared" si="8"/>
        <v>0</v>
      </c>
      <c r="AF21" s="540">
        <f t="shared" si="120"/>
        <v>0</v>
      </c>
      <c r="AG21" s="538"/>
      <c r="AH21" s="539">
        <f t="shared" si="9"/>
        <v>0</v>
      </c>
      <c r="AI21" s="540">
        <f t="shared" si="121"/>
        <v>0</v>
      </c>
      <c r="AJ21" s="538">
        <v>2.9375000000000284</v>
      </c>
      <c r="AK21" s="539">
        <f t="shared" si="10"/>
        <v>3.8685420041352614E-2</v>
      </c>
      <c r="AL21" s="540">
        <f t="shared" si="122"/>
        <v>0</v>
      </c>
      <c r="AM21" s="538">
        <v>0</v>
      </c>
      <c r="AN21" s="539">
        <f t="shared" si="11"/>
        <v>0</v>
      </c>
      <c r="AO21" s="540">
        <f t="shared" si="123"/>
        <v>0</v>
      </c>
      <c r="AP21" s="538">
        <v>0</v>
      </c>
      <c r="AQ21" s="539">
        <f t="shared" si="12"/>
        <v>0</v>
      </c>
      <c r="AR21" s="540">
        <f t="shared" si="124"/>
        <v>0</v>
      </c>
      <c r="AS21" s="538"/>
      <c r="AT21" s="539">
        <f t="shared" si="13"/>
        <v>0</v>
      </c>
      <c r="AU21" s="540">
        <f t="shared" si="125"/>
        <v>0</v>
      </c>
      <c r="AV21" s="538">
        <v>8.3250000000000171</v>
      </c>
      <c r="AW21" s="539">
        <f t="shared" si="14"/>
        <v>0.10963612658527934</v>
      </c>
      <c r="AX21" s="540">
        <f t="shared" si="126"/>
        <v>0</v>
      </c>
      <c r="AY21" s="538">
        <v>0</v>
      </c>
      <c r="AZ21" s="539">
        <f t="shared" si="15"/>
        <v>0</v>
      </c>
      <c r="BA21" s="540">
        <f t="shared" si="127"/>
        <v>0</v>
      </c>
      <c r="BB21" s="538">
        <v>63.000000000000028</v>
      </c>
      <c r="BC21" s="539">
        <f t="shared" si="16"/>
        <v>0.82967879578049097</v>
      </c>
      <c r="BD21" s="540">
        <f t="shared" si="128"/>
        <v>0</v>
      </c>
      <c r="BE21" s="538"/>
      <c r="BF21" s="539">
        <f t="shared" si="17"/>
        <v>0</v>
      </c>
      <c r="BG21" s="540">
        <f t="shared" si="129"/>
        <v>0</v>
      </c>
      <c r="BH21" s="538"/>
      <c r="BI21" s="539">
        <f t="shared" si="18"/>
        <v>0</v>
      </c>
      <c r="BJ21" s="540">
        <f t="shared" si="130"/>
        <v>0</v>
      </c>
      <c r="BK21" s="538"/>
      <c r="BL21" s="539">
        <f t="shared" si="19"/>
        <v>0</v>
      </c>
      <c r="BM21" s="540">
        <f t="shared" si="131"/>
        <v>0</v>
      </c>
      <c r="BN21" s="538">
        <v>10.123456790123456</v>
      </c>
      <c r="BO21" s="539">
        <f t="shared" si="20"/>
        <v>0.13332091172643587</v>
      </c>
      <c r="BP21" s="540">
        <f t="shared" si="132"/>
        <v>0</v>
      </c>
      <c r="BQ21" s="538">
        <v>0</v>
      </c>
      <c r="BR21" s="539">
        <f t="shared" si="21"/>
        <v>0</v>
      </c>
      <c r="BS21" s="540">
        <f t="shared" si="133"/>
        <v>0</v>
      </c>
      <c r="BT21" s="538"/>
      <c r="BU21" s="539">
        <f t="shared" si="22"/>
        <v>0</v>
      </c>
      <c r="BV21" s="540">
        <f t="shared" si="134"/>
        <v>0</v>
      </c>
      <c r="BW21" s="538">
        <v>0.67999999999999972</v>
      </c>
      <c r="BX21" s="539">
        <f t="shared" si="23"/>
        <v>8.9552631925513236E-3</v>
      </c>
      <c r="BY21" s="540">
        <f t="shared" si="135"/>
        <v>0</v>
      </c>
      <c r="BZ21" s="538">
        <v>0</v>
      </c>
      <c r="CA21" s="539">
        <f t="shared" si="24"/>
        <v>0</v>
      </c>
      <c r="CB21" s="540">
        <f t="shared" si="136"/>
        <v>0</v>
      </c>
      <c r="CC21" s="538">
        <v>6.25</v>
      </c>
      <c r="CD21" s="539">
        <f t="shared" si="25"/>
        <v>8.2309404343302639E-2</v>
      </c>
      <c r="CE21" s="540">
        <f t="shared" si="137"/>
        <v>0</v>
      </c>
      <c r="CF21" s="538">
        <v>9.9999999999999978E-2</v>
      </c>
      <c r="CG21" s="539">
        <f t="shared" si="26"/>
        <v>1.3169504694928421E-3</v>
      </c>
      <c r="CH21" s="540">
        <f t="shared" si="138"/>
        <v>0</v>
      </c>
      <c r="CI21" s="538">
        <v>0</v>
      </c>
      <c r="CJ21" s="539">
        <f t="shared" si="27"/>
        <v>0</v>
      </c>
      <c r="CK21" s="540">
        <f t="shared" si="139"/>
        <v>0</v>
      </c>
      <c r="CL21" s="538"/>
      <c r="CM21" s="539">
        <f t="shared" si="28"/>
        <v>0</v>
      </c>
      <c r="CN21" s="540">
        <f t="shared" si="140"/>
        <v>0</v>
      </c>
      <c r="CO21" s="538"/>
      <c r="CP21" s="539">
        <f t="shared" si="29"/>
        <v>0</v>
      </c>
      <c r="CQ21" s="540">
        <f t="shared" si="141"/>
        <v>0</v>
      </c>
      <c r="CR21" s="538"/>
      <c r="CS21" s="539">
        <f t="shared" si="30"/>
        <v>0</v>
      </c>
      <c r="CT21" s="540">
        <f t="shared" si="142"/>
        <v>0</v>
      </c>
      <c r="CU21" s="538"/>
      <c r="CV21" s="539">
        <f t="shared" si="31"/>
        <v>0</v>
      </c>
      <c r="CW21" s="540">
        <f t="shared" si="143"/>
        <v>0</v>
      </c>
      <c r="CX21" s="538"/>
      <c r="CY21" s="539">
        <f t="shared" si="32"/>
        <v>0</v>
      </c>
      <c r="CZ21" s="540">
        <f t="shared" si="144"/>
        <v>0</v>
      </c>
      <c r="DA21" s="538"/>
      <c r="DB21" s="539">
        <f t="shared" si="33"/>
        <v>0</v>
      </c>
      <c r="DC21" s="540">
        <f t="shared" si="145"/>
        <v>0</v>
      </c>
      <c r="DD21" s="538"/>
      <c r="DE21" s="539">
        <f t="shared" si="34"/>
        <v>0</v>
      </c>
      <c r="DF21" s="540">
        <f t="shared" si="146"/>
        <v>0</v>
      </c>
      <c r="DG21" s="538">
        <v>4.7249999999999979</v>
      </c>
      <c r="DH21" s="539">
        <f t="shared" si="35"/>
        <v>6.2225909683536772E-2</v>
      </c>
      <c r="DI21" s="540">
        <f t="shared" si="203"/>
        <v>0</v>
      </c>
      <c r="DJ21" s="538"/>
      <c r="DK21" s="539">
        <f t="shared" si="36"/>
        <v>0</v>
      </c>
      <c r="DL21" s="540">
        <f t="shared" si="147"/>
        <v>0</v>
      </c>
      <c r="DM21" s="538"/>
      <c r="DN21" s="539">
        <f t="shared" si="37"/>
        <v>0</v>
      </c>
      <c r="DO21" s="540">
        <f t="shared" si="148"/>
        <v>0</v>
      </c>
      <c r="DP21" s="538"/>
      <c r="DQ21" s="539">
        <f t="shared" si="38"/>
        <v>0</v>
      </c>
      <c r="DR21" s="540">
        <f t="shared" si="149"/>
        <v>0</v>
      </c>
      <c r="DS21" s="538"/>
      <c r="DT21" s="539">
        <f t="shared" si="39"/>
        <v>0</v>
      </c>
      <c r="DU21" s="540">
        <f t="shared" si="150"/>
        <v>0</v>
      </c>
      <c r="DV21" s="538"/>
      <c r="DW21" s="539">
        <f t="shared" si="40"/>
        <v>0</v>
      </c>
      <c r="DX21" s="540">
        <f t="shared" si="151"/>
        <v>0</v>
      </c>
      <c r="DY21" s="538"/>
      <c r="DZ21" s="539">
        <f t="shared" si="41"/>
        <v>0</v>
      </c>
      <c r="EA21" s="540">
        <f t="shared" si="152"/>
        <v>0</v>
      </c>
      <c r="EB21" s="538">
        <v>14.534883720930281</v>
      </c>
      <c r="EC21" s="539">
        <f t="shared" si="42"/>
        <v>0.19141721940303005</v>
      </c>
      <c r="ED21" s="540">
        <f t="shared" si="153"/>
        <v>0</v>
      </c>
      <c r="EE21" s="538">
        <v>2</v>
      </c>
      <c r="EF21" s="539">
        <f t="shared" si="43"/>
        <v>2.6339009389856845E-2</v>
      </c>
      <c r="EG21" s="540">
        <f t="shared" si="154"/>
        <v>0</v>
      </c>
      <c r="EH21" s="538"/>
      <c r="EI21" s="539">
        <f t="shared" si="44"/>
        <v>0</v>
      </c>
      <c r="EJ21" s="540">
        <f t="shared" si="155"/>
        <v>0</v>
      </c>
      <c r="EK21" s="538"/>
      <c r="EL21" s="539">
        <f t="shared" si="45"/>
        <v>0</v>
      </c>
      <c r="EM21" s="540">
        <f t="shared" si="156"/>
        <v>0</v>
      </c>
      <c r="EN21" s="538"/>
      <c r="EO21" s="539">
        <f t="shared" si="46"/>
        <v>0</v>
      </c>
      <c r="EP21" s="540">
        <f t="shared" si="157"/>
        <v>0</v>
      </c>
      <c r="EQ21" s="538"/>
      <c r="ER21" s="539">
        <f t="shared" si="47"/>
        <v>0</v>
      </c>
      <c r="ES21" s="540">
        <f t="shared" si="158"/>
        <v>0</v>
      </c>
      <c r="ET21" s="538"/>
      <c r="EU21" s="539">
        <f t="shared" si="48"/>
        <v>0</v>
      </c>
      <c r="EV21" s="540">
        <f t="shared" si="159"/>
        <v>0</v>
      </c>
      <c r="EW21" s="538"/>
      <c r="EX21" s="539">
        <f t="shared" si="49"/>
        <v>0</v>
      </c>
      <c r="EY21" s="540">
        <f t="shared" si="160"/>
        <v>0</v>
      </c>
      <c r="EZ21" s="538"/>
      <c r="FA21" s="539">
        <f t="shared" si="50"/>
        <v>0</v>
      </c>
      <c r="FB21" s="540">
        <f t="shared" si="161"/>
        <v>0</v>
      </c>
      <c r="FC21" s="538"/>
      <c r="FD21" s="539">
        <f t="shared" si="51"/>
        <v>0</v>
      </c>
      <c r="FE21" s="540">
        <f t="shared" si="162"/>
        <v>0</v>
      </c>
      <c r="FF21" s="538"/>
      <c r="FG21" s="539">
        <f t="shared" si="52"/>
        <v>0</v>
      </c>
      <c r="FH21" s="540">
        <f t="shared" si="163"/>
        <v>0</v>
      </c>
      <c r="FI21" s="538"/>
      <c r="FJ21" s="539">
        <f t="shared" si="53"/>
        <v>0</v>
      </c>
      <c r="FK21" s="540">
        <f t="shared" si="164"/>
        <v>0</v>
      </c>
      <c r="FL21" s="538"/>
      <c r="FM21" s="539">
        <f t="shared" si="54"/>
        <v>0</v>
      </c>
      <c r="FN21" s="540">
        <f t="shared" si="165"/>
        <v>0</v>
      </c>
      <c r="FO21" s="538"/>
      <c r="FP21" s="539">
        <f t="shared" si="55"/>
        <v>0</v>
      </c>
      <c r="FQ21" s="540">
        <f t="shared" si="166"/>
        <v>0</v>
      </c>
      <c r="FR21" s="538"/>
      <c r="FS21" s="539">
        <f t="shared" si="56"/>
        <v>0</v>
      </c>
      <c r="FT21" s="540">
        <f t="shared" si="167"/>
        <v>0</v>
      </c>
      <c r="FU21" s="538"/>
      <c r="FV21" s="539">
        <f t="shared" si="57"/>
        <v>0</v>
      </c>
      <c r="FW21" s="540">
        <f t="shared" si="168"/>
        <v>0</v>
      </c>
      <c r="FX21" s="538"/>
      <c r="FY21" s="539">
        <f t="shared" si="58"/>
        <v>0</v>
      </c>
      <c r="FZ21" s="540">
        <f t="shared" si="169"/>
        <v>0</v>
      </c>
      <c r="GA21" s="538"/>
      <c r="GB21" s="539">
        <f t="shared" si="59"/>
        <v>0</v>
      </c>
      <c r="GC21" s="540">
        <f t="shared" si="170"/>
        <v>0</v>
      </c>
      <c r="GD21" s="538"/>
      <c r="GE21" s="539">
        <f t="shared" si="60"/>
        <v>0</v>
      </c>
      <c r="GF21" s="540">
        <f t="shared" si="171"/>
        <v>0</v>
      </c>
      <c r="GG21" s="538"/>
      <c r="GH21" s="539">
        <f t="shared" si="61"/>
        <v>0</v>
      </c>
      <c r="GI21" s="540">
        <f t="shared" si="172"/>
        <v>0</v>
      </c>
      <c r="GJ21" s="538"/>
      <c r="GK21" s="539">
        <f t="shared" si="62"/>
        <v>0</v>
      </c>
      <c r="GL21" s="540">
        <f t="shared" si="173"/>
        <v>0</v>
      </c>
      <c r="GM21" s="538"/>
      <c r="GN21" s="539">
        <f t="shared" si="63"/>
        <v>0</v>
      </c>
      <c r="GO21" s="540">
        <f t="shared" si="174"/>
        <v>0</v>
      </c>
      <c r="GP21" s="538"/>
      <c r="GQ21" s="539">
        <f t="shared" si="64"/>
        <v>0</v>
      </c>
      <c r="GR21" s="540">
        <f t="shared" si="175"/>
        <v>0</v>
      </c>
      <c r="GS21" s="538"/>
      <c r="GT21" s="539">
        <f t="shared" si="65"/>
        <v>0</v>
      </c>
      <c r="GU21" s="540">
        <f t="shared" si="176"/>
        <v>0</v>
      </c>
      <c r="GV21" s="538"/>
      <c r="GW21" s="539">
        <f t="shared" si="66"/>
        <v>0</v>
      </c>
      <c r="GX21" s="540">
        <f t="shared" si="177"/>
        <v>0</v>
      </c>
      <c r="GY21" s="538"/>
      <c r="GZ21" s="539">
        <f t="shared" si="67"/>
        <v>0</v>
      </c>
      <c r="HA21" s="540">
        <f t="shared" si="178"/>
        <v>0</v>
      </c>
      <c r="HB21" s="538"/>
      <c r="HC21" s="539">
        <f t="shared" si="68"/>
        <v>0</v>
      </c>
      <c r="HD21" s="540">
        <f t="shared" si="179"/>
        <v>0</v>
      </c>
      <c r="HE21" s="538"/>
      <c r="HF21" s="539">
        <f t="shared" si="69"/>
        <v>0</v>
      </c>
      <c r="HG21" s="540">
        <f t="shared" si="180"/>
        <v>0</v>
      </c>
      <c r="HH21" s="538"/>
      <c r="HI21" s="539">
        <f t="shared" si="70"/>
        <v>0</v>
      </c>
      <c r="HJ21" s="540">
        <f t="shared" si="181"/>
        <v>0</v>
      </c>
      <c r="HK21" s="538"/>
      <c r="HL21" s="539">
        <f t="shared" si="71"/>
        <v>0</v>
      </c>
      <c r="HM21" s="540">
        <f t="shared" si="182"/>
        <v>0</v>
      </c>
      <c r="HN21" s="538"/>
      <c r="HO21" s="539">
        <f t="shared" si="72"/>
        <v>0</v>
      </c>
      <c r="HP21" s="540">
        <f t="shared" si="183"/>
        <v>0</v>
      </c>
      <c r="HQ21" s="538"/>
      <c r="HR21" s="539">
        <f t="shared" si="73"/>
        <v>0</v>
      </c>
      <c r="HS21" s="540">
        <f t="shared" si="184"/>
        <v>0</v>
      </c>
      <c r="HT21" s="538"/>
      <c r="HU21" s="539">
        <f t="shared" si="74"/>
        <v>0</v>
      </c>
      <c r="HV21" s="540">
        <f t="shared" si="185"/>
        <v>0</v>
      </c>
      <c r="HW21" s="538"/>
      <c r="HX21" s="539">
        <f t="shared" si="75"/>
        <v>0</v>
      </c>
      <c r="HY21" s="540">
        <f t="shared" si="186"/>
        <v>0</v>
      </c>
      <c r="HZ21" s="538"/>
      <c r="IA21" s="539">
        <f t="shared" si="76"/>
        <v>0</v>
      </c>
      <c r="IB21" s="540">
        <f t="shared" si="187"/>
        <v>0</v>
      </c>
      <c r="IC21" s="538"/>
      <c r="ID21" s="539">
        <f t="shared" si="77"/>
        <v>0</v>
      </c>
      <c r="IE21" s="540">
        <f t="shared" si="188"/>
        <v>0</v>
      </c>
      <c r="IF21" s="538"/>
      <c r="IG21" s="539">
        <f t="shared" si="78"/>
        <v>0</v>
      </c>
      <c r="IH21" s="540">
        <f t="shared" si="189"/>
        <v>0</v>
      </c>
      <c r="II21" s="538"/>
      <c r="IJ21" s="539">
        <f t="shared" si="79"/>
        <v>0</v>
      </c>
      <c r="IK21" s="540">
        <f t="shared" si="190"/>
        <v>0</v>
      </c>
      <c r="IL21" s="538"/>
      <c r="IM21" s="539">
        <f t="shared" si="80"/>
        <v>0</v>
      </c>
      <c r="IN21" s="540">
        <f t="shared" si="191"/>
        <v>0</v>
      </c>
      <c r="IO21" s="538"/>
      <c r="IP21" s="539">
        <f t="shared" si="81"/>
        <v>0</v>
      </c>
      <c r="IQ21" s="540">
        <f t="shared" si="192"/>
        <v>0</v>
      </c>
      <c r="IR21" s="538"/>
      <c r="IS21" s="539">
        <f t="shared" si="82"/>
        <v>0</v>
      </c>
      <c r="IT21" s="540">
        <f t="shared" si="193"/>
        <v>0</v>
      </c>
      <c r="IU21" s="538"/>
      <c r="IV21" s="539">
        <f t="shared" si="83"/>
        <v>0</v>
      </c>
      <c r="IW21" s="540">
        <f t="shared" si="194"/>
        <v>0</v>
      </c>
      <c r="IX21" s="538"/>
      <c r="IY21" s="539">
        <f t="shared" si="84"/>
        <v>0</v>
      </c>
      <c r="IZ21" s="540">
        <f t="shared" si="195"/>
        <v>0</v>
      </c>
      <c r="JA21" s="538"/>
      <c r="JB21" s="539">
        <f t="shared" si="85"/>
        <v>0</v>
      </c>
      <c r="JC21" s="540">
        <f t="shared" si="196"/>
        <v>0</v>
      </c>
      <c r="JD21" s="538"/>
      <c r="JE21" s="539">
        <f t="shared" si="86"/>
        <v>0</v>
      </c>
      <c r="JF21" s="540">
        <f t="shared" si="197"/>
        <v>0</v>
      </c>
      <c r="JG21" s="538"/>
      <c r="JH21" s="539">
        <f t="shared" si="87"/>
        <v>0</v>
      </c>
      <c r="JI21" s="540">
        <f t="shared" si="198"/>
        <v>0</v>
      </c>
      <c r="JJ21" s="538"/>
      <c r="JK21" s="540" t="str">
        <f t="shared" si="88"/>
        <v>0</v>
      </c>
      <c r="JL21" s="540" t="str">
        <f t="shared" si="89"/>
        <v>0</v>
      </c>
      <c r="JM21" s="538"/>
      <c r="JN21" s="540" t="str">
        <f t="shared" si="90"/>
        <v>0</v>
      </c>
      <c r="JO21" s="540" t="str">
        <f t="shared" si="91"/>
        <v>0</v>
      </c>
      <c r="JP21" s="538"/>
      <c r="JQ21" s="540" t="str">
        <f t="shared" si="92"/>
        <v>0</v>
      </c>
      <c r="JR21" s="540" t="str">
        <f t="shared" si="93"/>
        <v>0</v>
      </c>
      <c r="JS21" s="538"/>
      <c r="JT21" s="540" t="str">
        <f t="shared" si="94"/>
        <v>0</v>
      </c>
      <c r="JU21" s="540" t="str">
        <f t="shared" si="95"/>
        <v>0</v>
      </c>
      <c r="JV21" s="538"/>
      <c r="JW21" s="540" t="str">
        <f t="shared" si="96"/>
        <v>0</v>
      </c>
      <c r="JX21" s="540" t="str">
        <f t="shared" si="97"/>
        <v>0</v>
      </c>
      <c r="JY21" s="538"/>
      <c r="JZ21" s="540" t="str">
        <f t="shared" si="98"/>
        <v>0</v>
      </c>
      <c r="KA21" s="540" t="str">
        <f t="shared" si="99"/>
        <v>0</v>
      </c>
      <c r="KB21" s="538"/>
      <c r="KC21" s="540" t="str">
        <f t="shared" si="100"/>
        <v>0</v>
      </c>
      <c r="KD21" s="540" t="str">
        <f t="shared" si="101"/>
        <v>0</v>
      </c>
      <c r="KE21" s="538"/>
      <c r="KF21" s="540" t="str">
        <f t="shared" si="102"/>
        <v>0</v>
      </c>
      <c r="KG21" s="540" t="str">
        <f t="shared" si="103"/>
        <v>0</v>
      </c>
      <c r="KH21" s="538"/>
      <c r="KI21" s="540" t="str">
        <f t="shared" si="104"/>
        <v>0</v>
      </c>
      <c r="KJ21" s="540" t="str">
        <f t="shared" si="105"/>
        <v>0</v>
      </c>
      <c r="KK21" s="538"/>
      <c r="KL21" s="540" t="str">
        <f t="shared" si="106"/>
        <v>0</v>
      </c>
      <c r="KM21" s="540" t="str">
        <f t="shared" si="107"/>
        <v>0</v>
      </c>
      <c r="KN21" s="538"/>
      <c r="KO21" s="540" t="str">
        <f t="shared" si="108"/>
        <v>0</v>
      </c>
      <c r="KP21" s="540" t="str">
        <f t="shared" si="109"/>
        <v>0</v>
      </c>
      <c r="KQ21" s="538"/>
      <c r="KR21" s="540" t="str">
        <f t="shared" si="110"/>
        <v>0</v>
      </c>
      <c r="KS21" s="540" t="str">
        <f t="shared" si="111"/>
        <v>0</v>
      </c>
      <c r="KT21" s="540">
        <f t="shared" si="201"/>
        <v>0</v>
      </c>
      <c r="KU21" s="540">
        <f t="shared" si="202"/>
        <v>0</v>
      </c>
      <c r="KV21" s="274">
        <f t="shared" si="199"/>
        <v>870.98688702268134</v>
      </c>
    </row>
    <row r="22" spans="1:309" ht="15" customHeight="1">
      <c r="A22" s="276">
        <f t="shared" si="200"/>
        <v>45883</v>
      </c>
      <c r="B22" s="277" t="str">
        <f>+Report1!B22</f>
        <v>MG</v>
      </c>
      <c r="C22" s="417" t="str">
        <f>+Report1!C22</f>
        <v>16/16,5</v>
      </c>
      <c r="D22" s="278">
        <f>+Report1!P22</f>
        <v>75.38</v>
      </c>
      <c r="E22" s="279">
        <f>+Report1!R22</f>
        <v>82.355000000000004</v>
      </c>
      <c r="F22" s="538"/>
      <c r="G22" s="539">
        <f t="shared" si="0"/>
        <v>0</v>
      </c>
      <c r="H22" s="540">
        <f t="shared" si="112"/>
        <v>0</v>
      </c>
      <c r="I22" s="538">
        <v>709.30232558139505</v>
      </c>
      <c r="J22" s="539">
        <f t="shared" si="1"/>
        <v>8.6127414920939227</v>
      </c>
      <c r="K22" s="540">
        <f t="shared" si="113"/>
        <v>0</v>
      </c>
      <c r="L22" s="538"/>
      <c r="M22" s="539">
        <f t="shared" si="2"/>
        <v>0</v>
      </c>
      <c r="N22" s="540">
        <f t="shared" si="114"/>
        <v>0</v>
      </c>
      <c r="O22" s="538">
        <v>9</v>
      </c>
      <c r="P22" s="539">
        <f t="shared" si="3"/>
        <v>0.10928298221115901</v>
      </c>
      <c r="Q22" s="540">
        <f t="shared" si="115"/>
        <v>0</v>
      </c>
      <c r="R22" s="538"/>
      <c r="S22" s="539">
        <f t="shared" si="4"/>
        <v>0</v>
      </c>
      <c r="T22" s="540">
        <f t="shared" si="116"/>
        <v>0</v>
      </c>
      <c r="U22" s="538">
        <v>2.5624999999999929</v>
      </c>
      <c r="V22" s="539">
        <f t="shared" si="5"/>
        <v>3.1115293546232686E-2</v>
      </c>
      <c r="W22" s="540">
        <f t="shared" si="117"/>
        <v>0</v>
      </c>
      <c r="X22" s="538"/>
      <c r="Y22" s="539">
        <f t="shared" si="6"/>
        <v>0</v>
      </c>
      <c r="Z22" s="540">
        <f t="shared" si="118"/>
        <v>0</v>
      </c>
      <c r="AA22" s="538"/>
      <c r="AB22" s="539">
        <f t="shared" si="7"/>
        <v>0</v>
      </c>
      <c r="AC22" s="540">
        <f t="shared" si="119"/>
        <v>0</v>
      </c>
      <c r="AD22" s="538"/>
      <c r="AE22" s="539">
        <f t="shared" si="8"/>
        <v>0</v>
      </c>
      <c r="AF22" s="540">
        <f t="shared" si="120"/>
        <v>0</v>
      </c>
      <c r="AG22" s="538"/>
      <c r="AH22" s="539">
        <f t="shared" si="9"/>
        <v>0</v>
      </c>
      <c r="AI22" s="540">
        <f t="shared" si="121"/>
        <v>0</v>
      </c>
      <c r="AJ22" s="538">
        <v>0</v>
      </c>
      <c r="AK22" s="539">
        <f t="shared" si="10"/>
        <v>0</v>
      </c>
      <c r="AL22" s="540">
        <f t="shared" si="122"/>
        <v>0</v>
      </c>
      <c r="AM22" s="538">
        <v>0</v>
      </c>
      <c r="AN22" s="539">
        <f t="shared" si="11"/>
        <v>0</v>
      </c>
      <c r="AO22" s="540">
        <f t="shared" si="123"/>
        <v>0</v>
      </c>
      <c r="AP22" s="538">
        <v>0</v>
      </c>
      <c r="AQ22" s="539">
        <f t="shared" si="12"/>
        <v>0</v>
      </c>
      <c r="AR22" s="540">
        <f t="shared" si="124"/>
        <v>0</v>
      </c>
      <c r="AS22" s="538"/>
      <c r="AT22" s="539">
        <f t="shared" si="13"/>
        <v>0</v>
      </c>
      <c r="AU22" s="540">
        <f t="shared" si="125"/>
        <v>0</v>
      </c>
      <c r="AV22" s="538">
        <v>5.5499999999999829</v>
      </c>
      <c r="AW22" s="539">
        <f t="shared" si="14"/>
        <v>6.7391172363547844E-2</v>
      </c>
      <c r="AX22" s="540">
        <f t="shared" si="126"/>
        <v>0</v>
      </c>
      <c r="AY22" s="538">
        <v>0</v>
      </c>
      <c r="AZ22" s="539">
        <f t="shared" si="15"/>
        <v>0</v>
      </c>
      <c r="BA22" s="540">
        <f t="shared" si="127"/>
        <v>0</v>
      </c>
      <c r="BB22" s="538">
        <v>72.333333333333314</v>
      </c>
      <c r="BC22" s="539">
        <f t="shared" si="16"/>
        <v>0.87831137554894434</v>
      </c>
      <c r="BD22" s="540">
        <f t="shared" si="128"/>
        <v>0</v>
      </c>
      <c r="BE22" s="538"/>
      <c r="BF22" s="539">
        <f t="shared" si="17"/>
        <v>0</v>
      </c>
      <c r="BG22" s="540">
        <f t="shared" si="129"/>
        <v>0</v>
      </c>
      <c r="BH22" s="538"/>
      <c r="BI22" s="539">
        <f t="shared" si="18"/>
        <v>0</v>
      </c>
      <c r="BJ22" s="540">
        <f t="shared" si="130"/>
        <v>0</v>
      </c>
      <c r="BK22" s="538"/>
      <c r="BL22" s="539">
        <f t="shared" si="19"/>
        <v>0</v>
      </c>
      <c r="BM22" s="540">
        <f t="shared" si="131"/>
        <v>0</v>
      </c>
      <c r="BN22" s="538">
        <v>7.5925925925925952</v>
      </c>
      <c r="BO22" s="539">
        <f t="shared" si="20"/>
        <v>9.2193462359208236E-2</v>
      </c>
      <c r="BP22" s="540">
        <f t="shared" si="132"/>
        <v>0</v>
      </c>
      <c r="BQ22" s="538">
        <v>0</v>
      </c>
      <c r="BR22" s="539">
        <f t="shared" si="21"/>
        <v>0</v>
      </c>
      <c r="BS22" s="540">
        <f t="shared" si="133"/>
        <v>0</v>
      </c>
      <c r="BT22" s="538"/>
      <c r="BU22" s="539">
        <f t="shared" si="22"/>
        <v>0</v>
      </c>
      <c r="BV22" s="540">
        <f t="shared" si="134"/>
        <v>0</v>
      </c>
      <c r="BW22" s="538">
        <v>0.67999999999999972</v>
      </c>
      <c r="BX22" s="539">
        <f t="shared" si="23"/>
        <v>8.2569364337320098E-3</v>
      </c>
      <c r="BY22" s="540">
        <f t="shared" si="135"/>
        <v>0</v>
      </c>
      <c r="BZ22" s="538">
        <v>0</v>
      </c>
      <c r="CA22" s="539">
        <f t="shared" si="24"/>
        <v>0</v>
      </c>
      <c r="CB22" s="540">
        <f t="shared" si="136"/>
        <v>0</v>
      </c>
      <c r="CC22" s="538">
        <v>6.25</v>
      </c>
      <c r="CD22" s="539">
        <f t="shared" si="25"/>
        <v>7.5890959868860422E-2</v>
      </c>
      <c r="CE22" s="540">
        <f t="shared" si="137"/>
        <v>0</v>
      </c>
      <c r="CF22" s="538">
        <v>0.10000000000000003</v>
      </c>
      <c r="CG22" s="539">
        <f t="shared" si="26"/>
        <v>1.2142553579017671E-3</v>
      </c>
      <c r="CH22" s="540">
        <f t="shared" si="138"/>
        <v>0</v>
      </c>
      <c r="CI22" s="538">
        <v>0</v>
      </c>
      <c r="CJ22" s="539">
        <f t="shared" si="27"/>
        <v>0</v>
      </c>
      <c r="CK22" s="540">
        <f t="shared" si="139"/>
        <v>0</v>
      </c>
      <c r="CL22" s="538"/>
      <c r="CM22" s="539">
        <f t="shared" si="28"/>
        <v>0</v>
      </c>
      <c r="CN22" s="540">
        <f t="shared" si="140"/>
        <v>0</v>
      </c>
      <c r="CO22" s="538"/>
      <c r="CP22" s="539">
        <f t="shared" si="29"/>
        <v>0</v>
      </c>
      <c r="CQ22" s="540">
        <f t="shared" si="141"/>
        <v>0</v>
      </c>
      <c r="CR22" s="538"/>
      <c r="CS22" s="539">
        <f t="shared" si="30"/>
        <v>0</v>
      </c>
      <c r="CT22" s="540">
        <f t="shared" si="142"/>
        <v>0</v>
      </c>
      <c r="CU22" s="538"/>
      <c r="CV22" s="539">
        <f t="shared" si="31"/>
        <v>0</v>
      </c>
      <c r="CW22" s="540">
        <f t="shared" si="143"/>
        <v>0</v>
      </c>
      <c r="CX22" s="538"/>
      <c r="CY22" s="539">
        <f t="shared" si="32"/>
        <v>0</v>
      </c>
      <c r="CZ22" s="540">
        <f t="shared" si="144"/>
        <v>0</v>
      </c>
      <c r="DA22" s="538"/>
      <c r="DB22" s="539">
        <f t="shared" si="33"/>
        <v>0</v>
      </c>
      <c r="DC22" s="540">
        <f t="shared" si="145"/>
        <v>0</v>
      </c>
      <c r="DD22" s="538"/>
      <c r="DE22" s="539">
        <f t="shared" si="34"/>
        <v>0</v>
      </c>
      <c r="DF22" s="540">
        <f t="shared" si="146"/>
        <v>0</v>
      </c>
      <c r="DG22" s="538">
        <v>4.7250000000000014</v>
      </c>
      <c r="DH22" s="539">
        <f t="shared" si="35"/>
        <v>5.7373565660858494E-2</v>
      </c>
      <c r="DI22" s="540">
        <f t="shared" si="203"/>
        <v>0</v>
      </c>
      <c r="DJ22" s="538"/>
      <c r="DK22" s="539">
        <f t="shared" si="36"/>
        <v>0</v>
      </c>
      <c r="DL22" s="540">
        <f t="shared" si="147"/>
        <v>0</v>
      </c>
      <c r="DM22" s="538"/>
      <c r="DN22" s="539">
        <f t="shared" si="37"/>
        <v>0</v>
      </c>
      <c r="DO22" s="540">
        <f t="shared" si="148"/>
        <v>0</v>
      </c>
      <c r="DP22" s="538"/>
      <c r="DQ22" s="539">
        <f t="shared" si="38"/>
        <v>0</v>
      </c>
      <c r="DR22" s="540">
        <f t="shared" si="149"/>
        <v>0</v>
      </c>
      <c r="DS22" s="538"/>
      <c r="DT22" s="539">
        <f t="shared" si="39"/>
        <v>0</v>
      </c>
      <c r="DU22" s="540">
        <f t="shared" si="150"/>
        <v>0</v>
      </c>
      <c r="DV22" s="538"/>
      <c r="DW22" s="539">
        <f t="shared" si="40"/>
        <v>0</v>
      </c>
      <c r="DX22" s="540">
        <f t="shared" si="151"/>
        <v>0</v>
      </c>
      <c r="DY22" s="538"/>
      <c r="DZ22" s="539">
        <f t="shared" si="41"/>
        <v>0</v>
      </c>
      <c r="EA22" s="540">
        <f t="shared" si="152"/>
        <v>0</v>
      </c>
      <c r="EB22" s="538">
        <v>14.534883720930225</v>
      </c>
      <c r="EC22" s="539">
        <f t="shared" si="42"/>
        <v>0.17649060434618691</v>
      </c>
      <c r="ED22" s="540">
        <f t="shared" si="153"/>
        <v>0</v>
      </c>
      <c r="EE22" s="538">
        <v>2</v>
      </c>
      <c r="EF22" s="539">
        <f t="shared" si="43"/>
        <v>2.4285107158035335E-2</v>
      </c>
      <c r="EG22" s="540">
        <f t="shared" si="154"/>
        <v>0</v>
      </c>
      <c r="EH22" s="538"/>
      <c r="EI22" s="539">
        <f t="shared" si="44"/>
        <v>0</v>
      </c>
      <c r="EJ22" s="540">
        <f t="shared" si="155"/>
        <v>0</v>
      </c>
      <c r="EK22" s="538"/>
      <c r="EL22" s="539">
        <f t="shared" si="45"/>
        <v>0</v>
      </c>
      <c r="EM22" s="540">
        <f t="shared" si="156"/>
        <v>0</v>
      </c>
      <c r="EN22" s="538"/>
      <c r="EO22" s="539">
        <f t="shared" si="46"/>
        <v>0</v>
      </c>
      <c r="EP22" s="540">
        <f t="shared" si="157"/>
        <v>0</v>
      </c>
      <c r="EQ22" s="538"/>
      <c r="ER22" s="539">
        <f t="shared" si="47"/>
        <v>0</v>
      </c>
      <c r="ES22" s="540">
        <f t="shared" si="158"/>
        <v>0</v>
      </c>
      <c r="ET22" s="538"/>
      <c r="EU22" s="539">
        <f t="shared" si="48"/>
        <v>0</v>
      </c>
      <c r="EV22" s="540">
        <f t="shared" si="159"/>
        <v>0</v>
      </c>
      <c r="EW22" s="538"/>
      <c r="EX22" s="539">
        <f t="shared" si="49"/>
        <v>0</v>
      </c>
      <c r="EY22" s="540">
        <f t="shared" si="160"/>
        <v>0</v>
      </c>
      <c r="EZ22" s="538"/>
      <c r="FA22" s="539">
        <f t="shared" si="50"/>
        <v>0</v>
      </c>
      <c r="FB22" s="540">
        <f t="shared" si="161"/>
        <v>0</v>
      </c>
      <c r="FC22" s="538"/>
      <c r="FD22" s="539">
        <f t="shared" si="51"/>
        <v>0</v>
      </c>
      <c r="FE22" s="540">
        <f t="shared" si="162"/>
        <v>0</v>
      </c>
      <c r="FF22" s="538"/>
      <c r="FG22" s="539">
        <f t="shared" si="52"/>
        <v>0</v>
      </c>
      <c r="FH22" s="540">
        <f t="shared" si="163"/>
        <v>0</v>
      </c>
      <c r="FI22" s="538"/>
      <c r="FJ22" s="539">
        <f t="shared" si="53"/>
        <v>0</v>
      </c>
      <c r="FK22" s="540">
        <f t="shared" si="164"/>
        <v>0</v>
      </c>
      <c r="FL22" s="538"/>
      <c r="FM22" s="539">
        <f t="shared" si="54"/>
        <v>0</v>
      </c>
      <c r="FN22" s="540">
        <f t="shared" si="165"/>
        <v>0</v>
      </c>
      <c r="FO22" s="538"/>
      <c r="FP22" s="539">
        <f t="shared" si="55"/>
        <v>0</v>
      </c>
      <c r="FQ22" s="540">
        <f t="shared" si="166"/>
        <v>0</v>
      </c>
      <c r="FR22" s="538"/>
      <c r="FS22" s="539">
        <f t="shared" si="56"/>
        <v>0</v>
      </c>
      <c r="FT22" s="540">
        <f t="shared" si="167"/>
        <v>0</v>
      </c>
      <c r="FU22" s="538"/>
      <c r="FV22" s="539">
        <f t="shared" si="57"/>
        <v>0</v>
      </c>
      <c r="FW22" s="540">
        <f t="shared" si="168"/>
        <v>0</v>
      </c>
      <c r="FX22" s="538"/>
      <c r="FY22" s="539">
        <f t="shared" si="58"/>
        <v>0</v>
      </c>
      <c r="FZ22" s="540">
        <f t="shared" si="169"/>
        <v>0</v>
      </c>
      <c r="GA22" s="538"/>
      <c r="GB22" s="539">
        <f t="shared" si="59"/>
        <v>0</v>
      </c>
      <c r="GC22" s="540">
        <f t="shared" si="170"/>
        <v>0</v>
      </c>
      <c r="GD22" s="538"/>
      <c r="GE22" s="539">
        <f t="shared" si="60"/>
        <v>0</v>
      </c>
      <c r="GF22" s="540">
        <f t="shared" si="171"/>
        <v>0</v>
      </c>
      <c r="GG22" s="538"/>
      <c r="GH22" s="539">
        <f t="shared" si="61"/>
        <v>0</v>
      </c>
      <c r="GI22" s="540">
        <f t="shared" si="172"/>
        <v>0</v>
      </c>
      <c r="GJ22" s="538"/>
      <c r="GK22" s="539">
        <f t="shared" si="62"/>
        <v>0</v>
      </c>
      <c r="GL22" s="540">
        <f t="shared" si="173"/>
        <v>0</v>
      </c>
      <c r="GM22" s="538"/>
      <c r="GN22" s="539">
        <f t="shared" si="63"/>
        <v>0</v>
      </c>
      <c r="GO22" s="540">
        <f t="shared" si="174"/>
        <v>0</v>
      </c>
      <c r="GP22" s="538"/>
      <c r="GQ22" s="539">
        <f t="shared" si="64"/>
        <v>0</v>
      </c>
      <c r="GR22" s="540">
        <f t="shared" si="175"/>
        <v>0</v>
      </c>
      <c r="GS22" s="538"/>
      <c r="GT22" s="539">
        <f t="shared" si="65"/>
        <v>0</v>
      </c>
      <c r="GU22" s="540">
        <f t="shared" si="176"/>
        <v>0</v>
      </c>
      <c r="GV22" s="538"/>
      <c r="GW22" s="539">
        <f t="shared" si="66"/>
        <v>0</v>
      </c>
      <c r="GX22" s="540">
        <f t="shared" si="177"/>
        <v>0</v>
      </c>
      <c r="GY22" s="538"/>
      <c r="GZ22" s="539">
        <f t="shared" si="67"/>
        <v>0</v>
      </c>
      <c r="HA22" s="540">
        <f t="shared" si="178"/>
        <v>0</v>
      </c>
      <c r="HB22" s="538"/>
      <c r="HC22" s="539">
        <f t="shared" si="68"/>
        <v>0</v>
      </c>
      <c r="HD22" s="540">
        <f t="shared" si="179"/>
        <v>0</v>
      </c>
      <c r="HE22" s="538"/>
      <c r="HF22" s="539">
        <f t="shared" si="69"/>
        <v>0</v>
      </c>
      <c r="HG22" s="540">
        <f t="shared" si="180"/>
        <v>0</v>
      </c>
      <c r="HH22" s="538"/>
      <c r="HI22" s="539">
        <f t="shared" si="70"/>
        <v>0</v>
      </c>
      <c r="HJ22" s="540">
        <f t="shared" si="181"/>
        <v>0</v>
      </c>
      <c r="HK22" s="538"/>
      <c r="HL22" s="539">
        <f t="shared" si="71"/>
        <v>0</v>
      </c>
      <c r="HM22" s="540">
        <f t="shared" si="182"/>
        <v>0</v>
      </c>
      <c r="HN22" s="538"/>
      <c r="HO22" s="539">
        <f t="shared" si="72"/>
        <v>0</v>
      </c>
      <c r="HP22" s="540">
        <f t="shared" si="183"/>
        <v>0</v>
      </c>
      <c r="HQ22" s="538"/>
      <c r="HR22" s="539">
        <f t="shared" si="73"/>
        <v>0</v>
      </c>
      <c r="HS22" s="540">
        <f t="shared" si="184"/>
        <v>0</v>
      </c>
      <c r="HT22" s="538"/>
      <c r="HU22" s="539">
        <f t="shared" si="74"/>
        <v>0</v>
      </c>
      <c r="HV22" s="540">
        <f t="shared" si="185"/>
        <v>0</v>
      </c>
      <c r="HW22" s="538"/>
      <c r="HX22" s="539">
        <f t="shared" si="75"/>
        <v>0</v>
      </c>
      <c r="HY22" s="540">
        <f t="shared" si="186"/>
        <v>0</v>
      </c>
      <c r="HZ22" s="538"/>
      <c r="IA22" s="539">
        <f t="shared" si="76"/>
        <v>0</v>
      </c>
      <c r="IB22" s="540">
        <f t="shared" si="187"/>
        <v>0</v>
      </c>
      <c r="IC22" s="538"/>
      <c r="ID22" s="539">
        <f t="shared" si="77"/>
        <v>0</v>
      </c>
      <c r="IE22" s="540">
        <f t="shared" si="188"/>
        <v>0</v>
      </c>
      <c r="IF22" s="538"/>
      <c r="IG22" s="539">
        <f t="shared" si="78"/>
        <v>0</v>
      </c>
      <c r="IH22" s="540">
        <f t="shared" si="189"/>
        <v>0</v>
      </c>
      <c r="II22" s="538"/>
      <c r="IJ22" s="539">
        <f t="shared" si="79"/>
        <v>0</v>
      </c>
      <c r="IK22" s="540">
        <f t="shared" si="190"/>
        <v>0</v>
      </c>
      <c r="IL22" s="538"/>
      <c r="IM22" s="539">
        <f t="shared" si="80"/>
        <v>0</v>
      </c>
      <c r="IN22" s="540">
        <f t="shared" si="191"/>
        <v>0</v>
      </c>
      <c r="IO22" s="538"/>
      <c r="IP22" s="539">
        <f t="shared" si="81"/>
        <v>0</v>
      </c>
      <c r="IQ22" s="540">
        <f t="shared" si="192"/>
        <v>0</v>
      </c>
      <c r="IR22" s="538"/>
      <c r="IS22" s="539">
        <f t="shared" si="82"/>
        <v>0</v>
      </c>
      <c r="IT22" s="540">
        <f t="shared" si="193"/>
        <v>0</v>
      </c>
      <c r="IU22" s="538"/>
      <c r="IV22" s="539">
        <f t="shared" si="83"/>
        <v>0</v>
      </c>
      <c r="IW22" s="540">
        <f t="shared" si="194"/>
        <v>0</v>
      </c>
      <c r="IX22" s="538"/>
      <c r="IY22" s="539">
        <f t="shared" si="84"/>
        <v>0</v>
      </c>
      <c r="IZ22" s="540">
        <f t="shared" si="195"/>
        <v>0</v>
      </c>
      <c r="JA22" s="538"/>
      <c r="JB22" s="539">
        <f t="shared" si="85"/>
        <v>0</v>
      </c>
      <c r="JC22" s="540">
        <f t="shared" si="196"/>
        <v>0</v>
      </c>
      <c r="JD22" s="538"/>
      <c r="JE22" s="539">
        <f t="shared" si="86"/>
        <v>0</v>
      </c>
      <c r="JF22" s="540">
        <f t="shared" si="197"/>
        <v>0</v>
      </c>
      <c r="JG22" s="538"/>
      <c r="JH22" s="539">
        <f t="shared" si="87"/>
        <v>0</v>
      </c>
      <c r="JI22" s="540">
        <f t="shared" si="198"/>
        <v>0</v>
      </c>
      <c r="JJ22" s="538"/>
      <c r="JK22" s="540" t="str">
        <f t="shared" si="88"/>
        <v>0</v>
      </c>
      <c r="JL22" s="540" t="str">
        <f t="shared" si="89"/>
        <v>0</v>
      </c>
      <c r="JM22" s="538"/>
      <c r="JN22" s="540" t="str">
        <f t="shared" si="90"/>
        <v>0</v>
      </c>
      <c r="JO22" s="540" t="str">
        <f t="shared" si="91"/>
        <v>0</v>
      </c>
      <c r="JP22" s="538"/>
      <c r="JQ22" s="540" t="str">
        <f t="shared" si="92"/>
        <v>0</v>
      </c>
      <c r="JR22" s="540" t="str">
        <f t="shared" si="93"/>
        <v>0</v>
      </c>
      <c r="JS22" s="538"/>
      <c r="JT22" s="540" t="str">
        <f t="shared" si="94"/>
        <v>0</v>
      </c>
      <c r="JU22" s="540" t="str">
        <f t="shared" si="95"/>
        <v>0</v>
      </c>
      <c r="JV22" s="538"/>
      <c r="JW22" s="540" t="str">
        <f t="shared" si="96"/>
        <v>0</v>
      </c>
      <c r="JX22" s="540" t="str">
        <f t="shared" si="97"/>
        <v>0</v>
      </c>
      <c r="JY22" s="538"/>
      <c r="JZ22" s="540" t="str">
        <f t="shared" si="98"/>
        <v>0</v>
      </c>
      <c r="KA22" s="540" t="str">
        <f t="shared" si="99"/>
        <v>0</v>
      </c>
      <c r="KB22" s="538"/>
      <c r="KC22" s="540" t="str">
        <f t="shared" si="100"/>
        <v>0</v>
      </c>
      <c r="KD22" s="540" t="str">
        <f t="shared" si="101"/>
        <v>0</v>
      </c>
      <c r="KE22" s="538"/>
      <c r="KF22" s="540" t="str">
        <f t="shared" si="102"/>
        <v>0</v>
      </c>
      <c r="KG22" s="540" t="str">
        <f t="shared" si="103"/>
        <v>0</v>
      </c>
      <c r="KH22" s="538"/>
      <c r="KI22" s="540" t="str">
        <f t="shared" si="104"/>
        <v>0</v>
      </c>
      <c r="KJ22" s="540" t="str">
        <f t="shared" si="105"/>
        <v>0</v>
      </c>
      <c r="KK22" s="538"/>
      <c r="KL22" s="540" t="str">
        <f t="shared" si="106"/>
        <v>0</v>
      </c>
      <c r="KM22" s="540" t="str">
        <f t="shared" si="107"/>
        <v>0</v>
      </c>
      <c r="KN22" s="538"/>
      <c r="KO22" s="540" t="str">
        <f t="shared" si="108"/>
        <v>0</v>
      </c>
      <c r="KP22" s="540" t="str">
        <f t="shared" si="109"/>
        <v>0</v>
      </c>
      <c r="KQ22" s="538"/>
      <c r="KR22" s="540" t="str">
        <f t="shared" si="110"/>
        <v>0</v>
      </c>
      <c r="KS22" s="540" t="str">
        <f t="shared" si="111"/>
        <v>0</v>
      </c>
      <c r="KT22" s="540">
        <f t="shared" si="201"/>
        <v>0</v>
      </c>
      <c r="KU22" s="540">
        <f t="shared" si="202"/>
        <v>0</v>
      </c>
      <c r="KV22" s="274">
        <f t="shared" si="199"/>
        <v>834.63063522825109</v>
      </c>
    </row>
    <row r="23" spans="1:309" ht="15" customHeight="1">
      <c r="A23" s="276">
        <f t="shared" si="200"/>
        <v>45884</v>
      </c>
      <c r="B23" s="277" t="str">
        <f>+Report1!B23</f>
        <v>MG</v>
      </c>
      <c r="C23" s="417" t="str">
        <f>+Report1!C23</f>
        <v>16,5/16</v>
      </c>
      <c r="D23" s="278">
        <f>+Report1!P23</f>
        <v>82.12299999999999</v>
      </c>
      <c r="E23" s="279">
        <f>+Report1!R23</f>
        <v>77.778000000000006</v>
      </c>
      <c r="F23" s="538"/>
      <c r="G23" s="539">
        <f t="shared" si="0"/>
        <v>0</v>
      </c>
      <c r="H23" s="540">
        <f t="shared" si="112"/>
        <v>0</v>
      </c>
      <c r="I23" s="538">
        <v>686.04651162790697</v>
      </c>
      <c r="J23" s="539">
        <f t="shared" si="1"/>
        <v>8.8205728050079326</v>
      </c>
      <c r="K23" s="540">
        <f t="shared" si="113"/>
        <v>0</v>
      </c>
      <c r="L23" s="538"/>
      <c r="M23" s="539">
        <f t="shared" si="2"/>
        <v>0</v>
      </c>
      <c r="N23" s="540">
        <f t="shared" si="114"/>
        <v>0</v>
      </c>
      <c r="O23" s="538">
        <v>5.9999999999999858</v>
      </c>
      <c r="P23" s="539">
        <f t="shared" si="3"/>
        <v>7.7142636735323428E-2</v>
      </c>
      <c r="Q23" s="540">
        <f t="shared" si="115"/>
        <v>0</v>
      </c>
      <c r="R23" s="538"/>
      <c r="S23" s="539">
        <f t="shared" si="4"/>
        <v>0</v>
      </c>
      <c r="T23" s="540">
        <f t="shared" si="116"/>
        <v>0</v>
      </c>
      <c r="U23" s="538">
        <v>2.5625000000000036</v>
      </c>
      <c r="V23" s="539">
        <f t="shared" si="5"/>
        <v>3.2946334439044503E-2</v>
      </c>
      <c r="W23" s="540">
        <f t="shared" si="117"/>
        <v>0</v>
      </c>
      <c r="X23" s="538"/>
      <c r="Y23" s="539">
        <f t="shared" si="6"/>
        <v>0</v>
      </c>
      <c r="Z23" s="540">
        <f t="shared" si="118"/>
        <v>0</v>
      </c>
      <c r="AA23" s="538"/>
      <c r="AB23" s="539">
        <f t="shared" si="7"/>
        <v>0</v>
      </c>
      <c r="AC23" s="540">
        <f t="shared" si="119"/>
        <v>0</v>
      </c>
      <c r="AD23" s="538"/>
      <c r="AE23" s="539">
        <f t="shared" si="8"/>
        <v>0</v>
      </c>
      <c r="AF23" s="540">
        <f t="shared" si="120"/>
        <v>0</v>
      </c>
      <c r="AG23" s="538"/>
      <c r="AH23" s="539">
        <f t="shared" si="9"/>
        <v>0</v>
      </c>
      <c r="AI23" s="540">
        <f t="shared" si="121"/>
        <v>0</v>
      </c>
      <c r="AJ23" s="538">
        <v>0</v>
      </c>
      <c r="AK23" s="539">
        <f t="shared" si="10"/>
        <v>0</v>
      </c>
      <c r="AL23" s="540">
        <f t="shared" si="122"/>
        <v>0</v>
      </c>
      <c r="AM23" s="538">
        <v>0</v>
      </c>
      <c r="AN23" s="539">
        <f t="shared" si="11"/>
        <v>0</v>
      </c>
      <c r="AO23" s="540">
        <f t="shared" si="123"/>
        <v>0</v>
      </c>
      <c r="AP23" s="538">
        <v>0</v>
      </c>
      <c r="AQ23" s="539">
        <f t="shared" si="12"/>
        <v>0</v>
      </c>
      <c r="AR23" s="540">
        <f t="shared" si="124"/>
        <v>0</v>
      </c>
      <c r="AS23" s="538"/>
      <c r="AT23" s="539">
        <f t="shared" si="13"/>
        <v>0</v>
      </c>
      <c r="AU23" s="540">
        <f t="shared" si="125"/>
        <v>0</v>
      </c>
      <c r="AV23" s="538">
        <v>5.5500000000000114</v>
      </c>
      <c r="AW23" s="539">
        <f t="shared" si="14"/>
        <v>7.1356938980174478E-2</v>
      </c>
      <c r="AX23" s="540">
        <f t="shared" si="126"/>
        <v>0</v>
      </c>
      <c r="AY23" s="538">
        <v>0</v>
      </c>
      <c r="AZ23" s="539">
        <f t="shared" si="15"/>
        <v>0</v>
      </c>
      <c r="BA23" s="540">
        <f t="shared" si="127"/>
        <v>0</v>
      </c>
      <c r="BB23" s="538">
        <v>65.333333333333314</v>
      </c>
      <c r="BC23" s="539">
        <f t="shared" si="16"/>
        <v>0.83999760000685686</v>
      </c>
      <c r="BD23" s="540">
        <f t="shared" si="128"/>
        <v>0</v>
      </c>
      <c r="BE23" s="538"/>
      <c r="BF23" s="539">
        <f t="shared" si="17"/>
        <v>0</v>
      </c>
      <c r="BG23" s="540">
        <f t="shared" si="129"/>
        <v>0</v>
      </c>
      <c r="BH23" s="538"/>
      <c r="BI23" s="539">
        <f t="shared" si="18"/>
        <v>0</v>
      </c>
      <c r="BJ23" s="540">
        <f t="shared" si="130"/>
        <v>0</v>
      </c>
      <c r="BK23" s="538"/>
      <c r="BL23" s="539">
        <f t="shared" si="19"/>
        <v>0</v>
      </c>
      <c r="BM23" s="540">
        <f t="shared" si="131"/>
        <v>0</v>
      </c>
      <c r="BN23" s="538">
        <v>17.716049382716051</v>
      </c>
      <c r="BO23" s="539">
        <f t="shared" si="20"/>
        <v>0.2277771269859864</v>
      </c>
      <c r="BP23" s="540">
        <f t="shared" si="132"/>
        <v>0</v>
      </c>
      <c r="BQ23" s="538">
        <v>0</v>
      </c>
      <c r="BR23" s="539">
        <f t="shared" si="21"/>
        <v>0</v>
      </c>
      <c r="BS23" s="540">
        <f t="shared" si="133"/>
        <v>0</v>
      </c>
      <c r="BT23" s="538"/>
      <c r="BU23" s="539">
        <f t="shared" si="22"/>
        <v>0</v>
      </c>
      <c r="BV23" s="540">
        <f t="shared" si="134"/>
        <v>0</v>
      </c>
      <c r="BW23" s="538">
        <v>0.67999999999999972</v>
      </c>
      <c r="BX23" s="539">
        <f t="shared" si="23"/>
        <v>8.7428321633366713E-3</v>
      </c>
      <c r="BY23" s="540">
        <f t="shared" si="135"/>
        <v>0</v>
      </c>
      <c r="BZ23" s="538">
        <v>0</v>
      </c>
      <c r="CA23" s="539">
        <f t="shared" si="24"/>
        <v>0</v>
      </c>
      <c r="CB23" s="540">
        <f t="shared" si="136"/>
        <v>0</v>
      </c>
      <c r="CC23" s="538">
        <v>6.25</v>
      </c>
      <c r="CD23" s="539">
        <f t="shared" si="25"/>
        <v>8.0356913265962088E-2</v>
      </c>
      <c r="CE23" s="540">
        <f t="shared" si="137"/>
        <v>0</v>
      </c>
      <c r="CF23" s="538">
        <v>9.9999999999999978E-2</v>
      </c>
      <c r="CG23" s="539">
        <f t="shared" si="26"/>
        <v>1.2857106122553931E-3</v>
      </c>
      <c r="CH23" s="540">
        <f t="shared" si="138"/>
        <v>0</v>
      </c>
      <c r="CI23" s="538">
        <v>50</v>
      </c>
      <c r="CJ23" s="539">
        <f t="shared" si="27"/>
        <v>0.6428553061276967</v>
      </c>
      <c r="CK23" s="540">
        <f t="shared" si="139"/>
        <v>0</v>
      </c>
      <c r="CL23" s="538"/>
      <c r="CM23" s="539">
        <f t="shared" si="28"/>
        <v>0</v>
      </c>
      <c r="CN23" s="540">
        <f t="shared" si="140"/>
        <v>0</v>
      </c>
      <c r="CO23" s="538"/>
      <c r="CP23" s="539">
        <f t="shared" si="29"/>
        <v>0</v>
      </c>
      <c r="CQ23" s="540">
        <f t="shared" si="141"/>
        <v>0</v>
      </c>
      <c r="CR23" s="538"/>
      <c r="CS23" s="539">
        <f t="shared" si="30"/>
        <v>0</v>
      </c>
      <c r="CT23" s="540">
        <f t="shared" si="142"/>
        <v>0</v>
      </c>
      <c r="CU23" s="538"/>
      <c r="CV23" s="539">
        <f t="shared" si="31"/>
        <v>0</v>
      </c>
      <c r="CW23" s="540">
        <f t="shared" si="143"/>
        <v>0</v>
      </c>
      <c r="CX23" s="538"/>
      <c r="CY23" s="539">
        <f t="shared" si="32"/>
        <v>0</v>
      </c>
      <c r="CZ23" s="540">
        <f t="shared" si="144"/>
        <v>0</v>
      </c>
      <c r="DA23" s="538"/>
      <c r="DB23" s="539">
        <f t="shared" si="33"/>
        <v>0</v>
      </c>
      <c r="DC23" s="540">
        <f t="shared" si="145"/>
        <v>0</v>
      </c>
      <c r="DD23" s="538"/>
      <c r="DE23" s="539">
        <f t="shared" si="34"/>
        <v>0</v>
      </c>
      <c r="DF23" s="540">
        <f t="shared" si="146"/>
        <v>0</v>
      </c>
      <c r="DG23" s="538">
        <v>4.7250000000000014</v>
      </c>
      <c r="DH23" s="539">
        <f t="shared" si="35"/>
        <v>6.0749826429067358E-2</v>
      </c>
      <c r="DI23" s="540">
        <f t="shared" si="203"/>
        <v>0</v>
      </c>
      <c r="DJ23" s="538"/>
      <c r="DK23" s="539">
        <f t="shared" si="36"/>
        <v>0</v>
      </c>
      <c r="DL23" s="540">
        <f t="shared" si="147"/>
        <v>0</v>
      </c>
      <c r="DM23" s="538"/>
      <c r="DN23" s="539">
        <f t="shared" si="37"/>
        <v>0</v>
      </c>
      <c r="DO23" s="540">
        <f t="shared" si="148"/>
        <v>0</v>
      </c>
      <c r="DP23" s="538"/>
      <c r="DQ23" s="539">
        <f t="shared" si="38"/>
        <v>0</v>
      </c>
      <c r="DR23" s="540">
        <f t="shared" si="149"/>
        <v>0</v>
      </c>
      <c r="DS23" s="538"/>
      <c r="DT23" s="539">
        <f t="shared" si="39"/>
        <v>0</v>
      </c>
      <c r="DU23" s="540">
        <f t="shared" si="150"/>
        <v>0</v>
      </c>
      <c r="DV23" s="538"/>
      <c r="DW23" s="539">
        <f t="shared" si="40"/>
        <v>0</v>
      </c>
      <c r="DX23" s="540">
        <f t="shared" si="151"/>
        <v>0</v>
      </c>
      <c r="DY23" s="538"/>
      <c r="DZ23" s="539">
        <f t="shared" si="41"/>
        <v>0</v>
      </c>
      <c r="EA23" s="540">
        <f t="shared" si="152"/>
        <v>0</v>
      </c>
      <c r="EB23" s="538">
        <v>14.534883720930225</v>
      </c>
      <c r="EC23" s="539">
        <f t="shared" si="42"/>
        <v>0.1868765424789815</v>
      </c>
      <c r="ED23" s="540">
        <f t="shared" si="153"/>
        <v>0</v>
      </c>
      <c r="EE23" s="538">
        <v>2</v>
      </c>
      <c r="EF23" s="539">
        <f t="shared" si="43"/>
        <v>2.5714212245107868E-2</v>
      </c>
      <c r="EG23" s="540">
        <f t="shared" si="154"/>
        <v>0</v>
      </c>
      <c r="EH23" s="538"/>
      <c r="EI23" s="539">
        <f t="shared" si="44"/>
        <v>0</v>
      </c>
      <c r="EJ23" s="540">
        <f t="shared" si="155"/>
        <v>0</v>
      </c>
      <c r="EK23" s="538"/>
      <c r="EL23" s="539">
        <f t="shared" si="45"/>
        <v>0</v>
      </c>
      <c r="EM23" s="540">
        <f t="shared" si="156"/>
        <v>0</v>
      </c>
      <c r="EN23" s="538"/>
      <c r="EO23" s="539">
        <f t="shared" si="46"/>
        <v>0</v>
      </c>
      <c r="EP23" s="540">
        <f t="shared" si="157"/>
        <v>0</v>
      </c>
      <c r="EQ23" s="538"/>
      <c r="ER23" s="539">
        <f t="shared" si="47"/>
        <v>0</v>
      </c>
      <c r="ES23" s="540">
        <f t="shared" si="158"/>
        <v>0</v>
      </c>
      <c r="ET23" s="538"/>
      <c r="EU23" s="539">
        <f t="shared" si="48"/>
        <v>0</v>
      </c>
      <c r="EV23" s="540">
        <f t="shared" si="159"/>
        <v>0</v>
      </c>
      <c r="EW23" s="538"/>
      <c r="EX23" s="539">
        <f t="shared" si="49"/>
        <v>0</v>
      </c>
      <c r="EY23" s="540">
        <f t="shared" si="160"/>
        <v>0</v>
      </c>
      <c r="EZ23" s="538"/>
      <c r="FA23" s="539">
        <f t="shared" si="50"/>
        <v>0</v>
      </c>
      <c r="FB23" s="540">
        <f t="shared" si="161"/>
        <v>0</v>
      </c>
      <c r="FC23" s="538"/>
      <c r="FD23" s="539">
        <f t="shared" si="51"/>
        <v>0</v>
      </c>
      <c r="FE23" s="540">
        <f t="shared" si="162"/>
        <v>0</v>
      </c>
      <c r="FF23" s="538"/>
      <c r="FG23" s="539">
        <f t="shared" si="52"/>
        <v>0</v>
      </c>
      <c r="FH23" s="540">
        <f t="shared" si="163"/>
        <v>0</v>
      </c>
      <c r="FI23" s="538"/>
      <c r="FJ23" s="539">
        <f t="shared" si="53"/>
        <v>0</v>
      </c>
      <c r="FK23" s="540">
        <f t="shared" si="164"/>
        <v>0</v>
      </c>
      <c r="FL23" s="538"/>
      <c r="FM23" s="539">
        <f t="shared" si="54"/>
        <v>0</v>
      </c>
      <c r="FN23" s="540">
        <f t="shared" si="165"/>
        <v>0</v>
      </c>
      <c r="FO23" s="538"/>
      <c r="FP23" s="539">
        <f t="shared" si="55"/>
        <v>0</v>
      </c>
      <c r="FQ23" s="540">
        <f t="shared" si="166"/>
        <v>0</v>
      </c>
      <c r="FR23" s="538"/>
      <c r="FS23" s="539">
        <f t="shared" si="56"/>
        <v>0</v>
      </c>
      <c r="FT23" s="540">
        <f t="shared" si="167"/>
        <v>0</v>
      </c>
      <c r="FU23" s="538"/>
      <c r="FV23" s="539">
        <f t="shared" si="57"/>
        <v>0</v>
      </c>
      <c r="FW23" s="540">
        <f t="shared" si="168"/>
        <v>0</v>
      </c>
      <c r="FX23" s="538"/>
      <c r="FY23" s="539">
        <f t="shared" si="58"/>
        <v>0</v>
      </c>
      <c r="FZ23" s="540">
        <f t="shared" si="169"/>
        <v>0</v>
      </c>
      <c r="GA23" s="538"/>
      <c r="GB23" s="539">
        <f t="shared" si="59"/>
        <v>0</v>
      </c>
      <c r="GC23" s="540">
        <f t="shared" si="170"/>
        <v>0</v>
      </c>
      <c r="GD23" s="538"/>
      <c r="GE23" s="539">
        <f t="shared" si="60"/>
        <v>0</v>
      </c>
      <c r="GF23" s="540">
        <f t="shared" si="171"/>
        <v>0</v>
      </c>
      <c r="GG23" s="538"/>
      <c r="GH23" s="539">
        <f t="shared" si="61"/>
        <v>0</v>
      </c>
      <c r="GI23" s="540">
        <f t="shared" si="172"/>
        <v>0</v>
      </c>
      <c r="GJ23" s="538"/>
      <c r="GK23" s="539">
        <f t="shared" si="62"/>
        <v>0</v>
      </c>
      <c r="GL23" s="540">
        <f t="shared" si="173"/>
        <v>0</v>
      </c>
      <c r="GM23" s="538"/>
      <c r="GN23" s="539">
        <f t="shared" si="63"/>
        <v>0</v>
      </c>
      <c r="GO23" s="540">
        <f t="shared" si="174"/>
        <v>0</v>
      </c>
      <c r="GP23" s="538"/>
      <c r="GQ23" s="539">
        <f t="shared" si="64"/>
        <v>0</v>
      </c>
      <c r="GR23" s="540">
        <f t="shared" si="175"/>
        <v>0</v>
      </c>
      <c r="GS23" s="538"/>
      <c r="GT23" s="539">
        <f t="shared" si="65"/>
        <v>0</v>
      </c>
      <c r="GU23" s="540">
        <f t="shared" si="176"/>
        <v>0</v>
      </c>
      <c r="GV23" s="538"/>
      <c r="GW23" s="539">
        <f t="shared" si="66"/>
        <v>0</v>
      </c>
      <c r="GX23" s="540">
        <f t="shared" si="177"/>
        <v>0</v>
      </c>
      <c r="GY23" s="538"/>
      <c r="GZ23" s="539">
        <f t="shared" si="67"/>
        <v>0</v>
      </c>
      <c r="HA23" s="540">
        <f t="shared" si="178"/>
        <v>0</v>
      </c>
      <c r="HB23" s="538"/>
      <c r="HC23" s="539">
        <f t="shared" si="68"/>
        <v>0</v>
      </c>
      <c r="HD23" s="540">
        <f t="shared" si="179"/>
        <v>0</v>
      </c>
      <c r="HE23" s="538"/>
      <c r="HF23" s="539">
        <f t="shared" si="69"/>
        <v>0</v>
      </c>
      <c r="HG23" s="540">
        <f t="shared" si="180"/>
        <v>0</v>
      </c>
      <c r="HH23" s="538"/>
      <c r="HI23" s="539">
        <f t="shared" si="70"/>
        <v>0</v>
      </c>
      <c r="HJ23" s="540">
        <f t="shared" si="181"/>
        <v>0</v>
      </c>
      <c r="HK23" s="538"/>
      <c r="HL23" s="539">
        <f t="shared" si="71"/>
        <v>0</v>
      </c>
      <c r="HM23" s="540">
        <f t="shared" si="182"/>
        <v>0</v>
      </c>
      <c r="HN23" s="538"/>
      <c r="HO23" s="539">
        <f t="shared" si="72"/>
        <v>0</v>
      </c>
      <c r="HP23" s="540">
        <f t="shared" si="183"/>
        <v>0</v>
      </c>
      <c r="HQ23" s="538"/>
      <c r="HR23" s="539">
        <f t="shared" si="73"/>
        <v>0</v>
      </c>
      <c r="HS23" s="540">
        <f t="shared" si="184"/>
        <v>0</v>
      </c>
      <c r="HT23" s="538"/>
      <c r="HU23" s="539">
        <f t="shared" si="74"/>
        <v>0</v>
      </c>
      <c r="HV23" s="540">
        <f t="shared" si="185"/>
        <v>0</v>
      </c>
      <c r="HW23" s="538"/>
      <c r="HX23" s="539">
        <f t="shared" si="75"/>
        <v>0</v>
      </c>
      <c r="HY23" s="540">
        <f t="shared" si="186"/>
        <v>0</v>
      </c>
      <c r="HZ23" s="538"/>
      <c r="IA23" s="539">
        <f t="shared" si="76"/>
        <v>0</v>
      </c>
      <c r="IB23" s="540">
        <f t="shared" si="187"/>
        <v>0</v>
      </c>
      <c r="IC23" s="538"/>
      <c r="ID23" s="539">
        <f t="shared" si="77"/>
        <v>0</v>
      </c>
      <c r="IE23" s="540">
        <f t="shared" si="188"/>
        <v>0</v>
      </c>
      <c r="IF23" s="538"/>
      <c r="IG23" s="539">
        <f t="shared" si="78"/>
        <v>0</v>
      </c>
      <c r="IH23" s="540">
        <f t="shared" si="189"/>
        <v>0</v>
      </c>
      <c r="II23" s="538"/>
      <c r="IJ23" s="539">
        <f t="shared" si="79"/>
        <v>0</v>
      </c>
      <c r="IK23" s="540">
        <f t="shared" si="190"/>
        <v>0</v>
      </c>
      <c r="IL23" s="538"/>
      <c r="IM23" s="539">
        <f t="shared" si="80"/>
        <v>0</v>
      </c>
      <c r="IN23" s="540">
        <f t="shared" si="191"/>
        <v>0</v>
      </c>
      <c r="IO23" s="538"/>
      <c r="IP23" s="539">
        <f t="shared" si="81"/>
        <v>0</v>
      </c>
      <c r="IQ23" s="540">
        <f t="shared" si="192"/>
        <v>0</v>
      </c>
      <c r="IR23" s="538"/>
      <c r="IS23" s="539">
        <f t="shared" si="82"/>
        <v>0</v>
      </c>
      <c r="IT23" s="540">
        <f t="shared" si="193"/>
        <v>0</v>
      </c>
      <c r="IU23" s="538"/>
      <c r="IV23" s="539">
        <f t="shared" si="83"/>
        <v>0</v>
      </c>
      <c r="IW23" s="540">
        <f t="shared" si="194"/>
        <v>0</v>
      </c>
      <c r="IX23" s="538"/>
      <c r="IY23" s="539">
        <f t="shared" si="84"/>
        <v>0</v>
      </c>
      <c r="IZ23" s="540">
        <f t="shared" si="195"/>
        <v>0</v>
      </c>
      <c r="JA23" s="538"/>
      <c r="JB23" s="539">
        <f t="shared" si="85"/>
        <v>0</v>
      </c>
      <c r="JC23" s="540">
        <f t="shared" si="196"/>
        <v>0</v>
      </c>
      <c r="JD23" s="538"/>
      <c r="JE23" s="539">
        <f t="shared" si="86"/>
        <v>0</v>
      </c>
      <c r="JF23" s="540">
        <f t="shared" si="197"/>
        <v>0</v>
      </c>
      <c r="JG23" s="538"/>
      <c r="JH23" s="539">
        <f t="shared" si="87"/>
        <v>0</v>
      </c>
      <c r="JI23" s="540">
        <f t="shared" si="198"/>
        <v>0</v>
      </c>
      <c r="JJ23" s="538"/>
      <c r="JK23" s="540" t="str">
        <f t="shared" si="88"/>
        <v>0</v>
      </c>
      <c r="JL23" s="540" t="str">
        <f t="shared" si="89"/>
        <v>0</v>
      </c>
      <c r="JM23" s="538"/>
      <c r="JN23" s="540" t="str">
        <f t="shared" si="90"/>
        <v>0</v>
      </c>
      <c r="JO23" s="540" t="str">
        <f t="shared" si="91"/>
        <v>0</v>
      </c>
      <c r="JP23" s="538"/>
      <c r="JQ23" s="540" t="str">
        <f t="shared" si="92"/>
        <v>0</v>
      </c>
      <c r="JR23" s="540" t="str">
        <f t="shared" si="93"/>
        <v>0</v>
      </c>
      <c r="JS23" s="538"/>
      <c r="JT23" s="540" t="str">
        <f t="shared" si="94"/>
        <v>0</v>
      </c>
      <c r="JU23" s="540" t="str">
        <f t="shared" si="95"/>
        <v>0</v>
      </c>
      <c r="JV23" s="538"/>
      <c r="JW23" s="540" t="str">
        <f t="shared" si="96"/>
        <v>0</v>
      </c>
      <c r="JX23" s="540" t="str">
        <f t="shared" si="97"/>
        <v>0</v>
      </c>
      <c r="JY23" s="538"/>
      <c r="JZ23" s="540" t="str">
        <f t="shared" si="98"/>
        <v>0</v>
      </c>
      <c r="KA23" s="540" t="str">
        <f t="shared" si="99"/>
        <v>0</v>
      </c>
      <c r="KB23" s="538"/>
      <c r="KC23" s="540" t="str">
        <f t="shared" si="100"/>
        <v>0</v>
      </c>
      <c r="KD23" s="540" t="str">
        <f t="shared" si="101"/>
        <v>0</v>
      </c>
      <c r="KE23" s="538"/>
      <c r="KF23" s="540" t="str">
        <f t="shared" si="102"/>
        <v>0</v>
      </c>
      <c r="KG23" s="540" t="str">
        <f t="shared" si="103"/>
        <v>0</v>
      </c>
      <c r="KH23" s="538"/>
      <c r="KI23" s="540" t="str">
        <f t="shared" si="104"/>
        <v>0</v>
      </c>
      <c r="KJ23" s="540" t="str">
        <f t="shared" si="105"/>
        <v>0</v>
      </c>
      <c r="KK23" s="538"/>
      <c r="KL23" s="540" t="str">
        <f t="shared" si="106"/>
        <v>0</v>
      </c>
      <c r="KM23" s="540" t="str">
        <f t="shared" si="107"/>
        <v>0</v>
      </c>
      <c r="KN23" s="538"/>
      <c r="KO23" s="540" t="str">
        <f t="shared" si="108"/>
        <v>0</v>
      </c>
      <c r="KP23" s="540" t="str">
        <f t="shared" si="109"/>
        <v>0</v>
      </c>
      <c r="KQ23" s="538"/>
      <c r="KR23" s="540" t="str">
        <f t="shared" si="110"/>
        <v>0</v>
      </c>
      <c r="KS23" s="540" t="str">
        <f t="shared" si="111"/>
        <v>0</v>
      </c>
      <c r="KT23" s="540">
        <f t="shared" si="201"/>
        <v>0</v>
      </c>
      <c r="KU23" s="540">
        <f t="shared" si="202"/>
        <v>0</v>
      </c>
      <c r="KV23" s="274">
        <f t="shared" si="199"/>
        <v>861.49827806488645</v>
      </c>
      <c r="KW23" s="274"/>
    </row>
    <row r="24" spans="1:309" ht="15" customHeight="1">
      <c r="A24" s="276">
        <f t="shared" si="200"/>
        <v>45885</v>
      </c>
      <c r="B24" s="277" t="str">
        <f>+Report1!B24</f>
        <v>MG</v>
      </c>
      <c r="C24" s="417" t="str">
        <f>+Report1!C24</f>
        <v>16/17</v>
      </c>
      <c r="D24" s="278">
        <f>+Report1!P24</f>
        <v>77.486000000000004</v>
      </c>
      <c r="E24" s="279">
        <f>+Report1!R24</f>
        <v>80.367999999999995</v>
      </c>
      <c r="F24" s="538"/>
      <c r="G24" s="539">
        <f t="shared" si="0"/>
        <v>0</v>
      </c>
      <c r="H24" s="540">
        <f t="shared" si="112"/>
        <v>0</v>
      </c>
      <c r="I24" s="538">
        <v>640.89117209302321</v>
      </c>
      <c r="J24" s="539">
        <f t="shared" si="1"/>
        <v>7.9744571482806998</v>
      </c>
      <c r="K24" s="540">
        <f t="shared" si="113"/>
        <v>0</v>
      </c>
      <c r="L24" s="538"/>
      <c r="M24" s="539">
        <f t="shared" si="2"/>
        <v>0</v>
      </c>
      <c r="N24" s="540">
        <f t="shared" si="114"/>
        <v>0</v>
      </c>
      <c r="O24" s="538">
        <v>6.1248000000000076</v>
      </c>
      <c r="P24" s="539">
        <f t="shared" si="3"/>
        <v>7.6209436591678378E-2</v>
      </c>
      <c r="Q24" s="540">
        <f t="shared" si="115"/>
        <v>0</v>
      </c>
      <c r="R24" s="538"/>
      <c r="S24" s="539">
        <f t="shared" si="4"/>
        <v>0</v>
      </c>
      <c r="T24" s="540">
        <f t="shared" si="116"/>
        <v>0</v>
      </c>
      <c r="U24" s="538">
        <v>2.6104000000000021</v>
      </c>
      <c r="V24" s="539">
        <f t="shared" si="5"/>
        <v>3.248058928926939E-2</v>
      </c>
      <c r="W24" s="540">
        <f t="shared" si="117"/>
        <v>0</v>
      </c>
      <c r="X24" s="538"/>
      <c r="Y24" s="539">
        <f t="shared" si="6"/>
        <v>0</v>
      </c>
      <c r="Z24" s="540">
        <f t="shared" si="118"/>
        <v>0</v>
      </c>
      <c r="AA24" s="538"/>
      <c r="AB24" s="539">
        <f t="shared" si="7"/>
        <v>0</v>
      </c>
      <c r="AC24" s="540">
        <f t="shared" si="119"/>
        <v>0</v>
      </c>
      <c r="AD24" s="538"/>
      <c r="AE24" s="539">
        <f t="shared" si="8"/>
        <v>0</v>
      </c>
      <c r="AF24" s="540">
        <f t="shared" si="120"/>
        <v>0</v>
      </c>
      <c r="AG24" s="538"/>
      <c r="AH24" s="539">
        <f t="shared" si="9"/>
        <v>0</v>
      </c>
      <c r="AI24" s="540">
        <f t="shared" si="121"/>
        <v>0</v>
      </c>
      <c r="AJ24" s="538">
        <v>5.9884999999999593</v>
      </c>
      <c r="AK24" s="539">
        <f t="shared" si="10"/>
        <v>7.4513487955404634E-2</v>
      </c>
      <c r="AL24" s="540">
        <f t="shared" si="122"/>
        <v>0</v>
      </c>
      <c r="AM24" s="538">
        <v>0</v>
      </c>
      <c r="AN24" s="539">
        <f t="shared" si="11"/>
        <v>0</v>
      </c>
      <c r="AO24" s="540">
        <f t="shared" si="123"/>
        <v>0</v>
      </c>
      <c r="AP24" s="538">
        <v>0</v>
      </c>
      <c r="AQ24" s="539">
        <f t="shared" si="12"/>
        <v>0</v>
      </c>
      <c r="AR24" s="540">
        <f t="shared" si="124"/>
        <v>0</v>
      </c>
      <c r="AS24" s="538"/>
      <c r="AT24" s="539">
        <f t="shared" si="13"/>
        <v>0</v>
      </c>
      <c r="AU24" s="540">
        <f t="shared" si="125"/>
        <v>0</v>
      </c>
      <c r="AV24" s="538">
        <v>7.0795000000000528</v>
      </c>
      <c r="AW24" s="539">
        <f t="shared" si="14"/>
        <v>8.8088542703564268E-2</v>
      </c>
      <c r="AX24" s="540">
        <f t="shared" si="126"/>
        <v>0</v>
      </c>
      <c r="AY24" s="538">
        <v>0</v>
      </c>
      <c r="AZ24" s="539">
        <f t="shared" si="15"/>
        <v>0</v>
      </c>
      <c r="BA24" s="540">
        <f t="shared" si="127"/>
        <v>0</v>
      </c>
      <c r="BB24" s="538">
        <v>76.999999999999972</v>
      </c>
      <c r="BC24" s="539">
        <f t="shared" si="16"/>
        <v>0.95809277324308151</v>
      </c>
      <c r="BD24" s="540">
        <f t="shared" si="128"/>
        <v>0</v>
      </c>
      <c r="BE24" s="538"/>
      <c r="BF24" s="539">
        <f t="shared" si="17"/>
        <v>0</v>
      </c>
      <c r="BG24" s="540">
        <f t="shared" si="129"/>
        <v>0</v>
      </c>
      <c r="BH24" s="538"/>
      <c r="BI24" s="539">
        <f t="shared" si="18"/>
        <v>0</v>
      </c>
      <c r="BJ24" s="540">
        <f t="shared" si="130"/>
        <v>0</v>
      </c>
      <c r="BK24" s="538"/>
      <c r="BL24" s="539">
        <f t="shared" si="19"/>
        <v>0</v>
      </c>
      <c r="BM24" s="540">
        <f t="shared" si="131"/>
        <v>0</v>
      </c>
      <c r="BN24" s="538">
        <v>15.447775308641965</v>
      </c>
      <c r="BO24" s="539">
        <f t="shared" si="20"/>
        <v>0.19221301150510112</v>
      </c>
      <c r="BP24" s="540">
        <f t="shared" si="132"/>
        <v>0</v>
      </c>
      <c r="BQ24" s="538">
        <v>0</v>
      </c>
      <c r="BR24" s="539">
        <f t="shared" si="21"/>
        <v>0</v>
      </c>
      <c r="BS24" s="540">
        <f t="shared" si="133"/>
        <v>0</v>
      </c>
      <c r="BT24" s="538"/>
      <c r="BU24" s="539">
        <f t="shared" si="22"/>
        <v>0</v>
      </c>
      <c r="BV24" s="540">
        <f t="shared" si="134"/>
        <v>0</v>
      </c>
      <c r="BW24" s="538">
        <v>0.33999999999999986</v>
      </c>
      <c r="BX24" s="539">
        <f t="shared" si="23"/>
        <v>4.2305395182162036E-3</v>
      </c>
      <c r="BY24" s="540">
        <f t="shared" si="135"/>
        <v>0</v>
      </c>
      <c r="BZ24" s="538">
        <v>0</v>
      </c>
      <c r="CA24" s="539">
        <f t="shared" si="24"/>
        <v>0</v>
      </c>
      <c r="CB24" s="540">
        <f t="shared" si="136"/>
        <v>0</v>
      </c>
      <c r="CC24" s="538">
        <v>3.125</v>
      </c>
      <c r="CD24" s="539">
        <f t="shared" si="25"/>
        <v>3.8883635277722477E-2</v>
      </c>
      <c r="CE24" s="540">
        <f t="shared" si="137"/>
        <v>0</v>
      </c>
      <c r="CF24" s="538">
        <v>9.9999999999999978E-2</v>
      </c>
      <c r="CG24" s="539">
        <f t="shared" si="26"/>
        <v>1.244276328887119E-3</v>
      </c>
      <c r="CH24" s="540">
        <f t="shared" si="138"/>
        <v>0</v>
      </c>
      <c r="CI24" s="538">
        <v>22.5</v>
      </c>
      <c r="CJ24" s="539">
        <f t="shared" si="27"/>
        <v>0.27996217399960183</v>
      </c>
      <c r="CK24" s="540">
        <f t="shared" si="139"/>
        <v>0</v>
      </c>
      <c r="CL24" s="538"/>
      <c r="CM24" s="539">
        <f t="shared" si="28"/>
        <v>0</v>
      </c>
      <c r="CN24" s="540">
        <f t="shared" si="140"/>
        <v>0</v>
      </c>
      <c r="CO24" s="538"/>
      <c r="CP24" s="539">
        <f t="shared" si="29"/>
        <v>0</v>
      </c>
      <c r="CQ24" s="540">
        <f t="shared" si="141"/>
        <v>0</v>
      </c>
      <c r="CR24" s="538"/>
      <c r="CS24" s="539">
        <f t="shared" si="30"/>
        <v>0</v>
      </c>
      <c r="CT24" s="540">
        <f t="shared" si="142"/>
        <v>0</v>
      </c>
      <c r="CU24" s="538"/>
      <c r="CV24" s="539">
        <f t="shared" si="31"/>
        <v>0</v>
      </c>
      <c r="CW24" s="540">
        <f t="shared" si="143"/>
        <v>0</v>
      </c>
      <c r="CX24" s="538"/>
      <c r="CY24" s="539">
        <f t="shared" si="32"/>
        <v>0</v>
      </c>
      <c r="CZ24" s="540">
        <f t="shared" si="144"/>
        <v>0</v>
      </c>
      <c r="DA24" s="538"/>
      <c r="DB24" s="539">
        <f t="shared" si="33"/>
        <v>0</v>
      </c>
      <c r="DC24" s="540">
        <f t="shared" si="145"/>
        <v>0</v>
      </c>
      <c r="DD24" s="538"/>
      <c r="DE24" s="539">
        <f t="shared" si="34"/>
        <v>0</v>
      </c>
      <c r="DF24" s="540">
        <f t="shared" si="146"/>
        <v>0</v>
      </c>
      <c r="DG24" s="538">
        <v>2.3624999999999998</v>
      </c>
      <c r="DH24" s="539">
        <f t="shared" si="35"/>
        <v>2.9396028269958192E-2</v>
      </c>
      <c r="DI24" s="540">
        <f t="shared" si="203"/>
        <v>0</v>
      </c>
      <c r="DJ24" s="538"/>
      <c r="DK24" s="539">
        <f t="shared" si="36"/>
        <v>0</v>
      </c>
      <c r="DL24" s="540">
        <f t="shared" si="147"/>
        <v>0</v>
      </c>
      <c r="DM24" s="538"/>
      <c r="DN24" s="539">
        <f t="shared" si="37"/>
        <v>0</v>
      </c>
      <c r="DO24" s="540">
        <f t="shared" si="148"/>
        <v>0</v>
      </c>
      <c r="DP24" s="538"/>
      <c r="DQ24" s="539">
        <f t="shared" si="38"/>
        <v>0</v>
      </c>
      <c r="DR24" s="540">
        <f t="shared" si="149"/>
        <v>0</v>
      </c>
      <c r="DS24" s="538"/>
      <c r="DT24" s="539">
        <f t="shared" si="39"/>
        <v>0</v>
      </c>
      <c r="DU24" s="540">
        <f t="shared" si="150"/>
        <v>0</v>
      </c>
      <c r="DV24" s="538"/>
      <c r="DW24" s="539">
        <f t="shared" si="40"/>
        <v>0</v>
      </c>
      <c r="DX24" s="540">
        <f t="shared" si="151"/>
        <v>0</v>
      </c>
      <c r="DY24" s="538"/>
      <c r="DZ24" s="539">
        <f t="shared" si="41"/>
        <v>0</v>
      </c>
      <c r="EA24" s="540">
        <f t="shared" si="152"/>
        <v>0</v>
      </c>
      <c r="EB24" s="538">
        <v>14.832995348837244</v>
      </c>
      <c r="EC24" s="539">
        <f t="shared" si="42"/>
        <v>0.18456344999050922</v>
      </c>
      <c r="ED24" s="540">
        <f t="shared" si="153"/>
        <v>0</v>
      </c>
      <c r="EE24" s="538">
        <v>2</v>
      </c>
      <c r="EF24" s="539">
        <f t="shared" si="43"/>
        <v>2.4885526577742387E-2</v>
      </c>
      <c r="EG24" s="540">
        <f t="shared" si="154"/>
        <v>0</v>
      </c>
      <c r="EH24" s="538"/>
      <c r="EI24" s="539">
        <f t="shared" si="44"/>
        <v>0</v>
      </c>
      <c r="EJ24" s="540">
        <f t="shared" si="155"/>
        <v>0</v>
      </c>
      <c r="EK24" s="538"/>
      <c r="EL24" s="539">
        <f t="shared" si="45"/>
        <v>0</v>
      </c>
      <c r="EM24" s="540">
        <f t="shared" si="156"/>
        <v>0</v>
      </c>
      <c r="EN24" s="538"/>
      <c r="EO24" s="539">
        <f t="shared" si="46"/>
        <v>0</v>
      </c>
      <c r="EP24" s="540">
        <f t="shared" si="157"/>
        <v>0</v>
      </c>
      <c r="EQ24" s="538"/>
      <c r="ER24" s="539">
        <f t="shared" si="47"/>
        <v>0</v>
      </c>
      <c r="ES24" s="540">
        <f t="shared" si="158"/>
        <v>0</v>
      </c>
      <c r="ET24" s="538"/>
      <c r="EU24" s="539">
        <f t="shared" si="48"/>
        <v>0</v>
      </c>
      <c r="EV24" s="540">
        <f t="shared" si="159"/>
        <v>0</v>
      </c>
      <c r="EW24" s="538"/>
      <c r="EX24" s="539">
        <f t="shared" si="49"/>
        <v>0</v>
      </c>
      <c r="EY24" s="540">
        <f t="shared" si="160"/>
        <v>0</v>
      </c>
      <c r="EZ24" s="538"/>
      <c r="FA24" s="539">
        <f t="shared" si="50"/>
        <v>0</v>
      </c>
      <c r="FB24" s="540">
        <f t="shared" si="161"/>
        <v>0</v>
      </c>
      <c r="FC24" s="538"/>
      <c r="FD24" s="539">
        <f t="shared" si="51"/>
        <v>0</v>
      </c>
      <c r="FE24" s="540">
        <f t="shared" si="162"/>
        <v>0</v>
      </c>
      <c r="FF24" s="538"/>
      <c r="FG24" s="539">
        <f t="shared" si="52"/>
        <v>0</v>
      </c>
      <c r="FH24" s="540">
        <f t="shared" si="163"/>
        <v>0</v>
      </c>
      <c r="FI24" s="538"/>
      <c r="FJ24" s="539">
        <f t="shared" si="53"/>
        <v>0</v>
      </c>
      <c r="FK24" s="540">
        <f t="shared" si="164"/>
        <v>0</v>
      </c>
      <c r="FL24" s="538"/>
      <c r="FM24" s="539">
        <f t="shared" si="54"/>
        <v>0</v>
      </c>
      <c r="FN24" s="540">
        <f t="shared" si="165"/>
        <v>0</v>
      </c>
      <c r="FO24" s="538"/>
      <c r="FP24" s="539">
        <f t="shared" si="55"/>
        <v>0</v>
      </c>
      <c r="FQ24" s="540">
        <f t="shared" si="166"/>
        <v>0</v>
      </c>
      <c r="FR24" s="538"/>
      <c r="FS24" s="539">
        <f t="shared" si="56"/>
        <v>0</v>
      </c>
      <c r="FT24" s="540">
        <f t="shared" si="167"/>
        <v>0</v>
      </c>
      <c r="FU24" s="538"/>
      <c r="FV24" s="539">
        <f t="shared" si="57"/>
        <v>0</v>
      </c>
      <c r="FW24" s="540">
        <f t="shared" si="168"/>
        <v>0</v>
      </c>
      <c r="FX24" s="538"/>
      <c r="FY24" s="539">
        <f t="shared" si="58"/>
        <v>0</v>
      </c>
      <c r="FZ24" s="540">
        <f t="shared" si="169"/>
        <v>0</v>
      </c>
      <c r="GA24" s="538"/>
      <c r="GB24" s="539">
        <f t="shared" si="59"/>
        <v>0</v>
      </c>
      <c r="GC24" s="540">
        <f t="shared" si="170"/>
        <v>0</v>
      </c>
      <c r="GD24" s="538"/>
      <c r="GE24" s="539">
        <f t="shared" si="60"/>
        <v>0</v>
      </c>
      <c r="GF24" s="540">
        <f t="shared" si="171"/>
        <v>0</v>
      </c>
      <c r="GG24" s="538"/>
      <c r="GH24" s="539">
        <f t="shared" si="61"/>
        <v>0</v>
      </c>
      <c r="GI24" s="540">
        <f t="shared" si="172"/>
        <v>0</v>
      </c>
      <c r="GJ24" s="538"/>
      <c r="GK24" s="539">
        <f t="shared" si="62"/>
        <v>0</v>
      </c>
      <c r="GL24" s="540">
        <f t="shared" si="173"/>
        <v>0</v>
      </c>
      <c r="GM24" s="538"/>
      <c r="GN24" s="539">
        <f t="shared" si="63"/>
        <v>0</v>
      </c>
      <c r="GO24" s="540">
        <f t="shared" si="174"/>
        <v>0</v>
      </c>
      <c r="GP24" s="538"/>
      <c r="GQ24" s="539">
        <f t="shared" si="64"/>
        <v>0</v>
      </c>
      <c r="GR24" s="540">
        <f t="shared" si="175"/>
        <v>0</v>
      </c>
      <c r="GS24" s="538"/>
      <c r="GT24" s="539">
        <f t="shared" si="65"/>
        <v>0</v>
      </c>
      <c r="GU24" s="540">
        <f t="shared" si="176"/>
        <v>0</v>
      </c>
      <c r="GV24" s="538"/>
      <c r="GW24" s="539">
        <f t="shared" si="66"/>
        <v>0</v>
      </c>
      <c r="GX24" s="540">
        <f t="shared" si="177"/>
        <v>0</v>
      </c>
      <c r="GY24" s="538"/>
      <c r="GZ24" s="539">
        <f t="shared" si="67"/>
        <v>0</v>
      </c>
      <c r="HA24" s="540">
        <f t="shared" si="178"/>
        <v>0</v>
      </c>
      <c r="HB24" s="538"/>
      <c r="HC24" s="539">
        <f t="shared" si="68"/>
        <v>0</v>
      </c>
      <c r="HD24" s="540">
        <f t="shared" si="179"/>
        <v>0</v>
      </c>
      <c r="HE24" s="538"/>
      <c r="HF24" s="539">
        <f t="shared" si="69"/>
        <v>0</v>
      </c>
      <c r="HG24" s="540">
        <f t="shared" si="180"/>
        <v>0</v>
      </c>
      <c r="HH24" s="538"/>
      <c r="HI24" s="539">
        <f t="shared" si="70"/>
        <v>0</v>
      </c>
      <c r="HJ24" s="540">
        <f t="shared" si="181"/>
        <v>0</v>
      </c>
      <c r="HK24" s="538"/>
      <c r="HL24" s="539">
        <f t="shared" si="71"/>
        <v>0</v>
      </c>
      <c r="HM24" s="540">
        <f t="shared" si="182"/>
        <v>0</v>
      </c>
      <c r="HN24" s="538"/>
      <c r="HO24" s="539">
        <f t="shared" si="72"/>
        <v>0</v>
      </c>
      <c r="HP24" s="540">
        <f t="shared" si="183"/>
        <v>0</v>
      </c>
      <c r="HQ24" s="538"/>
      <c r="HR24" s="539">
        <f t="shared" si="73"/>
        <v>0</v>
      </c>
      <c r="HS24" s="540">
        <f t="shared" si="184"/>
        <v>0</v>
      </c>
      <c r="HT24" s="538"/>
      <c r="HU24" s="539">
        <f t="shared" si="74"/>
        <v>0</v>
      </c>
      <c r="HV24" s="540">
        <f t="shared" si="185"/>
        <v>0</v>
      </c>
      <c r="HW24" s="538"/>
      <c r="HX24" s="539">
        <f t="shared" si="75"/>
        <v>0</v>
      </c>
      <c r="HY24" s="540">
        <f t="shared" si="186"/>
        <v>0</v>
      </c>
      <c r="HZ24" s="538"/>
      <c r="IA24" s="539">
        <f t="shared" si="76"/>
        <v>0</v>
      </c>
      <c r="IB24" s="540">
        <f t="shared" si="187"/>
        <v>0</v>
      </c>
      <c r="IC24" s="538"/>
      <c r="ID24" s="539">
        <f t="shared" si="77"/>
        <v>0</v>
      </c>
      <c r="IE24" s="540">
        <f t="shared" si="188"/>
        <v>0</v>
      </c>
      <c r="IF24" s="538"/>
      <c r="IG24" s="539">
        <f t="shared" si="78"/>
        <v>0</v>
      </c>
      <c r="IH24" s="540">
        <f t="shared" si="189"/>
        <v>0</v>
      </c>
      <c r="II24" s="538"/>
      <c r="IJ24" s="539">
        <f t="shared" si="79"/>
        <v>0</v>
      </c>
      <c r="IK24" s="540">
        <f t="shared" si="190"/>
        <v>0</v>
      </c>
      <c r="IL24" s="538"/>
      <c r="IM24" s="539">
        <f t="shared" si="80"/>
        <v>0</v>
      </c>
      <c r="IN24" s="540">
        <f t="shared" si="191"/>
        <v>0</v>
      </c>
      <c r="IO24" s="538"/>
      <c r="IP24" s="539">
        <f t="shared" si="81"/>
        <v>0</v>
      </c>
      <c r="IQ24" s="540">
        <f t="shared" si="192"/>
        <v>0</v>
      </c>
      <c r="IR24" s="538"/>
      <c r="IS24" s="539">
        <f t="shared" si="82"/>
        <v>0</v>
      </c>
      <c r="IT24" s="540">
        <f t="shared" si="193"/>
        <v>0</v>
      </c>
      <c r="IU24" s="538"/>
      <c r="IV24" s="539">
        <f t="shared" si="83"/>
        <v>0</v>
      </c>
      <c r="IW24" s="540">
        <f t="shared" si="194"/>
        <v>0</v>
      </c>
      <c r="IX24" s="538"/>
      <c r="IY24" s="539">
        <f t="shared" si="84"/>
        <v>0</v>
      </c>
      <c r="IZ24" s="540">
        <f t="shared" si="195"/>
        <v>0</v>
      </c>
      <c r="JA24" s="538"/>
      <c r="JB24" s="539">
        <f t="shared" si="85"/>
        <v>0</v>
      </c>
      <c r="JC24" s="540">
        <f t="shared" si="196"/>
        <v>0</v>
      </c>
      <c r="JD24" s="538"/>
      <c r="JE24" s="539">
        <f t="shared" si="86"/>
        <v>0</v>
      </c>
      <c r="JF24" s="540">
        <f t="shared" si="197"/>
        <v>0</v>
      </c>
      <c r="JG24" s="538"/>
      <c r="JH24" s="539">
        <f t="shared" si="87"/>
        <v>0</v>
      </c>
      <c r="JI24" s="540">
        <f t="shared" si="198"/>
        <v>0</v>
      </c>
      <c r="JJ24" s="538"/>
      <c r="JK24" s="540" t="str">
        <f t="shared" si="88"/>
        <v>0</v>
      </c>
      <c r="JL24" s="540" t="str">
        <f t="shared" si="89"/>
        <v>0</v>
      </c>
      <c r="JM24" s="538"/>
      <c r="JN24" s="540" t="str">
        <f t="shared" si="90"/>
        <v>0</v>
      </c>
      <c r="JO24" s="540" t="str">
        <f t="shared" si="91"/>
        <v>0</v>
      </c>
      <c r="JP24" s="538"/>
      <c r="JQ24" s="540" t="str">
        <f t="shared" si="92"/>
        <v>0</v>
      </c>
      <c r="JR24" s="540" t="str">
        <f t="shared" si="93"/>
        <v>0</v>
      </c>
      <c r="JS24" s="538"/>
      <c r="JT24" s="540" t="str">
        <f t="shared" si="94"/>
        <v>0</v>
      </c>
      <c r="JU24" s="540" t="str">
        <f t="shared" si="95"/>
        <v>0</v>
      </c>
      <c r="JV24" s="538"/>
      <c r="JW24" s="540" t="str">
        <f t="shared" si="96"/>
        <v>0</v>
      </c>
      <c r="JX24" s="540" t="str">
        <f t="shared" si="97"/>
        <v>0</v>
      </c>
      <c r="JY24" s="538"/>
      <c r="JZ24" s="540" t="str">
        <f t="shared" si="98"/>
        <v>0</v>
      </c>
      <c r="KA24" s="540" t="str">
        <f t="shared" si="99"/>
        <v>0</v>
      </c>
      <c r="KB24" s="538"/>
      <c r="KC24" s="540" t="str">
        <f t="shared" si="100"/>
        <v>0</v>
      </c>
      <c r="KD24" s="540" t="str">
        <f t="shared" si="101"/>
        <v>0</v>
      </c>
      <c r="KE24" s="538"/>
      <c r="KF24" s="540" t="str">
        <f t="shared" si="102"/>
        <v>0</v>
      </c>
      <c r="KG24" s="540" t="str">
        <f t="shared" si="103"/>
        <v>0</v>
      </c>
      <c r="KH24" s="538"/>
      <c r="KI24" s="540" t="str">
        <f t="shared" si="104"/>
        <v>0</v>
      </c>
      <c r="KJ24" s="540" t="str">
        <f t="shared" si="105"/>
        <v>0</v>
      </c>
      <c r="KK24" s="538"/>
      <c r="KL24" s="540" t="str">
        <f t="shared" si="106"/>
        <v>0</v>
      </c>
      <c r="KM24" s="540" t="str">
        <f t="shared" si="107"/>
        <v>0</v>
      </c>
      <c r="KN24" s="538"/>
      <c r="KO24" s="540" t="str">
        <f t="shared" si="108"/>
        <v>0</v>
      </c>
      <c r="KP24" s="540" t="str">
        <f t="shared" si="109"/>
        <v>0</v>
      </c>
      <c r="KQ24" s="538"/>
      <c r="KR24" s="540" t="str">
        <f t="shared" si="110"/>
        <v>0</v>
      </c>
      <c r="KS24" s="540" t="str">
        <f t="shared" si="111"/>
        <v>0</v>
      </c>
      <c r="KT24" s="540">
        <f t="shared" si="201"/>
        <v>0</v>
      </c>
      <c r="KU24" s="540">
        <f t="shared" si="202"/>
        <v>0</v>
      </c>
      <c r="KV24" s="274">
        <f t="shared" si="199"/>
        <v>800.40264275050254</v>
      </c>
    </row>
    <row r="25" spans="1:309" ht="15" customHeight="1">
      <c r="A25" s="276">
        <f t="shared" si="200"/>
        <v>45886</v>
      </c>
      <c r="B25" s="277" t="str">
        <f>+Report1!B25</f>
        <v>MG/Facial</v>
      </c>
      <c r="C25" s="417" t="str">
        <f>+Report1!C25</f>
        <v>17/16,5/10,3</v>
      </c>
      <c r="D25" s="278">
        <f>+Report1!P25</f>
        <v>74.347000000000008</v>
      </c>
      <c r="E25" s="279">
        <f>+Report1!R25</f>
        <v>73.183000000000007</v>
      </c>
      <c r="F25" s="538"/>
      <c r="G25" s="539">
        <f t="shared" si="0"/>
        <v>0</v>
      </c>
      <c r="H25" s="540">
        <f t="shared" si="112"/>
        <v>0</v>
      </c>
      <c r="I25" s="538">
        <v>614.92740000000015</v>
      </c>
      <c r="J25" s="539">
        <f t="shared" si="1"/>
        <v>8.4025989642403296</v>
      </c>
      <c r="K25" s="540">
        <f t="shared" si="113"/>
        <v>0</v>
      </c>
      <c r="L25" s="538"/>
      <c r="M25" s="539">
        <f t="shared" si="2"/>
        <v>0</v>
      </c>
      <c r="N25" s="540">
        <f t="shared" si="114"/>
        <v>0</v>
      </c>
      <c r="O25" s="538">
        <v>5.8696000000000055</v>
      </c>
      <c r="P25" s="539">
        <f t="shared" si="3"/>
        <v>8.0204419059071164E-2</v>
      </c>
      <c r="Q25" s="540">
        <f t="shared" si="115"/>
        <v>0</v>
      </c>
      <c r="R25" s="538"/>
      <c r="S25" s="539">
        <f t="shared" si="4"/>
        <v>0</v>
      </c>
      <c r="T25" s="540">
        <f t="shared" si="116"/>
        <v>0</v>
      </c>
      <c r="U25" s="538">
        <v>2.5132000000000012</v>
      </c>
      <c r="V25" s="539">
        <f t="shared" si="5"/>
        <v>3.4341308773895587E-2</v>
      </c>
      <c r="W25" s="540">
        <f t="shared" si="117"/>
        <v>0</v>
      </c>
      <c r="X25" s="538"/>
      <c r="Y25" s="539">
        <f t="shared" si="6"/>
        <v>0</v>
      </c>
      <c r="Z25" s="540">
        <f t="shared" si="118"/>
        <v>0</v>
      </c>
      <c r="AA25" s="538"/>
      <c r="AB25" s="539">
        <f t="shared" si="7"/>
        <v>0</v>
      </c>
      <c r="AC25" s="540">
        <f t="shared" si="119"/>
        <v>0</v>
      </c>
      <c r="AD25" s="538"/>
      <c r="AE25" s="539">
        <f t="shared" si="8"/>
        <v>0</v>
      </c>
      <c r="AF25" s="540">
        <f t="shared" si="120"/>
        <v>0</v>
      </c>
      <c r="AG25" s="538"/>
      <c r="AH25" s="539">
        <f t="shared" si="9"/>
        <v>0</v>
      </c>
      <c r="AI25" s="540">
        <f t="shared" si="121"/>
        <v>0</v>
      </c>
      <c r="AJ25" s="538">
        <v>5.7564000000000135</v>
      </c>
      <c r="AK25" s="539">
        <f t="shared" si="10"/>
        <v>7.8657611740431704E-2</v>
      </c>
      <c r="AL25" s="540">
        <f t="shared" si="122"/>
        <v>0</v>
      </c>
      <c r="AM25" s="538">
        <v>0</v>
      </c>
      <c r="AN25" s="539">
        <f t="shared" si="11"/>
        <v>0</v>
      </c>
      <c r="AO25" s="540">
        <f t="shared" si="123"/>
        <v>0</v>
      </c>
      <c r="AP25" s="538">
        <v>14.24404430379748</v>
      </c>
      <c r="AQ25" s="539">
        <f t="shared" si="12"/>
        <v>0.19463597152067391</v>
      </c>
      <c r="AR25" s="540">
        <f t="shared" si="124"/>
        <v>0</v>
      </c>
      <c r="AS25" s="538"/>
      <c r="AT25" s="539">
        <f t="shared" si="13"/>
        <v>0</v>
      </c>
      <c r="AU25" s="540">
        <f t="shared" si="125"/>
        <v>0</v>
      </c>
      <c r="AV25" s="538">
        <v>6.7965000000000089</v>
      </c>
      <c r="AW25" s="539">
        <f t="shared" si="14"/>
        <v>9.2869928808603203E-2</v>
      </c>
      <c r="AX25" s="540">
        <f t="shared" si="126"/>
        <v>0</v>
      </c>
      <c r="AY25" s="538">
        <v>23.332666666666654</v>
      </c>
      <c r="AZ25" s="539">
        <f t="shared" si="15"/>
        <v>0.31882632123125115</v>
      </c>
      <c r="BA25" s="540">
        <f t="shared" si="127"/>
        <v>0</v>
      </c>
      <c r="BB25" s="538">
        <v>56.000000000000028</v>
      </c>
      <c r="BC25" s="539">
        <f t="shared" si="16"/>
        <v>0.76520503395597372</v>
      </c>
      <c r="BD25" s="540">
        <f t="shared" si="128"/>
        <v>0</v>
      </c>
      <c r="BE25" s="538"/>
      <c r="BF25" s="539">
        <f t="shared" si="17"/>
        <v>0</v>
      </c>
      <c r="BG25" s="540">
        <f t="shared" si="129"/>
        <v>0</v>
      </c>
      <c r="BH25" s="538"/>
      <c r="BI25" s="539">
        <f t="shared" si="18"/>
        <v>0</v>
      </c>
      <c r="BJ25" s="540">
        <f t="shared" si="130"/>
        <v>0</v>
      </c>
      <c r="BK25" s="538"/>
      <c r="BL25" s="539">
        <f t="shared" si="19"/>
        <v>0</v>
      </c>
      <c r="BM25" s="540">
        <f t="shared" si="131"/>
        <v>0</v>
      </c>
      <c r="BN25" s="538">
        <v>14.917700000000011</v>
      </c>
      <c r="BO25" s="539">
        <f t="shared" si="20"/>
        <v>0.20384105598294699</v>
      </c>
      <c r="BP25" s="540">
        <f t="shared" si="132"/>
        <v>0</v>
      </c>
      <c r="BQ25" s="538">
        <v>0</v>
      </c>
      <c r="BR25" s="539">
        <f t="shared" si="21"/>
        <v>0</v>
      </c>
      <c r="BS25" s="540">
        <f t="shared" si="133"/>
        <v>0</v>
      </c>
      <c r="BT25" s="538"/>
      <c r="BU25" s="539">
        <f t="shared" si="22"/>
        <v>0</v>
      </c>
      <c r="BV25" s="540">
        <f t="shared" si="134"/>
        <v>0</v>
      </c>
      <c r="BW25" s="538">
        <v>0.33999999999999986</v>
      </c>
      <c r="BX25" s="539">
        <f t="shared" si="23"/>
        <v>4.6458877061612645E-3</v>
      </c>
      <c r="BY25" s="540">
        <f t="shared" si="135"/>
        <v>0</v>
      </c>
      <c r="BZ25" s="538">
        <v>0</v>
      </c>
      <c r="CA25" s="539">
        <f t="shared" si="24"/>
        <v>0</v>
      </c>
      <c r="CB25" s="540">
        <f t="shared" si="136"/>
        <v>0</v>
      </c>
      <c r="CC25" s="538">
        <v>3.125</v>
      </c>
      <c r="CD25" s="539">
        <f t="shared" si="25"/>
        <v>4.2701173769864584E-2</v>
      </c>
      <c r="CE25" s="540">
        <f t="shared" si="137"/>
        <v>0</v>
      </c>
      <c r="CF25" s="538">
        <v>9.9999999999999978E-2</v>
      </c>
      <c r="CG25" s="539">
        <f t="shared" si="26"/>
        <v>1.3664375606356662E-3</v>
      </c>
      <c r="CH25" s="540">
        <f t="shared" si="138"/>
        <v>0</v>
      </c>
      <c r="CI25" s="538">
        <v>22.5</v>
      </c>
      <c r="CJ25" s="539">
        <f t="shared" si="27"/>
        <v>0.30744845114302499</v>
      </c>
      <c r="CK25" s="540">
        <f t="shared" si="139"/>
        <v>0</v>
      </c>
      <c r="CL25" s="538"/>
      <c r="CM25" s="539">
        <f t="shared" si="28"/>
        <v>0</v>
      </c>
      <c r="CN25" s="540">
        <f t="shared" si="140"/>
        <v>0</v>
      </c>
      <c r="CO25" s="538"/>
      <c r="CP25" s="539">
        <f t="shared" si="29"/>
        <v>0</v>
      </c>
      <c r="CQ25" s="540">
        <f t="shared" si="141"/>
        <v>0</v>
      </c>
      <c r="CR25" s="538"/>
      <c r="CS25" s="539">
        <f t="shared" si="30"/>
        <v>0</v>
      </c>
      <c r="CT25" s="540">
        <f t="shared" si="142"/>
        <v>0</v>
      </c>
      <c r="CU25" s="538"/>
      <c r="CV25" s="539">
        <f t="shared" si="31"/>
        <v>0</v>
      </c>
      <c r="CW25" s="540">
        <f t="shared" si="143"/>
        <v>0</v>
      </c>
      <c r="CX25" s="538"/>
      <c r="CY25" s="539">
        <f t="shared" si="32"/>
        <v>0</v>
      </c>
      <c r="CZ25" s="540">
        <f t="shared" si="144"/>
        <v>0</v>
      </c>
      <c r="DA25" s="538"/>
      <c r="DB25" s="539">
        <f t="shared" si="33"/>
        <v>0</v>
      </c>
      <c r="DC25" s="540">
        <f t="shared" si="145"/>
        <v>0</v>
      </c>
      <c r="DD25" s="538"/>
      <c r="DE25" s="539">
        <f t="shared" si="34"/>
        <v>0</v>
      </c>
      <c r="DF25" s="540">
        <f t="shared" si="146"/>
        <v>0</v>
      </c>
      <c r="DG25" s="538">
        <v>2.3624999999999998</v>
      </c>
      <c r="DH25" s="539">
        <f t="shared" si="35"/>
        <v>3.2282087370017622E-2</v>
      </c>
      <c r="DI25" s="540">
        <f t="shared" si="203"/>
        <v>0</v>
      </c>
      <c r="DJ25" s="538"/>
      <c r="DK25" s="539">
        <f t="shared" si="36"/>
        <v>0</v>
      </c>
      <c r="DL25" s="540">
        <f t="shared" si="147"/>
        <v>0</v>
      </c>
      <c r="DM25" s="538"/>
      <c r="DN25" s="539">
        <f t="shared" si="37"/>
        <v>0</v>
      </c>
      <c r="DO25" s="540">
        <f t="shared" si="148"/>
        <v>0</v>
      </c>
      <c r="DP25" s="538"/>
      <c r="DQ25" s="539">
        <f t="shared" si="38"/>
        <v>0</v>
      </c>
      <c r="DR25" s="540">
        <f t="shared" si="149"/>
        <v>0</v>
      </c>
      <c r="DS25" s="538"/>
      <c r="DT25" s="539">
        <f t="shared" si="39"/>
        <v>0</v>
      </c>
      <c r="DU25" s="540">
        <f t="shared" si="150"/>
        <v>0</v>
      </c>
      <c r="DV25" s="538"/>
      <c r="DW25" s="539">
        <f t="shared" si="40"/>
        <v>0</v>
      </c>
      <c r="DX25" s="540">
        <f t="shared" si="151"/>
        <v>0</v>
      </c>
      <c r="DY25" s="538"/>
      <c r="DZ25" s="539">
        <f t="shared" si="41"/>
        <v>0</v>
      </c>
      <c r="EA25" s="540">
        <f t="shared" si="152"/>
        <v>0</v>
      </c>
      <c r="EB25" s="538">
        <v>14.23520000000002</v>
      </c>
      <c r="EC25" s="539">
        <f t="shared" si="42"/>
        <v>0.1945151196316087</v>
      </c>
      <c r="ED25" s="540">
        <f t="shared" si="153"/>
        <v>0</v>
      </c>
      <c r="EE25" s="538">
        <v>2</v>
      </c>
      <c r="EF25" s="539">
        <f t="shared" si="43"/>
        <v>2.7328751212713331E-2</v>
      </c>
      <c r="EG25" s="540">
        <f t="shared" si="154"/>
        <v>0</v>
      </c>
      <c r="EH25" s="538"/>
      <c r="EI25" s="539">
        <f t="shared" si="44"/>
        <v>0</v>
      </c>
      <c r="EJ25" s="540">
        <f t="shared" si="155"/>
        <v>0</v>
      </c>
      <c r="EK25" s="538"/>
      <c r="EL25" s="539">
        <f t="shared" si="45"/>
        <v>0</v>
      </c>
      <c r="EM25" s="540">
        <f t="shared" si="156"/>
        <v>0</v>
      </c>
      <c r="EN25" s="538"/>
      <c r="EO25" s="539">
        <f t="shared" si="46"/>
        <v>0</v>
      </c>
      <c r="EP25" s="540">
        <f t="shared" si="157"/>
        <v>0</v>
      </c>
      <c r="EQ25" s="538"/>
      <c r="ER25" s="539">
        <f t="shared" si="47"/>
        <v>0</v>
      </c>
      <c r="ES25" s="540">
        <f t="shared" si="158"/>
        <v>0</v>
      </c>
      <c r="ET25" s="538"/>
      <c r="EU25" s="539">
        <f t="shared" si="48"/>
        <v>0</v>
      </c>
      <c r="EV25" s="540">
        <f t="shared" si="159"/>
        <v>0</v>
      </c>
      <c r="EW25" s="538"/>
      <c r="EX25" s="539">
        <f t="shared" si="49"/>
        <v>0</v>
      </c>
      <c r="EY25" s="540">
        <f t="shared" si="160"/>
        <v>0</v>
      </c>
      <c r="EZ25" s="538"/>
      <c r="FA25" s="539">
        <f t="shared" si="50"/>
        <v>0</v>
      </c>
      <c r="FB25" s="540">
        <f t="shared" si="161"/>
        <v>0</v>
      </c>
      <c r="FC25" s="538"/>
      <c r="FD25" s="539">
        <f t="shared" si="51"/>
        <v>0</v>
      </c>
      <c r="FE25" s="540">
        <f t="shared" si="162"/>
        <v>0</v>
      </c>
      <c r="FF25" s="538"/>
      <c r="FG25" s="539">
        <f t="shared" si="52"/>
        <v>0</v>
      </c>
      <c r="FH25" s="540">
        <f t="shared" si="163"/>
        <v>0</v>
      </c>
      <c r="FI25" s="538"/>
      <c r="FJ25" s="539">
        <f t="shared" si="53"/>
        <v>0</v>
      </c>
      <c r="FK25" s="540">
        <f t="shared" si="164"/>
        <v>0</v>
      </c>
      <c r="FL25" s="538"/>
      <c r="FM25" s="539">
        <f t="shared" si="54"/>
        <v>0</v>
      </c>
      <c r="FN25" s="540">
        <f t="shared" si="165"/>
        <v>0</v>
      </c>
      <c r="FO25" s="538"/>
      <c r="FP25" s="539">
        <f t="shared" si="55"/>
        <v>0</v>
      </c>
      <c r="FQ25" s="540">
        <f t="shared" si="166"/>
        <v>0</v>
      </c>
      <c r="FR25" s="538"/>
      <c r="FS25" s="539">
        <f t="shared" si="56"/>
        <v>0</v>
      </c>
      <c r="FT25" s="540">
        <f t="shared" si="167"/>
        <v>0</v>
      </c>
      <c r="FU25" s="538"/>
      <c r="FV25" s="539">
        <f t="shared" si="57"/>
        <v>0</v>
      </c>
      <c r="FW25" s="540">
        <f t="shared" si="168"/>
        <v>0</v>
      </c>
      <c r="FX25" s="538"/>
      <c r="FY25" s="539">
        <f t="shared" si="58"/>
        <v>0</v>
      </c>
      <c r="FZ25" s="540">
        <f t="shared" si="169"/>
        <v>0</v>
      </c>
      <c r="GA25" s="538"/>
      <c r="GB25" s="539">
        <f t="shared" si="59"/>
        <v>0</v>
      </c>
      <c r="GC25" s="540">
        <f t="shared" si="170"/>
        <v>0</v>
      </c>
      <c r="GD25" s="538"/>
      <c r="GE25" s="539">
        <f t="shared" si="60"/>
        <v>0</v>
      </c>
      <c r="GF25" s="540">
        <f t="shared" si="171"/>
        <v>0</v>
      </c>
      <c r="GG25" s="538"/>
      <c r="GH25" s="539">
        <f t="shared" si="61"/>
        <v>0</v>
      </c>
      <c r="GI25" s="540">
        <f t="shared" si="172"/>
        <v>0</v>
      </c>
      <c r="GJ25" s="538"/>
      <c r="GK25" s="539">
        <f t="shared" si="62"/>
        <v>0</v>
      </c>
      <c r="GL25" s="540">
        <f t="shared" si="173"/>
        <v>0</v>
      </c>
      <c r="GM25" s="538"/>
      <c r="GN25" s="539">
        <f t="shared" si="63"/>
        <v>0</v>
      </c>
      <c r="GO25" s="540">
        <f t="shared" si="174"/>
        <v>0</v>
      </c>
      <c r="GP25" s="538"/>
      <c r="GQ25" s="539">
        <f t="shared" si="64"/>
        <v>0</v>
      </c>
      <c r="GR25" s="540">
        <f t="shared" si="175"/>
        <v>0</v>
      </c>
      <c r="GS25" s="538"/>
      <c r="GT25" s="539">
        <f t="shared" si="65"/>
        <v>0</v>
      </c>
      <c r="GU25" s="540">
        <f t="shared" si="176"/>
        <v>0</v>
      </c>
      <c r="GV25" s="538"/>
      <c r="GW25" s="539">
        <f t="shared" si="66"/>
        <v>0</v>
      </c>
      <c r="GX25" s="540">
        <f t="shared" si="177"/>
        <v>0</v>
      </c>
      <c r="GY25" s="538"/>
      <c r="GZ25" s="539">
        <f t="shared" si="67"/>
        <v>0</v>
      </c>
      <c r="HA25" s="540">
        <f t="shared" si="178"/>
        <v>0</v>
      </c>
      <c r="HB25" s="538"/>
      <c r="HC25" s="539">
        <f t="shared" si="68"/>
        <v>0</v>
      </c>
      <c r="HD25" s="540">
        <f t="shared" si="179"/>
        <v>0</v>
      </c>
      <c r="HE25" s="538"/>
      <c r="HF25" s="539">
        <f t="shared" si="69"/>
        <v>0</v>
      </c>
      <c r="HG25" s="540">
        <f t="shared" si="180"/>
        <v>0</v>
      </c>
      <c r="HH25" s="538"/>
      <c r="HI25" s="539">
        <f t="shared" si="70"/>
        <v>0</v>
      </c>
      <c r="HJ25" s="540">
        <f t="shared" si="181"/>
        <v>0</v>
      </c>
      <c r="HK25" s="538"/>
      <c r="HL25" s="539">
        <f t="shared" si="71"/>
        <v>0</v>
      </c>
      <c r="HM25" s="540">
        <f t="shared" si="182"/>
        <v>0</v>
      </c>
      <c r="HN25" s="538"/>
      <c r="HO25" s="539">
        <f t="shared" si="72"/>
        <v>0</v>
      </c>
      <c r="HP25" s="540">
        <f t="shared" si="183"/>
        <v>0</v>
      </c>
      <c r="HQ25" s="538"/>
      <c r="HR25" s="539">
        <f t="shared" si="73"/>
        <v>0</v>
      </c>
      <c r="HS25" s="540">
        <f t="shared" si="184"/>
        <v>0</v>
      </c>
      <c r="HT25" s="538"/>
      <c r="HU25" s="539">
        <f t="shared" si="74"/>
        <v>0</v>
      </c>
      <c r="HV25" s="540">
        <f t="shared" si="185"/>
        <v>0</v>
      </c>
      <c r="HW25" s="538"/>
      <c r="HX25" s="539">
        <f t="shared" si="75"/>
        <v>0</v>
      </c>
      <c r="HY25" s="540">
        <f t="shared" si="186"/>
        <v>0</v>
      </c>
      <c r="HZ25" s="538"/>
      <c r="IA25" s="539">
        <f t="shared" si="76"/>
        <v>0</v>
      </c>
      <c r="IB25" s="540">
        <f t="shared" si="187"/>
        <v>0</v>
      </c>
      <c r="IC25" s="538"/>
      <c r="ID25" s="539">
        <f t="shared" si="77"/>
        <v>0</v>
      </c>
      <c r="IE25" s="540">
        <f t="shared" si="188"/>
        <v>0</v>
      </c>
      <c r="IF25" s="538"/>
      <c r="IG25" s="539">
        <f t="shared" si="78"/>
        <v>0</v>
      </c>
      <c r="IH25" s="540">
        <f t="shared" si="189"/>
        <v>0</v>
      </c>
      <c r="II25" s="538"/>
      <c r="IJ25" s="539">
        <f t="shared" si="79"/>
        <v>0</v>
      </c>
      <c r="IK25" s="540">
        <f t="shared" si="190"/>
        <v>0</v>
      </c>
      <c r="IL25" s="538"/>
      <c r="IM25" s="539">
        <f t="shared" si="80"/>
        <v>0</v>
      </c>
      <c r="IN25" s="540">
        <f t="shared" si="191"/>
        <v>0</v>
      </c>
      <c r="IO25" s="538"/>
      <c r="IP25" s="539">
        <f t="shared" si="81"/>
        <v>0</v>
      </c>
      <c r="IQ25" s="540">
        <f t="shared" si="192"/>
        <v>0</v>
      </c>
      <c r="IR25" s="538"/>
      <c r="IS25" s="539">
        <f t="shared" si="82"/>
        <v>0</v>
      </c>
      <c r="IT25" s="540">
        <f t="shared" si="193"/>
        <v>0</v>
      </c>
      <c r="IU25" s="538"/>
      <c r="IV25" s="539">
        <f t="shared" si="83"/>
        <v>0</v>
      </c>
      <c r="IW25" s="540">
        <f t="shared" si="194"/>
        <v>0</v>
      </c>
      <c r="IX25" s="538"/>
      <c r="IY25" s="539">
        <f t="shared" si="84"/>
        <v>0</v>
      </c>
      <c r="IZ25" s="540">
        <f t="shared" si="195"/>
        <v>0</v>
      </c>
      <c r="JA25" s="538"/>
      <c r="JB25" s="539">
        <f t="shared" si="85"/>
        <v>0</v>
      </c>
      <c r="JC25" s="540">
        <f t="shared" si="196"/>
        <v>0</v>
      </c>
      <c r="JD25" s="538"/>
      <c r="JE25" s="539">
        <f t="shared" si="86"/>
        <v>0</v>
      </c>
      <c r="JF25" s="540">
        <f t="shared" si="197"/>
        <v>0</v>
      </c>
      <c r="JG25" s="538"/>
      <c r="JH25" s="539">
        <f t="shared" si="87"/>
        <v>0</v>
      </c>
      <c r="JI25" s="540">
        <f t="shared" si="198"/>
        <v>0</v>
      </c>
      <c r="JJ25" s="538"/>
      <c r="JK25" s="540" t="str">
        <f t="shared" si="88"/>
        <v>0</v>
      </c>
      <c r="JL25" s="540" t="str">
        <f t="shared" si="89"/>
        <v>0</v>
      </c>
      <c r="JM25" s="538"/>
      <c r="JN25" s="540" t="str">
        <f t="shared" si="90"/>
        <v>0</v>
      </c>
      <c r="JO25" s="540" t="str">
        <f t="shared" si="91"/>
        <v>0</v>
      </c>
      <c r="JP25" s="538"/>
      <c r="JQ25" s="540" t="str">
        <f t="shared" si="92"/>
        <v>0</v>
      </c>
      <c r="JR25" s="540" t="str">
        <f t="shared" si="93"/>
        <v>0</v>
      </c>
      <c r="JS25" s="538"/>
      <c r="JT25" s="540" t="str">
        <f t="shared" si="94"/>
        <v>0</v>
      </c>
      <c r="JU25" s="540" t="str">
        <f t="shared" si="95"/>
        <v>0</v>
      </c>
      <c r="JV25" s="538"/>
      <c r="JW25" s="540" t="str">
        <f t="shared" si="96"/>
        <v>0</v>
      </c>
      <c r="JX25" s="540" t="str">
        <f t="shared" si="97"/>
        <v>0</v>
      </c>
      <c r="JY25" s="538"/>
      <c r="JZ25" s="540" t="str">
        <f t="shared" si="98"/>
        <v>0</v>
      </c>
      <c r="KA25" s="540" t="str">
        <f t="shared" si="99"/>
        <v>0</v>
      </c>
      <c r="KB25" s="538"/>
      <c r="KC25" s="540" t="str">
        <f t="shared" si="100"/>
        <v>0</v>
      </c>
      <c r="KD25" s="540" t="str">
        <f t="shared" si="101"/>
        <v>0</v>
      </c>
      <c r="KE25" s="538"/>
      <c r="KF25" s="540" t="str">
        <f t="shared" si="102"/>
        <v>0</v>
      </c>
      <c r="KG25" s="540" t="str">
        <f t="shared" si="103"/>
        <v>0</v>
      </c>
      <c r="KH25" s="538"/>
      <c r="KI25" s="540" t="str">
        <f t="shared" si="104"/>
        <v>0</v>
      </c>
      <c r="KJ25" s="540" t="str">
        <f t="shared" si="105"/>
        <v>0</v>
      </c>
      <c r="KK25" s="538"/>
      <c r="KL25" s="540" t="str">
        <f t="shared" si="106"/>
        <v>0</v>
      </c>
      <c r="KM25" s="540" t="str">
        <f t="shared" si="107"/>
        <v>0</v>
      </c>
      <c r="KN25" s="538"/>
      <c r="KO25" s="540" t="str">
        <f t="shared" si="108"/>
        <v>0</v>
      </c>
      <c r="KP25" s="540" t="str">
        <f t="shared" si="109"/>
        <v>0</v>
      </c>
      <c r="KQ25" s="538"/>
      <c r="KR25" s="540" t="str">
        <f t="shared" si="110"/>
        <v>0</v>
      </c>
      <c r="KS25" s="540" t="str">
        <f t="shared" si="111"/>
        <v>0</v>
      </c>
      <c r="KT25" s="540">
        <f t="shared" si="201"/>
        <v>0</v>
      </c>
      <c r="KU25" s="540">
        <f t="shared" si="202"/>
        <v>0</v>
      </c>
      <c r="KV25" s="274">
        <f t="shared" si="199"/>
        <v>789.0202109704644</v>
      </c>
    </row>
    <row r="26" spans="1:309" ht="15" customHeight="1">
      <c r="A26" s="276">
        <f t="shared" si="200"/>
        <v>45887</v>
      </c>
      <c r="B26" s="277" t="str">
        <f>+Report1!B26</f>
        <v>Facial</v>
      </c>
      <c r="C26" s="417" t="str">
        <f>+Report1!C26</f>
        <v>10,3</v>
      </c>
      <c r="D26" s="278">
        <f>+Report1!P26</f>
        <v>53.594000000000001</v>
      </c>
      <c r="E26" s="279">
        <f>+Report1!R26</f>
        <v>56.569000000000003</v>
      </c>
      <c r="F26" s="538"/>
      <c r="G26" s="539">
        <f t="shared" si="0"/>
        <v>0</v>
      </c>
      <c r="H26" s="540">
        <f t="shared" si="112"/>
        <v>0</v>
      </c>
      <c r="I26" s="538">
        <v>290.69305581395361</v>
      </c>
      <c r="J26" s="539">
        <f t="shared" si="1"/>
        <v>5.1387342150993227</v>
      </c>
      <c r="K26" s="540">
        <f t="shared" si="113"/>
        <v>0</v>
      </c>
      <c r="L26" s="538"/>
      <c r="M26" s="539">
        <f t="shared" si="2"/>
        <v>0</v>
      </c>
      <c r="N26" s="540">
        <f t="shared" si="114"/>
        <v>0</v>
      </c>
      <c r="O26" s="538">
        <v>6.0055999999999869</v>
      </c>
      <c r="P26" s="539">
        <f t="shared" si="3"/>
        <v>0.10616415351164042</v>
      </c>
      <c r="Q26" s="540">
        <f t="shared" si="115"/>
        <v>0</v>
      </c>
      <c r="R26" s="538"/>
      <c r="S26" s="539">
        <f t="shared" si="4"/>
        <v>0</v>
      </c>
      <c r="T26" s="540">
        <f t="shared" si="116"/>
        <v>0</v>
      </c>
      <c r="U26" s="538">
        <v>2.5638999999999967</v>
      </c>
      <c r="V26" s="539">
        <f t="shared" si="5"/>
        <v>4.5323410348423986E-2</v>
      </c>
      <c r="W26" s="540">
        <f t="shared" si="117"/>
        <v>0</v>
      </c>
      <c r="X26" s="538"/>
      <c r="Y26" s="539">
        <f t="shared" si="6"/>
        <v>0</v>
      </c>
      <c r="Z26" s="540">
        <f t="shared" si="118"/>
        <v>0</v>
      </c>
      <c r="AA26" s="538"/>
      <c r="AB26" s="539">
        <f t="shared" si="7"/>
        <v>0</v>
      </c>
      <c r="AC26" s="540">
        <f t="shared" si="119"/>
        <v>0</v>
      </c>
      <c r="AD26" s="538"/>
      <c r="AE26" s="539">
        <f t="shared" si="8"/>
        <v>0</v>
      </c>
      <c r="AF26" s="540">
        <f t="shared" si="120"/>
        <v>0</v>
      </c>
      <c r="AG26" s="538"/>
      <c r="AH26" s="539">
        <f t="shared" si="9"/>
        <v>0</v>
      </c>
      <c r="AI26" s="540">
        <f t="shared" si="121"/>
        <v>0</v>
      </c>
      <c r="AJ26" s="538">
        <v>0</v>
      </c>
      <c r="AK26" s="539">
        <f t="shared" si="10"/>
        <v>0</v>
      </c>
      <c r="AL26" s="540">
        <f t="shared" si="122"/>
        <v>0</v>
      </c>
      <c r="AM26" s="538">
        <v>0</v>
      </c>
      <c r="AN26" s="539">
        <f t="shared" si="11"/>
        <v>0</v>
      </c>
      <c r="AO26" s="540">
        <f t="shared" si="123"/>
        <v>0</v>
      </c>
      <c r="AP26" s="538">
        <v>42.717981012658242</v>
      </c>
      <c r="AQ26" s="539">
        <f t="shared" si="12"/>
        <v>0.7551482439615026</v>
      </c>
      <c r="AR26" s="540">
        <f t="shared" si="124"/>
        <v>0</v>
      </c>
      <c r="AS26" s="538"/>
      <c r="AT26" s="539">
        <f t="shared" si="13"/>
        <v>0</v>
      </c>
      <c r="AU26" s="540">
        <f t="shared" si="125"/>
        <v>0</v>
      </c>
      <c r="AV26" s="538">
        <v>8.8176000000000272</v>
      </c>
      <c r="AW26" s="539">
        <f t="shared" si="14"/>
        <v>0.15587335819972117</v>
      </c>
      <c r="AX26" s="540">
        <f t="shared" si="126"/>
        <v>0</v>
      </c>
      <c r="AY26" s="538">
        <v>70.00066666666666</v>
      </c>
      <c r="AZ26" s="539">
        <f t="shared" si="15"/>
        <v>1.2374386442515628</v>
      </c>
      <c r="BA26" s="540">
        <f t="shared" si="127"/>
        <v>0</v>
      </c>
      <c r="BB26" s="538">
        <v>0</v>
      </c>
      <c r="BC26" s="539">
        <f t="shared" si="16"/>
        <v>0</v>
      </c>
      <c r="BD26" s="540">
        <f t="shared" si="128"/>
        <v>0</v>
      </c>
      <c r="BE26" s="538"/>
      <c r="BF26" s="539">
        <f t="shared" si="17"/>
        <v>0</v>
      </c>
      <c r="BG26" s="540">
        <f t="shared" si="129"/>
        <v>0</v>
      </c>
      <c r="BH26" s="538"/>
      <c r="BI26" s="539">
        <f t="shared" si="18"/>
        <v>0</v>
      </c>
      <c r="BJ26" s="540">
        <f t="shared" si="130"/>
        <v>0</v>
      </c>
      <c r="BK26" s="538"/>
      <c r="BL26" s="539">
        <f t="shared" si="19"/>
        <v>0</v>
      </c>
      <c r="BM26" s="540">
        <f t="shared" si="131"/>
        <v>0</v>
      </c>
      <c r="BN26" s="538">
        <v>2.5357592592592582</v>
      </c>
      <c r="BO26" s="539">
        <f t="shared" si="20"/>
        <v>4.4825951656547895E-2</v>
      </c>
      <c r="BP26" s="540">
        <f t="shared" si="132"/>
        <v>0</v>
      </c>
      <c r="BQ26" s="538">
        <v>0</v>
      </c>
      <c r="BR26" s="539">
        <f t="shared" si="21"/>
        <v>0</v>
      </c>
      <c r="BS26" s="540">
        <f t="shared" si="133"/>
        <v>0</v>
      </c>
      <c r="BT26" s="538"/>
      <c r="BU26" s="539">
        <f t="shared" si="22"/>
        <v>0</v>
      </c>
      <c r="BV26" s="540">
        <f t="shared" si="134"/>
        <v>0</v>
      </c>
      <c r="BW26" s="538">
        <v>0</v>
      </c>
      <c r="BX26" s="539">
        <f t="shared" si="23"/>
        <v>0</v>
      </c>
      <c r="BY26" s="540">
        <f t="shared" si="135"/>
        <v>0</v>
      </c>
      <c r="BZ26" s="538">
        <v>0</v>
      </c>
      <c r="CA26" s="539">
        <f t="shared" si="24"/>
        <v>0</v>
      </c>
      <c r="CB26" s="540">
        <f t="shared" si="136"/>
        <v>0</v>
      </c>
      <c r="CC26" s="538">
        <v>0</v>
      </c>
      <c r="CD26" s="539">
        <f t="shared" si="25"/>
        <v>0</v>
      </c>
      <c r="CE26" s="540">
        <f t="shared" si="137"/>
        <v>0</v>
      </c>
      <c r="CF26" s="538">
        <v>9.9999999999999978E-2</v>
      </c>
      <c r="CG26" s="539">
        <f t="shared" si="26"/>
        <v>1.7677526560483652E-3</v>
      </c>
      <c r="CH26" s="540">
        <f>+CF26*$H$8</f>
        <v>0</v>
      </c>
      <c r="CI26" s="538">
        <v>0</v>
      </c>
      <c r="CJ26" s="539">
        <f t="shared" si="27"/>
        <v>0</v>
      </c>
      <c r="CK26" s="540">
        <f t="shared" si="139"/>
        <v>0</v>
      </c>
      <c r="CL26" s="538"/>
      <c r="CM26" s="539">
        <f t="shared" si="28"/>
        <v>0</v>
      </c>
      <c r="CN26" s="540">
        <f t="shared" si="140"/>
        <v>0</v>
      </c>
      <c r="CO26" s="538"/>
      <c r="CP26" s="539">
        <f t="shared" si="29"/>
        <v>0</v>
      </c>
      <c r="CQ26" s="540">
        <f t="shared" si="141"/>
        <v>0</v>
      </c>
      <c r="CR26" s="538"/>
      <c r="CS26" s="539">
        <f t="shared" si="30"/>
        <v>0</v>
      </c>
      <c r="CT26" s="540">
        <f t="shared" si="142"/>
        <v>0</v>
      </c>
      <c r="CU26" s="538"/>
      <c r="CV26" s="539">
        <f t="shared" si="31"/>
        <v>0</v>
      </c>
      <c r="CW26" s="540">
        <f t="shared" si="143"/>
        <v>0</v>
      </c>
      <c r="CX26" s="538"/>
      <c r="CY26" s="539">
        <f t="shared" si="32"/>
        <v>0</v>
      </c>
      <c r="CZ26" s="540">
        <f t="shared" si="144"/>
        <v>0</v>
      </c>
      <c r="DA26" s="538"/>
      <c r="DB26" s="539">
        <f t="shared" si="33"/>
        <v>0</v>
      </c>
      <c r="DC26" s="540">
        <f t="shared" si="145"/>
        <v>0</v>
      </c>
      <c r="DD26" s="538"/>
      <c r="DE26" s="539">
        <f t="shared" si="34"/>
        <v>0</v>
      </c>
      <c r="DF26" s="540">
        <f t="shared" si="146"/>
        <v>0</v>
      </c>
      <c r="DG26" s="538">
        <v>0</v>
      </c>
      <c r="DH26" s="539">
        <f t="shared" si="35"/>
        <v>0</v>
      </c>
      <c r="DI26" s="540">
        <f t="shared" si="203"/>
        <v>0</v>
      </c>
      <c r="DJ26" s="538"/>
      <c r="DK26" s="539">
        <f t="shared" si="36"/>
        <v>0</v>
      </c>
      <c r="DL26" s="540">
        <f t="shared" si="147"/>
        <v>0</v>
      </c>
      <c r="DM26" s="538"/>
      <c r="DN26" s="539">
        <f t="shared" si="37"/>
        <v>0</v>
      </c>
      <c r="DO26" s="540">
        <f t="shared" si="148"/>
        <v>0</v>
      </c>
      <c r="DP26" s="538"/>
      <c r="DQ26" s="539">
        <f t="shared" si="38"/>
        <v>0</v>
      </c>
      <c r="DR26" s="540">
        <f t="shared" si="149"/>
        <v>0</v>
      </c>
      <c r="DS26" s="538"/>
      <c r="DT26" s="539">
        <f t="shared" si="39"/>
        <v>0</v>
      </c>
      <c r="DU26" s="540">
        <f t="shared" si="150"/>
        <v>0</v>
      </c>
      <c r="DV26" s="538"/>
      <c r="DW26" s="539">
        <f t="shared" si="40"/>
        <v>0</v>
      </c>
      <c r="DX26" s="540">
        <f t="shared" si="151"/>
        <v>0</v>
      </c>
      <c r="DY26" s="538"/>
      <c r="DZ26" s="539">
        <f t="shared" si="41"/>
        <v>0</v>
      </c>
      <c r="EA26" s="540">
        <f t="shared" si="152"/>
        <v>0</v>
      </c>
      <c r="EB26" s="538">
        <v>14.536455813953467</v>
      </c>
      <c r="EC26" s="539">
        <f t="shared" si="42"/>
        <v>0.25696858374645948</v>
      </c>
      <c r="ED26" s="540">
        <f t="shared" si="153"/>
        <v>0</v>
      </c>
      <c r="EE26" s="538">
        <v>2</v>
      </c>
      <c r="EF26" s="539">
        <f t="shared" si="43"/>
        <v>3.535505312096731E-2</v>
      </c>
      <c r="EG26" s="540">
        <f t="shared" si="154"/>
        <v>0</v>
      </c>
      <c r="EH26" s="538"/>
      <c r="EI26" s="539">
        <f t="shared" si="44"/>
        <v>0</v>
      </c>
      <c r="EJ26" s="540">
        <f t="shared" si="155"/>
        <v>0</v>
      </c>
      <c r="EK26" s="538"/>
      <c r="EL26" s="539">
        <f t="shared" si="45"/>
        <v>0</v>
      </c>
      <c r="EM26" s="540">
        <f t="shared" si="156"/>
        <v>0</v>
      </c>
      <c r="EN26" s="538"/>
      <c r="EO26" s="539">
        <f t="shared" si="46"/>
        <v>0</v>
      </c>
      <c r="EP26" s="540">
        <f t="shared" si="157"/>
        <v>0</v>
      </c>
      <c r="EQ26" s="538"/>
      <c r="ER26" s="539">
        <f t="shared" si="47"/>
        <v>0</v>
      </c>
      <c r="ES26" s="540">
        <f t="shared" si="158"/>
        <v>0</v>
      </c>
      <c r="ET26" s="538"/>
      <c r="EU26" s="539">
        <f t="shared" si="48"/>
        <v>0</v>
      </c>
      <c r="EV26" s="540">
        <f t="shared" si="159"/>
        <v>0</v>
      </c>
      <c r="EW26" s="538"/>
      <c r="EX26" s="539">
        <f t="shared" si="49"/>
        <v>0</v>
      </c>
      <c r="EY26" s="540">
        <f t="shared" si="160"/>
        <v>0</v>
      </c>
      <c r="EZ26" s="538"/>
      <c r="FA26" s="539">
        <f t="shared" si="50"/>
        <v>0</v>
      </c>
      <c r="FB26" s="540">
        <f t="shared" si="161"/>
        <v>0</v>
      </c>
      <c r="FC26" s="538"/>
      <c r="FD26" s="539">
        <f t="shared" si="51"/>
        <v>0</v>
      </c>
      <c r="FE26" s="540">
        <f t="shared" si="162"/>
        <v>0</v>
      </c>
      <c r="FF26" s="538"/>
      <c r="FG26" s="539">
        <f t="shared" si="52"/>
        <v>0</v>
      </c>
      <c r="FH26" s="540">
        <f t="shared" si="163"/>
        <v>0</v>
      </c>
      <c r="FI26" s="538"/>
      <c r="FJ26" s="539">
        <f t="shared" si="53"/>
        <v>0</v>
      </c>
      <c r="FK26" s="540">
        <f t="shared" si="164"/>
        <v>0</v>
      </c>
      <c r="FL26" s="538"/>
      <c r="FM26" s="539">
        <f t="shared" si="54"/>
        <v>0</v>
      </c>
      <c r="FN26" s="540">
        <f t="shared" si="165"/>
        <v>0</v>
      </c>
      <c r="FO26" s="538"/>
      <c r="FP26" s="539">
        <f t="shared" si="55"/>
        <v>0</v>
      </c>
      <c r="FQ26" s="540">
        <f t="shared" si="166"/>
        <v>0</v>
      </c>
      <c r="FR26" s="538"/>
      <c r="FS26" s="539">
        <f t="shared" si="56"/>
        <v>0</v>
      </c>
      <c r="FT26" s="540">
        <f t="shared" si="167"/>
        <v>0</v>
      </c>
      <c r="FU26" s="538"/>
      <c r="FV26" s="539">
        <f t="shared" si="57"/>
        <v>0</v>
      </c>
      <c r="FW26" s="540">
        <f t="shared" si="168"/>
        <v>0</v>
      </c>
      <c r="FX26" s="538"/>
      <c r="FY26" s="539">
        <f t="shared" si="58"/>
        <v>0</v>
      </c>
      <c r="FZ26" s="540">
        <f t="shared" si="169"/>
        <v>0</v>
      </c>
      <c r="GA26" s="538"/>
      <c r="GB26" s="539">
        <f t="shared" si="59"/>
        <v>0</v>
      </c>
      <c r="GC26" s="540">
        <f t="shared" si="170"/>
        <v>0</v>
      </c>
      <c r="GD26" s="538"/>
      <c r="GE26" s="539">
        <f t="shared" si="60"/>
        <v>0</v>
      </c>
      <c r="GF26" s="540">
        <f t="shared" si="171"/>
        <v>0</v>
      </c>
      <c r="GG26" s="538"/>
      <c r="GH26" s="539">
        <f t="shared" si="61"/>
        <v>0</v>
      </c>
      <c r="GI26" s="540">
        <f t="shared" si="172"/>
        <v>0</v>
      </c>
      <c r="GJ26" s="538"/>
      <c r="GK26" s="539">
        <f t="shared" si="62"/>
        <v>0</v>
      </c>
      <c r="GL26" s="540">
        <f t="shared" si="173"/>
        <v>0</v>
      </c>
      <c r="GM26" s="538"/>
      <c r="GN26" s="539">
        <f t="shared" si="63"/>
        <v>0</v>
      </c>
      <c r="GO26" s="540">
        <f t="shared" si="174"/>
        <v>0</v>
      </c>
      <c r="GP26" s="538"/>
      <c r="GQ26" s="539">
        <f t="shared" si="64"/>
        <v>0</v>
      </c>
      <c r="GR26" s="540">
        <f t="shared" si="175"/>
        <v>0</v>
      </c>
      <c r="GS26" s="538"/>
      <c r="GT26" s="539">
        <f t="shared" si="65"/>
        <v>0</v>
      </c>
      <c r="GU26" s="540">
        <f t="shared" si="176"/>
        <v>0</v>
      </c>
      <c r="GV26" s="538"/>
      <c r="GW26" s="539">
        <f t="shared" si="66"/>
        <v>0</v>
      </c>
      <c r="GX26" s="540">
        <f t="shared" si="177"/>
        <v>0</v>
      </c>
      <c r="GY26" s="538"/>
      <c r="GZ26" s="539">
        <f t="shared" si="67"/>
        <v>0</v>
      </c>
      <c r="HA26" s="540">
        <f t="shared" si="178"/>
        <v>0</v>
      </c>
      <c r="HB26" s="538"/>
      <c r="HC26" s="539">
        <f t="shared" si="68"/>
        <v>0</v>
      </c>
      <c r="HD26" s="540">
        <f t="shared" si="179"/>
        <v>0</v>
      </c>
      <c r="HE26" s="538"/>
      <c r="HF26" s="539">
        <f t="shared" si="69"/>
        <v>0</v>
      </c>
      <c r="HG26" s="540">
        <f t="shared" si="180"/>
        <v>0</v>
      </c>
      <c r="HH26" s="538"/>
      <c r="HI26" s="539">
        <f t="shared" si="70"/>
        <v>0</v>
      </c>
      <c r="HJ26" s="540">
        <f t="shared" si="181"/>
        <v>0</v>
      </c>
      <c r="HK26" s="538"/>
      <c r="HL26" s="539">
        <f t="shared" si="71"/>
        <v>0</v>
      </c>
      <c r="HM26" s="540">
        <f t="shared" si="182"/>
        <v>0</v>
      </c>
      <c r="HN26" s="538"/>
      <c r="HO26" s="539">
        <f t="shared" si="72"/>
        <v>0</v>
      </c>
      <c r="HP26" s="540">
        <f t="shared" si="183"/>
        <v>0</v>
      </c>
      <c r="HQ26" s="538"/>
      <c r="HR26" s="539">
        <f t="shared" si="73"/>
        <v>0</v>
      </c>
      <c r="HS26" s="540">
        <f t="shared" si="184"/>
        <v>0</v>
      </c>
      <c r="HT26" s="538"/>
      <c r="HU26" s="539">
        <f t="shared" si="74"/>
        <v>0</v>
      </c>
      <c r="HV26" s="540">
        <f t="shared" si="185"/>
        <v>0</v>
      </c>
      <c r="HW26" s="538"/>
      <c r="HX26" s="539">
        <f t="shared" si="75"/>
        <v>0</v>
      </c>
      <c r="HY26" s="540">
        <f t="shared" si="186"/>
        <v>0</v>
      </c>
      <c r="HZ26" s="538"/>
      <c r="IA26" s="539">
        <f t="shared" si="76"/>
        <v>0</v>
      </c>
      <c r="IB26" s="540">
        <f t="shared" si="187"/>
        <v>0</v>
      </c>
      <c r="IC26" s="538"/>
      <c r="ID26" s="539">
        <f t="shared" si="77"/>
        <v>0</v>
      </c>
      <c r="IE26" s="540">
        <f t="shared" si="188"/>
        <v>0</v>
      </c>
      <c r="IF26" s="538"/>
      <c r="IG26" s="539">
        <f t="shared" si="78"/>
        <v>0</v>
      </c>
      <c r="IH26" s="540">
        <f t="shared" si="189"/>
        <v>0</v>
      </c>
      <c r="II26" s="538"/>
      <c r="IJ26" s="539">
        <f t="shared" si="79"/>
        <v>0</v>
      </c>
      <c r="IK26" s="540">
        <f t="shared" si="190"/>
        <v>0</v>
      </c>
      <c r="IL26" s="538"/>
      <c r="IM26" s="539">
        <f t="shared" si="80"/>
        <v>0</v>
      </c>
      <c r="IN26" s="540">
        <f t="shared" si="191"/>
        <v>0</v>
      </c>
      <c r="IO26" s="538"/>
      <c r="IP26" s="539">
        <f t="shared" si="81"/>
        <v>0</v>
      </c>
      <c r="IQ26" s="540">
        <f t="shared" si="192"/>
        <v>0</v>
      </c>
      <c r="IR26" s="538"/>
      <c r="IS26" s="539">
        <f t="shared" si="82"/>
        <v>0</v>
      </c>
      <c r="IT26" s="540">
        <f t="shared" si="193"/>
        <v>0</v>
      </c>
      <c r="IU26" s="538"/>
      <c r="IV26" s="539">
        <f t="shared" si="83"/>
        <v>0</v>
      </c>
      <c r="IW26" s="540">
        <f t="shared" si="194"/>
        <v>0</v>
      </c>
      <c r="IX26" s="538"/>
      <c r="IY26" s="539">
        <f t="shared" si="84"/>
        <v>0</v>
      </c>
      <c r="IZ26" s="540">
        <f t="shared" si="195"/>
        <v>0</v>
      </c>
      <c r="JA26" s="538"/>
      <c r="JB26" s="539">
        <f t="shared" si="85"/>
        <v>0</v>
      </c>
      <c r="JC26" s="540">
        <f t="shared" si="196"/>
        <v>0</v>
      </c>
      <c r="JD26" s="538"/>
      <c r="JE26" s="539">
        <f t="shared" si="86"/>
        <v>0</v>
      </c>
      <c r="JF26" s="540">
        <f t="shared" si="197"/>
        <v>0</v>
      </c>
      <c r="JG26" s="538"/>
      <c r="JH26" s="539">
        <f t="shared" si="87"/>
        <v>0</v>
      </c>
      <c r="JI26" s="540">
        <f t="shared" si="198"/>
        <v>0</v>
      </c>
      <c r="JJ26" s="538"/>
      <c r="JK26" s="540" t="str">
        <f t="shared" si="88"/>
        <v>0</v>
      </c>
      <c r="JL26" s="540" t="str">
        <f t="shared" si="89"/>
        <v>0</v>
      </c>
      <c r="JM26" s="538"/>
      <c r="JN26" s="540" t="str">
        <f t="shared" si="90"/>
        <v>0</v>
      </c>
      <c r="JO26" s="540" t="str">
        <f t="shared" si="91"/>
        <v>0</v>
      </c>
      <c r="JP26" s="538"/>
      <c r="JQ26" s="540" t="str">
        <f t="shared" si="92"/>
        <v>0</v>
      </c>
      <c r="JR26" s="540" t="str">
        <f t="shared" si="93"/>
        <v>0</v>
      </c>
      <c r="JS26" s="538"/>
      <c r="JT26" s="540" t="str">
        <f t="shared" si="94"/>
        <v>0</v>
      </c>
      <c r="JU26" s="540" t="str">
        <f t="shared" si="95"/>
        <v>0</v>
      </c>
      <c r="JV26" s="538"/>
      <c r="JW26" s="540" t="str">
        <f t="shared" si="96"/>
        <v>0</v>
      </c>
      <c r="JX26" s="540" t="str">
        <f t="shared" si="97"/>
        <v>0</v>
      </c>
      <c r="JY26" s="538"/>
      <c r="JZ26" s="540" t="str">
        <f t="shared" si="98"/>
        <v>0</v>
      </c>
      <c r="KA26" s="540" t="str">
        <f t="shared" si="99"/>
        <v>0</v>
      </c>
      <c r="KB26" s="538"/>
      <c r="KC26" s="540" t="str">
        <f t="shared" si="100"/>
        <v>0</v>
      </c>
      <c r="KD26" s="540" t="str">
        <f t="shared" si="101"/>
        <v>0</v>
      </c>
      <c r="KE26" s="538"/>
      <c r="KF26" s="540" t="str">
        <f t="shared" si="102"/>
        <v>0</v>
      </c>
      <c r="KG26" s="540" t="str">
        <f t="shared" si="103"/>
        <v>0</v>
      </c>
      <c r="KH26" s="538"/>
      <c r="KI26" s="540" t="str">
        <f t="shared" si="104"/>
        <v>0</v>
      </c>
      <c r="KJ26" s="540" t="str">
        <f t="shared" si="105"/>
        <v>0</v>
      </c>
      <c r="KK26" s="538"/>
      <c r="KL26" s="540" t="str">
        <f t="shared" si="106"/>
        <v>0</v>
      </c>
      <c r="KM26" s="540" t="str">
        <f t="shared" si="107"/>
        <v>0</v>
      </c>
      <c r="KN26" s="538"/>
      <c r="KO26" s="540" t="str">
        <f t="shared" si="108"/>
        <v>0</v>
      </c>
      <c r="KP26" s="540" t="str">
        <f t="shared" si="109"/>
        <v>0</v>
      </c>
      <c r="KQ26" s="538"/>
      <c r="KR26" s="540" t="str">
        <f t="shared" si="110"/>
        <v>0</v>
      </c>
      <c r="KS26" s="540" t="str">
        <f t="shared" si="111"/>
        <v>0</v>
      </c>
      <c r="KT26" s="540">
        <f>H26+K26+N26+Q26+T26+W26+Z26+AC26+AF26+AI26+AL26+AO26+AR26+AU26+AX26+BA26+BD26+BG26+BJ26+BM26+BP26+BS26+BV26+BY26+CB26+CE26+CH26+CK26+CN26+CQ26+CT26+CW26+CZ26+DC26+DF26+DI26+DL26+DO26+DR26+DU26+DX26+EA26+ED26+EG26+EJ26+EM26+EP26+ES26+EV26+EY26+FB26+FE26+FH26+FK26+FN26+FQ26+FT26+FW26+FZ26+GC26</f>
        <v>0</v>
      </c>
      <c r="KU26" s="540">
        <f t="shared" si="202"/>
        <v>0</v>
      </c>
      <c r="KV26" s="274">
        <f t="shared" si="199"/>
        <v>439.97101856649118</v>
      </c>
    </row>
    <row r="27" spans="1:309" ht="15" customHeight="1">
      <c r="A27" s="276">
        <f t="shared" si="200"/>
        <v>45888</v>
      </c>
      <c r="B27" s="277" t="str">
        <f>+Report1!B27</f>
        <v>Facial</v>
      </c>
      <c r="C27" s="417" t="str">
        <f>+Report1!C27</f>
        <v>10,3</v>
      </c>
      <c r="D27" s="278">
        <f>+Report1!P27</f>
        <v>55.29</v>
      </c>
      <c r="E27" s="279">
        <f>+Report1!R27</f>
        <v>55.167999999999999</v>
      </c>
      <c r="F27" s="538"/>
      <c r="G27" s="539">
        <f t="shared" si="0"/>
        <v>0</v>
      </c>
      <c r="H27" s="540">
        <f t="shared" si="112"/>
        <v>0</v>
      </c>
      <c r="I27" s="538">
        <v>290.69767441860449</v>
      </c>
      <c r="J27" s="539">
        <f t="shared" si="1"/>
        <v>5.2693168941887416</v>
      </c>
      <c r="K27" s="540">
        <f t="shared" si="113"/>
        <v>0</v>
      </c>
      <c r="L27" s="538"/>
      <c r="M27" s="539">
        <f t="shared" si="2"/>
        <v>0</v>
      </c>
      <c r="N27" s="540">
        <f t="shared" si="114"/>
        <v>0</v>
      </c>
      <c r="O27" s="538">
        <v>3</v>
      </c>
      <c r="P27" s="539">
        <f t="shared" si="3"/>
        <v>5.4379350348027843E-2</v>
      </c>
      <c r="Q27" s="540">
        <f t="shared" si="115"/>
        <v>0</v>
      </c>
      <c r="R27" s="538"/>
      <c r="S27" s="539">
        <f t="shared" si="4"/>
        <v>0</v>
      </c>
      <c r="T27" s="540">
        <f t="shared" si="116"/>
        <v>0</v>
      </c>
      <c r="U27" s="538">
        <v>2.5625000000000036</v>
      </c>
      <c r="V27" s="539">
        <f t="shared" si="5"/>
        <v>4.6449028422273844E-2</v>
      </c>
      <c r="W27" s="540">
        <f t="shared" si="117"/>
        <v>0</v>
      </c>
      <c r="X27" s="538"/>
      <c r="Y27" s="539">
        <f t="shared" si="6"/>
        <v>0</v>
      </c>
      <c r="Z27" s="540">
        <f t="shared" si="118"/>
        <v>0</v>
      </c>
      <c r="AA27" s="538"/>
      <c r="AB27" s="539">
        <f t="shared" si="7"/>
        <v>0</v>
      </c>
      <c r="AC27" s="540">
        <f t="shared" si="119"/>
        <v>0</v>
      </c>
      <c r="AD27" s="538"/>
      <c r="AE27" s="539">
        <f t="shared" si="8"/>
        <v>0</v>
      </c>
      <c r="AF27" s="540">
        <f t="shared" si="120"/>
        <v>0</v>
      </c>
      <c r="AG27" s="538"/>
      <c r="AH27" s="539">
        <f t="shared" si="9"/>
        <v>0</v>
      </c>
      <c r="AI27" s="540">
        <f t="shared" si="121"/>
        <v>0</v>
      </c>
      <c r="AJ27" s="538">
        <v>0</v>
      </c>
      <c r="AK27" s="539">
        <f t="shared" si="10"/>
        <v>0</v>
      </c>
      <c r="AL27" s="540">
        <f t="shared" si="122"/>
        <v>0</v>
      </c>
      <c r="AM27" s="538">
        <v>0</v>
      </c>
      <c r="AN27" s="539">
        <f t="shared" si="11"/>
        <v>0</v>
      </c>
      <c r="AO27" s="540">
        <f t="shared" si="123"/>
        <v>0</v>
      </c>
      <c r="AP27" s="538">
        <v>42.721518987341767</v>
      </c>
      <c r="AQ27" s="539">
        <f t="shared" si="12"/>
        <v>0.77438948280419384</v>
      </c>
      <c r="AR27" s="540">
        <f t="shared" si="124"/>
        <v>0</v>
      </c>
      <c r="AS27" s="538"/>
      <c r="AT27" s="539">
        <f t="shared" si="13"/>
        <v>0</v>
      </c>
      <c r="AU27" s="540">
        <f t="shared" si="125"/>
        <v>0</v>
      </c>
      <c r="AV27" s="538">
        <v>0</v>
      </c>
      <c r="AW27" s="539">
        <f t="shared" si="14"/>
        <v>0</v>
      </c>
      <c r="AX27" s="540">
        <f t="shared" si="126"/>
        <v>0</v>
      </c>
      <c r="AY27" s="538">
        <v>67.666666666666686</v>
      </c>
      <c r="AZ27" s="539">
        <f t="shared" si="15"/>
        <v>1.2265564578499617</v>
      </c>
      <c r="BA27" s="540">
        <f t="shared" si="127"/>
        <v>0</v>
      </c>
      <c r="BB27" s="538">
        <v>0</v>
      </c>
      <c r="BC27" s="539">
        <f t="shared" si="16"/>
        <v>0</v>
      </c>
      <c r="BD27" s="540">
        <f t="shared" si="128"/>
        <v>0</v>
      </c>
      <c r="BE27" s="538"/>
      <c r="BF27" s="539">
        <f t="shared" si="17"/>
        <v>0</v>
      </c>
      <c r="BG27" s="540">
        <f t="shared" si="129"/>
        <v>0</v>
      </c>
      <c r="BH27" s="538"/>
      <c r="BI27" s="539">
        <f t="shared" si="18"/>
        <v>0</v>
      </c>
      <c r="BJ27" s="540">
        <f t="shared" si="130"/>
        <v>0</v>
      </c>
      <c r="BK27" s="538"/>
      <c r="BL27" s="539">
        <f t="shared" si="19"/>
        <v>0</v>
      </c>
      <c r="BM27" s="540">
        <f t="shared" si="131"/>
        <v>0</v>
      </c>
      <c r="BN27" s="538">
        <v>2.5308641975308603</v>
      </c>
      <c r="BO27" s="539">
        <f t="shared" si="20"/>
        <v>4.5875583626937E-2</v>
      </c>
      <c r="BP27" s="540">
        <f t="shared" si="132"/>
        <v>0</v>
      </c>
      <c r="BQ27" s="538">
        <v>0</v>
      </c>
      <c r="BR27" s="539">
        <f t="shared" si="21"/>
        <v>0</v>
      </c>
      <c r="BS27" s="540">
        <f t="shared" si="133"/>
        <v>0</v>
      </c>
      <c r="BT27" s="538"/>
      <c r="BU27" s="539">
        <f t="shared" si="22"/>
        <v>0</v>
      </c>
      <c r="BV27" s="540">
        <f t="shared" si="134"/>
        <v>0</v>
      </c>
      <c r="BW27" s="538">
        <v>0</v>
      </c>
      <c r="BX27" s="539">
        <f t="shared" si="23"/>
        <v>0</v>
      </c>
      <c r="BY27" s="540">
        <f t="shared" si="135"/>
        <v>0</v>
      </c>
      <c r="BZ27" s="538">
        <v>0</v>
      </c>
      <c r="CA27" s="539">
        <f t="shared" si="24"/>
        <v>0</v>
      </c>
      <c r="CB27" s="540">
        <f t="shared" si="136"/>
        <v>0</v>
      </c>
      <c r="CC27" s="538">
        <v>0</v>
      </c>
      <c r="CD27" s="539">
        <f t="shared" si="25"/>
        <v>0</v>
      </c>
      <c r="CE27" s="540">
        <f t="shared" si="137"/>
        <v>0</v>
      </c>
      <c r="CF27" s="538">
        <v>9.9999999999999978E-2</v>
      </c>
      <c r="CG27" s="539">
        <f t="shared" si="26"/>
        <v>1.8126450116009278E-3</v>
      </c>
      <c r="CH27" s="540">
        <f t="shared" si="138"/>
        <v>0</v>
      </c>
      <c r="CI27" s="538">
        <v>0</v>
      </c>
      <c r="CJ27" s="539">
        <f t="shared" si="27"/>
        <v>0</v>
      </c>
      <c r="CK27" s="540">
        <f t="shared" si="139"/>
        <v>0</v>
      </c>
      <c r="CL27" s="538"/>
      <c r="CM27" s="539">
        <f t="shared" si="28"/>
        <v>0</v>
      </c>
      <c r="CN27" s="540">
        <f t="shared" si="140"/>
        <v>0</v>
      </c>
      <c r="CO27" s="538"/>
      <c r="CP27" s="539">
        <f t="shared" si="29"/>
        <v>0</v>
      </c>
      <c r="CQ27" s="540">
        <f t="shared" si="141"/>
        <v>0</v>
      </c>
      <c r="CR27" s="538"/>
      <c r="CS27" s="539">
        <f t="shared" si="30"/>
        <v>0</v>
      </c>
      <c r="CT27" s="540">
        <f t="shared" si="142"/>
        <v>0</v>
      </c>
      <c r="CU27" s="538"/>
      <c r="CV27" s="539">
        <f t="shared" si="31"/>
        <v>0</v>
      </c>
      <c r="CW27" s="540">
        <f t="shared" si="143"/>
        <v>0</v>
      </c>
      <c r="CX27" s="538"/>
      <c r="CY27" s="539">
        <f t="shared" si="32"/>
        <v>0</v>
      </c>
      <c r="CZ27" s="540">
        <f t="shared" si="144"/>
        <v>0</v>
      </c>
      <c r="DA27" s="538"/>
      <c r="DB27" s="539">
        <f t="shared" si="33"/>
        <v>0</v>
      </c>
      <c r="DC27" s="540">
        <f t="shared" si="145"/>
        <v>0</v>
      </c>
      <c r="DD27" s="538"/>
      <c r="DE27" s="539">
        <f t="shared" si="34"/>
        <v>0</v>
      </c>
      <c r="DF27" s="540">
        <f t="shared" si="146"/>
        <v>0</v>
      </c>
      <c r="DG27" s="538">
        <v>0</v>
      </c>
      <c r="DH27" s="539">
        <f t="shared" si="35"/>
        <v>0</v>
      </c>
      <c r="DI27" s="540">
        <f t="shared" si="203"/>
        <v>0</v>
      </c>
      <c r="DJ27" s="538"/>
      <c r="DK27" s="539">
        <f t="shared" si="36"/>
        <v>0</v>
      </c>
      <c r="DL27" s="540">
        <f t="shared" si="147"/>
        <v>0</v>
      </c>
      <c r="DM27" s="538"/>
      <c r="DN27" s="539">
        <f t="shared" si="37"/>
        <v>0</v>
      </c>
      <c r="DO27" s="540">
        <f t="shared" si="148"/>
        <v>0</v>
      </c>
      <c r="DP27" s="538"/>
      <c r="DQ27" s="539">
        <f t="shared" si="38"/>
        <v>0</v>
      </c>
      <c r="DR27" s="540">
        <f t="shared" si="149"/>
        <v>0</v>
      </c>
      <c r="DS27" s="538"/>
      <c r="DT27" s="539">
        <f t="shared" si="39"/>
        <v>0</v>
      </c>
      <c r="DU27" s="540">
        <f t="shared" si="150"/>
        <v>0</v>
      </c>
      <c r="DV27" s="538"/>
      <c r="DW27" s="539">
        <f t="shared" si="40"/>
        <v>0</v>
      </c>
      <c r="DX27" s="540">
        <f t="shared" si="151"/>
        <v>0</v>
      </c>
      <c r="DY27" s="538"/>
      <c r="DZ27" s="539">
        <f t="shared" si="41"/>
        <v>0</v>
      </c>
      <c r="EA27" s="540">
        <f t="shared" si="152"/>
        <v>0</v>
      </c>
      <c r="EB27" s="538">
        <v>14.534883720930225</v>
      </c>
      <c r="EC27" s="539">
        <f t="shared" si="42"/>
        <v>0.26346584470943707</v>
      </c>
      <c r="ED27" s="540">
        <f t="shared" si="153"/>
        <v>0</v>
      </c>
      <c r="EE27" s="538">
        <v>2</v>
      </c>
      <c r="EF27" s="539">
        <f t="shared" si="43"/>
        <v>3.6252900232018562E-2</v>
      </c>
      <c r="EG27" s="540">
        <f t="shared" si="154"/>
        <v>0</v>
      </c>
      <c r="EH27" s="538"/>
      <c r="EI27" s="539">
        <f t="shared" si="44"/>
        <v>0</v>
      </c>
      <c r="EJ27" s="540">
        <f t="shared" si="155"/>
        <v>0</v>
      </c>
      <c r="EK27" s="538"/>
      <c r="EL27" s="539">
        <f t="shared" si="45"/>
        <v>0</v>
      </c>
      <c r="EM27" s="540">
        <f t="shared" si="156"/>
        <v>0</v>
      </c>
      <c r="EN27" s="538"/>
      <c r="EO27" s="539">
        <f t="shared" si="46"/>
        <v>0</v>
      </c>
      <c r="EP27" s="540">
        <f t="shared" si="157"/>
        <v>0</v>
      </c>
      <c r="EQ27" s="538"/>
      <c r="ER27" s="539">
        <f t="shared" si="47"/>
        <v>0</v>
      </c>
      <c r="ES27" s="540">
        <f t="shared" si="158"/>
        <v>0</v>
      </c>
      <c r="ET27" s="538"/>
      <c r="EU27" s="539">
        <f t="shared" si="48"/>
        <v>0</v>
      </c>
      <c r="EV27" s="540">
        <f t="shared" si="159"/>
        <v>0</v>
      </c>
      <c r="EW27" s="538"/>
      <c r="EX27" s="539">
        <f t="shared" si="49"/>
        <v>0</v>
      </c>
      <c r="EY27" s="540">
        <f t="shared" si="160"/>
        <v>0</v>
      </c>
      <c r="EZ27" s="538"/>
      <c r="FA27" s="539">
        <f t="shared" si="50"/>
        <v>0</v>
      </c>
      <c r="FB27" s="540">
        <f t="shared" si="161"/>
        <v>0</v>
      </c>
      <c r="FC27" s="538"/>
      <c r="FD27" s="539">
        <f t="shared" si="51"/>
        <v>0</v>
      </c>
      <c r="FE27" s="540">
        <f t="shared" si="162"/>
        <v>0</v>
      </c>
      <c r="FF27" s="538"/>
      <c r="FG27" s="539">
        <f t="shared" si="52"/>
        <v>0</v>
      </c>
      <c r="FH27" s="540">
        <f t="shared" si="163"/>
        <v>0</v>
      </c>
      <c r="FI27" s="538"/>
      <c r="FJ27" s="539">
        <f t="shared" si="53"/>
        <v>0</v>
      </c>
      <c r="FK27" s="540">
        <f t="shared" si="164"/>
        <v>0</v>
      </c>
      <c r="FL27" s="538"/>
      <c r="FM27" s="539">
        <f t="shared" si="54"/>
        <v>0</v>
      </c>
      <c r="FN27" s="540">
        <f t="shared" si="165"/>
        <v>0</v>
      </c>
      <c r="FO27" s="538"/>
      <c r="FP27" s="539">
        <f t="shared" si="55"/>
        <v>0</v>
      </c>
      <c r="FQ27" s="540">
        <f t="shared" si="166"/>
        <v>0</v>
      </c>
      <c r="FR27" s="538"/>
      <c r="FS27" s="539">
        <f t="shared" si="56"/>
        <v>0</v>
      </c>
      <c r="FT27" s="540">
        <f t="shared" si="167"/>
        <v>0</v>
      </c>
      <c r="FU27" s="538"/>
      <c r="FV27" s="539">
        <f t="shared" si="57"/>
        <v>0</v>
      </c>
      <c r="FW27" s="540">
        <f t="shared" si="168"/>
        <v>0</v>
      </c>
      <c r="FX27" s="538"/>
      <c r="FY27" s="539">
        <f t="shared" si="58"/>
        <v>0</v>
      </c>
      <c r="FZ27" s="540">
        <f t="shared" si="169"/>
        <v>0</v>
      </c>
      <c r="GA27" s="538"/>
      <c r="GB27" s="539">
        <f t="shared" si="59"/>
        <v>0</v>
      </c>
      <c r="GC27" s="540">
        <f t="shared" si="170"/>
        <v>0</v>
      </c>
      <c r="GD27" s="538"/>
      <c r="GE27" s="539">
        <f t="shared" si="60"/>
        <v>0</v>
      </c>
      <c r="GF27" s="540">
        <f t="shared" si="171"/>
        <v>0</v>
      </c>
      <c r="GG27" s="538"/>
      <c r="GH27" s="539">
        <f t="shared" si="61"/>
        <v>0</v>
      </c>
      <c r="GI27" s="540">
        <f t="shared" si="172"/>
        <v>0</v>
      </c>
      <c r="GJ27" s="538"/>
      <c r="GK27" s="539">
        <f t="shared" si="62"/>
        <v>0</v>
      </c>
      <c r="GL27" s="540">
        <f t="shared" si="173"/>
        <v>0</v>
      </c>
      <c r="GM27" s="538"/>
      <c r="GN27" s="539">
        <f t="shared" si="63"/>
        <v>0</v>
      </c>
      <c r="GO27" s="540">
        <f t="shared" si="174"/>
        <v>0</v>
      </c>
      <c r="GP27" s="538"/>
      <c r="GQ27" s="539">
        <f t="shared" si="64"/>
        <v>0</v>
      </c>
      <c r="GR27" s="540">
        <f t="shared" si="175"/>
        <v>0</v>
      </c>
      <c r="GS27" s="538"/>
      <c r="GT27" s="539">
        <f t="shared" si="65"/>
        <v>0</v>
      </c>
      <c r="GU27" s="540">
        <f t="shared" si="176"/>
        <v>0</v>
      </c>
      <c r="GV27" s="538"/>
      <c r="GW27" s="539">
        <f t="shared" si="66"/>
        <v>0</v>
      </c>
      <c r="GX27" s="540">
        <f t="shared" si="177"/>
        <v>0</v>
      </c>
      <c r="GY27" s="538"/>
      <c r="GZ27" s="539">
        <f t="shared" si="67"/>
        <v>0</v>
      </c>
      <c r="HA27" s="540">
        <f t="shared" si="178"/>
        <v>0</v>
      </c>
      <c r="HB27" s="538"/>
      <c r="HC27" s="539">
        <f t="shared" si="68"/>
        <v>0</v>
      </c>
      <c r="HD27" s="540">
        <f t="shared" si="179"/>
        <v>0</v>
      </c>
      <c r="HE27" s="538"/>
      <c r="HF27" s="539">
        <f t="shared" si="69"/>
        <v>0</v>
      </c>
      <c r="HG27" s="540">
        <f t="shared" si="180"/>
        <v>0</v>
      </c>
      <c r="HH27" s="538"/>
      <c r="HI27" s="539">
        <f t="shared" si="70"/>
        <v>0</v>
      </c>
      <c r="HJ27" s="540">
        <f t="shared" si="181"/>
        <v>0</v>
      </c>
      <c r="HK27" s="538"/>
      <c r="HL27" s="539">
        <f t="shared" si="71"/>
        <v>0</v>
      </c>
      <c r="HM27" s="540">
        <f t="shared" si="182"/>
        <v>0</v>
      </c>
      <c r="HN27" s="538"/>
      <c r="HO27" s="539">
        <f t="shared" si="72"/>
        <v>0</v>
      </c>
      <c r="HP27" s="540">
        <f t="shared" si="183"/>
        <v>0</v>
      </c>
      <c r="HQ27" s="538"/>
      <c r="HR27" s="539">
        <f t="shared" si="73"/>
        <v>0</v>
      </c>
      <c r="HS27" s="540">
        <f t="shared" si="184"/>
        <v>0</v>
      </c>
      <c r="HT27" s="538"/>
      <c r="HU27" s="539">
        <f t="shared" si="74"/>
        <v>0</v>
      </c>
      <c r="HV27" s="540">
        <f t="shared" si="185"/>
        <v>0</v>
      </c>
      <c r="HW27" s="538"/>
      <c r="HX27" s="539">
        <f t="shared" si="75"/>
        <v>0</v>
      </c>
      <c r="HY27" s="540">
        <f t="shared" si="186"/>
        <v>0</v>
      </c>
      <c r="HZ27" s="538"/>
      <c r="IA27" s="539">
        <f t="shared" si="76"/>
        <v>0</v>
      </c>
      <c r="IB27" s="540">
        <f t="shared" si="187"/>
        <v>0</v>
      </c>
      <c r="IC27" s="538"/>
      <c r="ID27" s="539">
        <f t="shared" si="77"/>
        <v>0</v>
      </c>
      <c r="IE27" s="540">
        <f t="shared" si="188"/>
        <v>0</v>
      </c>
      <c r="IF27" s="538"/>
      <c r="IG27" s="539">
        <f t="shared" si="78"/>
        <v>0</v>
      </c>
      <c r="IH27" s="540">
        <f t="shared" si="189"/>
        <v>0</v>
      </c>
      <c r="II27" s="538"/>
      <c r="IJ27" s="539">
        <f t="shared" si="79"/>
        <v>0</v>
      </c>
      <c r="IK27" s="540">
        <f t="shared" si="190"/>
        <v>0</v>
      </c>
      <c r="IL27" s="538"/>
      <c r="IM27" s="539">
        <f t="shared" si="80"/>
        <v>0</v>
      </c>
      <c r="IN27" s="540">
        <f t="shared" si="191"/>
        <v>0</v>
      </c>
      <c r="IO27" s="538"/>
      <c r="IP27" s="539">
        <f t="shared" si="81"/>
        <v>0</v>
      </c>
      <c r="IQ27" s="540">
        <f t="shared" si="192"/>
        <v>0</v>
      </c>
      <c r="IR27" s="538"/>
      <c r="IS27" s="539">
        <f t="shared" si="82"/>
        <v>0</v>
      </c>
      <c r="IT27" s="540">
        <f t="shared" si="193"/>
        <v>0</v>
      </c>
      <c r="IU27" s="538"/>
      <c r="IV27" s="539">
        <f t="shared" si="83"/>
        <v>0</v>
      </c>
      <c r="IW27" s="540">
        <f t="shared" si="194"/>
        <v>0</v>
      </c>
      <c r="IX27" s="538"/>
      <c r="IY27" s="539">
        <f t="shared" si="84"/>
        <v>0</v>
      </c>
      <c r="IZ27" s="540">
        <f t="shared" si="195"/>
        <v>0</v>
      </c>
      <c r="JA27" s="538"/>
      <c r="JB27" s="539">
        <f t="shared" si="85"/>
        <v>0</v>
      </c>
      <c r="JC27" s="540">
        <f t="shared" si="196"/>
        <v>0</v>
      </c>
      <c r="JD27" s="538"/>
      <c r="JE27" s="539">
        <f t="shared" si="86"/>
        <v>0</v>
      </c>
      <c r="JF27" s="540">
        <f t="shared" si="197"/>
        <v>0</v>
      </c>
      <c r="JG27" s="538"/>
      <c r="JH27" s="539">
        <f t="shared" si="87"/>
        <v>0</v>
      </c>
      <c r="JI27" s="540">
        <f t="shared" si="198"/>
        <v>0</v>
      </c>
      <c r="JJ27" s="538"/>
      <c r="JK27" s="540" t="str">
        <f t="shared" si="88"/>
        <v>0</v>
      </c>
      <c r="JL27" s="540" t="str">
        <f t="shared" si="89"/>
        <v>0</v>
      </c>
      <c r="JM27" s="538"/>
      <c r="JN27" s="540" t="str">
        <f t="shared" si="90"/>
        <v>0</v>
      </c>
      <c r="JO27" s="540" t="str">
        <f t="shared" si="91"/>
        <v>0</v>
      </c>
      <c r="JP27" s="538"/>
      <c r="JQ27" s="540" t="str">
        <f t="shared" si="92"/>
        <v>0</v>
      </c>
      <c r="JR27" s="540" t="str">
        <f t="shared" si="93"/>
        <v>0</v>
      </c>
      <c r="JS27" s="538"/>
      <c r="JT27" s="540" t="str">
        <f t="shared" si="94"/>
        <v>0</v>
      </c>
      <c r="JU27" s="540" t="str">
        <f t="shared" si="95"/>
        <v>0</v>
      </c>
      <c r="JV27" s="538"/>
      <c r="JW27" s="540" t="str">
        <f t="shared" si="96"/>
        <v>0</v>
      </c>
      <c r="JX27" s="540" t="str">
        <f t="shared" si="97"/>
        <v>0</v>
      </c>
      <c r="JY27" s="538"/>
      <c r="JZ27" s="540" t="str">
        <f t="shared" si="98"/>
        <v>0</v>
      </c>
      <c r="KA27" s="540" t="str">
        <f t="shared" si="99"/>
        <v>0</v>
      </c>
      <c r="KB27" s="538"/>
      <c r="KC27" s="540" t="str">
        <f t="shared" si="100"/>
        <v>0</v>
      </c>
      <c r="KD27" s="540" t="str">
        <f t="shared" si="101"/>
        <v>0</v>
      </c>
      <c r="KE27" s="538"/>
      <c r="KF27" s="540" t="str">
        <f t="shared" si="102"/>
        <v>0</v>
      </c>
      <c r="KG27" s="540" t="str">
        <f t="shared" si="103"/>
        <v>0</v>
      </c>
      <c r="KH27" s="538"/>
      <c r="KI27" s="540" t="str">
        <f t="shared" si="104"/>
        <v>0</v>
      </c>
      <c r="KJ27" s="540" t="str">
        <f t="shared" si="105"/>
        <v>0</v>
      </c>
      <c r="KK27" s="538"/>
      <c r="KL27" s="540" t="str">
        <f t="shared" si="106"/>
        <v>0</v>
      </c>
      <c r="KM27" s="540" t="str">
        <f t="shared" si="107"/>
        <v>0</v>
      </c>
      <c r="KN27" s="538"/>
      <c r="KO27" s="540" t="str">
        <f t="shared" si="108"/>
        <v>0</v>
      </c>
      <c r="KP27" s="540" t="str">
        <f t="shared" si="109"/>
        <v>0</v>
      </c>
      <c r="KQ27" s="538"/>
      <c r="KR27" s="540" t="str">
        <f t="shared" si="110"/>
        <v>0</v>
      </c>
      <c r="KS27" s="540" t="str">
        <f t="shared" si="111"/>
        <v>0</v>
      </c>
      <c r="KT27" s="540">
        <f t="shared" si="201"/>
        <v>0</v>
      </c>
      <c r="KU27" s="540">
        <f t="shared" si="202"/>
        <v>0</v>
      </c>
      <c r="KV27" s="274">
        <f t="shared" si="199"/>
        <v>425.81410799107402</v>
      </c>
    </row>
    <row r="28" spans="1:309" ht="15" customHeight="1">
      <c r="A28" s="276">
        <f t="shared" si="200"/>
        <v>45889</v>
      </c>
      <c r="B28" s="277" t="str">
        <f>+Report1!B28</f>
        <v>Facial</v>
      </c>
      <c r="C28" s="417" t="str">
        <f>+Report1!C28</f>
        <v>10,3</v>
      </c>
      <c r="D28" s="278">
        <f>+Report1!P28</f>
        <v>53.534999999999997</v>
      </c>
      <c r="E28" s="279">
        <f>+Report1!R28</f>
        <v>55.423000000000002</v>
      </c>
      <c r="F28" s="538"/>
      <c r="G28" s="539">
        <f t="shared" si="0"/>
        <v>0</v>
      </c>
      <c r="H28" s="540">
        <f t="shared" si="112"/>
        <v>0</v>
      </c>
      <c r="I28" s="538">
        <v>279.06976744186056</v>
      </c>
      <c r="J28" s="539">
        <f t="shared" si="1"/>
        <v>5.0352699680973707</v>
      </c>
      <c r="K28" s="540">
        <f t="shared" si="113"/>
        <v>0</v>
      </c>
      <c r="L28" s="538"/>
      <c r="M28" s="539">
        <f t="shared" si="2"/>
        <v>0</v>
      </c>
      <c r="N28" s="540">
        <f t="shared" si="114"/>
        <v>0</v>
      </c>
      <c r="O28" s="538">
        <v>3.0000000000000071</v>
      </c>
      <c r="P28" s="539">
        <f t="shared" si="3"/>
        <v>5.4129152157046841E-2</v>
      </c>
      <c r="Q28" s="540">
        <f t="shared" si="115"/>
        <v>0</v>
      </c>
      <c r="R28" s="538"/>
      <c r="S28" s="539">
        <f t="shared" si="4"/>
        <v>0</v>
      </c>
      <c r="T28" s="540">
        <f t="shared" si="116"/>
        <v>0</v>
      </c>
      <c r="U28" s="538">
        <v>2.5625</v>
      </c>
      <c r="V28" s="539">
        <f t="shared" si="5"/>
        <v>4.6235317467477402E-2</v>
      </c>
      <c r="W28" s="540">
        <f t="shared" si="117"/>
        <v>0</v>
      </c>
      <c r="X28" s="538"/>
      <c r="Y28" s="539">
        <f t="shared" si="6"/>
        <v>0</v>
      </c>
      <c r="Z28" s="540">
        <f t="shared" si="118"/>
        <v>0</v>
      </c>
      <c r="AA28" s="538"/>
      <c r="AB28" s="539">
        <f t="shared" si="7"/>
        <v>0</v>
      </c>
      <c r="AC28" s="540">
        <f t="shared" si="119"/>
        <v>0</v>
      </c>
      <c r="AD28" s="538"/>
      <c r="AE28" s="539">
        <f t="shared" si="8"/>
        <v>0</v>
      </c>
      <c r="AF28" s="540">
        <f t="shared" si="120"/>
        <v>0</v>
      </c>
      <c r="AG28" s="538"/>
      <c r="AH28" s="539">
        <f t="shared" si="9"/>
        <v>0</v>
      </c>
      <c r="AI28" s="540">
        <f t="shared" si="121"/>
        <v>0</v>
      </c>
      <c r="AJ28" s="538">
        <v>0</v>
      </c>
      <c r="AK28" s="539">
        <f t="shared" si="10"/>
        <v>0</v>
      </c>
      <c r="AL28" s="540">
        <f t="shared" si="122"/>
        <v>0</v>
      </c>
      <c r="AM28" s="538">
        <v>0</v>
      </c>
      <c r="AN28" s="539">
        <f t="shared" si="11"/>
        <v>0</v>
      </c>
      <c r="AO28" s="540">
        <f t="shared" si="123"/>
        <v>0</v>
      </c>
      <c r="AP28" s="538">
        <v>48.417721518987349</v>
      </c>
      <c r="AQ28" s="539">
        <f t="shared" si="12"/>
        <v>0.87360340506626033</v>
      </c>
      <c r="AR28" s="540">
        <f t="shared" si="124"/>
        <v>0</v>
      </c>
      <c r="AS28" s="538"/>
      <c r="AT28" s="539">
        <f t="shared" si="13"/>
        <v>0</v>
      </c>
      <c r="AU28" s="540">
        <f t="shared" si="125"/>
        <v>0</v>
      </c>
      <c r="AV28" s="538">
        <v>14.687499999999972</v>
      </c>
      <c r="AW28" s="539">
        <f t="shared" si="14"/>
        <v>0.26500730743554068</v>
      </c>
      <c r="AX28" s="540">
        <f t="shared" si="126"/>
        <v>0</v>
      </c>
      <c r="AY28" s="538">
        <v>84</v>
      </c>
      <c r="AZ28" s="539">
        <f t="shared" si="15"/>
        <v>1.515616260397308</v>
      </c>
      <c r="BA28" s="540">
        <f t="shared" si="127"/>
        <v>0</v>
      </c>
      <c r="BB28" s="538">
        <v>0</v>
      </c>
      <c r="BC28" s="539">
        <f t="shared" si="16"/>
        <v>0</v>
      </c>
      <c r="BD28" s="540">
        <f t="shared" si="128"/>
        <v>0</v>
      </c>
      <c r="BE28" s="538"/>
      <c r="BF28" s="539">
        <f t="shared" si="17"/>
        <v>0</v>
      </c>
      <c r="BG28" s="540">
        <f t="shared" si="129"/>
        <v>0</v>
      </c>
      <c r="BH28" s="538"/>
      <c r="BI28" s="539">
        <f t="shared" si="18"/>
        <v>0</v>
      </c>
      <c r="BJ28" s="540">
        <f t="shared" si="130"/>
        <v>0</v>
      </c>
      <c r="BK28" s="538"/>
      <c r="BL28" s="539">
        <f t="shared" si="19"/>
        <v>0</v>
      </c>
      <c r="BM28" s="540">
        <f t="shared" si="131"/>
        <v>0</v>
      </c>
      <c r="BN28" s="538">
        <v>2.5308641975308674</v>
      </c>
      <c r="BO28" s="539">
        <f t="shared" si="20"/>
        <v>4.5664511078990083E-2</v>
      </c>
      <c r="BP28" s="540">
        <f t="shared" si="132"/>
        <v>0</v>
      </c>
      <c r="BQ28" s="538">
        <v>0</v>
      </c>
      <c r="BR28" s="539">
        <f t="shared" si="21"/>
        <v>0</v>
      </c>
      <c r="BS28" s="540">
        <f t="shared" si="133"/>
        <v>0</v>
      </c>
      <c r="BT28" s="538"/>
      <c r="BU28" s="539">
        <f t="shared" si="22"/>
        <v>0</v>
      </c>
      <c r="BV28" s="540">
        <f t="shared" si="134"/>
        <v>0</v>
      </c>
      <c r="BW28" s="538">
        <v>0</v>
      </c>
      <c r="BX28" s="539">
        <f t="shared" si="23"/>
        <v>0</v>
      </c>
      <c r="BY28" s="540">
        <f t="shared" si="135"/>
        <v>0</v>
      </c>
      <c r="BZ28" s="538">
        <v>0</v>
      </c>
      <c r="CA28" s="539">
        <f t="shared" si="24"/>
        <v>0</v>
      </c>
      <c r="CB28" s="540">
        <f t="shared" si="136"/>
        <v>0</v>
      </c>
      <c r="CC28" s="538">
        <v>0</v>
      </c>
      <c r="CD28" s="539">
        <f t="shared" si="25"/>
        <v>0</v>
      </c>
      <c r="CE28" s="540">
        <f t="shared" si="137"/>
        <v>0</v>
      </c>
      <c r="CF28" s="538">
        <v>0.10000000000000009</v>
      </c>
      <c r="CG28" s="539">
        <f t="shared" si="26"/>
        <v>1.8043050719015587E-3</v>
      </c>
      <c r="CH28" s="540">
        <f t="shared" si="138"/>
        <v>0</v>
      </c>
      <c r="CI28" s="538">
        <v>0</v>
      </c>
      <c r="CJ28" s="539">
        <f t="shared" si="27"/>
        <v>0</v>
      </c>
      <c r="CK28" s="540">
        <f t="shared" si="139"/>
        <v>0</v>
      </c>
      <c r="CL28" s="538"/>
      <c r="CM28" s="539">
        <f t="shared" si="28"/>
        <v>0</v>
      </c>
      <c r="CN28" s="540">
        <f t="shared" si="140"/>
        <v>0</v>
      </c>
      <c r="CO28" s="538"/>
      <c r="CP28" s="539">
        <f t="shared" si="29"/>
        <v>0</v>
      </c>
      <c r="CQ28" s="540">
        <f t="shared" si="141"/>
        <v>0</v>
      </c>
      <c r="CR28" s="538"/>
      <c r="CS28" s="539">
        <f t="shared" si="30"/>
        <v>0</v>
      </c>
      <c r="CT28" s="540">
        <f t="shared" si="142"/>
        <v>0</v>
      </c>
      <c r="CU28" s="538"/>
      <c r="CV28" s="539">
        <f t="shared" si="31"/>
        <v>0</v>
      </c>
      <c r="CW28" s="540">
        <f t="shared" si="143"/>
        <v>0</v>
      </c>
      <c r="CX28" s="538"/>
      <c r="CY28" s="539">
        <f t="shared" si="32"/>
        <v>0</v>
      </c>
      <c r="CZ28" s="540">
        <f t="shared" si="144"/>
        <v>0</v>
      </c>
      <c r="DA28" s="538"/>
      <c r="DB28" s="539">
        <f t="shared" si="33"/>
        <v>0</v>
      </c>
      <c r="DC28" s="540">
        <f t="shared" si="145"/>
        <v>0</v>
      </c>
      <c r="DD28" s="538"/>
      <c r="DE28" s="539">
        <f t="shared" si="34"/>
        <v>0</v>
      </c>
      <c r="DF28" s="540">
        <f t="shared" si="146"/>
        <v>0</v>
      </c>
      <c r="DG28" s="538">
        <v>0</v>
      </c>
      <c r="DH28" s="539">
        <f t="shared" si="35"/>
        <v>0</v>
      </c>
      <c r="DI28" s="540">
        <f t="shared" si="203"/>
        <v>0</v>
      </c>
      <c r="DJ28" s="538"/>
      <c r="DK28" s="539">
        <f t="shared" si="36"/>
        <v>0</v>
      </c>
      <c r="DL28" s="540">
        <f t="shared" si="147"/>
        <v>0</v>
      </c>
      <c r="DM28" s="538"/>
      <c r="DN28" s="539">
        <f t="shared" si="37"/>
        <v>0</v>
      </c>
      <c r="DO28" s="540">
        <f t="shared" si="148"/>
        <v>0</v>
      </c>
      <c r="DP28" s="538"/>
      <c r="DQ28" s="539">
        <f t="shared" si="38"/>
        <v>0</v>
      </c>
      <c r="DR28" s="540">
        <f t="shared" si="149"/>
        <v>0</v>
      </c>
      <c r="DS28" s="538"/>
      <c r="DT28" s="539">
        <f t="shared" si="39"/>
        <v>0</v>
      </c>
      <c r="DU28" s="540">
        <f t="shared" si="150"/>
        <v>0</v>
      </c>
      <c r="DV28" s="538"/>
      <c r="DW28" s="539">
        <f t="shared" si="40"/>
        <v>0</v>
      </c>
      <c r="DX28" s="540">
        <f t="shared" si="151"/>
        <v>0</v>
      </c>
      <c r="DY28" s="538"/>
      <c r="DZ28" s="539">
        <f t="shared" si="41"/>
        <v>0</v>
      </c>
      <c r="EA28" s="540">
        <f t="shared" si="152"/>
        <v>0</v>
      </c>
      <c r="EB28" s="538">
        <v>14.534883720930225</v>
      </c>
      <c r="EC28" s="539">
        <f t="shared" si="42"/>
        <v>0.2622536441717378</v>
      </c>
      <c r="ED28" s="540">
        <f t="shared" si="153"/>
        <v>0</v>
      </c>
      <c r="EE28" s="538">
        <v>2</v>
      </c>
      <c r="EF28" s="539">
        <f t="shared" si="43"/>
        <v>3.6086101438031142E-2</v>
      </c>
      <c r="EG28" s="540">
        <f t="shared" si="154"/>
        <v>0</v>
      </c>
      <c r="EH28" s="538"/>
      <c r="EI28" s="539">
        <f t="shared" si="44"/>
        <v>0</v>
      </c>
      <c r="EJ28" s="540">
        <f t="shared" si="155"/>
        <v>0</v>
      </c>
      <c r="EK28" s="538"/>
      <c r="EL28" s="539">
        <f t="shared" si="45"/>
        <v>0</v>
      </c>
      <c r="EM28" s="540">
        <f t="shared" si="156"/>
        <v>0</v>
      </c>
      <c r="EN28" s="538"/>
      <c r="EO28" s="539">
        <f t="shared" si="46"/>
        <v>0</v>
      </c>
      <c r="EP28" s="540">
        <f t="shared" si="157"/>
        <v>0</v>
      </c>
      <c r="EQ28" s="538"/>
      <c r="ER28" s="539">
        <f t="shared" si="47"/>
        <v>0</v>
      </c>
      <c r="ES28" s="540">
        <f t="shared" si="158"/>
        <v>0</v>
      </c>
      <c r="ET28" s="538"/>
      <c r="EU28" s="539">
        <f t="shared" si="48"/>
        <v>0</v>
      </c>
      <c r="EV28" s="540">
        <f t="shared" si="159"/>
        <v>0</v>
      </c>
      <c r="EW28" s="538"/>
      <c r="EX28" s="539">
        <f t="shared" si="49"/>
        <v>0</v>
      </c>
      <c r="EY28" s="540">
        <f t="shared" si="160"/>
        <v>0</v>
      </c>
      <c r="EZ28" s="538"/>
      <c r="FA28" s="539">
        <f t="shared" si="50"/>
        <v>0</v>
      </c>
      <c r="FB28" s="540">
        <f t="shared" si="161"/>
        <v>0</v>
      </c>
      <c r="FC28" s="538"/>
      <c r="FD28" s="539">
        <f t="shared" si="51"/>
        <v>0</v>
      </c>
      <c r="FE28" s="540">
        <f t="shared" si="162"/>
        <v>0</v>
      </c>
      <c r="FF28" s="538"/>
      <c r="FG28" s="539">
        <f t="shared" si="52"/>
        <v>0</v>
      </c>
      <c r="FH28" s="540">
        <f t="shared" si="163"/>
        <v>0</v>
      </c>
      <c r="FI28" s="538"/>
      <c r="FJ28" s="539">
        <f t="shared" si="53"/>
        <v>0</v>
      </c>
      <c r="FK28" s="540">
        <f t="shared" si="164"/>
        <v>0</v>
      </c>
      <c r="FL28" s="538"/>
      <c r="FM28" s="539">
        <f t="shared" si="54"/>
        <v>0</v>
      </c>
      <c r="FN28" s="540">
        <f t="shared" si="165"/>
        <v>0</v>
      </c>
      <c r="FO28" s="538"/>
      <c r="FP28" s="539">
        <f t="shared" si="55"/>
        <v>0</v>
      </c>
      <c r="FQ28" s="540">
        <f t="shared" si="166"/>
        <v>0</v>
      </c>
      <c r="FR28" s="538"/>
      <c r="FS28" s="539">
        <f t="shared" si="56"/>
        <v>0</v>
      </c>
      <c r="FT28" s="540">
        <f t="shared" si="167"/>
        <v>0</v>
      </c>
      <c r="FU28" s="538"/>
      <c r="FV28" s="539">
        <f t="shared" si="57"/>
        <v>0</v>
      </c>
      <c r="FW28" s="540">
        <f t="shared" si="168"/>
        <v>0</v>
      </c>
      <c r="FX28" s="538"/>
      <c r="FY28" s="539">
        <f t="shared" si="58"/>
        <v>0</v>
      </c>
      <c r="FZ28" s="540">
        <f t="shared" si="169"/>
        <v>0</v>
      </c>
      <c r="GA28" s="538"/>
      <c r="GB28" s="539">
        <f t="shared" si="59"/>
        <v>0</v>
      </c>
      <c r="GC28" s="540">
        <f t="shared" si="170"/>
        <v>0</v>
      </c>
      <c r="GD28" s="538"/>
      <c r="GE28" s="539">
        <f t="shared" si="60"/>
        <v>0</v>
      </c>
      <c r="GF28" s="540">
        <f t="shared" si="171"/>
        <v>0</v>
      </c>
      <c r="GG28" s="538"/>
      <c r="GH28" s="539">
        <f t="shared" si="61"/>
        <v>0</v>
      </c>
      <c r="GI28" s="540">
        <f t="shared" si="172"/>
        <v>0</v>
      </c>
      <c r="GJ28" s="538"/>
      <c r="GK28" s="539">
        <f t="shared" si="62"/>
        <v>0</v>
      </c>
      <c r="GL28" s="540">
        <f t="shared" si="173"/>
        <v>0</v>
      </c>
      <c r="GM28" s="538"/>
      <c r="GN28" s="539">
        <f t="shared" si="63"/>
        <v>0</v>
      </c>
      <c r="GO28" s="540">
        <f t="shared" si="174"/>
        <v>0</v>
      </c>
      <c r="GP28" s="538"/>
      <c r="GQ28" s="539">
        <f t="shared" si="64"/>
        <v>0</v>
      </c>
      <c r="GR28" s="540">
        <f t="shared" si="175"/>
        <v>0</v>
      </c>
      <c r="GS28" s="538"/>
      <c r="GT28" s="539">
        <f t="shared" si="65"/>
        <v>0</v>
      </c>
      <c r="GU28" s="540">
        <f t="shared" si="176"/>
        <v>0</v>
      </c>
      <c r="GV28" s="538"/>
      <c r="GW28" s="539">
        <f t="shared" si="66"/>
        <v>0</v>
      </c>
      <c r="GX28" s="540">
        <f t="shared" si="177"/>
        <v>0</v>
      </c>
      <c r="GY28" s="538"/>
      <c r="GZ28" s="539">
        <f t="shared" si="67"/>
        <v>0</v>
      </c>
      <c r="HA28" s="540">
        <f t="shared" si="178"/>
        <v>0</v>
      </c>
      <c r="HB28" s="538"/>
      <c r="HC28" s="539">
        <f t="shared" si="68"/>
        <v>0</v>
      </c>
      <c r="HD28" s="540">
        <f t="shared" si="179"/>
        <v>0</v>
      </c>
      <c r="HE28" s="538"/>
      <c r="HF28" s="539">
        <f t="shared" si="69"/>
        <v>0</v>
      </c>
      <c r="HG28" s="540">
        <f t="shared" si="180"/>
        <v>0</v>
      </c>
      <c r="HH28" s="538"/>
      <c r="HI28" s="539">
        <f t="shared" si="70"/>
        <v>0</v>
      </c>
      <c r="HJ28" s="540">
        <f t="shared" si="181"/>
        <v>0</v>
      </c>
      <c r="HK28" s="538"/>
      <c r="HL28" s="539">
        <f t="shared" si="71"/>
        <v>0</v>
      </c>
      <c r="HM28" s="540">
        <f t="shared" si="182"/>
        <v>0</v>
      </c>
      <c r="HN28" s="538"/>
      <c r="HO28" s="539">
        <f t="shared" si="72"/>
        <v>0</v>
      </c>
      <c r="HP28" s="540">
        <f t="shared" si="183"/>
        <v>0</v>
      </c>
      <c r="HQ28" s="538"/>
      <c r="HR28" s="539">
        <f t="shared" si="73"/>
        <v>0</v>
      </c>
      <c r="HS28" s="540">
        <f t="shared" si="184"/>
        <v>0</v>
      </c>
      <c r="HT28" s="538"/>
      <c r="HU28" s="539">
        <f t="shared" si="74"/>
        <v>0</v>
      </c>
      <c r="HV28" s="540">
        <f t="shared" si="185"/>
        <v>0</v>
      </c>
      <c r="HW28" s="538"/>
      <c r="HX28" s="539">
        <f t="shared" si="75"/>
        <v>0</v>
      </c>
      <c r="HY28" s="540">
        <f t="shared" si="186"/>
        <v>0</v>
      </c>
      <c r="HZ28" s="538"/>
      <c r="IA28" s="539">
        <f t="shared" si="76"/>
        <v>0</v>
      </c>
      <c r="IB28" s="540">
        <f t="shared" si="187"/>
        <v>0</v>
      </c>
      <c r="IC28" s="538"/>
      <c r="ID28" s="539">
        <f t="shared" si="77"/>
        <v>0</v>
      </c>
      <c r="IE28" s="540">
        <f t="shared" si="188"/>
        <v>0</v>
      </c>
      <c r="IF28" s="538"/>
      <c r="IG28" s="539">
        <f t="shared" si="78"/>
        <v>0</v>
      </c>
      <c r="IH28" s="540">
        <f t="shared" si="189"/>
        <v>0</v>
      </c>
      <c r="II28" s="538"/>
      <c r="IJ28" s="539">
        <f t="shared" si="79"/>
        <v>0</v>
      </c>
      <c r="IK28" s="540">
        <f t="shared" si="190"/>
        <v>0</v>
      </c>
      <c r="IL28" s="538"/>
      <c r="IM28" s="539">
        <f t="shared" si="80"/>
        <v>0</v>
      </c>
      <c r="IN28" s="540">
        <f t="shared" si="191"/>
        <v>0</v>
      </c>
      <c r="IO28" s="538"/>
      <c r="IP28" s="539">
        <f t="shared" si="81"/>
        <v>0</v>
      </c>
      <c r="IQ28" s="540">
        <f t="shared" si="192"/>
        <v>0</v>
      </c>
      <c r="IR28" s="538"/>
      <c r="IS28" s="539">
        <f t="shared" si="82"/>
        <v>0</v>
      </c>
      <c r="IT28" s="540">
        <f t="shared" si="193"/>
        <v>0</v>
      </c>
      <c r="IU28" s="538"/>
      <c r="IV28" s="539">
        <f t="shared" si="83"/>
        <v>0</v>
      </c>
      <c r="IW28" s="540">
        <f t="shared" si="194"/>
        <v>0</v>
      </c>
      <c r="IX28" s="538"/>
      <c r="IY28" s="539">
        <f t="shared" si="84"/>
        <v>0</v>
      </c>
      <c r="IZ28" s="540">
        <f t="shared" si="195"/>
        <v>0</v>
      </c>
      <c r="JA28" s="538"/>
      <c r="JB28" s="539">
        <f t="shared" si="85"/>
        <v>0</v>
      </c>
      <c r="JC28" s="540">
        <f t="shared" si="196"/>
        <v>0</v>
      </c>
      <c r="JD28" s="538"/>
      <c r="JE28" s="539">
        <f t="shared" si="86"/>
        <v>0</v>
      </c>
      <c r="JF28" s="540">
        <f t="shared" si="197"/>
        <v>0</v>
      </c>
      <c r="JG28" s="538"/>
      <c r="JH28" s="539">
        <f t="shared" si="87"/>
        <v>0</v>
      </c>
      <c r="JI28" s="540">
        <f t="shared" si="198"/>
        <v>0</v>
      </c>
      <c r="JJ28" s="538"/>
      <c r="JK28" s="540" t="str">
        <f t="shared" si="88"/>
        <v>0</v>
      </c>
      <c r="JL28" s="540" t="str">
        <f t="shared" si="89"/>
        <v>0</v>
      </c>
      <c r="JM28" s="538"/>
      <c r="JN28" s="540" t="str">
        <f t="shared" si="90"/>
        <v>0</v>
      </c>
      <c r="JO28" s="540" t="str">
        <f t="shared" si="91"/>
        <v>0</v>
      </c>
      <c r="JP28" s="538"/>
      <c r="JQ28" s="540" t="str">
        <f t="shared" si="92"/>
        <v>0</v>
      </c>
      <c r="JR28" s="540" t="str">
        <f t="shared" si="93"/>
        <v>0</v>
      </c>
      <c r="JS28" s="538"/>
      <c r="JT28" s="540" t="str">
        <f t="shared" si="94"/>
        <v>0</v>
      </c>
      <c r="JU28" s="540" t="str">
        <f t="shared" si="95"/>
        <v>0</v>
      </c>
      <c r="JV28" s="538"/>
      <c r="JW28" s="540" t="str">
        <f t="shared" si="96"/>
        <v>0</v>
      </c>
      <c r="JX28" s="540" t="str">
        <f t="shared" si="97"/>
        <v>0</v>
      </c>
      <c r="JY28" s="538"/>
      <c r="JZ28" s="540" t="str">
        <f t="shared" si="98"/>
        <v>0</v>
      </c>
      <c r="KA28" s="540" t="str">
        <f t="shared" si="99"/>
        <v>0</v>
      </c>
      <c r="KB28" s="538"/>
      <c r="KC28" s="540" t="str">
        <f t="shared" si="100"/>
        <v>0</v>
      </c>
      <c r="KD28" s="540" t="str">
        <f t="shared" si="101"/>
        <v>0</v>
      </c>
      <c r="KE28" s="538"/>
      <c r="KF28" s="540" t="str">
        <f t="shared" si="102"/>
        <v>0</v>
      </c>
      <c r="KG28" s="540" t="str">
        <f t="shared" si="103"/>
        <v>0</v>
      </c>
      <c r="KH28" s="538"/>
      <c r="KI28" s="540" t="str">
        <f t="shared" si="104"/>
        <v>0</v>
      </c>
      <c r="KJ28" s="540" t="str">
        <f t="shared" si="105"/>
        <v>0</v>
      </c>
      <c r="KK28" s="538"/>
      <c r="KL28" s="540" t="str">
        <f t="shared" si="106"/>
        <v>0</v>
      </c>
      <c r="KM28" s="540" t="str">
        <f t="shared" si="107"/>
        <v>0</v>
      </c>
      <c r="KN28" s="538"/>
      <c r="KO28" s="540" t="str">
        <f t="shared" si="108"/>
        <v>0</v>
      </c>
      <c r="KP28" s="540" t="str">
        <f t="shared" si="109"/>
        <v>0</v>
      </c>
      <c r="KQ28" s="538"/>
      <c r="KR28" s="540" t="str">
        <f t="shared" si="110"/>
        <v>0</v>
      </c>
      <c r="KS28" s="540" t="str">
        <f t="shared" si="111"/>
        <v>0</v>
      </c>
      <c r="KT28" s="540">
        <f t="shared" si="201"/>
        <v>0</v>
      </c>
      <c r="KU28" s="540">
        <f t="shared" si="202"/>
        <v>0</v>
      </c>
      <c r="KV28" s="274">
        <f t="shared" si="199"/>
        <v>450.90323687930908</v>
      </c>
    </row>
    <row r="29" spans="1:309" ht="15" customHeight="1">
      <c r="A29" s="276">
        <f t="shared" si="200"/>
        <v>45890</v>
      </c>
      <c r="B29" s="277" t="str">
        <f>+Report1!B29</f>
        <v>Facial</v>
      </c>
      <c r="C29" s="417" t="str">
        <f>+Report1!C29</f>
        <v>10,3</v>
      </c>
      <c r="D29" s="278">
        <f>+Report1!P29</f>
        <v>56.287999999999997</v>
      </c>
      <c r="E29" s="279">
        <f>+Report1!R29</f>
        <v>56.616</v>
      </c>
      <c r="F29" s="538"/>
      <c r="G29" s="539">
        <f t="shared" si="0"/>
        <v>0</v>
      </c>
      <c r="H29" s="540">
        <f t="shared" si="112"/>
        <v>0</v>
      </c>
      <c r="I29" s="538">
        <v>290.69767441860472</v>
      </c>
      <c r="J29" s="539">
        <f t="shared" si="1"/>
        <v>5.13454985196066</v>
      </c>
      <c r="K29" s="540">
        <f t="shared" si="113"/>
        <v>0</v>
      </c>
      <c r="L29" s="538"/>
      <c r="M29" s="539">
        <f t="shared" si="2"/>
        <v>0</v>
      </c>
      <c r="N29" s="540">
        <f t="shared" si="114"/>
        <v>0</v>
      </c>
      <c r="O29" s="538">
        <v>2.9999999999999929</v>
      </c>
      <c r="P29" s="539">
        <f t="shared" si="3"/>
        <v>5.298855447223387E-2</v>
      </c>
      <c r="Q29" s="540">
        <f t="shared" si="115"/>
        <v>0</v>
      </c>
      <c r="R29" s="538"/>
      <c r="S29" s="539">
        <f t="shared" si="4"/>
        <v>0</v>
      </c>
      <c r="T29" s="540">
        <f t="shared" si="116"/>
        <v>0</v>
      </c>
      <c r="U29" s="538">
        <v>2.5624999999999982</v>
      </c>
      <c r="V29" s="539">
        <f t="shared" si="5"/>
        <v>4.5261056945033178E-2</v>
      </c>
      <c r="W29" s="540">
        <f t="shared" si="117"/>
        <v>0</v>
      </c>
      <c r="X29" s="538"/>
      <c r="Y29" s="539">
        <f t="shared" si="6"/>
        <v>0</v>
      </c>
      <c r="Z29" s="540">
        <f t="shared" si="118"/>
        <v>0</v>
      </c>
      <c r="AA29" s="538"/>
      <c r="AB29" s="539">
        <f t="shared" si="7"/>
        <v>0</v>
      </c>
      <c r="AC29" s="540">
        <f t="shared" si="119"/>
        <v>0</v>
      </c>
      <c r="AD29" s="538"/>
      <c r="AE29" s="539">
        <f t="shared" si="8"/>
        <v>0</v>
      </c>
      <c r="AF29" s="540">
        <f t="shared" si="120"/>
        <v>0</v>
      </c>
      <c r="AG29" s="538"/>
      <c r="AH29" s="539">
        <f t="shared" si="9"/>
        <v>0</v>
      </c>
      <c r="AI29" s="540">
        <f t="shared" si="121"/>
        <v>0</v>
      </c>
      <c r="AJ29" s="538">
        <v>0</v>
      </c>
      <c r="AK29" s="539">
        <f t="shared" si="10"/>
        <v>0</v>
      </c>
      <c r="AL29" s="540">
        <f t="shared" si="122"/>
        <v>0</v>
      </c>
      <c r="AM29" s="538">
        <v>0</v>
      </c>
      <c r="AN29" s="539">
        <f t="shared" si="11"/>
        <v>0</v>
      </c>
      <c r="AO29" s="540">
        <f t="shared" si="123"/>
        <v>0</v>
      </c>
      <c r="AP29" s="538">
        <v>42.721518987341767</v>
      </c>
      <c r="AQ29" s="539">
        <f t="shared" si="12"/>
        <v>0.75458384533244605</v>
      </c>
      <c r="AR29" s="540">
        <f t="shared" si="124"/>
        <v>0</v>
      </c>
      <c r="AS29" s="538"/>
      <c r="AT29" s="539">
        <f t="shared" si="13"/>
        <v>0</v>
      </c>
      <c r="AU29" s="540">
        <f t="shared" si="125"/>
        <v>0</v>
      </c>
      <c r="AV29" s="538">
        <v>2.7739999999999441</v>
      </c>
      <c r="AW29" s="539">
        <f t="shared" si="14"/>
        <v>4.8996750035324714E-2</v>
      </c>
      <c r="AX29" s="540">
        <f t="shared" si="126"/>
        <v>0</v>
      </c>
      <c r="AY29" s="538">
        <v>77</v>
      </c>
      <c r="AZ29" s="539">
        <f t="shared" si="15"/>
        <v>1.3600395647873393</v>
      </c>
      <c r="BA29" s="540">
        <f t="shared" si="127"/>
        <v>0</v>
      </c>
      <c r="BB29" s="538">
        <v>0</v>
      </c>
      <c r="BC29" s="539">
        <f t="shared" si="16"/>
        <v>0</v>
      </c>
      <c r="BD29" s="540">
        <f t="shared" si="128"/>
        <v>0</v>
      </c>
      <c r="BE29" s="538"/>
      <c r="BF29" s="539">
        <f t="shared" si="17"/>
        <v>0</v>
      </c>
      <c r="BG29" s="540">
        <f t="shared" si="129"/>
        <v>0</v>
      </c>
      <c r="BH29" s="538"/>
      <c r="BI29" s="539">
        <f t="shared" si="18"/>
        <v>0</v>
      </c>
      <c r="BJ29" s="540">
        <f t="shared" si="130"/>
        <v>0</v>
      </c>
      <c r="BK29" s="538"/>
      <c r="BL29" s="539">
        <f t="shared" si="19"/>
        <v>0</v>
      </c>
      <c r="BM29" s="540">
        <f t="shared" si="131"/>
        <v>0</v>
      </c>
      <c r="BN29" s="538">
        <v>5.0617283950617207</v>
      </c>
      <c r="BO29" s="539">
        <f t="shared" si="20"/>
        <v>8.9404556928460513E-2</v>
      </c>
      <c r="BP29" s="540">
        <f t="shared" si="132"/>
        <v>0</v>
      </c>
      <c r="BQ29" s="538">
        <v>0</v>
      </c>
      <c r="BR29" s="539">
        <f t="shared" si="21"/>
        <v>0</v>
      </c>
      <c r="BS29" s="540">
        <f t="shared" si="133"/>
        <v>0</v>
      </c>
      <c r="BT29" s="538"/>
      <c r="BU29" s="539">
        <f t="shared" si="22"/>
        <v>0</v>
      </c>
      <c r="BV29" s="540">
        <f t="shared" si="134"/>
        <v>0</v>
      </c>
      <c r="BW29" s="538">
        <v>0</v>
      </c>
      <c r="BX29" s="539">
        <f t="shared" si="23"/>
        <v>0</v>
      </c>
      <c r="BY29" s="540">
        <f t="shared" si="135"/>
        <v>0</v>
      </c>
      <c r="BZ29" s="538">
        <v>0</v>
      </c>
      <c r="CA29" s="539">
        <f t="shared" si="24"/>
        <v>0</v>
      </c>
      <c r="CB29" s="540">
        <f t="shared" si="136"/>
        <v>0</v>
      </c>
      <c r="CC29" s="538">
        <v>0</v>
      </c>
      <c r="CD29" s="539">
        <f t="shared" si="25"/>
        <v>0</v>
      </c>
      <c r="CE29" s="540">
        <f t="shared" si="137"/>
        <v>0</v>
      </c>
      <c r="CF29" s="538">
        <v>9.9999999999999978E-2</v>
      </c>
      <c r="CG29" s="539">
        <f t="shared" si="26"/>
        <v>1.7662851490744661E-3</v>
      </c>
      <c r="CH29" s="540">
        <f t="shared" si="138"/>
        <v>0</v>
      </c>
      <c r="CI29" s="538">
        <v>0</v>
      </c>
      <c r="CJ29" s="539">
        <f t="shared" si="27"/>
        <v>0</v>
      </c>
      <c r="CK29" s="540">
        <f t="shared" si="139"/>
        <v>0</v>
      </c>
      <c r="CL29" s="538"/>
      <c r="CM29" s="539">
        <f t="shared" si="28"/>
        <v>0</v>
      </c>
      <c r="CN29" s="540">
        <f t="shared" si="140"/>
        <v>0</v>
      </c>
      <c r="CO29" s="538"/>
      <c r="CP29" s="539">
        <f t="shared" si="29"/>
        <v>0</v>
      </c>
      <c r="CQ29" s="540">
        <f t="shared" si="141"/>
        <v>0</v>
      </c>
      <c r="CR29" s="538"/>
      <c r="CS29" s="539">
        <f t="shared" si="30"/>
        <v>0</v>
      </c>
      <c r="CT29" s="540">
        <f t="shared" si="142"/>
        <v>0</v>
      </c>
      <c r="CU29" s="538"/>
      <c r="CV29" s="539">
        <f t="shared" si="31"/>
        <v>0</v>
      </c>
      <c r="CW29" s="540">
        <f t="shared" si="143"/>
        <v>0</v>
      </c>
      <c r="CX29" s="538"/>
      <c r="CY29" s="539">
        <f t="shared" si="32"/>
        <v>0</v>
      </c>
      <c r="CZ29" s="540">
        <f t="shared" si="144"/>
        <v>0</v>
      </c>
      <c r="DA29" s="538"/>
      <c r="DB29" s="539">
        <f t="shared" si="33"/>
        <v>0</v>
      </c>
      <c r="DC29" s="540">
        <f t="shared" si="145"/>
        <v>0</v>
      </c>
      <c r="DD29" s="538"/>
      <c r="DE29" s="539">
        <f t="shared" si="34"/>
        <v>0</v>
      </c>
      <c r="DF29" s="540">
        <f t="shared" si="146"/>
        <v>0</v>
      </c>
      <c r="DG29" s="538">
        <v>0</v>
      </c>
      <c r="DH29" s="539">
        <f t="shared" si="35"/>
        <v>0</v>
      </c>
      <c r="DI29" s="540">
        <f t="shared" si="203"/>
        <v>0</v>
      </c>
      <c r="DJ29" s="538"/>
      <c r="DK29" s="539">
        <f t="shared" si="36"/>
        <v>0</v>
      </c>
      <c r="DL29" s="540">
        <f t="shared" si="147"/>
        <v>0</v>
      </c>
      <c r="DM29" s="538"/>
      <c r="DN29" s="539">
        <f t="shared" si="37"/>
        <v>0</v>
      </c>
      <c r="DO29" s="540">
        <f t="shared" si="148"/>
        <v>0</v>
      </c>
      <c r="DP29" s="538"/>
      <c r="DQ29" s="539">
        <f t="shared" si="38"/>
        <v>0</v>
      </c>
      <c r="DR29" s="540">
        <f t="shared" si="149"/>
        <v>0</v>
      </c>
      <c r="DS29" s="538"/>
      <c r="DT29" s="539">
        <f t="shared" si="39"/>
        <v>0</v>
      </c>
      <c r="DU29" s="540">
        <f t="shared" si="150"/>
        <v>0</v>
      </c>
      <c r="DV29" s="538"/>
      <c r="DW29" s="539">
        <f t="shared" si="40"/>
        <v>0</v>
      </c>
      <c r="DX29" s="540">
        <f t="shared" si="151"/>
        <v>0</v>
      </c>
      <c r="DY29" s="538"/>
      <c r="DZ29" s="539">
        <f t="shared" si="41"/>
        <v>0</v>
      </c>
      <c r="EA29" s="540">
        <f t="shared" si="152"/>
        <v>0</v>
      </c>
      <c r="EB29" s="538">
        <v>14.534883720930281</v>
      </c>
      <c r="EC29" s="539">
        <f t="shared" si="42"/>
        <v>0.25672749259803379</v>
      </c>
      <c r="ED29" s="540">
        <f t="shared" si="153"/>
        <v>0</v>
      </c>
      <c r="EE29" s="538">
        <v>2</v>
      </c>
      <c r="EF29" s="539">
        <f t="shared" si="43"/>
        <v>3.5325702981489335E-2</v>
      </c>
      <c r="EG29" s="540">
        <f t="shared" si="154"/>
        <v>0</v>
      </c>
      <c r="EH29" s="538"/>
      <c r="EI29" s="539">
        <f t="shared" si="44"/>
        <v>0</v>
      </c>
      <c r="EJ29" s="540">
        <f t="shared" si="155"/>
        <v>0</v>
      </c>
      <c r="EK29" s="538"/>
      <c r="EL29" s="539">
        <f t="shared" si="45"/>
        <v>0</v>
      </c>
      <c r="EM29" s="540">
        <f t="shared" si="156"/>
        <v>0</v>
      </c>
      <c r="EN29" s="538"/>
      <c r="EO29" s="539">
        <f t="shared" si="46"/>
        <v>0</v>
      </c>
      <c r="EP29" s="540">
        <f t="shared" si="157"/>
        <v>0</v>
      </c>
      <c r="EQ29" s="538"/>
      <c r="ER29" s="539">
        <f t="shared" si="47"/>
        <v>0</v>
      </c>
      <c r="ES29" s="540">
        <f t="shared" si="158"/>
        <v>0</v>
      </c>
      <c r="ET29" s="538"/>
      <c r="EU29" s="539">
        <f t="shared" si="48"/>
        <v>0</v>
      </c>
      <c r="EV29" s="540">
        <f t="shared" si="159"/>
        <v>0</v>
      </c>
      <c r="EW29" s="538"/>
      <c r="EX29" s="539">
        <f t="shared" si="49"/>
        <v>0</v>
      </c>
      <c r="EY29" s="540">
        <f t="shared" si="160"/>
        <v>0</v>
      </c>
      <c r="EZ29" s="538"/>
      <c r="FA29" s="539">
        <f t="shared" si="50"/>
        <v>0</v>
      </c>
      <c r="FB29" s="540">
        <f t="shared" si="161"/>
        <v>0</v>
      </c>
      <c r="FC29" s="538"/>
      <c r="FD29" s="539">
        <f t="shared" si="51"/>
        <v>0</v>
      </c>
      <c r="FE29" s="540">
        <f t="shared" si="162"/>
        <v>0</v>
      </c>
      <c r="FF29" s="538"/>
      <c r="FG29" s="539">
        <f t="shared" si="52"/>
        <v>0</v>
      </c>
      <c r="FH29" s="540">
        <f t="shared" si="163"/>
        <v>0</v>
      </c>
      <c r="FI29" s="538"/>
      <c r="FJ29" s="539">
        <f t="shared" si="53"/>
        <v>0</v>
      </c>
      <c r="FK29" s="540">
        <f t="shared" si="164"/>
        <v>0</v>
      </c>
      <c r="FL29" s="538"/>
      <c r="FM29" s="539">
        <f t="shared" si="54"/>
        <v>0</v>
      </c>
      <c r="FN29" s="540">
        <f t="shared" si="165"/>
        <v>0</v>
      </c>
      <c r="FO29" s="538"/>
      <c r="FP29" s="539">
        <f t="shared" si="55"/>
        <v>0</v>
      </c>
      <c r="FQ29" s="540">
        <f t="shared" si="166"/>
        <v>0</v>
      </c>
      <c r="FR29" s="538"/>
      <c r="FS29" s="539">
        <f t="shared" si="56"/>
        <v>0</v>
      </c>
      <c r="FT29" s="540">
        <f t="shared" si="167"/>
        <v>0</v>
      </c>
      <c r="FU29" s="538"/>
      <c r="FV29" s="539">
        <f t="shared" si="57"/>
        <v>0</v>
      </c>
      <c r="FW29" s="540">
        <f t="shared" si="168"/>
        <v>0</v>
      </c>
      <c r="FX29" s="538"/>
      <c r="FY29" s="539">
        <f t="shared" si="58"/>
        <v>0</v>
      </c>
      <c r="FZ29" s="540">
        <f t="shared" si="169"/>
        <v>0</v>
      </c>
      <c r="GA29" s="538"/>
      <c r="GB29" s="539">
        <f t="shared" si="59"/>
        <v>0</v>
      </c>
      <c r="GC29" s="540">
        <f t="shared" si="170"/>
        <v>0</v>
      </c>
      <c r="GD29" s="538"/>
      <c r="GE29" s="539">
        <f t="shared" si="60"/>
        <v>0</v>
      </c>
      <c r="GF29" s="540">
        <f t="shared" si="171"/>
        <v>0</v>
      </c>
      <c r="GG29" s="538"/>
      <c r="GH29" s="539">
        <f t="shared" si="61"/>
        <v>0</v>
      </c>
      <c r="GI29" s="540">
        <f t="shared" si="172"/>
        <v>0</v>
      </c>
      <c r="GJ29" s="538"/>
      <c r="GK29" s="539">
        <f t="shared" si="62"/>
        <v>0</v>
      </c>
      <c r="GL29" s="540">
        <f t="shared" si="173"/>
        <v>0</v>
      </c>
      <c r="GM29" s="538"/>
      <c r="GN29" s="539">
        <f t="shared" si="63"/>
        <v>0</v>
      </c>
      <c r="GO29" s="540">
        <f t="shared" si="174"/>
        <v>0</v>
      </c>
      <c r="GP29" s="538"/>
      <c r="GQ29" s="539">
        <f t="shared" si="64"/>
        <v>0</v>
      </c>
      <c r="GR29" s="540">
        <f t="shared" si="175"/>
        <v>0</v>
      </c>
      <c r="GS29" s="538"/>
      <c r="GT29" s="539">
        <f t="shared" si="65"/>
        <v>0</v>
      </c>
      <c r="GU29" s="540">
        <f t="shared" si="176"/>
        <v>0</v>
      </c>
      <c r="GV29" s="538"/>
      <c r="GW29" s="539">
        <f t="shared" si="66"/>
        <v>0</v>
      </c>
      <c r="GX29" s="540">
        <f t="shared" si="177"/>
        <v>0</v>
      </c>
      <c r="GY29" s="538"/>
      <c r="GZ29" s="539">
        <f t="shared" si="67"/>
        <v>0</v>
      </c>
      <c r="HA29" s="540">
        <f t="shared" si="178"/>
        <v>0</v>
      </c>
      <c r="HB29" s="538"/>
      <c r="HC29" s="539">
        <f t="shared" si="68"/>
        <v>0</v>
      </c>
      <c r="HD29" s="540">
        <f t="shared" si="179"/>
        <v>0</v>
      </c>
      <c r="HE29" s="538"/>
      <c r="HF29" s="539">
        <f t="shared" si="69"/>
        <v>0</v>
      </c>
      <c r="HG29" s="540">
        <f t="shared" si="180"/>
        <v>0</v>
      </c>
      <c r="HH29" s="538"/>
      <c r="HI29" s="539">
        <f t="shared" si="70"/>
        <v>0</v>
      </c>
      <c r="HJ29" s="540">
        <f t="shared" si="181"/>
        <v>0</v>
      </c>
      <c r="HK29" s="538"/>
      <c r="HL29" s="539">
        <f t="shared" si="71"/>
        <v>0</v>
      </c>
      <c r="HM29" s="540">
        <f t="shared" si="182"/>
        <v>0</v>
      </c>
      <c r="HN29" s="538"/>
      <c r="HO29" s="539">
        <f t="shared" si="72"/>
        <v>0</v>
      </c>
      <c r="HP29" s="540">
        <f t="shared" si="183"/>
        <v>0</v>
      </c>
      <c r="HQ29" s="538"/>
      <c r="HR29" s="539">
        <f t="shared" si="73"/>
        <v>0</v>
      </c>
      <c r="HS29" s="540">
        <f t="shared" si="184"/>
        <v>0</v>
      </c>
      <c r="HT29" s="538"/>
      <c r="HU29" s="539">
        <f t="shared" si="74"/>
        <v>0</v>
      </c>
      <c r="HV29" s="540">
        <f t="shared" si="185"/>
        <v>0</v>
      </c>
      <c r="HW29" s="538"/>
      <c r="HX29" s="539">
        <f t="shared" si="75"/>
        <v>0</v>
      </c>
      <c r="HY29" s="540">
        <f t="shared" si="186"/>
        <v>0</v>
      </c>
      <c r="HZ29" s="538"/>
      <c r="IA29" s="539">
        <f t="shared" si="76"/>
        <v>0</v>
      </c>
      <c r="IB29" s="540">
        <f t="shared" si="187"/>
        <v>0</v>
      </c>
      <c r="IC29" s="538"/>
      <c r="ID29" s="539">
        <f t="shared" si="77"/>
        <v>0</v>
      </c>
      <c r="IE29" s="540">
        <f t="shared" si="188"/>
        <v>0</v>
      </c>
      <c r="IF29" s="538"/>
      <c r="IG29" s="539">
        <f t="shared" si="78"/>
        <v>0</v>
      </c>
      <c r="IH29" s="540">
        <f t="shared" si="189"/>
        <v>0</v>
      </c>
      <c r="II29" s="538"/>
      <c r="IJ29" s="539">
        <f t="shared" si="79"/>
        <v>0</v>
      </c>
      <c r="IK29" s="540">
        <f t="shared" si="190"/>
        <v>0</v>
      </c>
      <c r="IL29" s="538"/>
      <c r="IM29" s="539">
        <f t="shared" si="80"/>
        <v>0</v>
      </c>
      <c r="IN29" s="540">
        <f t="shared" si="191"/>
        <v>0</v>
      </c>
      <c r="IO29" s="538"/>
      <c r="IP29" s="539">
        <f t="shared" si="81"/>
        <v>0</v>
      </c>
      <c r="IQ29" s="540">
        <f t="shared" si="192"/>
        <v>0</v>
      </c>
      <c r="IR29" s="538"/>
      <c r="IS29" s="539">
        <f t="shared" si="82"/>
        <v>0</v>
      </c>
      <c r="IT29" s="540">
        <f t="shared" si="193"/>
        <v>0</v>
      </c>
      <c r="IU29" s="538"/>
      <c r="IV29" s="539">
        <f t="shared" si="83"/>
        <v>0</v>
      </c>
      <c r="IW29" s="540">
        <f t="shared" si="194"/>
        <v>0</v>
      </c>
      <c r="IX29" s="538"/>
      <c r="IY29" s="539">
        <f t="shared" si="84"/>
        <v>0</v>
      </c>
      <c r="IZ29" s="540">
        <f t="shared" si="195"/>
        <v>0</v>
      </c>
      <c r="JA29" s="538"/>
      <c r="JB29" s="539">
        <f t="shared" si="85"/>
        <v>0</v>
      </c>
      <c r="JC29" s="540">
        <f t="shared" si="196"/>
        <v>0</v>
      </c>
      <c r="JD29" s="538"/>
      <c r="JE29" s="539">
        <f t="shared" si="86"/>
        <v>0</v>
      </c>
      <c r="JF29" s="540">
        <f t="shared" si="197"/>
        <v>0</v>
      </c>
      <c r="JG29" s="538"/>
      <c r="JH29" s="539">
        <f t="shared" si="87"/>
        <v>0</v>
      </c>
      <c r="JI29" s="540">
        <f t="shared" si="198"/>
        <v>0</v>
      </c>
      <c r="JJ29" s="538"/>
      <c r="JK29" s="540" t="str">
        <f t="shared" si="88"/>
        <v>0</v>
      </c>
      <c r="JL29" s="540" t="str">
        <f t="shared" si="89"/>
        <v>0</v>
      </c>
      <c r="JM29" s="538"/>
      <c r="JN29" s="540" t="str">
        <f t="shared" si="90"/>
        <v>0</v>
      </c>
      <c r="JO29" s="540" t="str">
        <f t="shared" si="91"/>
        <v>0</v>
      </c>
      <c r="JP29" s="538"/>
      <c r="JQ29" s="540" t="str">
        <f t="shared" si="92"/>
        <v>0</v>
      </c>
      <c r="JR29" s="540" t="str">
        <f t="shared" si="93"/>
        <v>0</v>
      </c>
      <c r="JS29" s="538"/>
      <c r="JT29" s="540" t="str">
        <f t="shared" si="94"/>
        <v>0</v>
      </c>
      <c r="JU29" s="540" t="str">
        <f t="shared" si="95"/>
        <v>0</v>
      </c>
      <c r="JV29" s="538"/>
      <c r="JW29" s="540" t="str">
        <f t="shared" si="96"/>
        <v>0</v>
      </c>
      <c r="JX29" s="540" t="str">
        <f t="shared" si="97"/>
        <v>0</v>
      </c>
      <c r="JY29" s="538"/>
      <c r="JZ29" s="540" t="str">
        <f t="shared" si="98"/>
        <v>0</v>
      </c>
      <c r="KA29" s="540" t="str">
        <f t="shared" si="99"/>
        <v>0</v>
      </c>
      <c r="KB29" s="538"/>
      <c r="KC29" s="540" t="str">
        <f t="shared" si="100"/>
        <v>0</v>
      </c>
      <c r="KD29" s="540" t="str">
        <f t="shared" si="101"/>
        <v>0</v>
      </c>
      <c r="KE29" s="538"/>
      <c r="KF29" s="540" t="str">
        <f t="shared" si="102"/>
        <v>0</v>
      </c>
      <c r="KG29" s="540" t="str">
        <f t="shared" si="103"/>
        <v>0</v>
      </c>
      <c r="KH29" s="538"/>
      <c r="KI29" s="540" t="str">
        <f t="shared" si="104"/>
        <v>0</v>
      </c>
      <c r="KJ29" s="540" t="str">
        <f t="shared" si="105"/>
        <v>0</v>
      </c>
      <c r="KK29" s="538"/>
      <c r="KL29" s="540" t="str">
        <f t="shared" si="106"/>
        <v>0</v>
      </c>
      <c r="KM29" s="540" t="str">
        <f t="shared" si="107"/>
        <v>0</v>
      </c>
      <c r="KN29" s="538"/>
      <c r="KO29" s="540" t="str">
        <f t="shared" si="108"/>
        <v>0</v>
      </c>
      <c r="KP29" s="540" t="str">
        <f t="shared" si="109"/>
        <v>0</v>
      </c>
      <c r="KQ29" s="538"/>
      <c r="KR29" s="540" t="str">
        <f t="shared" si="110"/>
        <v>0</v>
      </c>
      <c r="KS29" s="540" t="str">
        <f t="shared" si="111"/>
        <v>0</v>
      </c>
      <c r="KT29" s="540">
        <f t="shared" si="201"/>
        <v>0</v>
      </c>
      <c r="KU29" s="540">
        <f t="shared" si="202"/>
        <v>0</v>
      </c>
      <c r="KV29" s="274">
        <f t="shared" si="199"/>
        <v>440.45230552193846</v>
      </c>
    </row>
    <row r="30" spans="1:309" ht="15" customHeight="1">
      <c r="A30" s="276">
        <f t="shared" si="200"/>
        <v>45891</v>
      </c>
      <c r="B30" s="277" t="str">
        <f>+Report1!B30</f>
        <v>Facial</v>
      </c>
      <c r="C30" s="417" t="str">
        <f>+Report1!C30</f>
        <v>10,3</v>
      </c>
      <c r="D30" s="278">
        <f>+Report1!P30</f>
        <v>54.817999999999998</v>
      </c>
      <c r="E30" s="279">
        <f>+Report1!R30</f>
        <v>55.46</v>
      </c>
      <c r="F30" s="538"/>
      <c r="G30" s="539">
        <f t="shared" si="0"/>
        <v>0</v>
      </c>
      <c r="H30" s="540">
        <f t="shared" si="112"/>
        <v>0</v>
      </c>
      <c r="I30" s="538">
        <v>290.69767441860472</v>
      </c>
      <c r="J30" s="539">
        <f t="shared" si="1"/>
        <v>5.2415736462063602</v>
      </c>
      <c r="K30" s="540">
        <f t="shared" si="113"/>
        <v>0</v>
      </c>
      <c r="L30" s="538"/>
      <c r="M30" s="539">
        <f t="shared" si="2"/>
        <v>0</v>
      </c>
      <c r="N30" s="540">
        <f t="shared" si="114"/>
        <v>0</v>
      </c>
      <c r="O30" s="538">
        <v>3</v>
      </c>
      <c r="P30" s="539">
        <f t="shared" si="3"/>
        <v>5.4093040028849619E-2</v>
      </c>
      <c r="Q30" s="540">
        <f t="shared" si="115"/>
        <v>0</v>
      </c>
      <c r="R30" s="538"/>
      <c r="S30" s="539">
        <f t="shared" si="4"/>
        <v>0</v>
      </c>
      <c r="T30" s="540">
        <f t="shared" si="116"/>
        <v>0</v>
      </c>
      <c r="U30" s="538">
        <v>2.5625000000000018</v>
      </c>
      <c r="V30" s="539">
        <f t="shared" si="5"/>
        <v>4.6204471691309083E-2</v>
      </c>
      <c r="W30" s="540">
        <f t="shared" si="117"/>
        <v>0</v>
      </c>
      <c r="X30" s="538"/>
      <c r="Y30" s="539">
        <f t="shared" si="6"/>
        <v>0</v>
      </c>
      <c r="Z30" s="540">
        <f t="shared" si="118"/>
        <v>0</v>
      </c>
      <c r="AA30" s="538"/>
      <c r="AB30" s="539">
        <f t="shared" si="7"/>
        <v>0</v>
      </c>
      <c r="AC30" s="540">
        <f t="shared" si="119"/>
        <v>0</v>
      </c>
      <c r="AD30" s="538"/>
      <c r="AE30" s="539">
        <f t="shared" si="8"/>
        <v>0</v>
      </c>
      <c r="AF30" s="540">
        <f t="shared" si="120"/>
        <v>0</v>
      </c>
      <c r="AG30" s="538"/>
      <c r="AH30" s="539">
        <f t="shared" si="9"/>
        <v>0</v>
      </c>
      <c r="AI30" s="540">
        <f t="shared" si="121"/>
        <v>0</v>
      </c>
      <c r="AJ30" s="538">
        <v>0</v>
      </c>
      <c r="AK30" s="539">
        <f t="shared" si="10"/>
        <v>0</v>
      </c>
      <c r="AL30" s="540">
        <f t="shared" si="122"/>
        <v>0</v>
      </c>
      <c r="AM30" s="538">
        <v>0</v>
      </c>
      <c r="AN30" s="539">
        <f t="shared" si="11"/>
        <v>0</v>
      </c>
      <c r="AO30" s="540">
        <f t="shared" si="123"/>
        <v>0</v>
      </c>
      <c r="AP30" s="538">
        <v>48.417721518987378</v>
      </c>
      <c r="AQ30" s="539">
        <f t="shared" si="12"/>
        <v>0.87302058274409267</v>
      </c>
      <c r="AR30" s="540">
        <f t="shared" si="124"/>
        <v>0</v>
      </c>
      <c r="AS30" s="538"/>
      <c r="AT30" s="539">
        <f t="shared" si="13"/>
        <v>0</v>
      </c>
      <c r="AU30" s="540">
        <f t="shared" si="125"/>
        <v>0</v>
      </c>
      <c r="AV30" s="538">
        <v>5.5500000000000114</v>
      </c>
      <c r="AW30" s="539">
        <f t="shared" si="14"/>
        <v>0.100072124053372</v>
      </c>
      <c r="AX30" s="540">
        <f t="shared" si="126"/>
        <v>0</v>
      </c>
      <c r="AY30" s="538">
        <v>74.666666666666629</v>
      </c>
      <c r="AZ30" s="539">
        <f t="shared" si="15"/>
        <v>1.3463156629402566</v>
      </c>
      <c r="BA30" s="540">
        <f t="shared" si="127"/>
        <v>0</v>
      </c>
      <c r="BB30" s="538">
        <v>0</v>
      </c>
      <c r="BC30" s="539">
        <f t="shared" si="16"/>
        <v>0</v>
      </c>
      <c r="BD30" s="540">
        <f t="shared" si="128"/>
        <v>0</v>
      </c>
      <c r="BE30" s="538"/>
      <c r="BF30" s="539">
        <f t="shared" si="17"/>
        <v>0</v>
      </c>
      <c r="BG30" s="540">
        <f t="shared" si="129"/>
        <v>0</v>
      </c>
      <c r="BH30" s="538"/>
      <c r="BI30" s="539">
        <f t="shared" si="18"/>
        <v>0</v>
      </c>
      <c r="BJ30" s="540">
        <f t="shared" si="130"/>
        <v>0</v>
      </c>
      <c r="BK30" s="538"/>
      <c r="BL30" s="539">
        <f t="shared" si="19"/>
        <v>0</v>
      </c>
      <c r="BM30" s="540">
        <f t="shared" si="131"/>
        <v>0</v>
      </c>
      <c r="BN30" s="538">
        <v>5.0617283950617349</v>
      </c>
      <c r="BO30" s="539">
        <f t="shared" si="20"/>
        <v>9.1268092229746384E-2</v>
      </c>
      <c r="BP30" s="540">
        <f t="shared" si="132"/>
        <v>0</v>
      </c>
      <c r="BQ30" s="538">
        <v>0</v>
      </c>
      <c r="BR30" s="539">
        <f t="shared" si="21"/>
        <v>0</v>
      </c>
      <c r="BS30" s="540">
        <f t="shared" si="133"/>
        <v>0</v>
      </c>
      <c r="BT30" s="538"/>
      <c r="BU30" s="539">
        <f t="shared" si="22"/>
        <v>0</v>
      </c>
      <c r="BV30" s="540">
        <f t="shared" si="134"/>
        <v>0</v>
      </c>
      <c r="BW30" s="538">
        <v>0</v>
      </c>
      <c r="BX30" s="539">
        <f t="shared" si="23"/>
        <v>0</v>
      </c>
      <c r="BY30" s="540">
        <f t="shared" si="135"/>
        <v>0</v>
      </c>
      <c r="BZ30" s="538">
        <v>0</v>
      </c>
      <c r="CA30" s="539">
        <f t="shared" si="24"/>
        <v>0</v>
      </c>
      <c r="CB30" s="540">
        <f t="shared" si="136"/>
        <v>0</v>
      </c>
      <c r="CC30" s="538">
        <v>0</v>
      </c>
      <c r="CD30" s="539">
        <f t="shared" si="25"/>
        <v>0</v>
      </c>
      <c r="CE30" s="540">
        <f t="shared" si="137"/>
        <v>0</v>
      </c>
      <c r="CF30" s="538">
        <v>9.9999999999999978E-2</v>
      </c>
      <c r="CG30" s="539">
        <f t="shared" si="26"/>
        <v>1.803101334294987E-3</v>
      </c>
      <c r="CH30" s="540">
        <f t="shared" si="138"/>
        <v>0</v>
      </c>
      <c r="CI30" s="538">
        <v>0</v>
      </c>
      <c r="CJ30" s="539">
        <f t="shared" si="27"/>
        <v>0</v>
      </c>
      <c r="CK30" s="540">
        <f t="shared" si="139"/>
        <v>0</v>
      </c>
      <c r="CL30" s="538"/>
      <c r="CM30" s="539">
        <f t="shared" si="28"/>
        <v>0</v>
      </c>
      <c r="CN30" s="540">
        <f t="shared" si="140"/>
        <v>0</v>
      </c>
      <c r="CO30" s="538"/>
      <c r="CP30" s="539">
        <f t="shared" si="29"/>
        <v>0</v>
      </c>
      <c r="CQ30" s="540">
        <f t="shared" si="141"/>
        <v>0</v>
      </c>
      <c r="CR30" s="538"/>
      <c r="CS30" s="539">
        <f t="shared" si="30"/>
        <v>0</v>
      </c>
      <c r="CT30" s="540">
        <f t="shared" si="142"/>
        <v>0</v>
      </c>
      <c r="CU30" s="538"/>
      <c r="CV30" s="539">
        <f t="shared" si="31"/>
        <v>0</v>
      </c>
      <c r="CW30" s="540">
        <f t="shared" si="143"/>
        <v>0</v>
      </c>
      <c r="CX30" s="538"/>
      <c r="CY30" s="539">
        <f t="shared" si="32"/>
        <v>0</v>
      </c>
      <c r="CZ30" s="540">
        <f t="shared" si="144"/>
        <v>0</v>
      </c>
      <c r="DA30" s="538"/>
      <c r="DB30" s="539">
        <f t="shared" si="33"/>
        <v>0</v>
      </c>
      <c r="DC30" s="540">
        <f t="shared" si="145"/>
        <v>0</v>
      </c>
      <c r="DD30" s="538"/>
      <c r="DE30" s="539">
        <f t="shared" si="34"/>
        <v>0</v>
      </c>
      <c r="DF30" s="540">
        <f t="shared" si="146"/>
        <v>0</v>
      </c>
      <c r="DG30" s="538">
        <v>0</v>
      </c>
      <c r="DH30" s="539">
        <f t="shared" si="35"/>
        <v>0</v>
      </c>
      <c r="DI30" s="540">
        <f t="shared" si="203"/>
        <v>0</v>
      </c>
      <c r="DJ30" s="538"/>
      <c r="DK30" s="539">
        <f t="shared" si="36"/>
        <v>0</v>
      </c>
      <c r="DL30" s="540">
        <f t="shared" si="147"/>
        <v>0</v>
      </c>
      <c r="DM30" s="538"/>
      <c r="DN30" s="539">
        <f t="shared" si="37"/>
        <v>0</v>
      </c>
      <c r="DO30" s="540">
        <f t="shared" si="148"/>
        <v>0</v>
      </c>
      <c r="DP30" s="538"/>
      <c r="DQ30" s="539">
        <f t="shared" si="38"/>
        <v>0</v>
      </c>
      <c r="DR30" s="540">
        <f t="shared" si="149"/>
        <v>0</v>
      </c>
      <c r="DS30" s="538"/>
      <c r="DT30" s="539">
        <f t="shared" si="39"/>
        <v>0</v>
      </c>
      <c r="DU30" s="540">
        <f t="shared" si="150"/>
        <v>0</v>
      </c>
      <c r="DV30" s="538"/>
      <c r="DW30" s="539">
        <f t="shared" si="40"/>
        <v>0</v>
      </c>
      <c r="DX30" s="540">
        <f t="shared" si="151"/>
        <v>0</v>
      </c>
      <c r="DY30" s="538"/>
      <c r="DZ30" s="539">
        <f t="shared" si="41"/>
        <v>0</v>
      </c>
      <c r="EA30" s="540">
        <f t="shared" si="152"/>
        <v>0</v>
      </c>
      <c r="EB30" s="538">
        <v>14.534883720930225</v>
      </c>
      <c r="EC30" s="539">
        <f t="shared" si="42"/>
        <v>0.26207868231031778</v>
      </c>
      <c r="ED30" s="540">
        <f t="shared" si="153"/>
        <v>0</v>
      </c>
      <c r="EE30" s="538">
        <v>2</v>
      </c>
      <c r="EF30" s="539">
        <f t="shared" si="43"/>
        <v>3.6062026685899744E-2</v>
      </c>
      <c r="EG30" s="540">
        <f t="shared" si="154"/>
        <v>0</v>
      </c>
      <c r="EH30" s="538"/>
      <c r="EI30" s="539">
        <f t="shared" si="44"/>
        <v>0</v>
      </c>
      <c r="EJ30" s="540">
        <f t="shared" si="155"/>
        <v>0</v>
      </c>
      <c r="EK30" s="538"/>
      <c r="EL30" s="539">
        <f t="shared" si="45"/>
        <v>0</v>
      </c>
      <c r="EM30" s="540">
        <f t="shared" si="156"/>
        <v>0</v>
      </c>
      <c r="EN30" s="538"/>
      <c r="EO30" s="539">
        <f t="shared" si="46"/>
        <v>0</v>
      </c>
      <c r="EP30" s="540">
        <f t="shared" si="157"/>
        <v>0</v>
      </c>
      <c r="EQ30" s="538"/>
      <c r="ER30" s="539">
        <f t="shared" si="47"/>
        <v>0</v>
      </c>
      <c r="ES30" s="540">
        <f t="shared" si="158"/>
        <v>0</v>
      </c>
      <c r="ET30" s="538"/>
      <c r="EU30" s="539">
        <f t="shared" si="48"/>
        <v>0</v>
      </c>
      <c r="EV30" s="540">
        <f t="shared" si="159"/>
        <v>0</v>
      </c>
      <c r="EW30" s="538"/>
      <c r="EX30" s="539">
        <f t="shared" si="49"/>
        <v>0</v>
      </c>
      <c r="EY30" s="540">
        <f t="shared" si="160"/>
        <v>0</v>
      </c>
      <c r="EZ30" s="538"/>
      <c r="FA30" s="539">
        <f t="shared" si="50"/>
        <v>0</v>
      </c>
      <c r="FB30" s="540">
        <f t="shared" si="161"/>
        <v>0</v>
      </c>
      <c r="FC30" s="538"/>
      <c r="FD30" s="539">
        <f t="shared" si="51"/>
        <v>0</v>
      </c>
      <c r="FE30" s="540">
        <f t="shared" si="162"/>
        <v>0</v>
      </c>
      <c r="FF30" s="538"/>
      <c r="FG30" s="539">
        <f t="shared" si="52"/>
        <v>0</v>
      </c>
      <c r="FH30" s="540">
        <f t="shared" si="163"/>
        <v>0</v>
      </c>
      <c r="FI30" s="538"/>
      <c r="FJ30" s="539">
        <f t="shared" si="53"/>
        <v>0</v>
      </c>
      <c r="FK30" s="540">
        <f t="shared" si="164"/>
        <v>0</v>
      </c>
      <c r="FL30" s="538"/>
      <c r="FM30" s="539">
        <f t="shared" si="54"/>
        <v>0</v>
      </c>
      <c r="FN30" s="540">
        <f t="shared" si="165"/>
        <v>0</v>
      </c>
      <c r="FO30" s="538"/>
      <c r="FP30" s="539">
        <f t="shared" si="55"/>
        <v>0</v>
      </c>
      <c r="FQ30" s="540">
        <f t="shared" si="166"/>
        <v>0</v>
      </c>
      <c r="FR30" s="538"/>
      <c r="FS30" s="539">
        <f t="shared" si="56"/>
        <v>0</v>
      </c>
      <c r="FT30" s="540">
        <f t="shared" si="167"/>
        <v>0</v>
      </c>
      <c r="FU30" s="538"/>
      <c r="FV30" s="539">
        <f t="shared" si="57"/>
        <v>0</v>
      </c>
      <c r="FW30" s="540">
        <f t="shared" si="168"/>
        <v>0</v>
      </c>
      <c r="FX30" s="538"/>
      <c r="FY30" s="539">
        <f t="shared" si="58"/>
        <v>0</v>
      </c>
      <c r="FZ30" s="540">
        <f t="shared" si="169"/>
        <v>0</v>
      </c>
      <c r="GA30" s="538"/>
      <c r="GB30" s="539">
        <f t="shared" si="59"/>
        <v>0</v>
      </c>
      <c r="GC30" s="540">
        <f t="shared" si="170"/>
        <v>0</v>
      </c>
      <c r="GD30" s="538"/>
      <c r="GE30" s="539">
        <f t="shared" si="60"/>
        <v>0</v>
      </c>
      <c r="GF30" s="540">
        <f t="shared" si="171"/>
        <v>0</v>
      </c>
      <c r="GG30" s="538"/>
      <c r="GH30" s="539">
        <f t="shared" si="61"/>
        <v>0</v>
      </c>
      <c r="GI30" s="540">
        <f t="shared" si="172"/>
        <v>0</v>
      </c>
      <c r="GJ30" s="538"/>
      <c r="GK30" s="539">
        <f t="shared" si="62"/>
        <v>0</v>
      </c>
      <c r="GL30" s="540">
        <f t="shared" si="173"/>
        <v>0</v>
      </c>
      <c r="GM30" s="538"/>
      <c r="GN30" s="539">
        <f t="shared" si="63"/>
        <v>0</v>
      </c>
      <c r="GO30" s="540">
        <f t="shared" si="174"/>
        <v>0</v>
      </c>
      <c r="GP30" s="538"/>
      <c r="GQ30" s="539">
        <f t="shared" si="64"/>
        <v>0</v>
      </c>
      <c r="GR30" s="540">
        <f t="shared" si="175"/>
        <v>0</v>
      </c>
      <c r="GS30" s="538"/>
      <c r="GT30" s="539">
        <f t="shared" si="65"/>
        <v>0</v>
      </c>
      <c r="GU30" s="540">
        <f t="shared" si="176"/>
        <v>0</v>
      </c>
      <c r="GV30" s="538"/>
      <c r="GW30" s="539">
        <f t="shared" si="66"/>
        <v>0</v>
      </c>
      <c r="GX30" s="540">
        <f t="shared" si="177"/>
        <v>0</v>
      </c>
      <c r="GY30" s="538"/>
      <c r="GZ30" s="539">
        <f t="shared" si="67"/>
        <v>0</v>
      </c>
      <c r="HA30" s="540">
        <f t="shared" si="178"/>
        <v>0</v>
      </c>
      <c r="HB30" s="538"/>
      <c r="HC30" s="539">
        <f t="shared" si="68"/>
        <v>0</v>
      </c>
      <c r="HD30" s="540">
        <f t="shared" si="179"/>
        <v>0</v>
      </c>
      <c r="HE30" s="538"/>
      <c r="HF30" s="539">
        <f t="shared" si="69"/>
        <v>0</v>
      </c>
      <c r="HG30" s="540">
        <f t="shared" si="180"/>
        <v>0</v>
      </c>
      <c r="HH30" s="538"/>
      <c r="HI30" s="539">
        <f t="shared" si="70"/>
        <v>0</v>
      </c>
      <c r="HJ30" s="540">
        <f t="shared" si="181"/>
        <v>0</v>
      </c>
      <c r="HK30" s="538"/>
      <c r="HL30" s="539">
        <f t="shared" si="71"/>
        <v>0</v>
      </c>
      <c r="HM30" s="540">
        <f t="shared" si="182"/>
        <v>0</v>
      </c>
      <c r="HN30" s="538"/>
      <c r="HO30" s="539">
        <f t="shared" si="72"/>
        <v>0</v>
      </c>
      <c r="HP30" s="540">
        <f t="shared" si="183"/>
        <v>0</v>
      </c>
      <c r="HQ30" s="538"/>
      <c r="HR30" s="539">
        <f t="shared" si="73"/>
        <v>0</v>
      </c>
      <c r="HS30" s="540">
        <f t="shared" si="184"/>
        <v>0</v>
      </c>
      <c r="HT30" s="538"/>
      <c r="HU30" s="539">
        <f t="shared" si="74"/>
        <v>0</v>
      </c>
      <c r="HV30" s="540">
        <f t="shared" si="185"/>
        <v>0</v>
      </c>
      <c r="HW30" s="538"/>
      <c r="HX30" s="539">
        <f t="shared" si="75"/>
        <v>0</v>
      </c>
      <c r="HY30" s="540">
        <f t="shared" si="186"/>
        <v>0</v>
      </c>
      <c r="HZ30" s="538"/>
      <c r="IA30" s="539">
        <f t="shared" si="76"/>
        <v>0</v>
      </c>
      <c r="IB30" s="540">
        <f t="shared" si="187"/>
        <v>0</v>
      </c>
      <c r="IC30" s="538"/>
      <c r="ID30" s="539">
        <f t="shared" si="77"/>
        <v>0</v>
      </c>
      <c r="IE30" s="540">
        <f t="shared" si="188"/>
        <v>0</v>
      </c>
      <c r="IF30" s="538"/>
      <c r="IG30" s="539">
        <f t="shared" si="78"/>
        <v>0</v>
      </c>
      <c r="IH30" s="540">
        <f t="shared" si="189"/>
        <v>0</v>
      </c>
      <c r="II30" s="538"/>
      <c r="IJ30" s="539">
        <f t="shared" si="79"/>
        <v>0</v>
      </c>
      <c r="IK30" s="540">
        <f t="shared" si="190"/>
        <v>0</v>
      </c>
      <c r="IL30" s="538"/>
      <c r="IM30" s="539">
        <f t="shared" si="80"/>
        <v>0</v>
      </c>
      <c r="IN30" s="540">
        <f t="shared" si="191"/>
        <v>0</v>
      </c>
      <c r="IO30" s="538"/>
      <c r="IP30" s="539">
        <f t="shared" si="81"/>
        <v>0</v>
      </c>
      <c r="IQ30" s="540">
        <f t="shared" si="192"/>
        <v>0</v>
      </c>
      <c r="IR30" s="538"/>
      <c r="IS30" s="539">
        <f t="shared" si="82"/>
        <v>0</v>
      </c>
      <c r="IT30" s="540">
        <f t="shared" si="193"/>
        <v>0</v>
      </c>
      <c r="IU30" s="538"/>
      <c r="IV30" s="539">
        <f t="shared" si="83"/>
        <v>0</v>
      </c>
      <c r="IW30" s="540">
        <f t="shared" si="194"/>
        <v>0</v>
      </c>
      <c r="IX30" s="538"/>
      <c r="IY30" s="539">
        <f t="shared" si="84"/>
        <v>0</v>
      </c>
      <c r="IZ30" s="540">
        <f t="shared" si="195"/>
        <v>0</v>
      </c>
      <c r="JA30" s="538"/>
      <c r="JB30" s="539">
        <f t="shared" si="85"/>
        <v>0</v>
      </c>
      <c r="JC30" s="540">
        <f t="shared" si="196"/>
        <v>0</v>
      </c>
      <c r="JD30" s="538"/>
      <c r="JE30" s="539">
        <f t="shared" si="86"/>
        <v>0</v>
      </c>
      <c r="JF30" s="540">
        <f t="shared" si="197"/>
        <v>0</v>
      </c>
      <c r="JG30" s="538"/>
      <c r="JH30" s="539">
        <f t="shared" si="87"/>
        <v>0</v>
      </c>
      <c r="JI30" s="540">
        <f t="shared" si="198"/>
        <v>0</v>
      </c>
      <c r="JJ30" s="538"/>
      <c r="JK30" s="540" t="str">
        <f t="shared" si="88"/>
        <v>0</v>
      </c>
      <c r="JL30" s="540" t="str">
        <f t="shared" si="89"/>
        <v>0</v>
      </c>
      <c r="JM30" s="538"/>
      <c r="JN30" s="540" t="str">
        <f t="shared" si="90"/>
        <v>0</v>
      </c>
      <c r="JO30" s="540" t="str">
        <f t="shared" si="91"/>
        <v>0</v>
      </c>
      <c r="JP30" s="538"/>
      <c r="JQ30" s="540" t="str">
        <f t="shared" si="92"/>
        <v>0</v>
      </c>
      <c r="JR30" s="540" t="str">
        <f t="shared" si="93"/>
        <v>0</v>
      </c>
      <c r="JS30" s="538"/>
      <c r="JT30" s="540" t="str">
        <f t="shared" si="94"/>
        <v>0</v>
      </c>
      <c r="JU30" s="540" t="str">
        <f t="shared" si="95"/>
        <v>0</v>
      </c>
      <c r="JV30" s="538"/>
      <c r="JW30" s="540" t="str">
        <f t="shared" si="96"/>
        <v>0</v>
      </c>
      <c r="JX30" s="540" t="str">
        <f t="shared" si="97"/>
        <v>0</v>
      </c>
      <c r="JY30" s="538"/>
      <c r="JZ30" s="540" t="str">
        <f t="shared" si="98"/>
        <v>0</v>
      </c>
      <c r="KA30" s="540" t="str">
        <f t="shared" si="99"/>
        <v>0</v>
      </c>
      <c r="KB30" s="538"/>
      <c r="KC30" s="540" t="str">
        <f t="shared" si="100"/>
        <v>0</v>
      </c>
      <c r="KD30" s="540" t="str">
        <f t="shared" si="101"/>
        <v>0</v>
      </c>
      <c r="KE30" s="538"/>
      <c r="KF30" s="540" t="str">
        <f t="shared" si="102"/>
        <v>0</v>
      </c>
      <c r="KG30" s="540" t="str">
        <f t="shared" si="103"/>
        <v>0</v>
      </c>
      <c r="KH30" s="538"/>
      <c r="KI30" s="540" t="str">
        <f t="shared" si="104"/>
        <v>0</v>
      </c>
      <c r="KJ30" s="540" t="str">
        <f t="shared" si="105"/>
        <v>0</v>
      </c>
      <c r="KK30" s="538"/>
      <c r="KL30" s="540" t="str">
        <f t="shared" si="106"/>
        <v>0</v>
      </c>
      <c r="KM30" s="540" t="str">
        <f t="shared" si="107"/>
        <v>0</v>
      </c>
      <c r="KN30" s="538"/>
      <c r="KO30" s="540" t="str">
        <f t="shared" si="108"/>
        <v>0</v>
      </c>
      <c r="KP30" s="540" t="str">
        <f t="shared" si="109"/>
        <v>0</v>
      </c>
      <c r="KQ30" s="538"/>
      <c r="KR30" s="540" t="str">
        <f t="shared" si="110"/>
        <v>0</v>
      </c>
      <c r="KS30" s="540" t="str">
        <f t="shared" si="111"/>
        <v>0</v>
      </c>
      <c r="KT30" s="540">
        <f t="shared" si="201"/>
        <v>0</v>
      </c>
      <c r="KU30" s="540">
        <f t="shared" si="202"/>
        <v>0</v>
      </c>
      <c r="KV30" s="274">
        <f t="shared" si="199"/>
        <v>446.59117472025071</v>
      </c>
    </row>
    <row r="31" spans="1:309" ht="15" customHeight="1">
      <c r="A31" s="276">
        <f t="shared" si="200"/>
        <v>45892</v>
      </c>
      <c r="B31" s="277" t="str">
        <f>+Report1!B31</f>
        <v>Facial/Sanitary Napkin</v>
      </c>
      <c r="C31" s="417" t="str">
        <f>+Report1!C31</f>
        <v>10,3/13</v>
      </c>
      <c r="D31" s="278">
        <f>+Report1!P31</f>
        <v>55.576999999999998</v>
      </c>
      <c r="E31" s="279">
        <f>+Report1!R31</f>
        <v>41.737000000000002</v>
      </c>
      <c r="F31" s="538"/>
      <c r="G31" s="539">
        <f t="shared" si="0"/>
        <v>0</v>
      </c>
      <c r="H31" s="540">
        <f t="shared" si="112"/>
        <v>0</v>
      </c>
      <c r="I31" s="538">
        <v>397.43295348837216</v>
      </c>
      <c r="J31" s="539">
        <f t="shared" si="1"/>
        <v>9.5223172122666249</v>
      </c>
      <c r="K31" s="540">
        <f t="shared" si="113"/>
        <v>0</v>
      </c>
      <c r="L31" s="538"/>
      <c r="M31" s="539">
        <f t="shared" si="2"/>
        <v>0</v>
      </c>
      <c r="N31" s="540">
        <f t="shared" si="114"/>
        <v>0</v>
      </c>
      <c r="O31" s="538">
        <v>3.1527999999999992</v>
      </c>
      <c r="P31" s="539">
        <f t="shared" si="3"/>
        <v>7.5539689004959609E-2</v>
      </c>
      <c r="Q31" s="540">
        <f t="shared" si="115"/>
        <v>0</v>
      </c>
      <c r="R31" s="538"/>
      <c r="S31" s="539">
        <f t="shared" si="4"/>
        <v>0</v>
      </c>
      <c r="T31" s="540">
        <f t="shared" si="116"/>
        <v>0</v>
      </c>
      <c r="U31" s="538">
        <v>2.6978999999999989</v>
      </c>
      <c r="V31" s="539">
        <f t="shared" si="5"/>
        <v>6.4640486858183355E-2</v>
      </c>
      <c r="W31" s="540">
        <f t="shared" si="117"/>
        <v>0</v>
      </c>
      <c r="X31" s="538"/>
      <c r="Y31" s="539">
        <f t="shared" si="6"/>
        <v>0</v>
      </c>
      <c r="Z31" s="540">
        <f t="shared" si="118"/>
        <v>0</v>
      </c>
      <c r="AA31" s="538"/>
      <c r="AB31" s="539">
        <f t="shared" si="7"/>
        <v>0</v>
      </c>
      <c r="AC31" s="540">
        <f t="shared" si="119"/>
        <v>0</v>
      </c>
      <c r="AD31" s="538"/>
      <c r="AE31" s="539">
        <f t="shared" si="8"/>
        <v>0</v>
      </c>
      <c r="AF31" s="540">
        <f t="shared" si="120"/>
        <v>0</v>
      </c>
      <c r="AG31" s="538"/>
      <c r="AH31" s="539">
        <f t="shared" si="9"/>
        <v>0</v>
      </c>
      <c r="AI31" s="540">
        <f t="shared" si="121"/>
        <v>0</v>
      </c>
      <c r="AJ31" s="538">
        <v>0</v>
      </c>
      <c r="AK31" s="539">
        <f t="shared" si="10"/>
        <v>0</v>
      </c>
      <c r="AL31" s="540">
        <f t="shared" si="122"/>
        <v>0</v>
      </c>
      <c r="AM31" s="538">
        <v>20.725743589743587</v>
      </c>
      <c r="AN31" s="539">
        <f t="shared" si="11"/>
        <v>0.49657961975569842</v>
      </c>
      <c r="AO31" s="540">
        <f t="shared" si="123"/>
        <v>0</v>
      </c>
      <c r="AP31" s="538">
        <v>37.443237974683484</v>
      </c>
      <c r="AQ31" s="539">
        <f t="shared" si="12"/>
        <v>0.89712336714865659</v>
      </c>
      <c r="AR31" s="540">
        <f t="shared" si="124"/>
        <v>0</v>
      </c>
      <c r="AS31" s="538"/>
      <c r="AT31" s="539">
        <f t="shared" si="13"/>
        <v>0</v>
      </c>
      <c r="AU31" s="540">
        <f t="shared" si="125"/>
        <v>0</v>
      </c>
      <c r="AV31" s="538">
        <v>5.8325000000000102</v>
      </c>
      <c r="AW31" s="539">
        <f t="shared" si="14"/>
        <v>0.13974411193904712</v>
      </c>
      <c r="AX31" s="540">
        <f t="shared" si="126"/>
        <v>0</v>
      </c>
      <c r="AY31" s="538">
        <v>45.393200000000007</v>
      </c>
      <c r="AZ31" s="539">
        <f t="shared" si="15"/>
        <v>1.0876009296307834</v>
      </c>
      <c r="BA31" s="540">
        <f t="shared" si="127"/>
        <v>0</v>
      </c>
      <c r="BB31" s="538">
        <v>0</v>
      </c>
      <c r="BC31" s="539">
        <f t="shared" si="16"/>
        <v>0</v>
      </c>
      <c r="BD31" s="540">
        <f t="shared" si="128"/>
        <v>0</v>
      </c>
      <c r="BE31" s="538"/>
      <c r="BF31" s="539">
        <f t="shared" si="17"/>
        <v>0</v>
      </c>
      <c r="BG31" s="540">
        <f t="shared" si="129"/>
        <v>0</v>
      </c>
      <c r="BH31" s="538"/>
      <c r="BI31" s="539">
        <f t="shared" si="18"/>
        <v>0</v>
      </c>
      <c r="BJ31" s="540">
        <f t="shared" si="130"/>
        <v>0</v>
      </c>
      <c r="BK31" s="538"/>
      <c r="BL31" s="539">
        <f t="shared" si="19"/>
        <v>0</v>
      </c>
      <c r="BM31" s="540">
        <f t="shared" si="131"/>
        <v>0</v>
      </c>
      <c r="BN31" s="538">
        <v>7.9835555555555544</v>
      </c>
      <c r="BO31" s="539">
        <f t="shared" si="20"/>
        <v>0.19128244856016374</v>
      </c>
      <c r="BP31" s="540">
        <f t="shared" si="132"/>
        <v>0</v>
      </c>
      <c r="BQ31" s="538">
        <v>0</v>
      </c>
      <c r="BR31" s="539">
        <f t="shared" si="21"/>
        <v>0</v>
      </c>
      <c r="BS31" s="540">
        <f t="shared" si="133"/>
        <v>0</v>
      </c>
      <c r="BT31" s="538"/>
      <c r="BU31" s="539">
        <f t="shared" si="22"/>
        <v>0</v>
      </c>
      <c r="BV31" s="540">
        <f t="shared" si="134"/>
        <v>0</v>
      </c>
      <c r="BW31" s="538">
        <v>0</v>
      </c>
      <c r="BX31" s="539">
        <f t="shared" si="23"/>
        <v>0</v>
      </c>
      <c r="BY31" s="540">
        <f t="shared" si="135"/>
        <v>0</v>
      </c>
      <c r="BZ31" s="538">
        <v>0</v>
      </c>
      <c r="CA31" s="539">
        <f t="shared" si="24"/>
        <v>0</v>
      </c>
      <c r="CB31" s="540">
        <f t="shared" si="136"/>
        <v>0</v>
      </c>
      <c r="CC31" s="538">
        <v>0</v>
      </c>
      <c r="CD31" s="539">
        <f t="shared" si="25"/>
        <v>0</v>
      </c>
      <c r="CE31" s="540">
        <f t="shared" si="137"/>
        <v>0</v>
      </c>
      <c r="CF31" s="538">
        <v>0.1</v>
      </c>
      <c r="CG31" s="539">
        <f t="shared" si="26"/>
        <v>2.39595562690179E-3</v>
      </c>
      <c r="CH31" s="540">
        <f t="shared" si="138"/>
        <v>0</v>
      </c>
      <c r="CI31" s="538">
        <v>0</v>
      </c>
      <c r="CJ31" s="539">
        <f t="shared" si="27"/>
        <v>0</v>
      </c>
      <c r="CK31" s="540">
        <f t="shared" si="139"/>
        <v>0</v>
      </c>
      <c r="CL31" s="538"/>
      <c r="CM31" s="539">
        <f t="shared" si="28"/>
        <v>0</v>
      </c>
      <c r="CN31" s="540">
        <f t="shared" si="140"/>
        <v>0</v>
      </c>
      <c r="CO31" s="538"/>
      <c r="CP31" s="539">
        <f t="shared" si="29"/>
        <v>0</v>
      </c>
      <c r="CQ31" s="540">
        <f t="shared" si="141"/>
        <v>0</v>
      </c>
      <c r="CR31" s="538"/>
      <c r="CS31" s="539">
        <f t="shared" si="30"/>
        <v>0</v>
      </c>
      <c r="CT31" s="540">
        <f t="shared" si="142"/>
        <v>0</v>
      </c>
      <c r="CU31" s="538"/>
      <c r="CV31" s="539">
        <f t="shared" si="31"/>
        <v>0</v>
      </c>
      <c r="CW31" s="540">
        <f t="shared" si="143"/>
        <v>0</v>
      </c>
      <c r="CX31" s="538"/>
      <c r="CY31" s="539">
        <f t="shared" si="32"/>
        <v>0</v>
      </c>
      <c r="CZ31" s="540">
        <f t="shared" si="144"/>
        <v>0</v>
      </c>
      <c r="DA31" s="538"/>
      <c r="DB31" s="539">
        <f t="shared" si="33"/>
        <v>0</v>
      </c>
      <c r="DC31" s="540">
        <f t="shared" si="145"/>
        <v>0</v>
      </c>
      <c r="DD31" s="538"/>
      <c r="DE31" s="539">
        <f t="shared" si="34"/>
        <v>0</v>
      </c>
      <c r="DF31" s="540">
        <f t="shared" si="146"/>
        <v>0</v>
      </c>
      <c r="DG31" s="538">
        <v>0</v>
      </c>
      <c r="DH31" s="539">
        <f t="shared" si="35"/>
        <v>0</v>
      </c>
      <c r="DI31" s="540">
        <f t="shared" si="203"/>
        <v>0</v>
      </c>
      <c r="DJ31" s="538"/>
      <c r="DK31" s="539">
        <f t="shared" si="36"/>
        <v>0</v>
      </c>
      <c r="DL31" s="540">
        <f t="shared" si="147"/>
        <v>0</v>
      </c>
      <c r="DM31" s="538"/>
      <c r="DN31" s="539">
        <f t="shared" si="37"/>
        <v>0</v>
      </c>
      <c r="DO31" s="540">
        <f t="shared" si="148"/>
        <v>0</v>
      </c>
      <c r="DP31" s="538"/>
      <c r="DQ31" s="539">
        <f t="shared" si="38"/>
        <v>0</v>
      </c>
      <c r="DR31" s="540">
        <f t="shared" si="149"/>
        <v>0</v>
      </c>
      <c r="DS31" s="538"/>
      <c r="DT31" s="539">
        <f t="shared" si="39"/>
        <v>0</v>
      </c>
      <c r="DU31" s="540">
        <f t="shared" si="150"/>
        <v>0</v>
      </c>
      <c r="DV31" s="538"/>
      <c r="DW31" s="539">
        <f t="shared" si="40"/>
        <v>0</v>
      </c>
      <c r="DX31" s="540">
        <f t="shared" si="151"/>
        <v>0</v>
      </c>
      <c r="DY31" s="538"/>
      <c r="DZ31" s="539">
        <f t="shared" si="41"/>
        <v>0</v>
      </c>
      <c r="EA31" s="540">
        <f t="shared" si="152"/>
        <v>0</v>
      </c>
      <c r="EB31" s="538">
        <v>7.6388093023255124</v>
      </c>
      <c r="EC31" s="539">
        <f t="shared" si="42"/>
        <v>0.18302248130736545</v>
      </c>
      <c r="ED31" s="540">
        <f t="shared" si="153"/>
        <v>0</v>
      </c>
      <c r="EE31" s="538">
        <v>1.5</v>
      </c>
      <c r="EF31" s="539">
        <f t="shared" si="43"/>
        <v>3.5939334403526847E-2</v>
      </c>
      <c r="EG31" s="540">
        <f t="shared" si="154"/>
        <v>0</v>
      </c>
      <c r="EH31" s="538"/>
      <c r="EI31" s="539">
        <f t="shared" si="44"/>
        <v>0</v>
      </c>
      <c r="EJ31" s="540">
        <f t="shared" si="155"/>
        <v>0</v>
      </c>
      <c r="EK31" s="538"/>
      <c r="EL31" s="539">
        <f t="shared" si="45"/>
        <v>0</v>
      </c>
      <c r="EM31" s="540">
        <f t="shared" si="156"/>
        <v>0</v>
      </c>
      <c r="EN31" s="538"/>
      <c r="EO31" s="539">
        <f t="shared" si="46"/>
        <v>0</v>
      </c>
      <c r="EP31" s="540">
        <f t="shared" si="157"/>
        <v>0</v>
      </c>
      <c r="EQ31" s="538"/>
      <c r="ER31" s="539">
        <f t="shared" si="47"/>
        <v>0</v>
      </c>
      <c r="ES31" s="540">
        <f t="shared" si="158"/>
        <v>0</v>
      </c>
      <c r="ET31" s="538"/>
      <c r="EU31" s="539">
        <f t="shared" si="48"/>
        <v>0</v>
      </c>
      <c r="EV31" s="540">
        <f t="shared" si="159"/>
        <v>0</v>
      </c>
      <c r="EW31" s="538"/>
      <c r="EX31" s="539">
        <f t="shared" si="49"/>
        <v>0</v>
      </c>
      <c r="EY31" s="540">
        <f t="shared" si="160"/>
        <v>0</v>
      </c>
      <c r="EZ31" s="538"/>
      <c r="FA31" s="539">
        <f t="shared" si="50"/>
        <v>0</v>
      </c>
      <c r="FB31" s="540">
        <f t="shared" si="161"/>
        <v>0</v>
      </c>
      <c r="FC31" s="538"/>
      <c r="FD31" s="539">
        <f t="shared" si="51"/>
        <v>0</v>
      </c>
      <c r="FE31" s="540">
        <f t="shared" si="162"/>
        <v>0</v>
      </c>
      <c r="FF31" s="538"/>
      <c r="FG31" s="539">
        <f t="shared" si="52"/>
        <v>0</v>
      </c>
      <c r="FH31" s="540">
        <f t="shared" si="163"/>
        <v>0</v>
      </c>
      <c r="FI31" s="538"/>
      <c r="FJ31" s="539">
        <f t="shared" si="53"/>
        <v>0</v>
      </c>
      <c r="FK31" s="540">
        <f t="shared" si="164"/>
        <v>0</v>
      </c>
      <c r="FL31" s="538"/>
      <c r="FM31" s="539">
        <f t="shared" si="54"/>
        <v>0</v>
      </c>
      <c r="FN31" s="540">
        <f t="shared" si="165"/>
        <v>0</v>
      </c>
      <c r="FO31" s="538"/>
      <c r="FP31" s="539">
        <f t="shared" si="55"/>
        <v>0</v>
      </c>
      <c r="FQ31" s="540">
        <f t="shared" si="166"/>
        <v>0</v>
      </c>
      <c r="FR31" s="538"/>
      <c r="FS31" s="539">
        <f t="shared" si="56"/>
        <v>0</v>
      </c>
      <c r="FT31" s="540">
        <f t="shared" si="167"/>
        <v>0</v>
      </c>
      <c r="FU31" s="538"/>
      <c r="FV31" s="539">
        <f t="shared" si="57"/>
        <v>0</v>
      </c>
      <c r="FW31" s="540">
        <f t="shared" si="168"/>
        <v>0</v>
      </c>
      <c r="FX31" s="538"/>
      <c r="FY31" s="539">
        <f t="shared" si="58"/>
        <v>0</v>
      </c>
      <c r="FZ31" s="540">
        <f t="shared" si="169"/>
        <v>0</v>
      </c>
      <c r="GA31" s="538"/>
      <c r="GB31" s="539">
        <f t="shared" si="59"/>
        <v>0</v>
      </c>
      <c r="GC31" s="540">
        <f t="shared" si="170"/>
        <v>0</v>
      </c>
      <c r="GD31" s="538"/>
      <c r="GE31" s="539">
        <f t="shared" si="60"/>
        <v>0</v>
      </c>
      <c r="GF31" s="540">
        <f t="shared" si="171"/>
        <v>0</v>
      </c>
      <c r="GG31" s="538"/>
      <c r="GH31" s="539">
        <f t="shared" si="61"/>
        <v>0</v>
      </c>
      <c r="GI31" s="540">
        <f t="shared" si="172"/>
        <v>0</v>
      </c>
      <c r="GJ31" s="538"/>
      <c r="GK31" s="539">
        <f t="shared" si="62"/>
        <v>0</v>
      </c>
      <c r="GL31" s="540">
        <f t="shared" si="173"/>
        <v>0</v>
      </c>
      <c r="GM31" s="538"/>
      <c r="GN31" s="539">
        <f t="shared" si="63"/>
        <v>0</v>
      </c>
      <c r="GO31" s="540">
        <f t="shared" si="174"/>
        <v>0</v>
      </c>
      <c r="GP31" s="538"/>
      <c r="GQ31" s="539">
        <f t="shared" si="64"/>
        <v>0</v>
      </c>
      <c r="GR31" s="540">
        <f t="shared" si="175"/>
        <v>0</v>
      </c>
      <c r="GS31" s="538"/>
      <c r="GT31" s="539">
        <f t="shared" si="65"/>
        <v>0</v>
      </c>
      <c r="GU31" s="540">
        <f t="shared" si="176"/>
        <v>0</v>
      </c>
      <c r="GV31" s="538"/>
      <c r="GW31" s="539">
        <f t="shared" si="66"/>
        <v>0</v>
      </c>
      <c r="GX31" s="540">
        <f t="shared" si="177"/>
        <v>0</v>
      </c>
      <c r="GY31" s="538"/>
      <c r="GZ31" s="539">
        <f t="shared" si="67"/>
        <v>0</v>
      </c>
      <c r="HA31" s="540">
        <f t="shared" si="178"/>
        <v>0</v>
      </c>
      <c r="HB31" s="538"/>
      <c r="HC31" s="539">
        <f t="shared" si="68"/>
        <v>0</v>
      </c>
      <c r="HD31" s="540">
        <f t="shared" si="179"/>
        <v>0</v>
      </c>
      <c r="HE31" s="538"/>
      <c r="HF31" s="539">
        <f t="shared" si="69"/>
        <v>0</v>
      </c>
      <c r="HG31" s="540">
        <f t="shared" si="180"/>
        <v>0</v>
      </c>
      <c r="HH31" s="538"/>
      <c r="HI31" s="539">
        <f t="shared" si="70"/>
        <v>0</v>
      </c>
      <c r="HJ31" s="540">
        <f t="shared" si="181"/>
        <v>0</v>
      </c>
      <c r="HK31" s="538"/>
      <c r="HL31" s="539">
        <f t="shared" si="71"/>
        <v>0</v>
      </c>
      <c r="HM31" s="540">
        <f t="shared" si="182"/>
        <v>0</v>
      </c>
      <c r="HN31" s="538"/>
      <c r="HO31" s="539">
        <f t="shared" si="72"/>
        <v>0</v>
      </c>
      <c r="HP31" s="540">
        <f t="shared" si="183"/>
        <v>0</v>
      </c>
      <c r="HQ31" s="538"/>
      <c r="HR31" s="539">
        <f t="shared" si="73"/>
        <v>0</v>
      </c>
      <c r="HS31" s="540">
        <f t="shared" si="184"/>
        <v>0</v>
      </c>
      <c r="HT31" s="538"/>
      <c r="HU31" s="539">
        <f t="shared" si="74"/>
        <v>0</v>
      </c>
      <c r="HV31" s="540">
        <f t="shared" si="185"/>
        <v>0</v>
      </c>
      <c r="HW31" s="538"/>
      <c r="HX31" s="539">
        <f t="shared" si="75"/>
        <v>0</v>
      </c>
      <c r="HY31" s="540">
        <f t="shared" si="186"/>
        <v>0</v>
      </c>
      <c r="HZ31" s="538"/>
      <c r="IA31" s="539">
        <f t="shared" si="76"/>
        <v>0</v>
      </c>
      <c r="IB31" s="540">
        <f t="shared" si="187"/>
        <v>0</v>
      </c>
      <c r="IC31" s="538"/>
      <c r="ID31" s="539">
        <f t="shared" si="77"/>
        <v>0</v>
      </c>
      <c r="IE31" s="540">
        <f t="shared" si="188"/>
        <v>0</v>
      </c>
      <c r="IF31" s="538"/>
      <c r="IG31" s="539">
        <f t="shared" si="78"/>
        <v>0</v>
      </c>
      <c r="IH31" s="540">
        <f t="shared" si="189"/>
        <v>0</v>
      </c>
      <c r="II31" s="538"/>
      <c r="IJ31" s="539">
        <f t="shared" si="79"/>
        <v>0</v>
      </c>
      <c r="IK31" s="540">
        <f t="shared" si="190"/>
        <v>0</v>
      </c>
      <c r="IL31" s="538"/>
      <c r="IM31" s="539">
        <f t="shared" si="80"/>
        <v>0</v>
      </c>
      <c r="IN31" s="540">
        <f t="shared" si="191"/>
        <v>0</v>
      </c>
      <c r="IO31" s="538"/>
      <c r="IP31" s="539">
        <f t="shared" si="81"/>
        <v>0</v>
      </c>
      <c r="IQ31" s="540">
        <f t="shared" si="192"/>
        <v>0</v>
      </c>
      <c r="IR31" s="538"/>
      <c r="IS31" s="539">
        <f t="shared" si="82"/>
        <v>0</v>
      </c>
      <c r="IT31" s="540">
        <f t="shared" si="193"/>
        <v>0</v>
      </c>
      <c r="IU31" s="538"/>
      <c r="IV31" s="539">
        <f t="shared" si="83"/>
        <v>0</v>
      </c>
      <c r="IW31" s="540">
        <f t="shared" si="194"/>
        <v>0</v>
      </c>
      <c r="IX31" s="538"/>
      <c r="IY31" s="539">
        <f t="shared" si="84"/>
        <v>0</v>
      </c>
      <c r="IZ31" s="540">
        <f t="shared" si="195"/>
        <v>0</v>
      </c>
      <c r="JA31" s="538"/>
      <c r="JB31" s="539">
        <f t="shared" si="85"/>
        <v>0</v>
      </c>
      <c r="JC31" s="540">
        <f t="shared" si="196"/>
        <v>0</v>
      </c>
      <c r="JD31" s="538"/>
      <c r="JE31" s="539">
        <f t="shared" si="86"/>
        <v>0</v>
      </c>
      <c r="JF31" s="540">
        <f t="shared" si="197"/>
        <v>0</v>
      </c>
      <c r="JG31" s="538"/>
      <c r="JH31" s="539">
        <f t="shared" si="87"/>
        <v>0</v>
      </c>
      <c r="JI31" s="540">
        <f t="shared" si="198"/>
        <v>0</v>
      </c>
      <c r="JJ31" s="538"/>
      <c r="JK31" s="540" t="str">
        <f t="shared" si="88"/>
        <v>0</v>
      </c>
      <c r="JL31" s="540" t="str">
        <f t="shared" si="89"/>
        <v>0</v>
      </c>
      <c r="JM31" s="538"/>
      <c r="JN31" s="540" t="str">
        <f t="shared" si="90"/>
        <v>0</v>
      </c>
      <c r="JO31" s="540" t="str">
        <f t="shared" si="91"/>
        <v>0</v>
      </c>
      <c r="JP31" s="538"/>
      <c r="JQ31" s="540" t="str">
        <f t="shared" si="92"/>
        <v>0</v>
      </c>
      <c r="JR31" s="540" t="str">
        <f t="shared" si="93"/>
        <v>0</v>
      </c>
      <c r="JS31" s="538"/>
      <c r="JT31" s="540" t="str">
        <f t="shared" si="94"/>
        <v>0</v>
      </c>
      <c r="JU31" s="540" t="str">
        <f t="shared" si="95"/>
        <v>0</v>
      </c>
      <c r="JV31" s="538"/>
      <c r="JW31" s="540" t="str">
        <f t="shared" si="96"/>
        <v>0</v>
      </c>
      <c r="JX31" s="540" t="str">
        <f t="shared" si="97"/>
        <v>0</v>
      </c>
      <c r="JY31" s="538"/>
      <c r="JZ31" s="540" t="str">
        <f t="shared" si="98"/>
        <v>0</v>
      </c>
      <c r="KA31" s="540" t="str">
        <f t="shared" si="99"/>
        <v>0</v>
      </c>
      <c r="KB31" s="538"/>
      <c r="KC31" s="540" t="str">
        <f t="shared" si="100"/>
        <v>0</v>
      </c>
      <c r="KD31" s="540" t="str">
        <f t="shared" si="101"/>
        <v>0</v>
      </c>
      <c r="KE31" s="538"/>
      <c r="KF31" s="540" t="str">
        <f t="shared" si="102"/>
        <v>0</v>
      </c>
      <c r="KG31" s="540" t="str">
        <f t="shared" si="103"/>
        <v>0</v>
      </c>
      <c r="KH31" s="538"/>
      <c r="KI31" s="540" t="str">
        <f t="shared" si="104"/>
        <v>0</v>
      </c>
      <c r="KJ31" s="540" t="str">
        <f t="shared" si="105"/>
        <v>0</v>
      </c>
      <c r="KK31" s="538"/>
      <c r="KL31" s="540" t="str">
        <f t="shared" si="106"/>
        <v>0</v>
      </c>
      <c r="KM31" s="540" t="str">
        <f t="shared" si="107"/>
        <v>0</v>
      </c>
      <c r="KN31" s="538"/>
      <c r="KO31" s="540" t="str">
        <f t="shared" si="108"/>
        <v>0</v>
      </c>
      <c r="KP31" s="540" t="str">
        <f t="shared" si="109"/>
        <v>0</v>
      </c>
      <c r="KQ31" s="538"/>
      <c r="KR31" s="540" t="str">
        <f t="shared" si="110"/>
        <v>0</v>
      </c>
      <c r="KS31" s="540" t="str">
        <f t="shared" si="111"/>
        <v>0</v>
      </c>
      <c r="KT31" s="540">
        <f t="shared" si="201"/>
        <v>0</v>
      </c>
      <c r="KU31" s="540">
        <f t="shared" si="202"/>
        <v>0</v>
      </c>
      <c r="KV31" s="274">
        <f t="shared" si="199"/>
        <v>529.90069991068026</v>
      </c>
    </row>
    <row r="32" spans="1:309" ht="15" customHeight="1">
      <c r="A32" s="276">
        <f t="shared" si="200"/>
        <v>45893</v>
      </c>
      <c r="B32" s="277" t="str">
        <f>+Report1!B32</f>
        <v>Sanitary Napkin</v>
      </c>
      <c r="C32" s="417" t="str">
        <f>+Report1!C32</f>
        <v>13</v>
      </c>
      <c r="D32" s="278">
        <f>+Report1!P32</f>
        <v>50.014999999999993</v>
      </c>
      <c r="E32" s="279">
        <f>+Report1!R32</f>
        <v>44.899000000000001</v>
      </c>
      <c r="F32" s="538"/>
      <c r="G32" s="539">
        <f t="shared" si="0"/>
        <v>0</v>
      </c>
      <c r="H32" s="540">
        <f t="shared" si="112"/>
        <v>0</v>
      </c>
      <c r="I32" s="538">
        <v>358.37699999999995</v>
      </c>
      <c r="J32" s="539">
        <f t="shared" si="1"/>
        <v>7.9818481480656569</v>
      </c>
      <c r="K32" s="540">
        <f t="shared" si="113"/>
        <v>0</v>
      </c>
      <c r="L32" s="538"/>
      <c r="M32" s="539">
        <f t="shared" si="2"/>
        <v>0</v>
      </c>
      <c r="N32" s="540">
        <f t="shared" si="114"/>
        <v>0</v>
      </c>
      <c r="O32" s="538">
        <v>2.8420000000000059</v>
      </c>
      <c r="P32" s="539">
        <f t="shared" si="3"/>
        <v>6.3297623555090443E-2</v>
      </c>
      <c r="Q32" s="540">
        <f t="shared" si="115"/>
        <v>0</v>
      </c>
      <c r="R32" s="538"/>
      <c r="S32" s="539">
        <f t="shared" si="4"/>
        <v>0</v>
      </c>
      <c r="T32" s="540">
        <f t="shared" si="116"/>
        <v>0</v>
      </c>
      <c r="U32" s="538">
        <v>2.4308000000000014</v>
      </c>
      <c r="V32" s="539">
        <f t="shared" si="5"/>
        <v>5.4139290407358771E-2</v>
      </c>
      <c r="W32" s="540">
        <f t="shared" si="117"/>
        <v>0</v>
      </c>
      <c r="X32" s="538"/>
      <c r="Y32" s="539">
        <f t="shared" si="6"/>
        <v>0</v>
      </c>
      <c r="Z32" s="540">
        <f t="shared" si="118"/>
        <v>0</v>
      </c>
      <c r="AA32" s="538"/>
      <c r="AB32" s="539">
        <f t="shared" si="7"/>
        <v>0</v>
      </c>
      <c r="AC32" s="540">
        <f t="shared" si="119"/>
        <v>0</v>
      </c>
      <c r="AD32" s="538"/>
      <c r="AE32" s="539">
        <f t="shared" si="8"/>
        <v>0</v>
      </c>
      <c r="AF32" s="540">
        <f t="shared" si="120"/>
        <v>0</v>
      </c>
      <c r="AG32" s="538"/>
      <c r="AH32" s="539">
        <f t="shared" si="9"/>
        <v>0</v>
      </c>
      <c r="AI32" s="540">
        <f t="shared" si="121"/>
        <v>0</v>
      </c>
      <c r="AJ32" s="538">
        <v>0</v>
      </c>
      <c r="AK32" s="539">
        <f t="shared" si="10"/>
        <v>0</v>
      </c>
      <c r="AL32" s="540">
        <f t="shared" si="122"/>
        <v>0</v>
      </c>
      <c r="AM32" s="538">
        <v>18.69289999999998</v>
      </c>
      <c r="AN32" s="539">
        <f t="shared" si="11"/>
        <v>0.41633221229871442</v>
      </c>
      <c r="AO32" s="540">
        <f t="shared" si="123"/>
        <v>0</v>
      </c>
      <c r="AP32" s="538">
        <v>33.758500000000026</v>
      </c>
      <c r="AQ32" s="539">
        <f t="shared" si="12"/>
        <v>0.75187643377358127</v>
      </c>
      <c r="AR32" s="540">
        <f t="shared" si="124"/>
        <v>0</v>
      </c>
      <c r="AS32" s="538"/>
      <c r="AT32" s="539">
        <f t="shared" si="13"/>
        <v>0</v>
      </c>
      <c r="AU32" s="540">
        <f t="shared" si="125"/>
        <v>0</v>
      </c>
      <c r="AV32" s="538">
        <v>5.2670000000000243</v>
      </c>
      <c r="AW32" s="539">
        <f t="shared" si="14"/>
        <v>0.11730773513886777</v>
      </c>
      <c r="AX32" s="540">
        <f t="shared" si="126"/>
        <v>0</v>
      </c>
      <c r="AY32" s="538">
        <v>40.94</v>
      </c>
      <c r="AZ32" s="539">
        <f t="shared" si="15"/>
        <v>0.9118243167999287</v>
      </c>
      <c r="BA32" s="540">
        <f t="shared" si="127"/>
        <v>0</v>
      </c>
      <c r="BB32" s="538">
        <v>0</v>
      </c>
      <c r="BC32" s="539">
        <f t="shared" si="16"/>
        <v>0</v>
      </c>
      <c r="BD32" s="540">
        <f t="shared" si="128"/>
        <v>0</v>
      </c>
      <c r="BE32" s="538"/>
      <c r="BF32" s="539">
        <f t="shared" si="17"/>
        <v>0</v>
      </c>
      <c r="BG32" s="540">
        <f t="shared" si="129"/>
        <v>0</v>
      </c>
      <c r="BH32" s="538"/>
      <c r="BI32" s="539">
        <f t="shared" si="18"/>
        <v>0</v>
      </c>
      <c r="BJ32" s="540">
        <f t="shared" si="130"/>
        <v>0</v>
      </c>
      <c r="BK32" s="538"/>
      <c r="BL32" s="539">
        <f t="shared" si="19"/>
        <v>0</v>
      </c>
      <c r="BM32" s="540">
        <f t="shared" si="131"/>
        <v>0</v>
      </c>
      <c r="BN32" s="538">
        <v>7.2013000000000034</v>
      </c>
      <c r="BO32" s="539">
        <f t="shared" si="20"/>
        <v>0.16038887280340328</v>
      </c>
      <c r="BP32" s="540">
        <f t="shared" si="132"/>
        <v>0</v>
      </c>
      <c r="BQ32" s="538">
        <v>0</v>
      </c>
      <c r="BR32" s="539">
        <f t="shared" si="21"/>
        <v>0</v>
      </c>
      <c r="BS32" s="540">
        <f t="shared" si="133"/>
        <v>0</v>
      </c>
      <c r="BT32" s="538"/>
      <c r="BU32" s="539">
        <f t="shared" si="22"/>
        <v>0</v>
      </c>
      <c r="BV32" s="540">
        <f t="shared" si="134"/>
        <v>0</v>
      </c>
      <c r="BW32" s="538">
        <v>0</v>
      </c>
      <c r="BX32" s="539">
        <f t="shared" si="23"/>
        <v>0</v>
      </c>
      <c r="BY32" s="540">
        <f t="shared" si="135"/>
        <v>0</v>
      </c>
      <c r="BZ32" s="538">
        <v>0</v>
      </c>
      <c r="CA32" s="539">
        <f t="shared" si="24"/>
        <v>0</v>
      </c>
      <c r="CB32" s="540">
        <f t="shared" si="136"/>
        <v>0</v>
      </c>
      <c r="CC32" s="538">
        <v>0</v>
      </c>
      <c r="CD32" s="539">
        <f t="shared" si="25"/>
        <v>0</v>
      </c>
      <c r="CE32" s="540">
        <f t="shared" si="137"/>
        <v>0</v>
      </c>
      <c r="CF32" s="538">
        <v>0.1</v>
      </c>
      <c r="CG32" s="539">
        <f t="shared" si="26"/>
        <v>2.2272210962382237E-3</v>
      </c>
      <c r="CH32" s="540">
        <f t="shared" si="138"/>
        <v>0</v>
      </c>
      <c r="CI32" s="538">
        <v>0</v>
      </c>
      <c r="CJ32" s="539">
        <f t="shared" si="27"/>
        <v>0</v>
      </c>
      <c r="CK32" s="540">
        <f t="shared" si="139"/>
        <v>0</v>
      </c>
      <c r="CL32" s="538"/>
      <c r="CM32" s="539">
        <f t="shared" si="28"/>
        <v>0</v>
      </c>
      <c r="CN32" s="540">
        <f t="shared" si="140"/>
        <v>0</v>
      </c>
      <c r="CO32" s="538"/>
      <c r="CP32" s="539">
        <f t="shared" si="29"/>
        <v>0</v>
      </c>
      <c r="CQ32" s="540">
        <f t="shared" si="141"/>
        <v>0</v>
      </c>
      <c r="CR32" s="538"/>
      <c r="CS32" s="539">
        <f t="shared" si="30"/>
        <v>0</v>
      </c>
      <c r="CT32" s="540">
        <f t="shared" si="142"/>
        <v>0</v>
      </c>
      <c r="CU32" s="538"/>
      <c r="CV32" s="539">
        <f t="shared" si="31"/>
        <v>0</v>
      </c>
      <c r="CW32" s="540">
        <f t="shared" si="143"/>
        <v>0</v>
      </c>
      <c r="CX32" s="538"/>
      <c r="CY32" s="539">
        <f t="shared" si="32"/>
        <v>0</v>
      </c>
      <c r="CZ32" s="540">
        <f t="shared" si="144"/>
        <v>0</v>
      </c>
      <c r="DA32" s="538"/>
      <c r="DB32" s="539">
        <f t="shared" si="33"/>
        <v>0</v>
      </c>
      <c r="DC32" s="540">
        <f t="shared" si="145"/>
        <v>0</v>
      </c>
      <c r="DD32" s="538"/>
      <c r="DE32" s="539">
        <f t="shared" si="34"/>
        <v>0</v>
      </c>
      <c r="DF32" s="540">
        <f t="shared" si="146"/>
        <v>0</v>
      </c>
      <c r="DG32" s="538">
        <v>0</v>
      </c>
      <c r="DH32" s="539">
        <f t="shared" si="35"/>
        <v>0</v>
      </c>
      <c r="DI32" s="540">
        <f t="shared" si="203"/>
        <v>0</v>
      </c>
      <c r="DJ32" s="538"/>
      <c r="DK32" s="539">
        <f t="shared" si="36"/>
        <v>0</v>
      </c>
      <c r="DL32" s="540">
        <f t="shared" si="147"/>
        <v>0</v>
      </c>
      <c r="DM32" s="538"/>
      <c r="DN32" s="539">
        <f t="shared" si="37"/>
        <v>0</v>
      </c>
      <c r="DO32" s="540">
        <f t="shared" si="148"/>
        <v>0</v>
      </c>
      <c r="DP32" s="538"/>
      <c r="DQ32" s="539">
        <f t="shared" si="38"/>
        <v>0</v>
      </c>
      <c r="DR32" s="540">
        <f t="shared" si="149"/>
        <v>0</v>
      </c>
      <c r="DS32" s="538"/>
      <c r="DT32" s="539">
        <f t="shared" si="39"/>
        <v>0</v>
      </c>
      <c r="DU32" s="540">
        <f t="shared" si="150"/>
        <v>0</v>
      </c>
      <c r="DV32" s="538"/>
      <c r="DW32" s="539">
        <f t="shared" si="40"/>
        <v>0</v>
      </c>
      <c r="DX32" s="540">
        <f t="shared" si="151"/>
        <v>0</v>
      </c>
      <c r="DY32" s="538"/>
      <c r="DZ32" s="539">
        <f t="shared" si="41"/>
        <v>0</v>
      </c>
      <c r="EA32" s="540">
        <f t="shared" si="152"/>
        <v>0</v>
      </c>
      <c r="EB32" s="538">
        <v>6.8944000000000187</v>
      </c>
      <c r="EC32" s="539">
        <f t="shared" si="42"/>
        <v>0.1535535312590485</v>
      </c>
      <c r="ED32" s="540">
        <f t="shared" si="153"/>
        <v>0</v>
      </c>
      <c r="EE32" s="538">
        <v>1.5</v>
      </c>
      <c r="EF32" s="539">
        <f t="shared" si="43"/>
        <v>3.3408316443573352E-2</v>
      </c>
      <c r="EG32" s="540">
        <f t="shared" si="154"/>
        <v>0</v>
      </c>
      <c r="EH32" s="538"/>
      <c r="EI32" s="539">
        <f t="shared" si="44"/>
        <v>0</v>
      </c>
      <c r="EJ32" s="540">
        <f t="shared" si="155"/>
        <v>0</v>
      </c>
      <c r="EK32" s="538"/>
      <c r="EL32" s="539">
        <f t="shared" si="45"/>
        <v>0</v>
      </c>
      <c r="EM32" s="540">
        <f t="shared" si="156"/>
        <v>0</v>
      </c>
      <c r="EN32" s="538"/>
      <c r="EO32" s="539">
        <f t="shared" si="46"/>
        <v>0</v>
      </c>
      <c r="EP32" s="540">
        <f t="shared" si="157"/>
        <v>0</v>
      </c>
      <c r="EQ32" s="538"/>
      <c r="ER32" s="539">
        <f t="shared" si="47"/>
        <v>0</v>
      </c>
      <c r="ES32" s="540">
        <f t="shared" si="158"/>
        <v>0</v>
      </c>
      <c r="ET32" s="538"/>
      <c r="EU32" s="539">
        <f t="shared" si="48"/>
        <v>0</v>
      </c>
      <c r="EV32" s="540">
        <f t="shared" si="159"/>
        <v>0</v>
      </c>
      <c r="EW32" s="538"/>
      <c r="EX32" s="539">
        <f t="shared" si="49"/>
        <v>0</v>
      </c>
      <c r="EY32" s="540">
        <f t="shared" si="160"/>
        <v>0</v>
      </c>
      <c r="EZ32" s="538"/>
      <c r="FA32" s="539">
        <f t="shared" si="50"/>
        <v>0</v>
      </c>
      <c r="FB32" s="540">
        <f t="shared" si="161"/>
        <v>0</v>
      </c>
      <c r="FC32" s="538"/>
      <c r="FD32" s="539">
        <f t="shared" si="51"/>
        <v>0</v>
      </c>
      <c r="FE32" s="540">
        <f t="shared" si="162"/>
        <v>0</v>
      </c>
      <c r="FF32" s="538"/>
      <c r="FG32" s="539">
        <f t="shared" si="52"/>
        <v>0</v>
      </c>
      <c r="FH32" s="540">
        <f t="shared" si="163"/>
        <v>0</v>
      </c>
      <c r="FI32" s="538"/>
      <c r="FJ32" s="539">
        <f t="shared" si="53"/>
        <v>0</v>
      </c>
      <c r="FK32" s="540">
        <f t="shared" si="164"/>
        <v>0</v>
      </c>
      <c r="FL32" s="538"/>
      <c r="FM32" s="539">
        <f t="shared" si="54"/>
        <v>0</v>
      </c>
      <c r="FN32" s="540">
        <f t="shared" si="165"/>
        <v>0</v>
      </c>
      <c r="FO32" s="538"/>
      <c r="FP32" s="539">
        <f t="shared" si="55"/>
        <v>0</v>
      </c>
      <c r="FQ32" s="540">
        <f t="shared" si="166"/>
        <v>0</v>
      </c>
      <c r="FR32" s="538"/>
      <c r="FS32" s="539">
        <f t="shared" si="56"/>
        <v>0</v>
      </c>
      <c r="FT32" s="540">
        <f t="shared" si="167"/>
        <v>0</v>
      </c>
      <c r="FU32" s="538"/>
      <c r="FV32" s="539">
        <f t="shared" si="57"/>
        <v>0</v>
      </c>
      <c r="FW32" s="540">
        <f t="shared" si="168"/>
        <v>0</v>
      </c>
      <c r="FX32" s="538"/>
      <c r="FY32" s="539">
        <f t="shared" si="58"/>
        <v>0</v>
      </c>
      <c r="FZ32" s="540">
        <f t="shared" si="169"/>
        <v>0</v>
      </c>
      <c r="GA32" s="538"/>
      <c r="GB32" s="539">
        <f t="shared" si="59"/>
        <v>0</v>
      </c>
      <c r="GC32" s="540">
        <f t="shared" si="170"/>
        <v>0</v>
      </c>
      <c r="GD32" s="538"/>
      <c r="GE32" s="539">
        <f t="shared" si="60"/>
        <v>0</v>
      </c>
      <c r="GF32" s="540">
        <f t="shared" si="171"/>
        <v>0</v>
      </c>
      <c r="GG32" s="538"/>
      <c r="GH32" s="539">
        <f t="shared" si="61"/>
        <v>0</v>
      </c>
      <c r="GI32" s="540">
        <f t="shared" si="172"/>
        <v>0</v>
      </c>
      <c r="GJ32" s="538"/>
      <c r="GK32" s="539">
        <f t="shared" si="62"/>
        <v>0</v>
      </c>
      <c r="GL32" s="540">
        <f t="shared" si="173"/>
        <v>0</v>
      </c>
      <c r="GM32" s="538"/>
      <c r="GN32" s="539">
        <f t="shared" si="63"/>
        <v>0</v>
      </c>
      <c r="GO32" s="540">
        <f t="shared" si="174"/>
        <v>0</v>
      </c>
      <c r="GP32" s="538"/>
      <c r="GQ32" s="539">
        <f t="shared" si="64"/>
        <v>0</v>
      </c>
      <c r="GR32" s="540">
        <f t="shared" si="175"/>
        <v>0</v>
      </c>
      <c r="GS32" s="538"/>
      <c r="GT32" s="539">
        <f t="shared" si="65"/>
        <v>0</v>
      </c>
      <c r="GU32" s="540">
        <f t="shared" si="176"/>
        <v>0</v>
      </c>
      <c r="GV32" s="538"/>
      <c r="GW32" s="539">
        <f t="shared" si="66"/>
        <v>0</v>
      </c>
      <c r="GX32" s="540">
        <f t="shared" si="177"/>
        <v>0</v>
      </c>
      <c r="GY32" s="538"/>
      <c r="GZ32" s="539">
        <f t="shared" si="67"/>
        <v>0</v>
      </c>
      <c r="HA32" s="540">
        <f t="shared" si="178"/>
        <v>0</v>
      </c>
      <c r="HB32" s="538"/>
      <c r="HC32" s="539">
        <f t="shared" si="68"/>
        <v>0</v>
      </c>
      <c r="HD32" s="540">
        <f t="shared" si="179"/>
        <v>0</v>
      </c>
      <c r="HE32" s="538"/>
      <c r="HF32" s="539">
        <f t="shared" si="69"/>
        <v>0</v>
      </c>
      <c r="HG32" s="540">
        <f t="shared" si="180"/>
        <v>0</v>
      </c>
      <c r="HH32" s="538"/>
      <c r="HI32" s="539">
        <f t="shared" si="70"/>
        <v>0</v>
      </c>
      <c r="HJ32" s="540">
        <f t="shared" si="181"/>
        <v>0</v>
      </c>
      <c r="HK32" s="538"/>
      <c r="HL32" s="539">
        <f t="shared" si="71"/>
        <v>0</v>
      </c>
      <c r="HM32" s="540">
        <f t="shared" si="182"/>
        <v>0</v>
      </c>
      <c r="HN32" s="538"/>
      <c r="HO32" s="539">
        <f t="shared" si="72"/>
        <v>0</v>
      </c>
      <c r="HP32" s="540">
        <f t="shared" si="183"/>
        <v>0</v>
      </c>
      <c r="HQ32" s="538"/>
      <c r="HR32" s="539">
        <f t="shared" si="73"/>
        <v>0</v>
      </c>
      <c r="HS32" s="540">
        <f t="shared" si="184"/>
        <v>0</v>
      </c>
      <c r="HT32" s="538"/>
      <c r="HU32" s="539">
        <f t="shared" si="74"/>
        <v>0</v>
      </c>
      <c r="HV32" s="540">
        <f t="shared" si="185"/>
        <v>0</v>
      </c>
      <c r="HW32" s="538"/>
      <c r="HX32" s="539">
        <f t="shared" si="75"/>
        <v>0</v>
      </c>
      <c r="HY32" s="540">
        <f t="shared" si="186"/>
        <v>0</v>
      </c>
      <c r="HZ32" s="538"/>
      <c r="IA32" s="539">
        <f t="shared" si="76"/>
        <v>0</v>
      </c>
      <c r="IB32" s="540">
        <f t="shared" si="187"/>
        <v>0</v>
      </c>
      <c r="IC32" s="538"/>
      <c r="ID32" s="539">
        <f t="shared" si="77"/>
        <v>0</v>
      </c>
      <c r="IE32" s="540">
        <f t="shared" si="188"/>
        <v>0</v>
      </c>
      <c r="IF32" s="538"/>
      <c r="IG32" s="539">
        <f t="shared" si="78"/>
        <v>0</v>
      </c>
      <c r="IH32" s="540">
        <f t="shared" si="189"/>
        <v>0</v>
      </c>
      <c r="II32" s="538"/>
      <c r="IJ32" s="539">
        <f t="shared" si="79"/>
        <v>0</v>
      </c>
      <c r="IK32" s="540">
        <f t="shared" si="190"/>
        <v>0</v>
      </c>
      <c r="IL32" s="538"/>
      <c r="IM32" s="539">
        <f t="shared" si="80"/>
        <v>0</v>
      </c>
      <c r="IN32" s="540">
        <f t="shared" si="191"/>
        <v>0</v>
      </c>
      <c r="IO32" s="538"/>
      <c r="IP32" s="539">
        <f t="shared" si="81"/>
        <v>0</v>
      </c>
      <c r="IQ32" s="540">
        <f t="shared" si="192"/>
        <v>0</v>
      </c>
      <c r="IR32" s="538"/>
      <c r="IS32" s="539">
        <f t="shared" si="82"/>
        <v>0</v>
      </c>
      <c r="IT32" s="540">
        <f t="shared" si="193"/>
        <v>0</v>
      </c>
      <c r="IU32" s="538"/>
      <c r="IV32" s="539">
        <f t="shared" si="83"/>
        <v>0</v>
      </c>
      <c r="IW32" s="540">
        <f t="shared" si="194"/>
        <v>0</v>
      </c>
      <c r="IX32" s="538"/>
      <c r="IY32" s="539">
        <f t="shared" si="84"/>
        <v>0</v>
      </c>
      <c r="IZ32" s="540">
        <f t="shared" si="195"/>
        <v>0</v>
      </c>
      <c r="JA32" s="538"/>
      <c r="JB32" s="539">
        <f t="shared" si="85"/>
        <v>0</v>
      </c>
      <c r="JC32" s="540">
        <f t="shared" si="196"/>
        <v>0</v>
      </c>
      <c r="JD32" s="538"/>
      <c r="JE32" s="539">
        <f t="shared" si="86"/>
        <v>0</v>
      </c>
      <c r="JF32" s="540">
        <f t="shared" si="197"/>
        <v>0</v>
      </c>
      <c r="JG32" s="538"/>
      <c r="JH32" s="539">
        <f t="shared" si="87"/>
        <v>0</v>
      </c>
      <c r="JI32" s="540">
        <f t="shared" si="198"/>
        <v>0</v>
      </c>
      <c r="JJ32" s="538"/>
      <c r="JK32" s="540" t="str">
        <f t="shared" si="88"/>
        <v>0</v>
      </c>
      <c r="JL32" s="540" t="str">
        <f t="shared" si="89"/>
        <v>0</v>
      </c>
      <c r="JM32" s="538"/>
      <c r="JN32" s="540" t="str">
        <f t="shared" si="90"/>
        <v>0</v>
      </c>
      <c r="JO32" s="540" t="str">
        <f t="shared" si="91"/>
        <v>0</v>
      </c>
      <c r="JP32" s="538"/>
      <c r="JQ32" s="540" t="str">
        <f t="shared" si="92"/>
        <v>0</v>
      </c>
      <c r="JR32" s="540" t="str">
        <f t="shared" si="93"/>
        <v>0</v>
      </c>
      <c r="JS32" s="538"/>
      <c r="JT32" s="540" t="str">
        <f t="shared" si="94"/>
        <v>0</v>
      </c>
      <c r="JU32" s="540" t="str">
        <f t="shared" si="95"/>
        <v>0</v>
      </c>
      <c r="JV32" s="538"/>
      <c r="JW32" s="540" t="str">
        <f t="shared" si="96"/>
        <v>0</v>
      </c>
      <c r="JX32" s="540" t="str">
        <f t="shared" si="97"/>
        <v>0</v>
      </c>
      <c r="JY32" s="538"/>
      <c r="JZ32" s="540" t="str">
        <f t="shared" si="98"/>
        <v>0</v>
      </c>
      <c r="KA32" s="540" t="str">
        <f t="shared" si="99"/>
        <v>0</v>
      </c>
      <c r="KB32" s="538"/>
      <c r="KC32" s="540" t="str">
        <f t="shared" si="100"/>
        <v>0</v>
      </c>
      <c r="KD32" s="540" t="str">
        <f t="shared" si="101"/>
        <v>0</v>
      </c>
      <c r="KE32" s="538"/>
      <c r="KF32" s="540" t="str">
        <f t="shared" si="102"/>
        <v>0</v>
      </c>
      <c r="KG32" s="540" t="str">
        <f t="shared" si="103"/>
        <v>0</v>
      </c>
      <c r="KH32" s="538"/>
      <c r="KI32" s="540" t="str">
        <f t="shared" si="104"/>
        <v>0</v>
      </c>
      <c r="KJ32" s="540" t="str">
        <f t="shared" si="105"/>
        <v>0</v>
      </c>
      <c r="KK32" s="538"/>
      <c r="KL32" s="540" t="str">
        <f t="shared" si="106"/>
        <v>0</v>
      </c>
      <c r="KM32" s="540" t="str">
        <f t="shared" si="107"/>
        <v>0</v>
      </c>
      <c r="KN32" s="538"/>
      <c r="KO32" s="540" t="str">
        <f t="shared" si="108"/>
        <v>0</v>
      </c>
      <c r="KP32" s="540" t="str">
        <f t="shared" si="109"/>
        <v>0</v>
      </c>
      <c r="KQ32" s="538"/>
      <c r="KR32" s="540" t="str">
        <f t="shared" si="110"/>
        <v>0</v>
      </c>
      <c r="KS32" s="540" t="str">
        <f t="shared" si="111"/>
        <v>0</v>
      </c>
      <c r="KT32" s="540">
        <f t="shared" si="201"/>
        <v>0</v>
      </c>
      <c r="KU32" s="540">
        <f t="shared" si="202"/>
        <v>0</v>
      </c>
      <c r="KV32" s="274">
        <f t="shared" si="199"/>
        <v>478.00390000000004</v>
      </c>
    </row>
    <row r="33" spans="1:308" ht="15" customHeight="1">
      <c r="A33" s="276">
        <f t="shared" si="200"/>
        <v>45894</v>
      </c>
      <c r="B33" s="277" t="str">
        <f>+Report1!B33</f>
        <v>Sanitary Napkin</v>
      </c>
      <c r="C33" s="417" t="str">
        <f>+Report1!C33</f>
        <v>13/14</v>
      </c>
      <c r="D33" s="278">
        <f>+Report1!P33</f>
        <v>52.022000000000006</v>
      </c>
      <c r="E33" s="279">
        <f>+Report1!R33</f>
        <v>40.061999999999998</v>
      </c>
      <c r="F33" s="538"/>
      <c r="G33" s="539">
        <f t="shared" si="0"/>
        <v>0</v>
      </c>
      <c r="H33" s="540">
        <f t="shared" si="112"/>
        <v>0</v>
      </c>
      <c r="I33" s="538">
        <v>523.25981395348822</v>
      </c>
      <c r="J33" s="539">
        <f t="shared" si="1"/>
        <v>13.06125041070062</v>
      </c>
      <c r="K33" s="540">
        <f t="shared" si="113"/>
        <v>0</v>
      </c>
      <c r="L33" s="538"/>
      <c r="M33" s="539">
        <f t="shared" si="2"/>
        <v>0</v>
      </c>
      <c r="N33" s="540">
        <f t="shared" si="114"/>
        <v>0</v>
      </c>
      <c r="O33" s="538">
        <v>3.005199999999995</v>
      </c>
      <c r="P33" s="539">
        <f t="shared" si="3"/>
        <v>7.5013728720483133E-2</v>
      </c>
      <c r="Q33" s="540">
        <f t="shared" si="115"/>
        <v>0</v>
      </c>
      <c r="R33" s="538"/>
      <c r="S33" s="539">
        <f t="shared" si="4"/>
        <v>0</v>
      </c>
      <c r="T33" s="540">
        <f t="shared" si="116"/>
        <v>0</v>
      </c>
      <c r="U33" s="538">
        <v>2.5587999999999997</v>
      </c>
      <c r="V33" s="539">
        <f t="shared" si="5"/>
        <v>6.3870999950077376E-2</v>
      </c>
      <c r="W33" s="540">
        <f t="shared" si="117"/>
        <v>0</v>
      </c>
      <c r="X33" s="538"/>
      <c r="Y33" s="539">
        <f t="shared" si="6"/>
        <v>0</v>
      </c>
      <c r="Z33" s="540">
        <f t="shared" si="118"/>
        <v>0</v>
      </c>
      <c r="AA33" s="538"/>
      <c r="AB33" s="539">
        <f t="shared" si="7"/>
        <v>0</v>
      </c>
      <c r="AC33" s="540">
        <f t="shared" si="119"/>
        <v>0</v>
      </c>
      <c r="AD33" s="538"/>
      <c r="AE33" s="539">
        <f t="shared" si="8"/>
        <v>0</v>
      </c>
      <c r="AF33" s="540">
        <f t="shared" si="120"/>
        <v>0</v>
      </c>
      <c r="AG33" s="538"/>
      <c r="AH33" s="539">
        <f t="shared" si="9"/>
        <v>0</v>
      </c>
      <c r="AI33" s="540">
        <f t="shared" si="121"/>
        <v>0</v>
      </c>
      <c r="AJ33" s="538">
        <v>0</v>
      </c>
      <c r="AK33" s="539">
        <f t="shared" si="10"/>
        <v>0</v>
      </c>
      <c r="AL33" s="540">
        <f t="shared" si="122"/>
        <v>0</v>
      </c>
      <c r="AM33" s="538">
        <v>42.055715384615411</v>
      </c>
      <c r="AN33" s="539">
        <f t="shared" si="11"/>
        <v>1.0497657477064404</v>
      </c>
      <c r="AO33" s="540">
        <f t="shared" si="123"/>
        <v>0</v>
      </c>
      <c r="AP33" s="538">
        <v>0</v>
      </c>
      <c r="AQ33" s="539">
        <f t="shared" si="12"/>
        <v>0</v>
      </c>
      <c r="AR33" s="540">
        <f t="shared" si="124"/>
        <v>0</v>
      </c>
      <c r="AS33" s="538"/>
      <c r="AT33" s="539">
        <f t="shared" si="13"/>
        <v>0</v>
      </c>
      <c r="AU33" s="540">
        <f t="shared" si="125"/>
        <v>0</v>
      </c>
      <c r="AV33" s="538">
        <v>2.7754999999999654</v>
      </c>
      <c r="AW33" s="539">
        <f t="shared" si="14"/>
        <v>6.9280115820477398E-2</v>
      </c>
      <c r="AX33" s="540">
        <f t="shared" si="126"/>
        <v>0</v>
      </c>
      <c r="AY33" s="538">
        <v>53.666800000000009</v>
      </c>
      <c r="AZ33" s="539">
        <f t="shared" si="15"/>
        <v>1.3395936298736961</v>
      </c>
      <c r="BA33" s="540">
        <f t="shared" si="127"/>
        <v>0</v>
      </c>
      <c r="BB33" s="538">
        <v>0</v>
      </c>
      <c r="BC33" s="539">
        <f t="shared" si="16"/>
        <v>0</v>
      </c>
      <c r="BD33" s="540">
        <f t="shared" si="128"/>
        <v>0</v>
      </c>
      <c r="BE33" s="538"/>
      <c r="BF33" s="539">
        <f t="shared" si="17"/>
        <v>0</v>
      </c>
      <c r="BG33" s="540">
        <f t="shared" si="129"/>
        <v>0</v>
      </c>
      <c r="BH33" s="538"/>
      <c r="BI33" s="539">
        <f t="shared" si="18"/>
        <v>0</v>
      </c>
      <c r="BJ33" s="540">
        <f t="shared" si="130"/>
        <v>0</v>
      </c>
      <c r="BK33" s="538"/>
      <c r="BL33" s="539">
        <f t="shared" si="19"/>
        <v>0</v>
      </c>
      <c r="BM33" s="540">
        <f t="shared" si="131"/>
        <v>0</v>
      </c>
      <c r="BN33" s="538">
        <v>2.531193827160493</v>
      </c>
      <c r="BO33" s="539">
        <f t="shared" si="20"/>
        <v>6.3181913712757554E-2</v>
      </c>
      <c r="BP33" s="540">
        <f t="shared" si="132"/>
        <v>0</v>
      </c>
      <c r="BQ33" s="538">
        <v>0</v>
      </c>
      <c r="BR33" s="539">
        <f t="shared" si="21"/>
        <v>0</v>
      </c>
      <c r="BS33" s="540">
        <f t="shared" si="133"/>
        <v>0</v>
      </c>
      <c r="BT33" s="538"/>
      <c r="BU33" s="539">
        <f t="shared" si="22"/>
        <v>0</v>
      </c>
      <c r="BV33" s="540">
        <f t="shared" si="134"/>
        <v>0</v>
      </c>
      <c r="BW33" s="538">
        <v>0</v>
      </c>
      <c r="BX33" s="539">
        <f t="shared" si="23"/>
        <v>0</v>
      </c>
      <c r="BY33" s="540">
        <f t="shared" si="135"/>
        <v>0</v>
      </c>
      <c r="BZ33" s="538">
        <v>0</v>
      </c>
      <c r="CA33" s="539">
        <f t="shared" si="24"/>
        <v>0</v>
      </c>
      <c r="CB33" s="540">
        <f t="shared" si="136"/>
        <v>0</v>
      </c>
      <c r="CC33" s="538">
        <v>0</v>
      </c>
      <c r="CD33" s="539">
        <f t="shared" si="25"/>
        <v>0</v>
      </c>
      <c r="CE33" s="540">
        <f t="shared" si="137"/>
        <v>0</v>
      </c>
      <c r="CF33" s="538">
        <v>9.9999999999999978E-2</v>
      </c>
      <c r="CG33" s="539">
        <f t="shared" si="26"/>
        <v>2.4961309969547198E-3</v>
      </c>
      <c r="CH33" s="540">
        <f t="shared" si="138"/>
        <v>0</v>
      </c>
      <c r="CI33" s="538">
        <v>0</v>
      </c>
      <c r="CJ33" s="539">
        <f t="shared" si="27"/>
        <v>0</v>
      </c>
      <c r="CK33" s="540">
        <f t="shared" si="139"/>
        <v>0</v>
      </c>
      <c r="CL33" s="538"/>
      <c r="CM33" s="539">
        <f t="shared" si="28"/>
        <v>0</v>
      </c>
      <c r="CN33" s="540">
        <f t="shared" si="140"/>
        <v>0</v>
      </c>
      <c r="CO33" s="538"/>
      <c r="CP33" s="539">
        <f t="shared" si="29"/>
        <v>0</v>
      </c>
      <c r="CQ33" s="540">
        <f t="shared" si="141"/>
        <v>0</v>
      </c>
      <c r="CR33" s="538"/>
      <c r="CS33" s="539">
        <f t="shared" si="30"/>
        <v>0</v>
      </c>
      <c r="CT33" s="540">
        <f t="shared" si="142"/>
        <v>0</v>
      </c>
      <c r="CU33" s="538"/>
      <c r="CV33" s="539">
        <f t="shared" si="31"/>
        <v>0</v>
      </c>
      <c r="CW33" s="540">
        <f t="shared" si="143"/>
        <v>0</v>
      </c>
      <c r="CX33" s="538"/>
      <c r="CY33" s="539">
        <f t="shared" si="32"/>
        <v>0</v>
      </c>
      <c r="CZ33" s="540">
        <f t="shared" si="144"/>
        <v>0</v>
      </c>
      <c r="DA33" s="538"/>
      <c r="DB33" s="539">
        <f t="shared" si="33"/>
        <v>0</v>
      </c>
      <c r="DC33" s="540">
        <f t="shared" si="145"/>
        <v>0</v>
      </c>
      <c r="DD33" s="538"/>
      <c r="DE33" s="539">
        <f t="shared" si="34"/>
        <v>0</v>
      </c>
      <c r="DF33" s="540">
        <f t="shared" si="146"/>
        <v>0</v>
      </c>
      <c r="DG33" s="538">
        <v>0</v>
      </c>
      <c r="DH33" s="539">
        <f t="shared" si="35"/>
        <v>0</v>
      </c>
      <c r="DI33" s="540">
        <f t="shared" si="203"/>
        <v>0</v>
      </c>
      <c r="DJ33" s="538"/>
      <c r="DK33" s="539">
        <f t="shared" si="36"/>
        <v>0</v>
      </c>
      <c r="DL33" s="540">
        <f t="shared" si="147"/>
        <v>0</v>
      </c>
      <c r="DM33" s="538"/>
      <c r="DN33" s="539">
        <f t="shared" si="37"/>
        <v>0</v>
      </c>
      <c r="DO33" s="540">
        <f t="shared" si="148"/>
        <v>0</v>
      </c>
      <c r="DP33" s="538"/>
      <c r="DQ33" s="539">
        <f t="shared" si="38"/>
        <v>0</v>
      </c>
      <c r="DR33" s="540">
        <f t="shared" si="149"/>
        <v>0</v>
      </c>
      <c r="DS33" s="538"/>
      <c r="DT33" s="539">
        <f t="shared" si="39"/>
        <v>0</v>
      </c>
      <c r="DU33" s="540">
        <f t="shared" si="150"/>
        <v>0</v>
      </c>
      <c r="DV33" s="538"/>
      <c r="DW33" s="539">
        <f t="shared" si="40"/>
        <v>0</v>
      </c>
      <c r="DX33" s="540">
        <f t="shared" si="151"/>
        <v>0</v>
      </c>
      <c r="DY33" s="538"/>
      <c r="DZ33" s="539">
        <f t="shared" si="41"/>
        <v>0</v>
      </c>
      <c r="EA33" s="540">
        <f t="shared" si="152"/>
        <v>0</v>
      </c>
      <c r="EB33" s="538">
        <v>14.536558139534861</v>
      </c>
      <c r="EC33" s="539">
        <f t="shared" si="42"/>
        <v>0.36285153361127409</v>
      </c>
      <c r="ED33" s="540">
        <f t="shared" si="153"/>
        <v>0</v>
      </c>
      <c r="EE33" s="538">
        <v>2</v>
      </c>
      <c r="EF33" s="539">
        <f t="shared" si="43"/>
        <v>4.9922619939094408E-2</v>
      </c>
      <c r="EG33" s="540">
        <f t="shared" si="154"/>
        <v>0</v>
      </c>
      <c r="EH33" s="538"/>
      <c r="EI33" s="539">
        <f t="shared" si="44"/>
        <v>0</v>
      </c>
      <c r="EJ33" s="540">
        <f t="shared" si="155"/>
        <v>0</v>
      </c>
      <c r="EK33" s="538"/>
      <c r="EL33" s="539">
        <f t="shared" si="45"/>
        <v>0</v>
      </c>
      <c r="EM33" s="540">
        <f t="shared" si="156"/>
        <v>0</v>
      </c>
      <c r="EN33" s="538"/>
      <c r="EO33" s="539">
        <f t="shared" si="46"/>
        <v>0</v>
      </c>
      <c r="EP33" s="540">
        <f t="shared" si="157"/>
        <v>0</v>
      </c>
      <c r="EQ33" s="538"/>
      <c r="ER33" s="539">
        <f t="shared" si="47"/>
        <v>0</v>
      </c>
      <c r="ES33" s="540">
        <f t="shared" si="158"/>
        <v>0</v>
      </c>
      <c r="ET33" s="538"/>
      <c r="EU33" s="539">
        <f t="shared" si="48"/>
        <v>0</v>
      </c>
      <c r="EV33" s="540">
        <f t="shared" si="159"/>
        <v>0</v>
      </c>
      <c r="EW33" s="538"/>
      <c r="EX33" s="539">
        <f t="shared" si="49"/>
        <v>0</v>
      </c>
      <c r="EY33" s="540">
        <f t="shared" si="160"/>
        <v>0</v>
      </c>
      <c r="EZ33" s="538"/>
      <c r="FA33" s="539">
        <f t="shared" si="50"/>
        <v>0</v>
      </c>
      <c r="FB33" s="540">
        <f t="shared" si="161"/>
        <v>0</v>
      </c>
      <c r="FC33" s="538"/>
      <c r="FD33" s="539">
        <f t="shared" si="51"/>
        <v>0</v>
      </c>
      <c r="FE33" s="540">
        <f t="shared" si="162"/>
        <v>0</v>
      </c>
      <c r="FF33" s="538"/>
      <c r="FG33" s="539">
        <f t="shared" si="52"/>
        <v>0</v>
      </c>
      <c r="FH33" s="540">
        <f t="shared" si="163"/>
        <v>0</v>
      </c>
      <c r="FI33" s="538"/>
      <c r="FJ33" s="539">
        <f t="shared" si="53"/>
        <v>0</v>
      </c>
      <c r="FK33" s="540">
        <f t="shared" si="164"/>
        <v>0</v>
      </c>
      <c r="FL33" s="538"/>
      <c r="FM33" s="539">
        <f t="shared" si="54"/>
        <v>0</v>
      </c>
      <c r="FN33" s="540">
        <f t="shared" si="165"/>
        <v>0</v>
      </c>
      <c r="FO33" s="538"/>
      <c r="FP33" s="539">
        <f t="shared" si="55"/>
        <v>0</v>
      </c>
      <c r="FQ33" s="540">
        <f t="shared" si="166"/>
        <v>0</v>
      </c>
      <c r="FR33" s="538"/>
      <c r="FS33" s="539">
        <f t="shared" si="56"/>
        <v>0</v>
      </c>
      <c r="FT33" s="540">
        <f t="shared" si="167"/>
        <v>0</v>
      </c>
      <c r="FU33" s="538"/>
      <c r="FV33" s="539">
        <f t="shared" si="57"/>
        <v>0</v>
      </c>
      <c r="FW33" s="540">
        <f t="shared" si="168"/>
        <v>0</v>
      </c>
      <c r="FX33" s="538"/>
      <c r="FY33" s="539">
        <f t="shared" si="58"/>
        <v>0</v>
      </c>
      <c r="FZ33" s="540">
        <f t="shared" si="169"/>
        <v>0</v>
      </c>
      <c r="GA33" s="538"/>
      <c r="GB33" s="539">
        <f t="shared" si="59"/>
        <v>0</v>
      </c>
      <c r="GC33" s="540">
        <f t="shared" si="170"/>
        <v>0</v>
      </c>
      <c r="GD33" s="538"/>
      <c r="GE33" s="539">
        <f t="shared" si="60"/>
        <v>0</v>
      </c>
      <c r="GF33" s="540">
        <f t="shared" si="171"/>
        <v>0</v>
      </c>
      <c r="GG33" s="538"/>
      <c r="GH33" s="539">
        <f t="shared" si="61"/>
        <v>0</v>
      </c>
      <c r="GI33" s="540">
        <f t="shared" si="172"/>
        <v>0</v>
      </c>
      <c r="GJ33" s="538"/>
      <c r="GK33" s="539">
        <f t="shared" si="62"/>
        <v>0</v>
      </c>
      <c r="GL33" s="540">
        <f t="shared" si="173"/>
        <v>0</v>
      </c>
      <c r="GM33" s="538"/>
      <c r="GN33" s="539">
        <f t="shared" si="63"/>
        <v>0</v>
      </c>
      <c r="GO33" s="540">
        <f t="shared" si="174"/>
        <v>0</v>
      </c>
      <c r="GP33" s="538"/>
      <c r="GQ33" s="539">
        <f t="shared" si="64"/>
        <v>0</v>
      </c>
      <c r="GR33" s="540">
        <f t="shared" si="175"/>
        <v>0</v>
      </c>
      <c r="GS33" s="538"/>
      <c r="GT33" s="539">
        <f t="shared" si="65"/>
        <v>0</v>
      </c>
      <c r="GU33" s="540">
        <f t="shared" si="176"/>
        <v>0</v>
      </c>
      <c r="GV33" s="538"/>
      <c r="GW33" s="539">
        <f t="shared" si="66"/>
        <v>0</v>
      </c>
      <c r="GX33" s="540">
        <f t="shared" si="177"/>
        <v>0</v>
      </c>
      <c r="GY33" s="538"/>
      <c r="GZ33" s="539">
        <f t="shared" si="67"/>
        <v>0</v>
      </c>
      <c r="HA33" s="540">
        <f t="shared" si="178"/>
        <v>0</v>
      </c>
      <c r="HB33" s="538"/>
      <c r="HC33" s="539">
        <f t="shared" si="68"/>
        <v>0</v>
      </c>
      <c r="HD33" s="540">
        <f t="shared" si="179"/>
        <v>0</v>
      </c>
      <c r="HE33" s="538"/>
      <c r="HF33" s="539">
        <f t="shared" si="69"/>
        <v>0</v>
      </c>
      <c r="HG33" s="540">
        <f t="shared" si="180"/>
        <v>0</v>
      </c>
      <c r="HH33" s="538"/>
      <c r="HI33" s="539">
        <f t="shared" si="70"/>
        <v>0</v>
      </c>
      <c r="HJ33" s="540">
        <f t="shared" si="181"/>
        <v>0</v>
      </c>
      <c r="HK33" s="538"/>
      <c r="HL33" s="539">
        <f t="shared" si="71"/>
        <v>0</v>
      </c>
      <c r="HM33" s="540">
        <f t="shared" si="182"/>
        <v>0</v>
      </c>
      <c r="HN33" s="538"/>
      <c r="HO33" s="539">
        <f t="shared" si="72"/>
        <v>0</v>
      </c>
      <c r="HP33" s="540">
        <f t="shared" si="183"/>
        <v>0</v>
      </c>
      <c r="HQ33" s="538"/>
      <c r="HR33" s="539">
        <f t="shared" si="73"/>
        <v>0</v>
      </c>
      <c r="HS33" s="540">
        <f t="shared" si="184"/>
        <v>0</v>
      </c>
      <c r="HT33" s="538"/>
      <c r="HU33" s="539">
        <f t="shared" si="74"/>
        <v>0</v>
      </c>
      <c r="HV33" s="540">
        <f t="shared" si="185"/>
        <v>0</v>
      </c>
      <c r="HW33" s="538"/>
      <c r="HX33" s="539">
        <f t="shared" si="75"/>
        <v>0</v>
      </c>
      <c r="HY33" s="540">
        <f t="shared" si="186"/>
        <v>0</v>
      </c>
      <c r="HZ33" s="538"/>
      <c r="IA33" s="539">
        <f t="shared" si="76"/>
        <v>0</v>
      </c>
      <c r="IB33" s="540">
        <f t="shared" si="187"/>
        <v>0</v>
      </c>
      <c r="IC33" s="538"/>
      <c r="ID33" s="539">
        <f t="shared" si="77"/>
        <v>0</v>
      </c>
      <c r="IE33" s="540">
        <f t="shared" si="188"/>
        <v>0</v>
      </c>
      <c r="IF33" s="538"/>
      <c r="IG33" s="539">
        <f t="shared" si="78"/>
        <v>0</v>
      </c>
      <c r="IH33" s="540">
        <f t="shared" si="189"/>
        <v>0</v>
      </c>
      <c r="II33" s="538"/>
      <c r="IJ33" s="539">
        <f t="shared" si="79"/>
        <v>0</v>
      </c>
      <c r="IK33" s="540">
        <f t="shared" si="190"/>
        <v>0</v>
      </c>
      <c r="IL33" s="538"/>
      <c r="IM33" s="539">
        <f t="shared" si="80"/>
        <v>0</v>
      </c>
      <c r="IN33" s="540">
        <f t="shared" si="191"/>
        <v>0</v>
      </c>
      <c r="IO33" s="538"/>
      <c r="IP33" s="539">
        <f t="shared" si="81"/>
        <v>0</v>
      </c>
      <c r="IQ33" s="540">
        <f t="shared" si="192"/>
        <v>0</v>
      </c>
      <c r="IR33" s="538"/>
      <c r="IS33" s="539">
        <f t="shared" si="82"/>
        <v>0</v>
      </c>
      <c r="IT33" s="540">
        <f t="shared" si="193"/>
        <v>0</v>
      </c>
      <c r="IU33" s="538"/>
      <c r="IV33" s="539">
        <f t="shared" si="83"/>
        <v>0</v>
      </c>
      <c r="IW33" s="540">
        <f t="shared" si="194"/>
        <v>0</v>
      </c>
      <c r="IX33" s="538"/>
      <c r="IY33" s="539">
        <f t="shared" si="84"/>
        <v>0</v>
      </c>
      <c r="IZ33" s="540">
        <f t="shared" si="195"/>
        <v>0</v>
      </c>
      <c r="JA33" s="538"/>
      <c r="JB33" s="539">
        <f t="shared" si="85"/>
        <v>0</v>
      </c>
      <c r="JC33" s="540">
        <f t="shared" si="196"/>
        <v>0</v>
      </c>
      <c r="JD33" s="538"/>
      <c r="JE33" s="539">
        <f t="shared" si="86"/>
        <v>0</v>
      </c>
      <c r="JF33" s="540">
        <f t="shared" si="197"/>
        <v>0</v>
      </c>
      <c r="JG33" s="538"/>
      <c r="JH33" s="539">
        <f t="shared" si="87"/>
        <v>0</v>
      </c>
      <c r="JI33" s="540">
        <f t="shared" si="198"/>
        <v>0</v>
      </c>
      <c r="JJ33" s="538"/>
      <c r="JK33" s="540" t="str">
        <f t="shared" si="88"/>
        <v>0</v>
      </c>
      <c r="JL33" s="540" t="str">
        <f t="shared" si="89"/>
        <v>0</v>
      </c>
      <c r="JM33" s="538"/>
      <c r="JN33" s="540" t="str">
        <f t="shared" si="90"/>
        <v>0</v>
      </c>
      <c r="JO33" s="540" t="str">
        <f t="shared" si="91"/>
        <v>0</v>
      </c>
      <c r="JP33" s="538"/>
      <c r="JQ33" s="540" t="str">
        <f t="shared" si="92"/>
        <v>0</v>
      </c>
      <c r="JR33" s="540" t="str">
        <f t="shared" si="93"/>
        <v>0</v>
      </c>
      <c r="JS33" s="538"/>
      <c r="JT33" s="540" t="str">
        <f t="shared" si="94"/>
        <v>0</v>
      </c>
      <c r="JU33" s="540" t="str">
        <f t="shared" si="95"/>
        <v>0</v>
      </c>
      <c r="JV33" s="538"/>
      <c r="JW33" s="540" t="str">
        <f t="shared" si="96"/>
        <v>0</v>
      </c>
      <c r="JX33" s="540" t="str">
        <f t="shared" si="97"/>
        <v>0</v>
      </c>
      <c r="JY33" s="538"/>
      <c r="JZ33" s="540" t="str">
        <f t="shared" si="98"/>
        <v>0</v>
      </c>
      <c r="KA33" s="540" t="str">
        <f t="shared" si="99"/>
        <v>0</v>
      </c>
      <c r="KB33" s="538"/>
      <c r="KC33" s="540" t="str">
        <f t="shared" si="100"/>
        <v>0</v>
      </c>
      <c r="KD33" s="540" t="str">
        <f t="shared" si="101"/>
        <v>0</v>
      </c>
      <c r="KE33" s="538"/>
      <c r="KF33" s="540" t="str">
        <f t="shared" si="102"/>
        <v>0</v>
      </c>
      <c r="KG33" s="540" t="str">
        <f t="shared" si="103"/>
        <v>0</v>
      </c>
      <c r="KH33" s="538"/>
      <c r="KI33" s="540" t="str">
        <f t="shared" si="104"/>
        <v>0</v>
      </c>
      <c r="KJ33" s="540" t="str">
        <f t="shared" si="105"/>
        <v>0</v>
      </c>
      <c r="KK33" s="538"/>
      <c r="KL33" s="540" t="str">
        <f t="shared" si="106"/>
        <v>0</v>
      </c>
      <c r="KM33" s="540" t="str">
        <f t="shared" si="107"/>
        <v>0</v>
      </c>
      <c r="KN33" s="538"/>
      <c r="KO33" s="540" t="str">
        <f t="shared" si="108"/>
        <v>0</v>
      </c>
      <c r="KP33" s="540" t="str">
        <f t="shared" si="109"/>
        <v>0</v>
      </c>
      <c r="KQ33" s="538"/>
      <c r="KR33" s="540" t="str">
        <f t="shared" si="110"/>
        <v>0</v>
      </c>
      <c r="KS33" s="540" t="str">
        <f t="shared" si="111"/>
        <v>0</v>
      </c>
      <c r="KT33" s="540">
        <f t="shared" si="201"/>
        <v>0</v>
      </c>
      <c r="KU33" s="540">
        <f t="shared" si="202"/>
        <v>0</v>
      </c>
      <c r="KV33" s="274">
        <f t="shared" si="199"/>
        <v>646.48958130479878</v>
      </c>
    </row>
    <row r="34" spans="1:308" ht="15" customHeight="1">
      <c r="A34" s="276">
        <f t="shared" si="200"/>
        <v>45895</v>
      </c>
      <c r="B34" s="277" t="str">
        <f>+Report1!B34</f>
        <v>Sanitary Napkin</v>
      </c>
      <c r="C34" s="417" t="str">
        <f>+Report1!C34</f>
        <v>14/15</v>
      </c>
      <c r="D34" s="278">
        <f>+Report1!P34</f>
        <v>58.010999999999996</v>
      </c>
      <c r="E34" s="279">
        <f>+Report1!R34</f>
        <v>49.328000000000003</v>
      </c>
      <c r="F34" s="538"/>
      <c r="G34" s="539">
        <f t="shared" si="0"/>
        <v>0</v>
      </c>
      <c r="H34" s="540">
        <f t="shared" si="112"/>
        <v>0</v>
      </c>
      <c r="I34" s="538">
        <v>465.11627906976742</v>
      </c>
      <c r="J34" s="539">
        <f t="shared" si="1"/>
        <v>9.4290520408240219</v>
      </c>
      <c r="K34" s="540">
        <f t="shared" si="113"/>
        <v>0</v>
      </c>
      <c r="L34" s="538"/>
      <c r="M34" s="539">
        <f t="shared" si="2"/>
        <v>0</v>
      </c>
      <c r="N34" s="540">
        <f t="shared" si="114"/>
        <v>0</v>
      </c>
      <c r="O34" s="538">
        <v>6</v>
      </c>
      <c r="P34" s="539">
        <f t="shared" si="3"/>
        <v>0.12163477132662989</v>
      </c>
      <c r="Q34" s="540">
        <f t="shared" si="115"/>
        <v>0</v>
      </c>
      <c r="R34" s="538"/>
      <c r="S34" s="539">
        <f t="shared" si="4"/>
        <v>0</v>
      </c>
      <c r="T34" s="540">
        <f t="shared" si="116"/>
        <v>0</v>
      </c>
      <c r="U34" s="538">
        <v>2.5625</v>
      </c>
      <c r="V34" s="539">
        <f t="shared" si="5"/>
        <v>5.1948183587414855E-2</v>
      </c>
      <c r="W34" s="540">
        <f t="shared" si="117"/>
        <v>0</v>
      </c>
      <c r="X34" s="538"/>
      <c r="Y34" s="539">
        <f t="shared" si="6"/>
        <v>0</v>
      </c>
      <c r="Z34" s="540">
        <f t="shared" si="118"/>
        <v>0</v>
      </c>
      <c r="AA34" s="538"/>
      <c r="AB34" s="539">
        <f t="shared" si="7"/>
        <v>0</v>
      </c>
      <c r="AC34" s="540">
        <f t="shared" si="119"/>
        <v>0</v>
      </c>
      <c r="AD34" s="538"/>
      <c r="AE34" s="539">
        <f t="shared" si="8"/>
        <v>0</v>
      </c>
      <c r="AF34" s="540">
        <f t="shared" si="120"/>
        <v>0</v>
      </c>
      <c r="AG34" s="538"/>
      <c r="AH34" s="539">
        <f t="shared" si="9"/>
        <v>0</v>
      </c>
      <c r="AI34" s="540">
        <f t="shared" si="121"/>
        <v>0</v>
      </c>
      <c r="AJ34" s="538">
        <v>0</v>
      </c>
      <c r="AK34" s="539">
        <f t="shared" si="10"/>
        <v>0</v>
      </c>
      <c r="AL34" s="540">
        <f t="shared" si="122"/>
        <v>0</v>
      </c>
      <c r="AM34" s="538">
        <v>31.538461538461547</v>
      </c>
      <c r="AN34" s="539">
        <f t="shared" si="11"/>
        <v>0.63936225953741377</v>
      </c>
      <c r="AO34" s="540">
        <f t="shared" si="123"/>
        <v>0</v>
      </c>
      <c r="AP34" s="538">
        <v>0</v>
      </c>
      <c r="AQ34" s="539">
        <f t="shared" si="12"/>
        <v>0</v>
      </c>
      <c r="AR34" s="540">
        <f t="shared" si="124"/>
        <v>0</v>
      </c>
      <c r="AS34" s="538"/>
      <c r="AT34" s="539">
        <f t="shared" si="13"/>
        <v>0</v>
      </c>
      <c r="AU34" s="540">
        <f t="shared" si="125"/>
        <v>0</v>
      </c>
      <c r="AV34" s="538">
        <v>2.7750000000000057</v>
      </c>
      <c r="AW34" s="539">
        <f t="shared" si="14"/>
        <v>5.6256081738566444E-2</v>
      </c>
      <c r="AX34" s="540">
        <f t="shared" si="126"/>
        <v>0</v>
      </c>
      <c r="AY34" s="538">
        <v>56.000000000000028</v>
      </c>
      <c r="AZ34" s="539">
        <f t="shared" si="15"/>
        <v>1.135257865715213</v>
      </c>
      <c r="BA34" s="540">
        <f t="shared" si="127"/>
        <v>0</v>
      </c>
      <c r="BB34" s="538">
        <v>0</v>
      </c>
      <c r="BC34" s="539">
        <f t="shared" si="16"/>
        <v>0</v>
      </c>
      <c r="BD34" s="540">
        <f t="shared" si="128"/>
        <v>0</v>
      </c>
      <c r="BE34" s="538"/>
      <c r="BF34" s="539">
        <f t="shared" si="17"/>
        <v>0</v>
      </c>
      <c r="BG34" s="540">
        <f t="shared" si="129"/>
        <v>0</v>
      </c>
      <c r="BH34" s="538"/>
      <c r="BI34" s="539">
        <f t="shared" si="18"/>
        <v>0</v>
      </c>
      <c r="BJ34" s="540">
        <f t="shared" si="130"/>
        <v>0</v>
      </c>
      <c r="BK34" s="538"/>
      <c r="BL34" s="539">
        <f t="shared" si="19"/>
        <v>0</v>
      </c>
      <c r="BM34" s="540">
        <f t="shared" si="131"/>
        <v>0</v>
      </c>
      <c r="BN34" s="538">
        <v>2.5308641975308603</v>
      </c>
      <c r="BO34" s="539">
        <f t="shared" si="20"/>
        <v>5.1306847987570146E-2</v>
      </c>
      <c r="BP34" s="540">
        <f t="shared" si="132"/>
        <v>0</v>
      </c>
      <c r="BQ34" s="538">
        <v>0</v>
      </c>
      <c r="BR34" s="539">
        <f t="shared" si="21"/>
        <v>0</v>
      </c>
      <c r="BS34" s="540">
        <f t="shared" si="133"/>
        <v>0</v>
      </c>
      <c r="BT34" s="538"/>
      <c r="BU34" s="539">
        <f t="shared" si="22"/>
        <v>0</v>
      </c>
      <c r="BV34" s="540">
        <f t="shared" si="134"/>
        <v>0</v>
      </c>
      <c r="BW34" s="538">
        <v>0</v>
      </c>
      <c r="BX34" s="539">
        <f t="shared" si="23"/>
        <v>0</v>
      </c>
      <c r="BY34" s="540">
        <f t="shared" si="135"/>
        <v>0</v>
      </c>
      <c r="BZ34" s="538">
        <v>0</v>
      </c>
      <c r="CA34" s="539">
        <f t="shared" si="24"/>
        <v>0</v>
      </c>
      <c r="CB34" s="540">
        <f t="shared" si="136"/>
        <v>0</v>
      </c>
      <c r="CC34" s="538">
        <v>0</v>
      </c>
      <c r="CD34" s="539">
        <f t="shared" si="25"/>
        <v>0</v>
      </c>
      <c r="CE34" s="540">
        <f t="shared" si="137"/>
        <v>0</v>
      </c>
      <c r="CF34" s="538">
        <v>9.9999999999999867E-2</v>
      </c>
      <c r="CG34" s="539">
        <f t="shared" si="26"/>
        <v>2.0272461887771622E-3</v>
      </c>
      <c r="CH34" s="540">
        <f t="shared" si="138"/>
        <v>0</v>
      </c>
      <c r="CI34" s="538">
        <v>0</v>
      </c>
      <c r="CJ34" s="539">
        <f t="shared" si="27"/>
        <v>0</v>
      </c>
      <c r="CK34" s="540">
        <f t="shared" si="139"/>
        <v>0</v>
      </c>
      <c r="CL34" s="538"/>
      <c r="CM34" s="539">
        <f t="shared" si="28"/>
        <v>0</v>
      </c>
      <c r="CN34" s="540">
        <f t="shared" si="140"/>
        <v>0</v>
      </c>
      <c r="CO34" s="538"/>
      <c r="CP34" s="539">
        <f t="shared" si="29"/>
        <v>0</v>
      </c>
      <c r="CQ34" s="540">
        <f t="shared" si="141"/>
        <v>0</v>
      </c>
      <c r="CR34" s="538"/>
      <c r="CS34" s="539">
        <f t="shared" si="30"/>
        <v>0</v>
      </c>
      <c r="CT34" s="540">
        <f t="shared" si="142"/>
        <v>0</v>
      </c>
      <c r="CU34" s="538"/>
      <c r="CV34" s="539">
        <f t="shared" si="31"/>
        <v>0</v>
      </c>
      <c r="CW34" s="540">
        <f t="shared" si="143"/>
        <v>0</v>
      </c>
      <c r="CX34" s="538"/>
      <c r="CY34" s="539">
        <f t="shared" si="32"/>
        <v>0</v>
      </c>
      <c r="CZ34" s="540">
        <f t="shared" si="144"/>
        <v>0</v>
      </c>
      <c r="DA34" s="538"/>
      <c r="DB34" s="539">
        <f t="shared" si="33"/>
        <v>0</v>
      </c>
      <c r="DC34" s="540">
        <f t="shared" si="145"/>
        <v>0</v>
      </c>
      <c r="DD34" s="538"/>
      <c r="DE34" s="539">
        <f t="shared" si="34"/>
        <v>0</v>
      </c>
      <c r="DF34" s="540">
        <f t="shared" si="146"/>
        <v>0</v>
      </c>
      <c r="DG34" s="538">
        <v>0</v>
      </c>
      <c r="DH34" s="539">
        <f t="shared" si="35"/>
        <v>0</v>
      </c>
      <c r="DI34" s="540">
        <f t="shared" si="203"/>
        <v>0</v>
      </c>
      <c r="DJ34" s="538"/>
      <c r="DK34" s="539">
        <f t="shared" si="36"/>
        <v>0</v>
      </c>
      <c r="DL34" s="540">
        <f t="shared" si="147"/>
        <v>0</v>
      </c>
      <c r="DM34" s="538"/>
      <c r="DN34" s="539">
        <f t="shared" si="37"/>
        <v>0</v>
      </c>
      <c r="DO34" s="540">
        <f t="shared" si="148"/>
        <v>0</v>
      </c>
      <c r="DP34" s="538"/>
      <c r="DQ34" s="539">
        <f t="shared" si="38"/>
        <v>0</v>
      </c>
      <c r="DR34" s="540">
        <f t="shared" si="149"/>
        <v>0</v>
      </c>
      <c r="DS34" s="538"/>
      <c r="DT34" s="539">
        <f t="shared" si="39"/>
        <v>0</v>
      </c>
      <c r="DU34" s="540">
        <f t="shared" si="150"/>
        <v>0</v>
      </c>
      <c r="DV34" s="538"/>
      <c r="DW34" s="539">
        <f t="shared" si="40"/>
        <v>0</v>
      </c>
      <c r="DX34" s="540">
        <f t="shared" si="151"/>
        <v>0</v>
      </c>
      <c r="DY34" s="538"/>
      <c r="DZ34" s="539">
        <f t="shared" si="41"/>
        <v>0</v>
      </c>
      <c r="EA34" s="540">
        <f t="shared" si="152"/>
        <v>0</v>
      </c>
      <c r="EB34" s="538">
        <v>14.534883720930281</v>
      </c>
      <c r="EC34" s="539">
        <f t="shared" si="42"/>
        <v>0.29465787627575174</v>
      </c>
      <c r="ED34" s="540">
        <f t="shared" si="153"/>
        <v>0</v>
      </c>
      <c r="EE34" s="538">
        <v>2</v>
      </c>
      <c r="EF34" s="539">
        <f t="shared" si="43"/>
        <v>4.05449237755433E-2</v>
      </c>
      <c r="EG34" s="540">
        <f t="shared" si="154"/>
        <v>0</v>
      </c>
      <c r="EH34" s="538"/>
      <c r="EI34" s="539">
        <f t="shared" si="44"/>
        <v>0</v>
      </c>
      <c r="EJ34" s="540">
        <f t="shared" si="155"/>
        <v>0</v>
      </c>
      <c r="EK34" s="538"/>
      <c r="EL34" s="539">
        <f t="shared" si="45"/>
        <v>0</v>
      </c>
      <c r="EM34" s="540">
        <f t="shared" si="156"/>
        <v>0</v>
      </c>
      <c r="EN34" s="538"/>
      <c r="EO34" s="539">
        <f t="shared" si="46"/>
        <v>0</v>
      </c>
      <c r="EP34" s="540">
        <f t="shared" si="157"/>
        <v>0</v>
      </c>
      <c r="EQ34" s="538"/>
      <c r="ER34" s="539">
        <f t="shared" si="47"/>
        <v>0</v>
      </c>
      <c r="ES34" s="540">
        <f t="shared" si="158"/>
        <v>0</v>
      </c>
      <c r="ET34" s="538"/>
      <c r="EU34" s="539">
        <f t="shared" si="48"/>
        <v>0</v>
      </c>
      <c r="EV34" s="540">
        <f t="shared" si="159"/>
        <v>0</v>
      </c>
      <c r="EW34" s="538"/>
      <c r="EX34" s="539">
        <f t="shared" si="49"/>
        <v>0</v>
      </c>
      <c r="EY34" s="540">
        <f t="shared" si="160"/>
        <v>0</v>
      </c>
      <c r="EZ34" s="538"/>
      <c r="FA34" s="539">
        <f t="shared" si="50"/>
        <v>0</v>
      </c>
      <c r="FB34" s="540">
        <f t="shared" si="161"/>
        <v>0</v>
      </c>
      <c r="FC34" s="538"/>
      <c r="FD34" s="539">
        <f t="shared" si="51"/>
        <v>0</v>
      </c>
      <c r="FE34" s="540">
        <f t="shared" si="162"/>
        <v>0</v>
      </c>
      <c r="FF34" s="538"/>
      <c r="FG34" s="539">
        <f t="shared" si="52"/>
        <v>0</v>
      </c>
      <c r="FH34" s="540">
        <f t="shared" si="163"/>
        <v>0</v>
      </c>
      <c r="FI34" s="538"/>
      <c r="FJ34" s="539">
        <f t="shared" si="53"/>
        <v>0</v>
      </c>
      <c r="FK34" s="540">
        <f t="shared" si="164"/>
        <v>0</v>
      </c>
      <c r="FL34" s="538"/>
      <c r="FM34" s="539">
        <f t="shared" si="54"/>
        <v>0</v>
      </c>
      <c r="FN34" s="540">
        <f t="shared" si="165"/>
        <v>0</v>
      </c>
      <c r="FO34" s="538"/>
      <c r="FP34" s="539">
        <f t="shared" si="55"/>
        <v>0</v>
      </c>
      <c r="FQ34" s="540">
        <f t="shared" si="166"/>
        <v>0</v>
      </c>
      <c r="FR34" s="538"/>
      <c r="FS34" s="539">
        <f t="shared" si="56"/>
        <v>0</v>
      </c>
      <c r="FT34" s="540">
        <f t="shared" si="167"/>
        <v>0</v>
      </c>
      <c r="FU34" s="538"/>
      <c r="FV34" s="539">
        <f t="shared" si="57"/>
        <v>0</v>
      </c>
      <c r="FW34" s="540">
        <f t="shared" si="168"/>
        <v>0</v>
      </c>
      <c r="FX34" s="538"/>
      <c r="FY34" s="539">
        <f t="shared" si="58"/>
        <v>0</v>
      </c>
      <c r="FZ34" s="540">
        <f t="shared" si="169"/>
        <v>0</v>
      </c>
      <c r="GA34" s="538"/>
      <c r="GB34" s="539">
        <f t="shared" si="59"/>
        <v>0</v>
      </c>
      <c r="GC34" s="540">
        <f t="shared" si="170"/>
        <v>0</v>
      </c>
      <c r="GD34" s="538"/>
      <c r="GE34" s="539">
        <f t="shared" si="60"/>
        <v>0</v>
      </c>
      <c r="GF34" s="540">
        <f t="shared" si="171"/>
        <v>0</v>
      </c>
      <c r="GG34" s="538"/>
      <c r="GH34" s="539">
        <f t="shared" si="61"/>
        <v>0</v>
      </c>
      <c r="GI34" s="540">
        <f t="shared" si="172"/>
        <v>0</v>
      </c>
      <c r="GJ34" s="538"/>
      <c r="GK34" s="539">
        <f t="shared" si="62"/>
        <v>0</v>
      </c>
      <c r="GL34" s="540">
        <f t="shared" si="173"/>
        <v>0</v>
      </c>
      <c r="GM34" s="538"/>
      <c r="GN34" s="539">
        <f t="shared" si="63"/>
        <v>0</v>
      </c>
      <c r="GO34" s="540">
        <f t="shared" si="174"/>
        <v>0</v>
      </c>
      <c r="GP34" s="538"/>
      <c r="GQ34" s="539">
        <f t="shared" si="64"/>
        <v>0</v>
      </c>
      <c r="GR34" s="540">
        <f t="shared" si="175"/>
        <v>0</v>
      </c>
      <c r="GS34" s="538"/>
      <c r="GT34" s="539">
        <f t="shared" si="65"/>
        <v>0</v>
      </c>
      <c r="GU34" s="540">
        <f t="shared" si="176"/>
        <v>0</v>
      </c>
      <c r="GV34" s="538"/>
      <c r="GW34" s="539">
        <f t="shared" si="66"/>
        <v>0</v>
      </c>
      <c r="GX34" s="540">
        <f t="shared" si="177"/>
        <v>0</v>
      </c>
      <c r="GY34" s="538"/>
      <c r="GZ34" s="539">
        <f t="shared" si="67"/>
        <v>0</v>
      </c>
      <c r="HA34" s="540">
        <f t="shared" si="178"/>
        <v>0</v>
      </c>
      <c r="HB34" s="538"/>
      <c r="HC34" s="539">
        <f t="shared" si="68"/>
        <v>0</v>
      </c>
      <c r="HD34" s="540">
        <f t="shared" si="179"/>
        <v>0</v>
      </c>
      <c r="HE34" s="538"/>
      <c r="HF34" s="539">
        <f t="shared" si="69"/>
        <v>0</v>
      </c>
      <c r="HG34" s="540">
        <f t="shared" si="180"/>
        <v>0</v>
      </c>
      <c r="HH34" s="538"/>
      <c r="HI34" s="539">
        <f t="shared" si="70"/>
        <v>0</v>
      </c>
      <c r="HJ34" s="540">
        <f t="shared" si="181"/>
        <v>0</v>
      </c>
      <c r="HK34" s="538"/>
      <c r="HL34" s="539">
        <f t="shared" si="71"/>
        <v>0</v>
      </c>
      <c r="HM34" s="540">
        <f t="shared" si="182"/>
        <v>0</v>
      </c>
      <c r="HN34" s="538"/>
      <c r="HO34" s="539">
        <f t="shared" si="72"/>
        <v>0</v>
      </c>
      <c r="HP34" s="540">
        <f t="shared" si="183"/>
        <v>0</v>
      </c>
      <c r="HQ34" s="538"/>
      <c r="HR34" s="539">
        <f t="shared" si="73"/>
        <v>0</v>
      </c>
      <c r="HS34" s="540">
        <f t="shared" si="184"/>
        <v>0</v>
      </c>
      <c r="HT34" s="538"/>
      <c r="HU34" s="539">
        <f t="shared" si="74"/>
        <v>0</v>
      </c>
      <c r="HV34" s="540">
        <f t="shared" si="185"/>
        <v>0</v>
      </c>
      <c r="HW34" s="538"/>
      <c r="HX34" s="539">
        <f t="shared" si="75"/>
        <v>0</v>
      </c>
      <c r="HY34" s="540">
        <f t="shared" si="186"/>
        <v>0</v>
      </c>
      <c r="HZ34" s="538"/>
      <c r="IA34" s="539">
        <f t="shared" si="76"/>
        <v>0</v>
      </c>
      <c r="IB34" s="540">
        <f t="shared" si="187"/>
        <v>0</v>
      </c>
      <c r="IC34" s="538"/>
      <c r="ID34" s="539">
        <f t="shared" si="77"/>
        <v>0</v>
      </c>
      <c r="IE34" s="540">
        <f t="shared" si="188"/>
        <v>0</v>
      </c>
      <c r="IF34" s="538"/>
      <c r="IG34" s="539">
        <f t="shared" si="78"/>
        <v>0</v>
      </c>
      <c r="IH34" s="540">
        <f t="shared" si="189"/>
        <v>0</v>
      </c>
      <c r="II34" s="538"/>
      <c r="IJ34" s="539">
        <f t="shared" si="79"/>
        <v>0</v>
      </c>
      <c r="IK34" s="540">
        <f t="shared" si="190"/>
        <v>0</v>
      </c>
      <c r="IL34" s="538"/>
      <c r="IM34" s="539">
        <f t="shared" si="80"/>
        <v>0</v>
      </c>
      <c r="IN34" s="540">
        <f t="shared" si="191"/>
        <v>0</v>
      </c>
      <c r="IO34" s="538"/>
      <c r="IP34" s="539">
        <f t="shared" si="81"/>
        <v>0</v>
      </c>
      <c r="IQ34" s="540">
        <f t="shared" si="192"/>
        <v>0</v>
      </c>
      <c r="IR34" s="538"/>
      <c r="IS34" s="539">
        <f t="shared" si="82"/>
        <v>0</v>
      </c>
      <c r="IT34" s="540">
        <f t="shared" si="193"/>
        <v>0</v>
      </c>
      <c r="IU34" s="538"/>
      <c r="IV34" s="539">
        <f t="shared" si="83"/>
        <v>0</v>
      </c>
      <c r="IW34" s="540">
        <f t="shared" si="194"/>
        <v>0</v>
      </c>
      <c r="IX34" s="538"/>
      <c r="IY34" s="539">
        <f t="shared" si="84"/>
        <v>0</v>
      </c>
      <c r="IZ34" s="540">
        <f t="shared" si="195"/>
        <v>0</v>
      </c>
      <c r="JA34" s="538"/>
      <c r="JB34" s="539">
        <f t="shared" si="85"/>
        <v>0</v>
      </c>
      <c r="JC34" s="540">
        <f t="shared" si="196"/>
        <v>0</v>
      </c>
      <c r="JD34" s="538"/>
      <c r="JE34" s="539">
        <f t="shared" si="86"/>
        <v>0</v>
      </c>
      <c r="JF34" s="540">
        <f t="shared" si="197"/>
        <v>0</v>
      </c>
      <c r="JG34" s="538"/>
      <c r="JH34" s="539">
        <f t="shared" si="87"/>
        <v>0</v>
      </c>
      <c r="JI34" s="540">
        <f t="shared" si="198"/>
        <v>0</v>
      </c>
      <c r="JJ34" s="538"/>
      <c r="JK34" s="540" t="str">
        <f t="shared" si="88"/>
        <v>0</v>
      </c>
      <c r="JL34" s="540" t="str">
        <f t="shared" si="89"/>
        <v>0</v>
      </c>
      <c r="JM34" s="538"/>
      <c r="JN34" s="540" t="str">
        <f t="shared" si="90"/>
        <v>0</v>
      </c>
      <c r="JO34" s="540" t="str">
        <f t="shared" si="91"/>
        <v>0</v>
      </c>
      <c r="JP34" s="538"/>
      <c r="JQ34" s="540" t="str">
        <f t="shared" si="92"/>
        <v>0</v>
      </c>
      <c r="JR34" s="540" t="str">
        <f t="shared" si="93"/>
        <v>0</v>
      </c>
      <c r="JS34" s="538"/>
      <c r="JT34" s="540" t="str">
        <f t="shared" si="94"/>
        <v>0</v>
      </c>
      <c r="JU34" s="540" t="str">
        <f t="shared" si="95"/>
        <v>0</v>
      </c>
      <c r="JV34" s="538"/>
      <c r="JW34" s="540" t="str">
        <f t="shared" si="96"/>
        <v>0</v>
      </c>
      <c r="JX34" s="540" t="str">
        <f t="shared" si="97"/>
        <v>0</v>
      </c>
      <c r="JY34" s="538"/>
      <c r="JZ34" s="540" t="str">
        <f t="shared" si="98"/>
        <v>0</v>
      </c>
      <c r="KA34" s="540" t="str">
        <f t="shared" si="99"/>
        <v>0</v>
      </c>
      <c r="KB34" s="538"/>
      <c r="KC34" s="540" t="str">
        <f t="shared" si="100"/>
        <v>0</v>
      </c>
      <c r="KD34" s="540" t="str">
        <f t="shared" si="101"/>
        <v>0</v>
      </c>
      <c r="KE34" s="538"/>
      <c r="KF34" s="540" t="str">
        <f t="shared" si="102"/>
        <v>0</v>
      </c>
      <c r="KG34" s="540" t="str">
        <f t="shared" si="103"/>
        <v>0</v>
      </c>
      <c r="KH34" s="538"/>
      <c r="KI34" s="540" t="str">
        <f t="shared" si="104"/>
        <v>0</v>
      </c>
      <c r="KJ34" s="540" t="str">
        <f t="shared" si="105"/>
        <v>0</v>
      </c>
      <c r="KK34" s="538"/>
      <c r="KL34" s="540" t="str">
        <f t="shared" si="106"/>
        <v>0</v>
      </c>
      <c r="KM34" s="540" t="str">
        <f t="shared" si="107"/>
        <v>0</v>
      </c>
      <c r="KN34" s="538"/>
      <c r="KO34" s="540" t="str">
        <f t="shared" si="108"/>
        <v>0</v>
      </c>
      <c r="KP34" s="540" t="str">
        <f t="shared" si="109"/>
        <v>0</v>
      </c>
      <c r="KQ34" s="538"/>
      <c r="KR34" s="540" t="str">
        <f t="shared" si="110"/>
        <v>0</v>
      </c>
      <c r="KS34" s="540" t="str">
        <f t="shared" si="111"/>
        <v>0</v>
      </c>
      <c r="KT34" s="540">
        <f t="shared" si="201"/>
        <v>0</v>
      </c>
      <c r="KU34" s="540">
        <f t="shared" si="202"/>
        <v>0</v>
      </c>
      <c r="KV34" s="274">
        <f t="shared" si="199"/>
        <v>583.15798852669013</v>
      </c>
    </row>
    <row r="35" spans="1:308" ht="15" customHeight="1">
      <c r="A35" s="276">
        <f t="shared" si="200"/>
        <v>45896</v>
      </c>
      <c r="B35" s="277" t="str">
        <f>+Report1!B35</f>
        <v>Sanitary Napkin</v>
      </c>
      <c r="C35" s="417" t="str">
        <f>+Report1!C35</f>
        <v>15</v>
      </c>
      <c r="D35" s="278">
        <f>+Report1!P35</f>
        <v>59.61699999999999</v>
      </c>
      <c r="E35" s="279">
        <f>+Report1!R35</f>
        <v>56.872999999999998</v>
      </c>
      <c r="F35" s="538"/>
      <c r="G35" s="539">
        <f t="shared" si="0"/>
        <v>0</v>
      </c>
      <c r="H35" s="540">
        <f t="shared" si="112"/>
        <v>0</v>
      </c>
      <c r="I35" s="538">
        <v>511.62790697674427</v>
      </c>
      <c r="J35" s="539">
        <f t="shared" si="1"/>
        <v>8.9959718491506386</v>
      </c>
      <c r="K35" s="540">
        <f t="shared" si="113"/>
        <v>0</v>
      </c>
      <c r="L35" s="538"/>
      <c r="M35" s="539">
        <f t="shared" si="2"/>
        <v>0</v>
      </c>
      <c r="N35" s="540">
        <f t="shared" si="114"/>
        <v>0</v>
      </c>
      <c r="O35" s="538">
        <v>6</v>
      </c>
      <c r="P35" s="539">
        <f t="shared" si="3"/>
        <v>0.10549821532185748</v>
      </c>
      <c r="Q35" s="540">
        <f t="shared" si="115"/>
        <v>0</v>
      </c>
      <c r="R35" s="538"/>
      <c r="S35" s="539">
        <f t="shared" si="4"/>
        <v>0</v>
      </c>
      <c r="T35" s="540">
        <f t="shared" si="116"/>
        <v>0</v>
      </c>
      <c r="U35" s="538">
        <v>2.5625</v>
      </c>
      <c r="V35" s="539">
        <f t="shared" si="5"/>
        <v>4.5056529460376631E-2</v>
      </c>
      <c r="W35" s="540">
        <f t="shared" si="117"/>
        <v>0</v>
      </c>
      <c r="X35" s="538"/>
      <c r="Y35" s="539">
        <f t="shared" si="6"/>
        <v>0</v>
      </c>
      <c r="Z35" s="540">
        <f t="shared" si="118"/>
        <v>0</v>
      </c>
      <c r="AA35" s="538"/>
      <c r="AB35" s="539">
        <f t="shared" si="7"/>
        <v>0</v>
      </c>
      <c r="AC35" s="540">
        <f t="shared" si="119"/>
        <v>0</v>
      </c>
      <c r="AD35" s="538"/>
      <c r="AE35" s="539">
        <f t="shared" si="8"/>
        <v>0</v>
      </c>
      <c r="AF35" s="540">
        <f t="shared" si="120"/>
        <v>0</v>
      </c>
      <c r="AG35" s="538"/>
      <c r="AH35" s="539">
        <f t="shared" si="9"/>
        <v>0</v>
      </c>
      <c r="AI35" s="540">
        <f t="shared" si="121"/>
        <v>0</v>
      </c>
      <c r="AJ35" s="538">
        <v>0</v>
      </c>
      <c r="AK35" s="539">
        <f t="shared" si="10"/>
        <v>0</v>
      </c>
      <c r="AL35" s="540">
        <f t="shared" si="122"/>
        <v>0</v>
      </c>
      <c r="AM35" s="538">
        <v>23.653846153846189</v>
      </c>
      <c r="AN35" s="539">
        <f t="shared" si="11"/>
        <v>0.41590642578809262</v>
      </c>
      <c r="AO35" s="540">
        <f t="shared" si="123"/>
        <v>0</v>
      </c>
      <c r="AP35" s="538">
        <v>0</v>
      </c>
      <c r="AQ35" s="539">
        <f t="shared" si="12"/>
        <v>0</v>
      </c>
      <c r="AR35" s="540">
        <f t="shared" si="124"/>
        <v>0</v>
      </c>
      <c r="AS35" s="538"/>
      <c r="AT35" s="539">
        <f t="shared" si="13"/>
        <v>0</v>
      </c>
      <c r="AU35" s="540">
        <f t="shared" si="125"/>
        <v>0</v>
      </c>
      <c r="AV35" s="538">
        <v>2.7750000000000057</v>
      </c>
      <c r="AW35" s="539">
        <f t="shared" si="14"/>
        <v>4.8792924586359185E-2</v>
      </c>
      <c r="AX35" s="540">
        <f t="shared" si="126"/>
        <v>0</v>
      </c>
      <c r="AY35" s="538">
        <v>58.333333333333314</v>
      </c>
      <c r="AZ35" s="539">
        <f t="shared" si="15"/>
        <v>1.0256770934069475</v>
      </c>
      <c r="BA35" s="540">
        <f t="shared" si="127"/>
        <v>0</v>
      </c>
      <c r="BB35" s="538">
        <v>0</v>
      </c>
      <c r="BC35" s="539">
        <f t="shared" si="16"/>
        <v>0</v>
      </c>
      <c r="BD35" s="540">
        <f t="shared" si="128"/>
        <v>0</v>
      </c>
      <c r="BE35" s="538"/>
      <c r="BF35" s="539">
        <f t="shared" si="17"/>
        <v>0</v>
      </c>
      <c r="BG35" s="540">
        <f t="shared" si="129"/>
        <v>0</v>
      </c>
      <c r="BH35" s="538"/>
      <c r="BI35" s="539">
        <f t="shared" si="18"/>
        <v>0</v>
      </c>
      <c r="BJ35" s="540">
        <f t="shared" si="130"/>
        <v>0</v>
      </c>
      <c r="BK35" s="538"/>
      <c r="BL35" s="539">
        <f t="shared" si="19"/>
        <v>0</v>
      </c>
      <c r="BM35" s="540">
        <f t="shared" si="131"/>
        <v>0</v>
      </c>
      <c r="BN35" s="538">
        <v>5.0617283950617313</v>
      </c>
      <c r="BO35" s="539">
        <f t="shared" si="20"/>
        <v>8.9000552020497101E-2</v>
      </c>
      <c r="BP35" s="540">
        <f t="shared" si="132"/>
        <v>0</v>
      </c>
      <c r="BQ35" s="538">
        <v>0</v>
      </c>
      <c r="BR35" s="539">
        <f t="shared" si="21"/>
        <v>0</v>
      </c>
      <c r="BS35" s="540">
        <f t="shared" si="133"/>
        <v>0</v>
      </c>
      <c r="BT35" s="538"/>
      <c r="BU35" s="539">
        <f t="shared" si="22"/>
        <v>0</v>
      </c>
      <c r="BV35" s="540">
        <f t="shared" si="134"/>
        <v>0</v>
      </c>
      <c r="BW35" s="538">
        <v>0</v>
      </c>
      <c r="BX35" s="539">
        <f t="shared" si="23"/>
        <v>0</v>
      </c>
      <c r="BY35" s="540">
        <f t="shared" si="135"/>
        <v>0</v>
      </c>
      <c r="BZ35" s="538">
        <v>0</v>
      </c>
      <c r="CA35" s="539">
        <f t="shared" si="24"/>
        <v>0</v>
      </c>
      <c r="CB35" s="540">
        <f t="shared" si="136"/>
        <v>0</v>
      </c>
      <c r="CC35" s="538">
        <v>0</v>
      </c>
      <c r="CD35" s="539">
        <f t="shared" si="25"/>
        <v>0</v>
      </c>
      <c r="CE35" s="540">
        <f t="shared" si="137"/>
        <v>0</v>
      </c>
      <c r="CF35" s="538">
        <v>0.10000000000000009</v>
      </c>
      <c r="CG35" s="539">
        <f t="shared" si="26"/>
        <v>1.7583035886976261E-3</v>
      </c>
      <c r="CH35" s="540">
        <f t="shared" si="138"/>
        <v>0</v>
      </c>
      <c r="CI35" s="538">
        <v>0</v>
      </c>
      <c r="CJ35" s="539">
        <f t="shared" si="27"/>
        <v>0</v>
      </c>
      <c r="CK35" s="540">
        <f t="shared" si="139"/>
        <v>0</v>
      </c>
      <c r="CL35" s="538"/>
      <c r="CM35" s="539">
        <f t="shared" si="28"/>
        <v>0</v>
      </c>
      <c r="CN35" s="540">
        <f t="shared" si="140"/>
        <v>0</v>
      </c>
      <c r="CO35" s="538"/>
      <c r="CP35" s="539">
        <f t="shared" si="29"/>
        <v>0</v>
      </c>
      <c r="CQ35" s="540">
        <f t="shared" si="141"/>
        <v>0</v>
      </c>
      <c r="CR35" s="538"/>
      <c r="CS35" s="539">
        <f t="shared" si="30"/>
        <v>0</v>
      </c>
      <c r="CT35" s="540">
        <f t="shared" si="142"/>
        <v>0</v>
      </c>
      <c r="CU35" s="538"/>
      <c r="CV35" s="539">
        <f t="shared" si="31"/>
        <v>0</v>
      </c>
      <c r="CW35" s="540">
        <f t="shared" si="143"/>
        <v>0</v>
      </c>
      <c r="CX35" s="538"/>
      <c r="CY35" s="539">
        <f t="shared" si="32"/>
        <v>0</v>
      </c>
      <c r="CZ35" s="540">
        <f t="shared" si="144"/>
        <v>0</v>
      </c>
      <c r="DA35" s="538"/>
      <c r="DB35" s="539">
        <f t="shared" si="33"/>
        <v>0</v>
      </c>
      <c r="DC35" s="540">
        <f t="shared" si="145"/>
        <v>0</v>
      </c>
      <c r="DD35" s="538"/>
      <c r="DE35" s="539">
        <f t="shared" si="34"/>
        <v>0</v>
      </c>
      <c r="DF35" s="540">
        <f t="shared" si="146"/>
        <v>0</v>
      </c>
      <c r="DG35" s="538">
        <v>0</v>
      </c>
      <c r="DH35" s="539">
        <f t="shared" si="35"/>
        <v>0</v>
      </c>
      <c r="DI35" s="540">
        <f t="shared" si="203"/>
        <v>0</v>
      </c>
      <c r="DJ35" s="538"/>
      <c r="DK35" s="539">
        <f t="shared" si="36"/>
        <v>0</v>
      </c>
      <c r="DL35" s="540">
        <f t="shared" si="147"/>
        <v>0</v>
      </c>
      <c r="DM35" s="538"/>
      <c r="DN35" s="539">
        <f t="shared" si="37"/>
        <v>0</v>
      </c>
      <c r="DO35" s="540">
        <f t="shared" si="148"/>
        <v>0</v>
      </c>
      <c r="DP35" s="538"/>
      <c r="DQ35" s="539">
        <f t="shared" si="38"/>
        <v>0</v>
      </c>
      <c r="DR35" s="540">
        <f t="shared" si="149"/>
        <v>0</v>
      </c>
      <c r="DS35" s="538"/>
      <c r="DT35" s="539">
        <f t="shared" si="39"/>
        <v>0</v>
      </c>
      <c r="DU35" s="540">
        <f t="shared" si="150"/>
        <v>0</v>
      </c>
      <c r="DV35" s="538"/>
      <c r="DW35" s="539">
        <f t="shared" si="40"/>
        <v>0</v>
      </c>
      <c r="DX35" s="540">
        <f t="shared" si="151"/>
        <v>0</v>
      </c>
      <c r="DY35" s="538"/>
      <c r="DZ35" s="539">
        <f t="shared" si="41"/>
        <v>0</v>
      </c>
      <c r="EA35" s="540">
        <f t="shared" si="152"/>
        <v>0</v>
      </c>
      <c r="EB35" s="538">
        <v>14.534883720930168</v>
      </c>
      <c r="EC35" s="539">
        <f t="shared" si="42"/>
        <v>0.25556738207814195</v>
      </c>
      <c r="ED35" s="540">
        <f t="shared" si="153"/>
        <v>0</v>
      </c>
      <c r="EE35" s="538">
        <v>3</v>
      </c>
      <c r="EF35" s="539">
        <f t="shared" si="43"/>
        <v>5.2749107660928739E-2</v>
      </c>
      <c r="EG35" s="540">
        <f t="shared" si="154"/>
        <v>0</v>
      </c>
      <c r="EH35" s="538"/>
      <c r="EI35" s="539">
        <f t="shared" si="44"/>
        <v>0</v>
      </c>
      <c r="EJ35" s="540">
        <f t="shared" si="155"/>
        <v>0</v>
      </c>
      <c r="EK35" s="538"/>
      <c r="EL35" s="539">
        <f t="shared" si="45"/>
        <v>0</v>
      </c>
      <c r="EM35" s="540">
        <f t="shared" si="156"/>
        <v>0</v>
      </c>
      <c r="EN35" s="538"/>
      <c r="EO35" s="539">
        <f t="shared" si="46"/>
        <v>0</v>
      </c>
      <c r="EP35" s="540">
        <f t="shared" si="157"/>
        <v>0</v>
      </c>
      <c r="EQ35" s="538"/>
      <c r="ER35" s="539">
        <f t="shared" si="47"/>
        <v>0</v>
      </c>
      <c r="ES35" s="540">
        <f t="shared" si="158"/>
        <v>0</v>
      </c>
      <c r="ET35" s="538"/>
      <c r="EU35" s="539">
        <f t="shared" si="48"/>
        <v>0</v>
      </c>
      <c r="EV35" s="540">
        <f t="shared" si="159"/>
        <v>0</v>
      </c>
      <c r="EW35" s="538"/>
      <c r="EX35" s="539">
        <f t="shared" si="49"/>
        <v>0</v>
      </c>
      <c r="EY35" s="540">
        <f t="shared" si="160"/>
        <v>0</v>
      </c>
      <c r="EZ35" s="538"/>
      <c r="FA35" s="539">
        <f t="shared" si="50"/>
        <v>0</v>
      </c>
      <c r="FB35" s="540">
        <f t="shared" si="161"/>
        <v>0</v>
      </c>
      <c r="FC35" s="538"/>
      <c r="FD35" s="539">
        <f t="shared" si="51"/>
        <v>0</v>
      </c>
      <c r="FE35" s="540">
        <f t="shared" si="162"/>
        <v>0</v>
      </c>
      <c r="FF35" s="538"/>
      <c r="FG35" s="539">
        <f t="shared" si="52"/>
        <v>0</v>
      </c>
      <c r="FH35" s="540">
        <f t="shared" si="163"/>
        <v>0</v>
      </c>
      <c r="FI35" s="538"/>
      <c r="FJ35" s="539">
        <f t="shared" si="53"/>
        <v>0</v>
      </c>
      <c r="FK35" s="540">
        <f t="shared" si="164"/>
        <v>0</v>
      </c>
      <c r="FL35" s="538"/>
      <c r="FM35" s="539">
        <f t="shared" si="54"/>
        <v>0</v>
      </c>
      <c r="FN35" s="540">
        <f t="shared" si="165"/>
        <v>0</v>
      </c>
      <c r="FO35" s="538"/>
      <c r="FP35" s="539">
        <f t="shared" si="55"/>
        <v>0</v>
      </c>
      <c r="FQ35" s="540">
        <f t="shared" si="166"/>
        <v>0</v>
      </c>
      <c r="FR35" s="538"/>
      <c r="FS35" s="539">
        <f t="shared" si="56"/>
        <v>0</v>
      </c>
      <c r="FT35" s="540">
        <f t="shared" si="167"/>
        <v>0</v>
      </c>
      <c r="FU35" s="538"/>
      <c r="FV35" s="539">
        <f t="shared" si="57"/>
        <v>0</v>
      </c>
      <c r="FW35" s="540">
        <f t="shared" si="168"/>
        <v>0</v>
      </c>
      <c r="FX35" s="538"/>
      <c r="FY35" s="539">
        <f t="shared" si="58"/>
        <v>0</v>
      </c>
      <c r="FZ35" s="540">
        <f t="shared" si="169"/>
        <v>0</v>
      </c>
      <c r="GA35" s="538"/>
      <c r="GB35" s="539">
        <f t="shared" si="59"/>
        <v>0</v>
      </c>
      <c r="GC35" s="540">
        <f t="shared" si="170"/>
        <v>0</v>
      </c>
      <c r="GD35" s="538"/>
      <c r="GE35" s="539">
        <f t="shared" si="60"/>
        <v>0</v>
      </c>
      <c r="GF35" s="540">
        <f t="shared" si="171"/>
        <v>0</v>
      </c>
      <c r="GG35" s="538"/>
      <c r="GH35" s="539">
        <f t="shared" si="61"/>
        <v>0</v>
      </c>
      <c r="GI35" s="540">
        <f t="shared" si="172"/>
        <v>0</v>
      </c>
      <c r="GJ35" s="538"/>
      <c r="GK35" s="539">
        <f t="shared" si="62"/>
        <v>0</v>
      </c>
      <c r="GL35" s="540">
        <f t="shared" si="173"/>
        <v>0</v>
      </c>
      <c r="GM35" s="538"/>
      <c r="GN35" s="539">
        <f t="shared" si="63"/>
        <v>0</v>
      </c>
      <c r="GO35" s="540">
        <f t="shared" si="174"/>
        <v>0</v>
      </c>
      <c r="GP35" s="538"/>
      <c r="GQ35" s="539">
        <f t="shared" si="64"/>
        <v>0</v>
      </c>
      <c r="GR35" s="540">
        <f t="shared" si="175"/>
        <v>0</v>
      </c>
      <c r="GS35" s="538"/>
      <c r="GT35" s="539">
        <f t="shared" si="65"/>
        <v>0</v>
      </c>
      <c r="GU35" s="540">
        <f t="shared" si="176"/>
        <v>0</v>
      </c>
      <c r="GV35" s="538"/>
      <c r="GW35" s="539">
        <f t="shared" si="66"/>
        <v>0</v>
      </c>
      <c r="GX35" s="540">
        <f t="shared" si="177"/>
        <v>0</v>
      </c>
      <c r="GY35" s="538"/>
      <c r="GZ35" s="539">
        <f t="shared" si="67"/>
        <v>0</v>
      </c>
      <c r="HA35" s="540">
        <f t="shared" si="178"/>
        <v>0</v>
      </c>
      <c r="HB35" s="538"/>
      <c r="HC35" s="539">
        <f t="shared" si="68"/>
        <v>0</v>
      </c>
      <c r="HD35" s="540">
        <f t="shared" si="179"/>
        <v>0</v>
      </c>
      <c r="HE35" s="538"/>
      <c r="HF35" s="539">
        <f t="shared" si="69"/>
        <v>0</v>
      </c>
      <c r="HG35" s="540">
        <f t="shared" si="180"/>
        <v>0</v>
      </c>
      <c r="HH35" s="538"/>
      <c r="HI35" s="539">
        <f t="shared" si="70"/>
        <v>0</v>
      </c>
      <c r="HJ35" s="540">
        <f t="shared" si="181"/>
        <v>0</v>
      </c>
      <c r="HK35" s="538"/>
      <c r="HL35" s="539">
        <f t="shared" si="71"/>
        <v>0</v>
      </c>
      <c r="HM35" s="540">
        <f t="shared" si="182"/>
        <v>0</v>
      </c>
      <c r="HN35" s="538"/>
      <c r="HO35" s="539">
        <f t="shared" si="72"/>
        <v>0</v>
      </c>
      <c r="HP35" s="540">
        <f t="shared" si="183"/>
        <v>0</v>
      </c>
      <c r="HQ35" s="538"/>
      <c r="HR35" s="539">
        <f t="shared" si="73"/>
        <v>0</v>
      </c>
      <c r="HS35" s="540">
        <f t="shared" si="184"/>
        <v>0</v>
      </c>
      <c r="HT35" s="538"/>
      <c r="HU35" s="539">
        <f t="shared" si="74"/>
        <v>0</v>
      </c>
      <c r="HV35" s="540">
        <f t="shared" si="185"/>
        <v>0</v>
      </c>
      <c r="HW35" s="538"/>
      <c r="HX35" s="539">
        <f t="shared" si="75"/>
        <v>0</v>
      </c>
      <c r="HY35" s="540">
        <f t="shared" si="186"/>
        <v>0</v>
      </c>
      <c r="HZ35" s="538"/>
      <c r="IA35" s="539">
        <f t="shared" si="76"/>
        <v>0</v>
      </c>
      <c r="IB35" s="540">
        <f t="shared" si="187"/>
        <v>0</v>
      </c>
      <c r="IC35" s="538"/>
      <c r="ID35" s="539">
        <f t="shared" si="77"/>
        <v>0</v>
      </c>
      <c r="IE35" s="540">
        <f t="shared" si="188"/>
        <v>0</v>
      </c>
      <c r="IF35" s="538"/>
      <c r="IG35" s="539">
        <f t="shared" si="78"/>
        <v>0</v>
      </c>
      <c r="IH35" s="540">
        <f t="shared" si="189"/>
        <v>0</v>
      </c>
      <c r="II35" s="538"/>
      <c r="IJ35" s="539">
        <f t="shared" si="79"/>
        <v>0</v>
      </c>
      <c r="IK35" s="540">
        <f t="shared" si="190"/>
        <v>0</v>
      </c>
      <c r="IL35" s="538"/>
      <c r="IM35" s="539">
        <f t="shared" si="80"/>
        <v>0</v>
      </c>
      <c r="IN35" s="540">
        <f t="shared" si="191"/>
        <v>0</v>
      </c>
      <c r="IO35" s="538"/>
      <c r="IP35" s="539">
        <f t="shared" si="81"/>
        <v>0</v>
      </c>
      <c r="IQ35" s="540">
        <f t="shared" si="192"/>
        <v>0</v>
      </c>
      <c r="IR35" s="538"/>
      <c r="IS35" s="539">
        <f t="shared" si="82"/>
        <v>0</v>
      </c>
      <c r="IT35" s="540">
        <f t="shared" si="193"/>
        <v>0</v>
      </c>
      <c r="IU35" s="538"/>
      <c r="IV35" s="539">
        <f t="shared" si="83"/>
        <v>0</v>
      </c>
      <c r="IW35" s="540">
        <f t="shared" si="194"/>
        <v>0</v>
      </c>
      <c r="IX35" s="538"/>
      <c r="IY35" s="539">
        <f t="shared" si="84"/>
        <v>0</v>
      </c>
      <c r="IZ35" s="540">
        <f t="shared" si="195"/>
        <v>0</v>
      </c>
      <c r="JA35" s="538"/>
      <c r="JB35" s="539">
        <f t="shared" si="85"/>
        <v>0</v>
      </c>
      <c r="JC35" s="540">
        <f t="shared" si="196"/>
        <v>0</v>
      </c>
      <c r="JD35" s="538"/>
      <c r="JE35" s="539">
        <f t="shared" si="86"/>
        <v>0</v>
      </c>
      <c r="JF35" s="540">
        <f t="shared" si="197"/>
        <v>0</v>
      </c>
      <c r="JG35" s="538"/>
      <c r="JH35" s="539">
        <f t="shared" si="87"/>
        <v>0</v>
      </c>
      <c r="JI35" s="540">
        <f t="shared" si="198"/>
        <v>0</v>
      </c>
      <c r="JJ35" s="538"/>
      <c r="JK35" s="540" t="str">
        <f t="shared" si="88"/>
        <v>0</v>
      </c>
      <c r="JL35" s="540" t="str">
        <f t="shared" si="89"/>
        <v>0</v>
      </c>
      <c r="JM35" s="538"/>
      <c r="JN35" s="540" t="str">
        <f t="shared" si="90"/>
        <v>0</v>
      </c>
      <c r="JO35" s="540" t="str">
        <f t="shared" si="91"/>
        <v>0</v>
      </c>
      <c r="JP35" s="538"/>
      <c r="JQ35" s="540" t="str">
        <f t="shared" si="92"/>
        <v>0</v>
      </c>
      <c r="JR35" s="540" t="str">
        <f t="shared" si="93"/>
        <v>0</v>
      </c>
      <c r="JS35" s="538"/>
      <c r="JT35" s="540" t="str">
        <f t="shared" si="94"/>
        <v>0</v>
      </c>
      <c r="JU35" s="540" t="str">
        <f t="shared" si="95"/>
        <v>0</v>
      </c>
      <c r="JV35" s="538"/>
      <c r="JW35" s="540" t="str">
        <f t="shared" si="96"/>
        <v>0</v>
      </c>
      <c r="JX35" s="540" t="str">
        <f t="shared" si="97"/>
        <v>0</v>
      </c>
      <c r="JY35" s="538"/>
      <c r="JZ35" s="540" t="str">
        <f t="shared" si="98"/>
        <v>0</v>
      </c>
      <c r="KA35" s="540" t="str">
        <f t="shared" si="99"/>
        <v>0</v>
      </c>
      <c r="KB35" s="538"/>
      <c r="KC35" s="540" t="str">
        <f t="shared" si="100"/>
        <v>0</v>
      </c>
      <c r="KD35" s="540" t="str">
        <f t="shared" si="101"/>
        <v>0</v>
      </c>
      <c r="KE35" s="538"/>
      <c r="KF35" s="540" t="str">
        <f t="shared" si="102"/>
        <v>0</v>
      </c>
      <c r="KG35" s="540" t="str">
        <f t="shared" si="103"/>
        <v>0</v>
      </c>
      <c r="KH35" s="538"/>
      <c r="KI35" s="540" t="str">
        <f t="shared" si="104"/>
        <v>0</v>
      </c>
      <c r="KJ35" s="540" t="str">
        <f t="shared" si="105"/>
        <v>0</v>
      </c>
      <c r="KK35" s="538"/>
      <c r="KL35" s="540" t="str">
        <f t="shared" si="106"/>
        <v>0</v>
      </c>
      <c r="KM35" s="540" t="str">
        <f t="shared" si="107"/>
        <v>0</v>
      </c>
      <c r="KN35" s="538"/>
      <c r="KO35" s="540" t="str">
        <f t="shared" si="108"/>
        <v>0</v>
      </c>
      <c r="KP35" s="540" t="str">
        <f t="shared" si="109"/>
        <v>0</v>
      </c>
      <c r="KQ35" s="538"/>
      <c r="KR35" s="540" t="str">
        <f t="shared" si="110"/>
        <v>0</v>
      </c>
      <c r="KS35" s="540" t="str">
        <f t="shared" si="111"/>
        <v>0</v>
      </c>
      <c r="KT35" s="540">
        <f t="shared" si="201"/>
        <v>0</v>
      </c>
      <c r="KU35" s="540">
        <f t="shared" si="202"/>
        <v>0</v>
      </c>
      <c r="KV35" s="274">
        <f t="shared" si="199"/>
        <v>627.64919857991572</v>
      </c>
    </row>
    <row r="36" spans="1:308" ht="15" customHeight="1">
      <c r="A36" s="276">
        <f t="shared" si="200"/>
        <v>45897</v>
      </c>
      <c r="B36" s="277" t="str">
        <f>+Report1!B36</f>
        <v>Sanitary Napkin/Facial</v>
      </c>
      <c r="C36" s="417" t="str">
        <f>+Report1!C36</f>
        <v>15/16/12,5</v>
      </c>
      <c r="D36" s="278">
        <f>+Report1!P36</f>
        <v>62.823999999999998</v>
      </c>
      <c r="E36" s="279">
        <f>+Report1!R36</f>
        <v>57.351999999999997</v>
      </c>
      <c r="F36" s="538"/>
      <c r="G36" s="539">
        <f t="shared" si="0"/>
        <v>0</v>
      </c>
      <c r="H36" s="540">
        <f t="shared" si="112"/>
        <v>0</v>
      </c>
      <c r="I36" s="538">
        <v>325.58139534883708</v>
      </c>
      <c r="J36" s="539">
        <f t="shared" si="1"/>
        <v>5.6768969756736833</v>
      </c>
      <c r="K36" s="540">
        <f t="shared" si="113"/>
        <v>0</v>
      </c>
      <c r="L36" s="538"/>
      <c r="M36" s="539">
        <f t="shared" si="2"/>
        <v>0</v>
      </c>
      <c r="N36" s="540">
        <f t="shared" si="114"/>
        <v>0</v>
      </c>
      <c r="O36" s="538">
        <v>6</v>
      </c>
      <c r="P36" s="539">
        <f t="shared" si="3"/>
        <v>0.10461710140884364</v>
      </c>
      <c r="Q36" s="540">
        <f t="shared" si="115"/>
        <v>0</v>
      </c>
      <c r="R36" s="538"/>
      <c r="S36" s="539">
        <f t="shared" si="4"/>
        <v>0</v>
      </c>
      <c r="T36" s="540">
        <f t="shared" si="116"/>
        <v>0</v>
      </c>
      <c r="U36" s="538">
        <v>5.1249999999999716</v>
      </c>
      <c r="V36" s="539">
        <f t="shared" si="5"/>
        <v>8.9360440786720119E-2</v>
      </c>
      <c r="W36" s="540">
        <f t="shared" si="117"/>
        <v>0</v>
      </c>
      <c r="X36" s="538"/>
      <c r="Y36" s="539">
        <f t="shared" si="6"/>
        <v>0</v>
      </c>
      <c r="Z36" s="540">
        <f t="shared" si="118"/>
        <v>0</v>
      </c>
      <c r="AA36" s="538"/>
      <c r="AB36" s="539">
        <f t="shared" si="7"/>
        <v>0</v>
      </c>
      <c r="AC36" s="540">
        <f t="shared" si="119"/>
        <v>0</v>
      </c>
      <c r="AD36" s="538"/>
      <c r="AE36" s="539">
        <f t="shared" si="8"/>
        <v>0</v>
      </c>
      <c r="AF36" s="540">
        <f t="shared" si="120"/>
        <v>0</v>
      </c>
      <c r="AG36" s="538"/>
      <c r="AH36" s="539">
        <f t="shared" si="9"/>
        <v>0</v>
      </c>
      <c r="AI36" s="540">
        <f t="shared" si="121"/>
        <v>0</v>
      </c>
      <c r="AJ36" s="538">
        <v>0</v>
      </c>
      <c r="AK36" s="539">
        <f t="shared" si="10"/>
        <v>0</v>
      </c>
      <c r="AL36" s="540">
        <f t="shared" si="122"/>
        <v>0</v>
      </c>
      <c r="AM36" s="538">
        <v>44.679487179487182</v>
      </c>
      <c r="AN36" s="539">
        <f t="shared" si="11"/>
        <v>0.77903974019192335</v>
      </c>
      <c r="AO36" s="540">
        <f t="shared" si="123"/>
        <v>0</v>
      </c>
      <c r="AP36" s="538">
        <v>31.329907594936742</v>
      </c>
      <c r="AQ36" s="539">
        <f t="shared" si="12"/>
        <v>0.54627401999819958</v>
      </c>
      <c r="AR36" s="540">
        <f t="shared" si="124"/>
        <v>0</v>
      </c>
      <c r="AS36" s="538"/>
      <c r="AT36" s="539">
        <f t="shared" si="13"/>
        <v>0</v>
      </c>
      <c r="AU36" s="540">
        <f t="shared" si="125"/>
        <v>0</v>
      </c>
      <c r="AV36" s="538">
        <v>0</v>
      </c>
      <c r="AW36" s="539">
        <f t="shared" si="14"/>
        <v>0</v>
      </c>
      <c r="AX36" s="540">
        <f t="shared" si="126"/>
        <v>0</v>
      </c>
      <c r="AY36" s="538">
        <v>70.000000000000014</v>
      </c>
      <c r="AZ36" s="539">
        <f t="shared" si="15"/>
        <v>1.2205328497698427</v>
      </c>
      <c r="BA36" s="540">
        <f t="shared" si="127"/>
        <v>0</v>
      </c>
      <c r="BB36" s="538">
        <v>0</v>
      </c>
      <c r="BC36" s="539">
        <f t="shared" si="16"/>
        <v>0</v>
      </c>
      <c r="BD36" s="540">
        <f t="shared" si="128"/>
        <v>0</v>
      </c>
      <c r="BE36" s="538"/>
      <c r="BF36" s="539">
        <f t="shared" si="17"/>
        <v>0</v>
      </c>
      <c r="BG36" s="540">
        <f t="shared" si="129"/>
        <v>0</v>
      </c>
      <c r="BH36" s="538"/>
      <c r="BI36" s="539">
        <f t="shared" si="18"/>
        <v>0</v>
      </c>
      <c r="BJ36" s="540">
        <f t="shared" si="130"/>
        <v>0</v>
      </c>
      <c r="BK36" s="538"/>
      <c r="BL36" s="539">
        <f t="shared" si="19"/>
        <v>0</v>
      </c>
      <c r="BM36" s="540">
        <f t="shared" si="131"/>
        <v>0</v>
      </c>
      <c r="BN36" s="538">
        <v>7.5925925925925917</v>
      </c>
      <c r="BO36" s="539">
        <f t="shared" si="20"/>
        <v>0.13238583820254904</v>
      </c>
      <c r="BP36" s="540">
        <f t="shared" si="132"/>
        <v>0</v>
      </c>
      <c r="BQ36" s="538">
        <v>0</v>
      </c>
      <c r="BR36" s="539">
        <f t="shared" si="21"/>
        <v>0</v>
      </c>
      <c r="BS36" s="540">
        <f t="shared" si="133"/>
        <v>0</v>
      </c>
      <c r="BT36" s="538"/>
      <c r="BU36" s="539">
        <f t="shared" si="22"/>
        <v>0</v>
      </c>
      <c r="BV36" s="540">
        <f t="shared" si="134"/>
        <v>0</v>
      </c>
      <c r="BW36" s="538">
        <v>0</v>
      </c>
      <c r="BX36" s="539">
        <f t="shared" si="23"/>
        <v>0</v>
      </c>
      <c r="BY36" s="540">
        <f t="shared" si="135"/>
        <v>0</v>
      </c>
      <c r="BZ36" s="538">
        <v>0</v>
      </c>
      <c r="CA36" s="539">
        <f t="shared" si="24"/>
        <v>0</v>
      </c>
      <c r="CB36" s="540">
        <f t="shared" si="136"/>
        <v>0</v>
      </c>
      <c r="CC36" s="538">
        <v>0</v>
      </c>
      <c r="CD36" s="539">
        <f t="shared" si="25"/>
        <v>0</v>
      </c>
      <c r="CE36" s="540">
        <f t="shared" si="137"/>
        <v>0</v>
      </c>
      <c r="CF36" s="538">
        <v>9.9999999999999978E-2</v>
      </c>
      <c r="CG36" s="539">
        <f t="shared" si="26"/>
        <v>1.7436183568140602E-3</v>
      </c>
      <c r="CH36" s="540">
        <f t="shared" si="138"/>
        <v>0</v>
      </c>
      <c r="CI36" s="538">
        <v>0</v>
      </c>
      <c r="CJ36" s="539">
        <f t="shared" si="27"/>
        <v>0</v>
      </c>
      <c r="CK36" s="540">
        <f t="shared" si="139"/>
        <v>0</v>
      </c>
      <c r="CL36" s="538"/>
      <c r="CM36" s="539">
        <f t="shared" si="28"/>
        <v>0</v>
      </c>
      <c r="CN36" s="540">
        <f t="shared" si="140"/>
        <v>0</v>
      </c>
      <c r="CO36" s="538"/>
      <c r="CP36" s="539">
        <f t="shared" si="29"/>
        <v>0</v>
      </c>
      <c r="CQ36" s="540">
        <f t="shared" si="141"/>
        <v>0</v>
      </c>
      <c r="CR36" s="538"/>
      <c r="CS36" s="539">
        <f t="shared" si="30"/>
        <v>0</v>
      </c>
      <c r="CT36" s="540">
        <f t="shared" si="142"/>
        <v>0</v>
      </c>
      <c r="CU36" s="538"/>
      <c r="CV36" s="539">
        <f t="shared" si="31"/>
        <v>0</v>
      </c>
      <c r="CW36" s="540">
        <f t="shared" si="143"/>
        <v>0</v>
      </c>
      <c r="CX36" s="538"/>
      <c r="CY36" s="539">
        <f t="shared" si="32"/>
        <v>0</v>
      </c>
      <c r="CZ36" s="540">
        <f t="shared" si="144"/>
        <v>0</v>
      </c>
      <c r="DA36" s="538"/>
      <c r="DB36" s="539">
        <f t="shared" si="33"/>
        <v>0</v>
      </c>
      <c r="DC36" s="540">
        <f t="shared" si="145"/>
        <v>0</v>
      </c>
      <c r="DD36" s="538"/>
      <c r="DE36" s="539">
        <f t="shared" si="34"/>
        <v>0</v>
      </c>
      <c r="DF36" s="540">
        <f t="shared" si="146"/>
        <v>0</v>
      </c>
      <c r="DG36" s="538">
        <v>0</v>
      </c>
      <c r="DH36" s="539">
        <f t="shared" si="35"/>
        <v>0</v>
      </c>
      <c r="DI36" s="540">
        <f t="shared" si="203"/>
        <v>0</v>
      </c>
      <c r="DJ36" s="538"/>
      <c r="DK36" s="539">
        <f t="shared" si="36"/>
        <v>0</v>
      </c>
      <c r="DL36" s="540">
        <f t="shared" si="147"/>
        <v>0</v>
      </c>
      <c r="DM36" s="538"/>
      <c r="DN36" s="539">
        <f t="shared" si="37"/>
        <v>0</v>
      </c>
      <c r="DO36" s="540">
        <f t="shared" si="148"/>
        <v>0</v>
      </c>
      <c r="DP36" s="538"/>
      <c r="DQ36" s="539">
        <f t="shared" si="38"/>
        <v>0</v>
      </c>
      <c r="DR36" s="540">
        <f t="shared" si="149"/>
        <v>0</v>
      </c>
      <c r="DS36" s="538"/>
      <c r="DT36" s="539">
        <f t="shared" si="39"/>
        <v>0</v>
      </c>
      <c r="DU36" s="540">
        <f t="shared" si="150"/>
        <v>0</v>
      </c>
      <c r="DV36" s="538"/>
      <c r="DW36" s="539">
        <f t="shared" si="40"/>
        <v>0</v>
      </c>
      <c r="DX36" s="540">
        <f t="shared" si="151"/>
        <v>0</v>
      </c>
      <c r="DY36" s="538"/>
      <c r="DZ36" s="539">
        <f t="shared" si="41"/>
        <v>0</v>
      </c>
      <c r="EA36" s="540">
        <f t="shared" si="152"/>
        <v>0</v>
      </c>
      <c r="EB36" s="538">
        <v>14.534883720930281</v>
      </c>
      <c r="EC36" s="539">
        <f t="shared" si="42"/>
        <v>0.25343290069971897</v>
      </c>
      <c r="ED36" s="540">
        <f t="shared" si="153"/>
        <v>0</v>
      </c>
      <c r="EE36" s="538">
        <v>2</v>
      </c>
      <c r="EF36" s="539">
        <f t="shared" si="43"/>
        <v>3.487236713628121E-2</v>
      </c>
      <c r="EG36" s="540">
        <f t="shared" si="154"/>
        <v>0</v>
      </c>
      <c r="EH36" s="538"/>
      <c r="EI36" s="539">
        <f t="shared" si="44"/>
        <v>0</v>
      </c>
      <c r="EJ36" s="540">
        <f t="shared" si="155"/>
        <v>0</v>
      </c>
      <c r="EK36" s="538"/>
      <c r="EL36" s="539">
        <f t="shared" si="45"/>
        <v>0</v>
      </c>
      <c r="EM36" s="540">
        <f t="shared" si="156"/>
        <v>0</v>
      </c>
      <c r="EN36" s="538"/>
      <c r="EO36" s="539">
        <f t="shared" si="46"/>
        <v>0</v>
      </c>
      <c r="EP36" s="540">
        <f t="shared" si="157"/>
        <v>0</v>
      </c>
      <c r="EQ36" s="538"/>
      <c r="ER36" s="539">
        <f t="shared" si="47"/>
        <v>0</v>
      </c>
      <c r="ES36" s="540">
        <f t="shared" si="158"/>
        <v>0</v>
      </c>
      <c r="ET36" s="538"/>
      <c r="EU36" s="539">
        <f t="shared" si="48"/>
        <v>0</v>
      </c>
      <c r="EV36" s="540">
        <f t="shared" si="159"/>
        <v>0</v>
      </c>
      <c r="EW36" s="538"/>
      <c r="EX36" s="539">
        <f t="shared" si="49"/>
        <v>0</v>
      </c>
      <c r="EY36" s="540">
        <f t="shared" si="160"/>
        <v>0</v>
      </c>
      <c r="EZ36" s="538"/>
      <c r="FA36" s="539">
        <f t="shared" si="50"/>
        <v>0</v>
      </c>
      <c r="FB36" s="540">
        <f t="shared" si="161"/>
        <v>0</v>
      </c>
      <c r="FC36" s="538"/>
      <c r="FD36" s="539">
        <f t="shared" si="51"/>
        <v>0</v>
      </c>
      <c r="FE36" s="540">
        <f t="shared" si="162"/>
        <v>0</v>
      </c>
      <c r="FF36" s="538"/>
      <c r="FG36" s="539">
        <f t="shared" si="52"/>
        <v>0</v>
      </c>
      <c r="FH36" s="540">
        <f t="shared" si="163"/>
        <v>0</v>
      </c>
      <c r="FI36" s="538"/>
      <c r="FJ36" s="539">
        <f t="shared" si="53"/>
        <v>0</v>
      </c>
      <c r="FK36" s="540">
        <f t="shared" si="164"/>
        <v>0</v>
      </c>
      <c r="FL36" s="538"/>
      <c r="FM36" s="539">
        <f t="shared" si="54"/>
        <v>0</v>
      </c>
      <c r="FN36" s="540">
        <f t="shared" si="165"/>
        <v>0</v>
      </c>
      <c r="FO36" s="538"/>
      <c r="FP36" s="539">
        <f t="shared" si="55"/>
        <v>0</v>
      </c>
      <c r="FQ36" s="540">
        <f t="shared" si="166"/>
        <v>0</v>
      </c>
      <c r="FR36" s="538"/>
      <c r="FS36" s="539">
        <f t="shared" si="56"/>
        <v>0</v>
      </c>
      <c r="FT36" s="540">
        <f t="shared" si="167"/>
        <v>0</v>
      </c>
      <c r="FU36" s="538"/>
      <c r="FV36" s="539">
        <f t="shared" si="57"/>
        <v>0</v>
      </c>
      <c r="FW36" s="540">
        <f t="shared" si="168"/>
        <v>0</v>
      </c>
      <c r="FX36" s="538"/>
      <c r="FY36" s="539">
        <f t="shared" si="58"/>
        <v>0</v>
      </c>
      <c r="FZ36" s="540">
        <f t="shared" si="169"/>
        <v>0</v>
      </c>
      <c r="GA36" s="538"/>
      <c r="GB36" s="539">
        <f t="shared" si="59"/>
        <v>0</v>
      </c>
      <c r="GC36" s="540">
        <f t="shared" si="170"/>
        <v>0</v>
      </c>
      <c r="GD36" s="538"/>
      <c r="GE36" s="539">
        <f t="shared" si="60"/>
        <v>0</v>
      </c>
      <c r="GF36" s="540">
        <f t="shared" si="171"/>
        <v>0</v>
      </c>
      <c r="GG36" s="538"/>
      <c r="GH36" s="539">
        <f t="shared" si="61"/>
        <v>0</v>
      </c>
      <c r="GI36" s="540">
        <f t="shared" si="172"/>
        <v>0</v>
      </c>
      <c r="GJ36" s="538"/>
      <c r="GK36" s="539">
        <f t="shared" si="62"/>
        <v>0</v>
      </c>
      <c r="GL36" s="540">
        <f t="shared" si="173"/>
        <v>0</v>
      </c>
      <c r="GM36" s="538"/>
      <c r="GN36" s="539">
        <f t="shared" si="63"/>
        <v>0</v>
      </c>
      <c r="GO36" s="540">
        <f t="shared" si="174"/>
        <v>0</v>
      </c>
      <c r="GP36" s="538"/>
      <c r="GQ36" s="539">
        <f t="shared" si="64"/>
        <v>0</v>
      </c>
      <c r="GR36" s="540">
        <f t="shared" si="175"/>
        <v>0</v>
      </c>
      <c r="GS36" s="538"/>
      <c r="GT36" s="539">
        <f t="shared" si="65"/>
        <v>0</v>
      </c>
      <c r="GU36" s="540">
        <f t="shared" si="176"/>
        <v>0</v>
      </c>
      <c r="GV36" s="538"/>
      <c r="GW36" s="539">
        <f t="shared" si="66"/>
        <v>0</v>
      </c>
      <c r="GX36" s="540">
        <f t="shared" si="177"/>
        <v>0</v>
      </c>
      <c r="GY36" s="538"/>
      <c r="GZ36" s="539">
        <f t="shared" si="67"/>
        <v>0</v>
      </c>
      <c r="HA36" s="540">
        <f t="shared" si="178"/>
        <v>0</v>
      </c>
      <c r="HB36" s="538"/>
      <c r="HC36" s="539">
        <f t="shared" si="68"/>
        <v>0</v>
      </c>
      <c r="HD36" s="540">
        <f t="shared" si="179"/>
        <v>0</v>
      </c>
      <c r="HE36" s="538"/>
      <c r="HF36" s="539">
        <f t="shared" si="69"/>
        <v>0</v>
      </c>
      <c r="HG36" s="540">
        <f t="shared" si="180"/>
        <v>0</v>
      </c>
      <c r="HH36" s="538"/>
      <c r="HI36" s="539">
        <f t="shared" si="70"/>
        <v>0</v>
      </c>
      <c r="HJ36" s="540">
        <f t="shared" si="181"/>
        <v>0</v>
      </c>
      <c r="HK36" s="538"/>
      <c r="HL36" s="539">
        <f t="shared" si="71"/>
        <v>0</v>
      </c>
      <c r="HM36" s="540">
        <f t="shared" si="182"/>
        <v>0</v>
      </c>
      <c r="HN36" s="538"/>
      <c r="HO36" s="539">
        <f t="shared" si="72"/>
        <v>0</v>
      </c>
      <c r="HP36" s="540">
        <f t="shared" si="183"/>
        <v>0</v>
      </c>
      <c r="HQ36" s="538"/>
      <c r="HR36" s="539">
        <f t="shared" si="73"/>
        <v>0</v>
      </c>
      <c r="HS36" s="540">
        <f t="shared" si="184"/>
        <v>0</v>
      </c>
      <c r="HT36" s="538"/>
      <c r="HU36" s="539">
        <f t="shared" si="74"/>
        <v>0</v>
      </c>
      <c r="HV36" s="540">
        <f t="shared" si="185"/>
        <v>0</v>
      </c>
      <c r="HW36" s="538"/>
      <c r="HX36" s="539">
        <f t="shared" si="75"/>
        <v>0</v>
      </c>
      <c r="HY36" s="540">
        <f t="shared" si="186"/>
        <v>0</v>
      </c>
      <c r="HZ36" s="538"/>
      <c r="IA36" s="539">
        <f t="shared" si="76"/>
        <v>0</v>
      </c>
      <c r="IB36" s="540">
        <f t="shared" si="187"/>
        <v>0</v>
      </c>
      <c r="IC36" s="538"/>
      <c r="ID36" s="539">
        <f t="shared" si="77"/>
        <v>0</v>
      </c>
      <c r="IE36" s="540">
        <f t="shared" si="188"/>
        <v>0</v>
      </c>
      <c r="IF36" s="538"/>
      <c r="IG36" s="539">
        <f t="shared" si="78"/>
        <v>0</v>
      </c>
      <c r="IH36" s="540">
        <f t="shared" si="189"/>
        <v>0</v>
      </c>
      <c r="II36" s="538"/>
      <c r="IJ36" s="539">
        <f t="shared" si="79"/>
        <v>0</v>
      </c>
      <c r="IK36" s="540">
        <f t="shared" si="190"/>
        <v>0</v>
      </c>
      <c r="IL36" s="538"/>
      <c r="IM36" s="539">
        <f t="shared" si="80"/>
        <v>0</v>
      </c>
      <c r="IN36" s="540">
        <f t="shared" si="191"/>
        <v>0</v>
      </c>
      <c r="IO36" s="538"/>
      <c r="IP36" s="539">
        <f t="shared" si="81"/>
        <v>0</v>
      </c>
      <c r="IQ36" s="540">
        <f t="shared" si="192"/>
        <v>0</v>
      </c>
      <c r="IR36" s="538"/>
      <c r="IS36" s="539">
        <f t="shared" si="82"/>
        <v>0</v>
      </c>
      <c r="IT36" s="540">
        <f t="shared" si="193"/>
        <v>0</v>
      </c>
      <c r="IU36" s="538"/>
      <c r="IV36" s="539">
        <f t="shared" si="83"/>
        <v>0</v>
      </c>
      <c r="IW36" s="540">
        <f t="shared" si="194"/>
        <v>0</v>
      </c>
      <c r="IX36" s="538"/>
      <c r="IY36" s="539">
        <f t="shared" si="84"/>
        <v>0</v>
      </c>
      <c r="IZ36" s="540">
        <f t="shared" si="195"/>
        <v>0</v>
      </c>
      <c r="JA36" s="538"/>
      <c r="JB36" s="539">
        <f t="shared" si="85"/>
        <v>0</v>
      </c>
      <c r="JC36" s="540">
        <f t="shared" si="196"/>
        <v>0</v>
      </c>
      <c r="JD36" s="538"/>
      <c r="JE36" s="539">
        <f t="shared" si="86"/>
        <v>0</v>
      </c>
      <c r="JF36" s="540">
        <f t="shared" si="197"/>
        <v>0</v>
      </c>
      <c r="JG36" s="538"/>
      <c r="JH36" s="539">
        <f t="shared" si="87"/>
        <v>0</v>
      </c>
      <c r="JI36" s="540">
        <f t="shared" si="198"/>
        <v>0</v>
      </c>
      <c r="JJ36" s="538"/>
      <c r="JK36" s="540" t="str">
        <f t="shared" si="88"/>
        <v>0</v>
      </c>
      <c r="JL36" s="540" t="str">
        <f t="shared" si="89"/>
        <v>0</v>
      </c>
      <c r="JM36" s="538"/>
      <c r="JN36" s="540" t="str">
        <f t="shared" si="90"/>
        <v>0</v>
      </c>
      <c r="JO36" s="540" t="str">
        <f t="shared" si="91"/>
        <v>0</v>
      </c>
      <c r="JP36" s="538"/>
      <c r="JQ36" s="540" t="str">
        <f t="shared" si="92"/>
        <v>0</v>
      </c>
      <c r="JR36" s="540" t="str">
        <f t="shared" si="93"/>
        <v>0</v>
      </c>
      <c r="JS36" s="538"/>
      <c r="JT36" s="540" t="str">
        <f t="shared" si="94"/>
        <v>0</v>
      </c>
      <c r="JU36" s="540" t="str">
        <f t="shared" si="95"/>
        <v>0</v>
      </c>
      <c r="JV36" s="538"/>
      <c r="JW36" s="540" t="str">
        <f t="shared" si="96"/>
        <v>0</v>
      </c>
      <c r="JX36" s="540" t="str">
        <f t="shared" si="97"/>
        <v>0</v>
      </c>
      <c r="JY36" s="538"/>
      <c r="JZ36" s="540" t="str">
        <f t="shared" si="98"/>
        <v>0</v>
      </c>
      <c r="KA36" s="540" t="str">
        <f t="shared" si="99"/>
        <v>0</v>
      </c>
      <c r="KB36" s="538"/>
      <c r="KC36" s="540" t="str">
        <f t="shared" si="100"/>
        <v>0</v>
      </c>
      <c r="KD36" s="540" t="str">
        <f t="shared" si="101"/>
        <v>0</v>
      </c>
      <c r="KE36" s="538"/>
      <c r="KF36" s="540" t="str">
        <f t="shared" si="102"/>
        <v>0</v>
      </c>
      <c r="KG36" s="540" t="str">
        <f t="shared" si="103"/>
        <v>0</v>
      </c>
      <c r="KH36" s="538"/>
      <c r="KI36" s="540" t="str">
        <f t="shared" si="104"/>
        <v>0</v>
      </c>
      <c r="KJ36" s="540" t="str">
        <f t="shared" si="105"/>
        <v>0</v>
      </c>
      <c r="KK36" s="538"/>
      <c r="KL36" s="540" t="str">
        <f t="shared" si="106"/>
        <v>0</v>
      </c>
      <c r="KM36" s="540" t="str">
        <f t="shared" si="107"/>
        <v>0</v>
      </c>
      <c r="KN36" s="538"/>
      <c r="KO36" s="540" t="str">
        <f t="shared" si="108"/>
        <v>0</v>
      </c>
      <c r="KP36" s="540" t="str">
        <f t="shared" si="109"/>
        <v>0</v>
      </c>
      <c r="KQ36" s="538"/>
      <c r="KR36" s="540" t="str">
        <f t="shared" si="110"/>
        <v>0</v>
      </c>
      <c r="KS36" s="540" t="str">
        <f t="shared" si="111"/>
        <v>0</v>
      </c>
      <c r="KT36" s="540">
        <f t="shared" si="201"/>
        <v>0</v>
      </c>
      <c r="KU36" s="540">
        <f t="shared" si="202"/>
        <v>0</v>
      </c>
      <c r="KV36" s="274">
        <f t="shared" si="199"/>
        <v>506.94326643678392</v>
      </c>
    </row>
    <row r="37" spans="1:308" ht="15" customHeight="1">
      <c r="A37" s="276">
        <f t="shared" si="200"/>
        <v>45898</v>
      </c>
      <c r="B37" s="277" t="str">
        <f>+Report1!B37</f>
        <v>Facial</v>
      </c>
      <c r="C37" s="417" t="str">
        <f>+Report1!C37</f>
        <v>12,5/10,3</v>
      </c>
      <c r="D37" s="278">
        <f>+Report1!P37</f>
        <v>55.792999999999999</v>
      </c>
      <c r="E37" s="279">
        <f>+Report1!R37</f>
        <v>77.828000000000003</v>
      </c>
      <c r="F37" s="538"/>
      <c r="G37" s="539">
        <f t="shared" si="0"/>
        <v>0</v>
      </c>
      <c r="H37" s="540">
        <f t="shared" si="112"/>
        <v>0</v>
      </c>
      <c r="I37" s="538">
        <v>255.81395348837214</v>
      </c>
      <c r="J37" s="539">
        <f t="shared" si="1"/>
        <v>3.2869141374360402</v>
      </c>
      <c r="K37" s="540">
        <f t="shared" si="113"/>
        <v>0</v>
      </c>
      <c r="L37" s="538"/>
      <c r="M37" s="539">
        <f t="shared" si="2"/>
        <v>0</v>
      </c>
      <c r="N37" s="540">
        <f t="shared" si="114"/>
        <v>0</v>
      </c>
      <c r="O37" s="538">
        <v>6</v>
      </c>
      <c r="P37" s="539">
        <f t="shared" si="3"/>
        <v>7.7093077041681654E-2</v>
      </c>
      <c r="Q37" s="540">
        <f t="shared" si="115"/>
        <v>0</v>
      </c>
      <c r="R37" s="538"/>
      <c r="S37" s="539">
        <f t="shared" si="4"/>
        <v>0</v>
      </c>
      <c r="T37" s="540">
        <f t="shared" si="116"/>
        <v>0</v>
      </c>
      <c r="U37" s="538">
        <v>5.1250000000000284</v>
      </c>
      <c r="V37" s="539">
        <f t="shared" si="5"/>
        <v>6.5850336639770107E-2</v>
      </c>
      <c r="W37" s="540">
        <f t="shared" si="117"/>
        <v>0</v>
      </c>
      <c r="X37" s="538"/>
      <c r="Y37" s="539">
        <f t="shared" si="6"/>
        <v>0</v>
      </c>
      <c r="Z37" s="540">
        <f t="shared" si="118"/>
        <v>0</v>
      </c>
      <c r="AA37" s="538"/>
      <c r="AB37" s="539">
        <f t="shared" si="7"/>
        <v>0</v>
      </c>
      <c r="AC37" s="540">
        <f t="shared" si="119"/>
        <v>0</v>
      </c>
      <c r="AD37" s="538"/>
      <c r="AE37" s="539">
        <f t="shared" si="8"/>
        <v>0</v>
      </c>
      <c r="AF37" s="540">
        <f t="shared" si="120"/>
        <v>0</v>
      </c>
      <c r="AG37" s="538"/>
      <c r="AH37" s="539">
        <f t="shared" si="9"/>
        <v>0</v>
      </c>
      <c r="AI37" s="540">
        <f t="shared" si="121"/>
        <v>0</v>
      </c>
      <c r="AJ37" s="538">
        <v>0</v>
      </c>
      <c r="AK37" s="539">
        <f t="shared" si="10"/>
        <v>0</v>
      </c>
      <c r="AL37" s="540">
        <f t="shared" si="122"/>
        <v>0</v>
      </c>
      <c r="AM37" s="538">
        <v>0</v>
      </c>
      <c r="AN37" s="539">
        <f t="shared" si="11"/>
        <v>0</v>
      </c>
      <c r="AO37" s="540">
        <f t="shared" si="123"/>
        <v>0</v>
      </c>
      <c r="AP37" s="538">
        <v>65.506329113924039</v>
      </c>
      <c r="AQ37" s="539">
        <f t="shared" si="12"/>
        <v>0.84168074618291666</v>
      </c>
      <c r="AR37" s="540">
        <f t="shared" si="124"/>
        <v>0</v>
      </c>
      <c r="AS37" s="538"/>
      <c r="AT37" s="539">
        <f t="shared" si="13"/>
        <v>0</v>
      </c>
      <c r="AU37" s="540">
        <f t="shared" si="125"/>
        <v>0</v>
      </c>
      <c r="AV37" s="538">
        <v>2.7750000000000057</v>
      </c>
      <c r="AW37" s="539">
        <f t="shared" si="14"/>
        <v>3.5655548131777841E-2</v>
      </c>
      <c r="AX37" s="540">
        <f t="shared" si="126"/>
        <v>0</v>
      </c>
      <c r="AY37" s="538">
        <v>42</v>
      </c>
      <c r="AZ37" s="539">
        <f t="shared" si="15"/>
        <v>0.53965153929177156</v>
      </c>
      <c r="BA37" s="540">
        <f t="shared" si="127"/>
        <v>0</v>
      </c>
      <c r="BB37" s="538">
        <v>0</v>
      </c>
      <c r="BC37" s="539">
        <f t="shared" si="16"/>
        <v>0</v>
      </c>
      <c r="BD37" s="540">
        <f t="shared" si="128"/>
        <v>0</v>
      </c>
      <c r="BE37" s="538"/>
      <c r="BF37" s="539">
        <f t="shared" si="17"/>
        <v>0</v>
      </c>
      <c r="BG37" s="540">
        <f t="shared" si="129"/>
        <v>0</v>
      </c>
      <c r="BH37" s="538"/>
      <c r="BI37" s="539">
        <f t="shared" si="18"/>
        <v>0</v>
      </c>
      <c r="BJ37" s="540">
        <f t="shared" si="130"/>
        <v>0</v>
      </c>
      <c r="BK37" s="538"/>
      <c r="BL37" s="539">
        <f t="shared" si="19"/>
        <v>0</v>
      </c>
      <c r="BM37" s="540">
        <f t="shared" si="131"/>
        <v>0</v>
      </c>
      <c r="BN37" s="538">
        <v>7.5925925925926094</v>
      </c>
      <c r="BO37" s="539">
        <f t="shared" si="20"/>
        <v>9.7556054281140586E-2</v>
      </c>
      <c r="BP37" s="540">
        <f t="shared" si="132"/>
        <v>0</v>
      </c>
      <c r="BQ37" s="538">
        <v>79.487179487179475</v>
      </c>
      <c r="BR37" s="539">
        <f t="shared" si="21"/>
        <v>1.0213185420051842</v>
      </c>
      <c r="BS37" s="540">
        <f t="shared" si="133"/>
        <v>0</v>
      </c>
      <c r="BT37" s="538"/>
      <c r="BU37" s="539">
        <f t="shared" si="22"/>
        <v>0</v>
      </c>
      <c r="BV37" s="540">
        <f t="shared" si="134"/>
        <v>0</v>
      </c>
      <c r="BW37" s="538">
        <v>0</v>
      </c>
      <c r="BX37" s="539">
        <f t="shared" si="23"/>
        <v>0</v>
      </c>
      <c r="BY37" s="540">
        <f t="shared" si="135"/>
        <v>0</v>
      </c>
      <c r="BZ37" s="538">
        <v>0</v>
      </c>
      <c r="CA37" s="539">
        <f t="shared" si="24"/>
        <v>0</v>
      </c>
      <c r="CB37" s="540">
        <f t="shared" si="136"/>
        <v>0</v>
      </c>
      <c r="CC37" s="538">
        <v>0</v>
      </c>
      <c r="CD37" s="539">
        <f t="shared" si="25"/>
        <v>0</v>
      </c>
      <c r="CE37" s="540">
        <f t="shared" si="137"/>
        <v>0</v>
      </c>
      <c r="CF37" s="538">
        <v>9.9999999999999978E-2</v>
      </c>
      <c r="CG37" s="539">
        <f t="shared" si="26"/>
        <v>1.2848846173613606E-3</v>
      </c>
      <c r="CH37" s="540">
        <f t="shared" si="138"/>
        <v>0</v>
      </c>
      <c r="CI37" s="538">
        <v>0</v>
      </c>
      <c r="CJ37" s="539">
        <f t="shared" si="27"/>
        <v>0</v>
      </c>
      <c r="CK37" s="540">
        <f t="shared" si="139"/>
        <v>0</v>
      </c>
      <c r="CL37" s="538"/>
      <c r="CM37" s="539">
        <f t="shared" si="28"/>
        <v>0</v>
      </c>
      <c r="CN37" s="540">
        <f t="shared" si="140"/>
        <v>0</v>
      </c>
      <c r="CO37" s="538"/>
      <c r="CP37" s="539">
        <f t="shared" si="29"/>
        <v>0</v>
      </c>
      <c r="CQ37" s="540">
        <f t="shared" si="141"/>
        <v>0</v>
      </c>
      <c r="CR37" s="538"/>
      <c r="CS37" s="539">
        <f t="shared" si="30"/>
        <v>0</v>
      </c>
      <c r="CT37" s="540">
        <f t="shared" si="142"/>
        <v>0</v>
      </c>
      <c r="CU37" s="538"/>
      <c r="CV37" s="539">
        <f t="shared" si="31"/>
        <v>0</v>
      </c>
      <c r="CW37" s="540">
        <f t="shared" si="143"/>
        <v>0</v>
      </c>
      <c r="CX37" s="538"/>
      <c r="CY37" s="539">
        <f t="shared" si="32"/>
        <v>0</v>
      </c>
      <c r="CZ37" s="540">
        <f t="shared" si="144"/>
        <v>0</v>
      </c>
      <c r="DA37" s="538"/>
      <c r="DB37" s="539">
        <f t="shared" si="33"/>
        <v>0</v>
      </c>
      <c r="DC37" s="540">
        <f t="shared" si="145"/>
        <v>0</v>
      </c>
      <c r="DD37" s="538"/>
      <c r="DE37" s="539">
        <f t="shared" si="34"/>
        <v>0</v>
      </c>
      <c r="DF37" s="540">
        <f t="shared" si="146"/>
        <v>0</v>
      </c>
      <c r="DG37" s="538">
        <v>0</v>
      </c>
      <c r="DH37" s="539">
        <f t="shared" si="35"/>
        <v>0</v>
      </c>
      <c r="DI37" s="540">
        <f t="shared" si="203"/>
        <v>0</v>
      </c>
      <c r="DJ37" s="538"/>
      <c r="DK37" s="539">
        <f t="shared" si="36"/>
        <v>0</v>
      </c>
      <c r="DL37" s="540">
        <f t="shared" si="147"/>
        <v>0</v>
      </c>
      <c r="DM37" s="538"/>
      <c r="DN37" s="539">
        <f t="shared" si="37"/>
        <v>0</v>
      </c>
      <c r="DO37" s="540">
        <f t="shared" si="148"/>
        <v>0</v>
      </c>
      <c r="DP37" s="538"/>
      <c r="DQ37" s="539">
        <f t="shared" si="38"/>
        <v>0</v>
      </c>
      <c r="DR37" s="540">
        <f t="shared" si="149"/>
        <v>0</v>
      </c>
      <c r="DS37" s="538"/>
      <c r="DT37" s="539">
        <f t="shared" si="39"/>
        <v>0</v>
      </c>
      <c r="DU37" s="540">
        <f t="shared" si="150"/>
        <v>0</v>
      </c>
      <c r="DV37" s="538"/>
      <c r="DW37" s="539">
        <f t="shared" si="40"/>
        <v>0</v>
      </c>
      <c r="DX37" s="540">
        <f t="shared" si="151"/>
        <v>0</v>
      </c>
      <c r="DY37" s="538"/>
      <c r="DZ37" s="539">
        <f t="shared" si="41"/>
        <v>0</v>
      </c>
      <c r="EA37" s="540">
        <f t="shared" si="152"/>
        <v>0</v>
      </c>
      <c r="EB37" s="538">
        <v>14.534883720930225</v>
      </c>
      <c r="EC37" s="539">
        <f t="shared" si="42"/>
        <v>0.18675648508159307</v>
      </c>
      <c r="ED37" s="540">
        <f t="shared" si="153"/>
        <v>0</v>
      </c>
      <c r="EE37" s="538">
        <v>2</v>
      </c>
      <c r="EF37" s="539">
        <f t="shared" si="43"/>
        <v>2.5697692347227217E-2</v>
      </c>
      <c r="EG37" s="540">
        <f t="shared" si="154"/>
        <v>0</v>
      </c>
      <c r="EH37" s="538"/>
      <c r="EI37" s="539">
        <f t="shared" si="44"/>
        <v>0</v>
      </c>
      <c r="EJ37" s="540">
        <f t="shared" si="155"/>
        <v>0</v>
      </c>
      <c r="EK37" s="538"/>
      <c r="EL37" s="539">
        <f t="shared" si="45"/>
        <v>0</v>
      </c>
      <c r="EM37" s="540">
        <f t="shared" si="156"/>
        <v>0</v>
      </c>
      <c r="EN37" s="538"/>
      <c r="EO37" s="539">
        <f t="shared" si="46"/>
        <v>0</v>
      </c>
      <c r="EP37" s="540">
        <f t="shared" si="157"/>
        <v>0</v>
      </c>
      <c r="EQ37" s="538"/>
      <c r="ER37" s="539">
        <f t="shared" si="47"/>
        <v>0</v>
      </c>
      <c r="ES37" s="540">
        <f t="shared" si="158"/>
        <v>0</v>
      </c>
      <c r="ET37" s="538"/>
      <c r="EU37" s="539">
        <f t="shared" si="48"/>
        <v>0</v>
      </c>
      <c r="EV37" s="540">
        <f t="shared" si="159"/>
        <v>0</v>
      </c>
      <c r="EW37" s="538"/>
      <c r="EX37" s="539">
        <f t="shared" si="49"/>
        <v>0</v>
      </c>
      <c r="EY37" s="540">
        <f t="shared" si="160"/>
        <v>0</v>
      </c>
      <c r="EZ37" s="538"/>
      <c r="FA37" s="539">
        <f t="shared" si="50"/>
        <v>0</v>
      </c>
      <c r="FB37" s="540">
        <f t="shared" si="161"/>
        <v>0</v>
      </c>
      <c r="FC37" s="538"/>
      <c r="FD37" s="539">
        <f t="shared" si="51"/>
        <v>0</v>
      </c>
      <c r="FE37" s="540">
        <f t="shared" si="162"/>
        <v>0</v>
      </c>
      <c r="FF37" s="538"/>
      <c r="FG37" s="539">
        <f t="shared" si="52"/>
        <v>0</v>
      </c>
      <c r="FH37" s="540">
        <f t="shared" si="163"/>
        <v>0</v>
      </c>
      <c r="FI37" s="538"/>
      <c r="FJ37" s="539">
        <f t="shared" si="53"/>
        <v>0</v>
      </c>
      <c r="FK37" s="540">
        <f t="shared" si="164"/>
        <v>0</v>
      </c>
      <c r="FL37" s="538"/>
      <c r="FM37" s="539">
        <f t="shared" si="54"/>
        <v>0</v>
      </c>
      <c r="FN37" s="540">
        <f t="shared" si="165"/>
        <v>0</v>
      </c>
      <c r="FO37" s="538"/>
      <c r="FP37" s="539">
        <f t="shared" si="55"/>
        <v>0</v>
      </c>
      <c r="FQ37" s="540">
        <f t="shared" si="166"/>
        <v>0</v>
      </c>
      <c r="FR37" s="538"/>
      <c r="FS37" s="539">
        <f t="shared" si="56"/>
        <v>0</v>
      </c>
      <c r="FT37" s="540">
        <f t="shared" si="167"/>
        <v>0</v>
      </c>
      <c r="FU37" s="538"/>
      <c r="FV37" s="539">
        <f t="shared" si="57"/>
        <v>0</v>
      </c>
      <c r="FW37" s="540">
        <f t="shared" si="168"/>
        <v>0</v>
      </c>
      <c r="FX37" s="538"/>
      <c r="FY37" s="539">
        <f t="shared" si="58"/>
        <v>0</v>
      </c>
      <c r="FZ37" s="540">
        <f t="shared" si="169"/>
        <v>0</v>
      </c>
      <c r="GA37" s="538"/>
      <c r="GB37" s="539">
        <f t="shared" si="59"/>
        <v>0</v>
      </c>
      <c r="GC37" s="540">
        <f t="shared" si="170"/>
        <v>0</v>
      </c>
      <c r="GD37" s="538"/>
      <c r="GE37" s="539">
        <f t="shared" si="60"/>
        <v>0</v>
      </c>
      <c r="GF37" s="540">
        <f t="shared" si="171"/>
        <v>0</v>
      </c>
      <c r="GG37" s="538"/>
      <c r="GH37" s="539">
        <f t="shared" si="61"/>
        <v>0</v>
      </c>
      <c r="GI37" s="540">
        <f t="shared" si="172"/>
        <v>0</v>
      </c>
      <c r="GJ37" s="538"/>
      <c r="GK37" s="539">
        <f t="shared" si="62"/>
        <v>0</v>
      </c>
      <c r="GL37" s="540">
        <f t="shared" si="173"/>
        <v>0</v>
      </c>
      <c r="GM37" s="538"/>
      <c r="GN37" s="539">
        <f t="shared" si="63"/>
        <v>0</v>
      </c>
      <c r="GO37" s="540">
        <f t="shared" si="174"/>
        <v>0</v>
      </c>
      <c r="GP37" s="538"/>
      <c r="GQ37" s="539">
        <f t="shared" si="64"/>
        <v>0</v>
      </c>
      <c r="GR37" s="540">
        <f t="shared" si="175"/>
        <v>0</v>
      </c>
      <c r="GS37" s="538"/>
      <c r="GT37" s="539">
        <f t="shared" si="65"/>
        <v>0</v>
      </c>
      <c r="GU37" s="540">
        <f t="shared" si="176"/>
        <v>0</v>
      </c>
      <c r="GV37" s="538"/>
      <c r="GW37" s="539">
        <f t="shared" si="66"/>
        <v>0</v>
      </c>
      <c r="GX37" s="540">
        <f t="shared" si="177"/>
        <v>0</v>
      </c>
      <c r="GY37" s="538"/>
      <c r="GZ37" s="539">
        <f t="shared" si="67"/>
        <v>0</v>
      </c>
      <c r="HA37" s="540">
        <f t="shared" si="178"/>
        <v>0</v>
      </c>
      <c r="HB37" s="538"/>
      <c r="HC37" s="539">
        <f t="shared" si="68"/>
        <v>0</v>
      </c>
      <c r="HD37" s="540">
        <f t="shared" si="179"/>
        <v>0</v>
      </c>
      <c r="HE37" s="538"/>
      <c r="HF37" s="539">
        <f t="shared" si="69"/>
        <v>0</v>
      </c>
      <c r="HG37" s="540">
        <f t="shared" si="180"/>
        <v>0</v>
      </c>
      <c r="HH37" s="538"/>
      <c r="HI37" s="539">
        <f t="shared" si="70"/>
        <v>0</v>
      </c>
      <c r="HJ37" s="540">
        <f t="shared" si="181"/>
        <v>0</v>
      </c>
      <c r="HK37" s="538"/>
      <c r="HL37" s="539">
        <f t="shared" si="71"/>
        <v>0</v>
      </c>
      <c r="HM37" s="540">
        <f t="shared" si="182"/>
        <v>0</v>
      </c>
      <c r="HN37" s="538"/>
      <c r="HO37" s="539">
        <f t="shared" si="72"/>
        <v>0</v>
      </c>
      <c r="HP37" s="540">
        <f t="shared" si="183"/>
        <v>0</v>
      </c>
      <c r="HQ37" s="538"/>
      <c r="HR37" s="539">
        <f t="shared" si="73"/>
        <v>0</v>
      </c>
      <c r="HS37" s="540">
        <f t="shared" si="184"/>
        <v>0</v>
      </c>
      <c r="HT37" s="538"/>
      <c r="HU37" s="539">
        <f t="shared" si="74"/>
        <v>0</v>
      </c>
      <c r="HV37" s="540">
        <f t="shared" si="185"/>
        <v>0</v>
      </c>
      <c r="HW37" s="538"/>
      <c r="HX37" s="539">
        <f t="shared" si="75"/>
        <v>0</v>
      </c>
      <c r="HY37" s="540">
        <f t="shared" si="186"/>
        <v>0</v>
      </c>
      <c r="HZ37" s="538"/>
      <c r="IA37" s="539">
        <f t="shared" si="76"/>
        <v>0</v>
      </c>
      <c r="IB37" s="540">
        <f t="shared" si="187"/>
        <v>0</v>
      </c>
      <c r="IC37" s="538"/>
      <c r="ID37" s="539">
        <f t="shared" si="77"/>
        <v>0</v>
      </c>
      <c r="IE37" s="540">
        <f t="shared" si="188"/>
        <v>0</v>
      </c>
      <c r="IF37" s="538"/>
      <c r="IG37" s="539">
        <f t="shared" si="78"/>
        <v>0</v>
      </c>
      <c r="IH37" s="540">
        <f t="shared" si="189"/>
        <v>0</v>
      </c>
      <c r="II37" s="538"/>
      <c r="IJ37" s="539">
        <f t="shared" si="79"/>
        <v>0</v>
      </c>
      <c r="IK37" s="540">
        <f t="shared" si="190"/>
        <v>0</v>
      </c>
      <c r="IL37" s="538"/>
      <c r="IM37" s="539">
        <f t="shared" si="80"/>
        <v>0</v>
      </c>
      <c r="IN37" s="540">
        <f t="shared" si="191"/>
        <v>0</v>
      </c>
      <c r="IO37" s="538"/>
      <c r="IP37" s="539">
        <f t="shared" si="81"/>
        <v>0</v>
      </c>
      <c r="IQ37" s="540">
        <f t="shared" si="192"/>
        <v>0</v>
      </c>
      <c r="IR37" s="538"/>
      <c r="IS37" s="539">
        <f t="shared" si="82"/>
        <v>0</v>
      </c>
      <c r="IT37" s="540">
        <f t="shared" si="193"/>
        <v>0</v>
      </c>
      <c r="IU37" s="538"/>
      <c r="IV37" s="539">
        <f t="shared" si="83"/>
        <v>0</v>
      </c>
      <c r="IW37" s="540">
        <f t="shared" si="194"/>
        <v>0</v>
      </c>
      <c r="IX37" s="538"/>
      <c r="IY37" s="539">
        <f t="shared" si="84"/>
        <v>0</v>
      </c>
      <c r="IZ37" s="540">
        <f t="shared" si="195"/>
        <v>0</v>
      </c>
      <c r="JA37" s="538"/>
      <c r="JB37" s="539">
        <f t="shared" si="85"/>
        <v>0</v>
      </c>
      <c r="JC37" s="540">
        <f t="shared" si="196"/>
        <v>0</v>
      </c>
      <c r="JD37" s="538"/>
      <c r="JE37" s="539">
        <f t="shared" si="86"/>
        <v>0</v>
      </c>
      <c r="JF37" s="540">
        <f t="shared" si="197"/>
        <v>0</v>
      </c>
      <c r="JG37" s="538"/>
      <c r="JH37" s="539">
        <f t="shared" si="87"/>
        <v>0</v>
      </c>
      <c r="JI37" s="540">
        <f t="shared" si="198"/>
        <v>0</v>
      </c>
      <c r="JJ37" s="538"/>
      <c r="JK37" s="540" t="str">
        <f t="shared" si="88"/>
        <v>0</v>
      </c>
      <c r="JL37" s="540" t="str">
        <f t="shared" si="89"/>
        <v>0</v>
      </c>
      <c r="JM37" s="538"/>
      <c r="JN37" s="540" t="str">
        <f t="shared" si="90"/>
        <v>0</v>
      </c>
      <c r="JO37" s="540" t="str">
        <f t="shared" si="91"/>
        <v>0</v>
      </c>
      <c r="JP37" s="538"/>
      <c r="JQ37" s="540" t="str">
        <f t="shared" si="92"/>
        <v>0</v>
      </c>
      <c r="JR37" s="540" t="str">
        <f t="shared" si="93"/>
        <v>0</v>
      </c>
      <c r="JS37" s="538"/>
      <c r="JT37" s="540" t="str">
        <f t="shared" si="94"/>
        <v>0</v>
      </c>
      <c r="JU37" s="540" t="str">
        <f t="shared" si="95"/>
        <v>0</v>
      </c>
      <c r="JV37" s="538"/>
      <c r="JW37" s="540" t="str">
        <f t="shared" si="96"/>
        <v>0</v>
      </c>
      <c r="JX37" s="540" t="str">
        <f t="shared" si="97"/>
        <v>0</v>
      </c>
      <c r="JY37" s="538"/>
      <c r="JZ37" s="540" t="str">
        <f t="shared" si="98"/>
        <v>0</v>
      </c>
      <c r="KA37" s="540" t="str">
        <f t="shared" si="99"/>
        <v>0</v>
      </c>
      <c r="KB37" s="538"/>
      <c r="KC37" s="540" t="str">
        <f t="shared" si="100"/>
        <v>0</v>
      </c>
      <c r="KD37" s="540" t="str">
        <f t="shared" si="101"/>
        <v>0</v>
      </c>
      <c r="KE37" s="538"/>
      <c r="KF37" s="540" t="str">
        <f t="shared" si="102"/>
        <v>0</v>
      </c>
      <c r="KG37" s="540" t="str">
        <f t="shared" si="103"/>
        <v>0</v>
      </c>
      <c r="KH37" s="538"/>
      <c r="KI37" s="540" t="str">
        <f t="shared" si="104"/>
        <v>0</v>
      </c>
      <c r="KJ37" s="540" t="str">
        <f t="shared" si="105"/>
        <v>0</v>
      </c>
      <c r="KK37" s="538"/>
      <c r="KL37" s="540" t="str">
        <f t="shared" si="106"/>
        <v>0</v>
      </c>
      <c r="KM37" s="540" t="str">
        <f t="shared" si="107"/>
        <v>0</v>
      </c>
      <c r="KN37" s="538"/>
      <c r="KO37" s="540" t="str">
        <f t="shared" si="108"/>
        <v>0</v>
      </c>
      <c r="KP37" s="540" t="str">
        <f t="shared" si="109"/>
        <v>0</v>
      </c>
      <c r="KQ37" s="538"/>
      <c r="KR37" s="540" t="str">
        <f t="shared" si="110"/>
        <v>0</v>
      </c>
      <c r="KS37" s="540" t="str">
        <f t="shared" si="111"/>
        <v>0</v>
      </c>
      <c r="KT37" s="540">
        <f t="shared" si="201"/>
        <v>0</v>
      </c>
      <c r="KU37" s="540">
        <f t="shared" si="202"/>
        <v>0</v>
      </c>
      <c r="KV37" s="274">
        <f t="shared" si="199"/>
        <v>480.93493840299845</v>
      </c>
    </row>
    <row r="38" spans="1:308" ht="15" customHeight="1">
      <c r="A38" s="276">
        <f t="shared" si="200"/>
        <v>45899</v>
      </c>
      <c r="B38" s="277" t="str">
        <f>+Report1!B38</f>
        <v>Facial</v>
      </c>
      <c r="C38" s="417" t="str">
        <f>+Report1!C38</f>
        <v>10,3</v>
      </c>
      <c r="D38" s="278">
        <f>+Report1!P38</f>
        <v>57.9</v>
      </c>
      <c r="E38" s="279">
        <f>+Report1!R38</f>
        <v>61.204000000000001</v>
      </c>
      <c r="F38" s="538"/>
      <c r="G38" s="539">
        <f t="shared" si="0"/>
        <v>0</v>
      </c>
      <c r="H38" s="540">
        <f t="shared" si="112"/>
        <v>0</v>
      </c>
      <c r="I38" s="538">
        <v>296.5116279069768</v>
      </c>
      <c r="J38" s="539">
        <f t="shared" si="1"/>
        <v>4.8446445968723744</v>
      </c>
      <c r="K38" s="540">
        <f t="shared" si="113"/>
        <v>0</v>
      </c>
      <c r="L38" s="538"/>
      <c r="M38" s="539">
        <f t="shared" si="2"/>
        <v>0</v>
      </c>
      <c r="N38" s="540">
        <f t="shared" si="114"/>
        <v>0</v>
      </c>
      <c r="O38" s="538">
        <v>6.0000000000000142</v>
      </c>
      <c r="P38" s="539">
        <f t="shared" si="3"/>
        <v>9.8032808313182382E-2</v>
      </c>
      <c r="Q38" s="540">
        <f t="shared" si="115"/>
        <v>0</v>
      </c>
      <c r="R38" s="538"/>
      <c r="S38" s="539">
        <f t="shared" si="4"/>
        <v>0</v>
      </c>
      <c r="T38" s="540">
        <f t="shared" si="116"/>
        <v>0</v>
      </c>
      <c r="U38" s="538">
        <v>5.1249999999999858</v>
      </c>
      <c r="V38" s="539">
        <f t="shared" si="5"/>
        <v>8.3736357100842845E-2</v>
      </c>
      <c r="W38" s="540">
        <f t="shared" si="117"/>
        <v>0</v>
      </c>
      <c r="X38" s="538"/>
      <c r="Y38" s="539">
        <f t="shared" si="6"/>
        <v>0</v>
      </c>
      <c r="Z38" s="540">
        <f t="shared" si="118"/>
        <v>0</v>
      </c>
      <c r="AA38" s="538"/>
      <c r="AB38" s="539">
        <f t="shared" si="7"/>
        <v>0</v>
      </c>
      <c r="AC38" s="540">
        <f t="shared" si="119"/>
        <v>0</v>
      </c>
      <c r="AD38" s="538"/>
      <c r="AE38" s="539">
        <f t="shared" si="8"/>
        <v>0</v>
      </c>
      <c r="AF38" s="540">
        <f t="shared" si="120"/>
        <v>0</v>
      </c>
      <c r="AG38" s="538"/>
      <c r="AH38" s="539">
        <f t="shared" si="9"/>
        <v>0</v>
      </c>
      <c r="AI38" s="540">
        <f t="shared" si="121"/>
        <v>0</v>
      </c>
      <c r="AJ38" s="538">
        <v>24.96875</v>
      </c>
      <c r="AK38" s="539">
        <f t="shared" si="10"/>
        <v>0.40795944709496113</v>
      </c>
      <c r="AL38" s="540">
        <f t="shared" si="122"/>
        <v>0</v>
      </c>
      <c r="AM38" s="538">
        <v>0</v>
      </c>
      <c r="AN38" s="539">
        <f t="shared" si="11"/>
        <v>0</v>
      </c>
      <c r="AO38" s="540">
        <f t="shared" si="123"/>
        <v>0</v>
      </c>
      <c r="AP38" s="538">
        <v>76.898734177215189</v>
      </c>
      <c r="AQ38" s="539">
        <f t="shared" si="12"/>
        <v>1.2564331445202142</v>
      </c>
      <c r="AR38" s="540">
        <f t="shared" si="124"/>
        <v>0</v>
      </c>
      <c r="AS38" s="538"/>
      <c r="AT38" s="539">
        <f t="shared" si="13"/>
        <v>0</v>
      </c>
      <c r="AU38" s="540">
        <f t="shared" si="125"/>
        <v>0</v>
      </c>
      <c r="AV38" s="538">
        <v>2.7749999999999915</v>
      </c>
      <c r="AW38" s="539">
        <f t="shared" si="14"/>
        <v>4.53401738448466E-2</v>
      </c>
      <c r="AX38" s="540">
        <f t="shared" si="126"/>
        <v>0</v>
      </c>
      <c r="AY38" s="538">
        <v>36.166666666666657</v>
      </c>
      <c r="AZ38" s="539">
        <f t="shared" si="15"/>
        <v>0.59091998344334773</v>
      </c>
      <c r="BA38" s="540">
        <f t="shared" si="127"/>
        <v>0</v>
      </c>
      <c r="BB38" s="538">
        <v>0</v>
      </c>
      <c r="BC38" s="539">
        <f t="shared" si="16"/>
        <v>0</v>
      </c>
      <c r="BD38" s="540">
        <f t="shared" si="128"/>
        <v>0</v>
      </c>
      <c r="BE38" s="538"/>
      <c r="BF38" s="539">
        <f t="shared" si="17"/>
        <v>0</v>
      </c>
      <c r="BG38" s="540">
        <f t="shared" si="129"/>
        <v>0</v>
      </c>
      <c r="BH38" s="538"/>
      <c r="BI38" s="539">
        <f t="shared" si="18"/>
        <v>0</v>
      </c>
      <c r="BJ38" s="540">
        <f t="shared" si="130"/>
        <v>0</v>
      </c>
      <c r="BK38" s="538"/>
      <c r="BL38" s="539">
        <f t="shared" si="19"/>
        <v>0</v>
      </c>
      <c r="BM38" s="540">
        <f t="shared" si="131"/>
        <v>0</v>
      </c>
      <c r="BN38" s="538">
        <v>5.0617283950617207</v>
      </c>
      <c r="BO38" s="539">
        <f t="shared" si="20"/>
        <v>8.2702574914412796E-2</v>
      </c>
      <c r="BP38" s="540">
        <f t="shared" si="132"/>
        <v>0</v>
      </c>
      <c r="BQ38" s="538">
        <v>0</v>
      </c>
      <c r="BR38" s="539">
        <f t="shared" si="21"/>
        <v>0</v>
      </c>
      <c r="BS38" s="540">
        <f t="shared" si="133"/>
        <v>0</v>
      </c>
      <c r="BT38" s="538"/>
      <c r="BU38" s="539">
        <f t="shared" si="22"/>
        <v>0</v>
      </c>
      <c r="BV38" s="540">
        <f t="shared" si="134"/>
        <v>0</v>
      </c>
      <c r="BW38" s="538">
        <v>0</v>
      </c>
      <c r="BX38" s="539">
        <f t="shared" si="23"/>
        <v>0</v>
      </c>
      <c r="BY38" s="540">
        <f t="shared" si="135"/>
        <v>0</v>
      </c>
      <c r="BZ38" s="538">
        <v>0</v>
      </c>
      <c r="CA38" s="539">
        <f t="shared" si="24"/>
        <v>0</v>
      </c>
      <c r="CB38" s="540">
        <f t="shared" si="136"/>
        <v>0</v>
      </c>
      <c r="CC38" s="538">
        <v>0</v>
      </c>
      <c r="CD38" s="539">
        <f t="shared" si="25"/>
        <v>0</v>
      </c>
      <c r="CE38" s="540">
        <f t="shared" si="137"/>
        <v>0</v>
      </c>
      <c r="CF38" s="538">
        <v>0.10000000000000003</v>
      </c>
      <c r="CG38" s="539">
        <f t="shared" si="26"/>
        <v>1.6338801385530363E-3</v>
      </c>
      <c r="CH38" s="540">
        <f t="shared" si="138"/>
        <v>0</v>
      </c>
      <c r="CI38" s="538">
        <v>0</v>
      </c>
      <c r="CJ38" s="539">
        <f t="shared" si="27"/>
        <v>0</v>
      </c>
      <c r="CK38" s="540">
        <f t="shared" si="139"/>
        <v>0</v>
      </c>
      <c r="CL38" s="538"/>
      <c r="CM38" s="539">
        <f t="shared" si="28"/>
        <v>0</v>
      </c>
      <c r="CN38" s="540">
        <f t="shared" si="140"/>
        <v>0</v>
      </c>
      <c r="CO38" s="538"/>
      <c r="CP38" s="539">
        <f t="shared" si="29"/>
        <v>0</v>
      </c>
      <c r="CQ38" s="540">
        <f t="shared" si="141"/>
        <v>0</v>
      </c>
      <c r="CR38" s="538"/>
      <c r="CS38" s="539">
        <f t="shared" si="30"/>
        <v>0</v>
      </c>
      <c r="CT38" s="540">
        <f t="shared" si="142"/>
        <v>0</v>
      </c>
      <c r="CU38" s="538"/>
      <c r="CV38" s="539">
        <f t="shared" si="31"/>
        <v>0</v>
      </c>
      <c r="CW38" s="540">
        <f t="shared" si="143"/>
        <v>0</v>
      </c>
      <c r="CX38" s="538"/>
      <c r="CY38" s="539">
        <f t="shared" si="32"/>
        <v>0</v>
      </c>
      <c r="CZ38" s="540">
        <f t="shared" si="144"/>
        <v>0</v>
      </c>
      <c r="DA38" s="538"/>
      <c r="DB38" s="539">
        <f t="shared" si="33"/>
        <v>0</v>
      </c>
      <c r="DC38" s="540">
        <f t="shared" si="145"/>
        <v>0</v>
      </c>
      <c r="DD38" s="538"/>
      <c r="DE38" s="539">
        <f t="shared" si="34"/>
        <v>0</v>
      </c>
      <c r="DF38" s="540">
        <f t="shared" si="146"/>
        <v>0</v>
      </c>
      <c r="DG38" s="538">
        <v>0</v>
      </c>
      <c r="DH38" s="539">
        <f t="shared" si="35"/>
        <v>0</v>
      </c>
      <c r="DI38" s="540">
        <f t="shared" si="203"/>
        <v>0</v>
      </c>
      <c r="DJ38" s="538"/>
      <c r="DK38" s="539">
        <f t="shared" si="36"/>
        <v>0</v>
      </c>
      <c r="DL38" s="540">
        <f t="shared" si="147"/>
        <v>0</v>
      </c>
      <c r="DM38" s="538"/>
      <c r="DN38" s="539">
        <f t="shared" si="37"/>
        <v>0</v>
      </c>
      <c r="DO38" s="540">
        <f t="shared" si="148"/>
        <v>0</v>
      </c>
      <c r="DP38" s="538"/>
      <c r="DQ38" s="539">
        <f t="shared" si="38"/>
        <v>0</v>
      </c>
      <c r="DR38" s="540">
        <f t="shared" si="149"/>
        <v>0</v>
      </c>
      <c r="DS38" s="538"/>
      <c r="DT38" s="539">
        <f t="shared" si="39"/>
        <v>0</v>
      </c>
      <c r="DU38" s="540">
        <f t="shared" si="150"/>
        <v>0</v>
      </c>
      <c r="DV38" s="538"/>
      <c r="DW38" s="539">
        <f t="shared" si="40"/>
        <v>0</v>
      </c>
      <c r="DX38" s="540">
        <f t="shared" si="151"/>
        <v>0</v>
      </c>
      <c r="DY38" s="538"/>
      <c r="DZ38" s="539">
        <f t="shared" si="41"/>
        <v>0</v>
      </c>
      <c r="EA38" s="540">
        <f t="shared" si="152"/>
        <v>0</v>
      </c>
      <c r="EB38" s="538">
        <v>14.534883720930239</v>
      </c>
      <c r="EC38" s="539">
        <f t="shared" si="42"/>
        <v>0.23748257827805763</v>
      </c>
      <c r="ED38" s="540">
        <f t="shared" si="153"/>
        <v>0</v>
      </c>
      <c r="EE38" s="538">
        <v>2</v>
      </c>
      <c r="EF38" s="539">
        <f t="shared" si="43"/>
        <v>3.2677602771060715E-2</v>
      </c>
      <c r="EG38" s="540">
        <f t="shared" si="154"/>
        <v>0</v>
      </c>
      <c r="EH38" s="538"/>
      <c r="EI38" s="539">
        <f t="shared" si="44"/>
        <v>0</v>
      </c>
      <c r="EJ38" s="540">
        <f t="shared" si="155"/>
        <v>0</v>
      </c>
      <c r="EK38" s="538"/>
      <c r="EL38" s="539">
        <f t="shared" si="45"/>
        <v>0</v>
      </c>
      <c r="EM38" s="540">
        <f t="shared" si="156"/>
        <v>0</v>
      </c>
      <c r="EN38" s="538"/>
      <c r="EO38" s="539">
        <f t="shared" si="46"/>
        <v>0</v>
      </c>
      <c r="EP38" s="540">
        <f t="shared" si="157"/>
        <v>0</v>
      </c>
      <c r="EQ38" s="538"/>
      <c r="ER38" s="539">
        <f t="shared" si="47"/>
        <v>0</v>
      </c>
      <c r="ES38" s="540">
        <f t="shared" si="158"/>
        <v>0</v>
      </c>
      <c r="ET38" s="538"/>
      <c r="EU38" s="539">
        <f t="shared" si="48"/>
        <v>0</v>
      </c>
      <c r="EV38" s="540">
        <f t="shared" si="159"/>
        <v>0</v>
      </c>
      <c r="EW38" s="538"/>
      <c r="EX38" s="539">
        <f t="shared" si="49"/>
        <v>0</v>
      </c>
      <c r="EY38" s="540">
        <f t="shared" si="160"/>
        <v>0</v>
      </c>
      <c r="EZ38" s="538"/>
      <c r="FA38" s="539">
        <f t="shared" si="50"/>
        <v>0</v>
      </c>
      <c r="FB38" s="540">
        <f t="shared" si="161"/>
        <v>0</v>
      </c>
      <c r="FC38" s="538"/>
      <c r="FD38" s="539">
        <f t="shared" si="51"/>
        <v>0</v>
      </c>
      <c r="FE38" s="540">
        <f t="shared" si="162"/>
        <v>0</v>
      </c>
      <c r="FF38" s="538"/>
      <c r="FG38" s="539">
        <f t="shared" si="52"/>
        <v>0</v>
      </c>
      <c r="FH38" s="540">
        <f t="shared" si="163"/>
        <v>0</v>
      </c>
      <c r="FI38" s="538"/>
      <c r="FJ38" s="539">
        <f t="shared" si="53"/>
        <v>0</v>
      </c>
      <c r="FK38" s="540">
        <f t="shared" si="164"/>
        <v>0</v>
      </c>
      <c r="FL38" s="538"/>
      <c r="FM38" s="539">
        <f t="shared" si="54"/>
        <v>0</v>
      </c>
      <c r="FN38" s="540">
        <f t="shared" si="165"/>
        <v>0</v>
      </c>
      <c r="FO38" s="538"/>
      <c r="FP38" s="539">
        <f t="shared" si="55"/>
        <v>0</v>
      </c>
      <c r="FQ38" s="540">
        <f t="shared" si="166"/>
        <v>0</v>
      </c>
      <c r="FR38" s="538"/>
      <c r="FS38" s="539">
        <f t="shared" si="56"/>
        <v>0</v>
      </c>
      <c r="FT38" s="540">
        <f t="shared" si="167"/>
        <v>0</v>
      </c>
      <c r="FU38" s="538"/>
      <c r="FV38" s="539">
        <f t="shared" si="57"/>
        <v>0</v>
      </c>
      <c r="FW38" s="540">
        <f t="shared" si="168"/>
        <v>0</v>
      </c>
      <c r="FX38" s="538"/>
      <c r="FY38" s="539">
        <f t="shared" si="58"/>
        <v>0</v>
      </c>
      <c r="FZ38" s="540">
        <f t="shared" si="169"/>
        <v>0</v>
      </c>
      <c r="GA38" s="538"/>
      <c r="GB38" s="539">
        <f t="shared" si="59"/>
        <v>0</v>
      </c>
      <c r="GC38" s="540">
        <f t="shared" si="170"/>
        <v>0</v>
      </c>
      <c r="GD38" s="538"/>
      <c r="GE38" s="539">
        <f t="shared" si="60"/>
        <v>0</v>
      </c>
      <c r="GF38" s="540">
        <f t="shared" si="171"/>
        <v>0</v>
      </c>
      <c r="GG38" s="538"/>
      <c r="GH38" s="539">
        <f t="shared" si="61"/>
        <v>0</v>
      </c>
      <c r="GI38" s="540">
        <f t="shared" si="172"/>
        <v>0</v>
      </c>
      <c r="GJ38" s="538"/>
      <c r="GK38" s="539">
        <f t="shared" si="62"/>
        <v>0</v>
      </c>
      <c r="GL38" s="540">
        <f t="shared" si="173"/>
        <v>0</v>
      </c>
      <c r="GM38" s="538"/>
      <c r="GN38" s="539">
        <f t="shared" si="63"/>
        <v>0</v>
      </c>
      <c r="GO38" s="540">
        <f t="shared" si="174"/>
        <v>0</v>
      </c>
      <c r="GP38" s="538"/>
      <c r="GQ38" s="539">
        <f t="shared" si="64"/>
        <v>0</v>
      </c>
      <c r="GR38" s="540">
        <f t="shared" si="175"/>
        <v>0</v>
      </c>
      <c r="GS38" s="538"/>
      <c r="GT38" s="539">
        <f t="shared" si="65"/>
        <v>0</v>
      </c>
      <c r="GU38" s="540">
        <f t="shared" si="176"/>
        <v>0</v>
      </c>
      <c r="GV38" s="538"/>
      <c r="GW38" s="539">
        <f t="shared" si="66"/>
        <v>0</v>
      </c>
      <c r="GX38" s="540">
        <f t="shared" si="177"/>
        <v>0</v>
      </c>
      <c r="GY38" s="538"/>
      <c r="GZ38" s="539">
        <f t="shared" si="67"/>
        <v>0</v>
      </c>
      <c r="HA38" s="540">
        <f t="shared" si="178"/>
        <v>0</v>
      </c>
      <c r="HB38" s="538"/>
      <c r="HC38" s="539">
        <f t="shared" si="68"/>
        <v>0</v>
      </c>
      <c r="HD38" s="540">
        <f t="shared" si="179"/>
        <v>0</v>
      </c>
      <c r="HE38" s="538"/>
      <c r="HF38" s="539">
        <f t="shared" si="69"/>
        <v>0</v>
      </c>
      <c r="HG38" s="540">
        <f t="shared" si="180"/>
        <v>0</v>
      </c>
      <c r="HH38" s="538"/>
      <c r="HI38" s="539">
        <f t="shared" si="70"/>
        <v>0</v>
      </c>
      <c r="HJ38" s="540">
        <f t="shared" si="181"/>
        <v>0</v>
      </c>
      <c r="HK38" s="538"/>
      <c r="HL38" s="539">
        <f t="shared" si="71"/>
        <v>0</v>
      </c>
      <c r="HM38" s="540">
        <f t="shared" si="182"/>
        <v>0</v>
      </c>
      <c r="HN38" s="538"/>
      <c r="HO38" s="539">
        <f t="shared" si="72"/>
        <v>0</v>
      </c>
      <c r="HP38" s="540">
        <f t="shared" si="183"/>
        <v>0</v>
      </c>
      <c r="HQ38" s="538"/>
      <c r="HR38" s="539">
        <f t="shared" si="73"/>
        <v>0</v>
      </c>
      <c r="HS38" s="540">
        <f t="shared" si="184"/>
        <v>0</v>
      </c>
      <c r="HT38" s="538"/>
      <c r="HU38" s="539">
        <f t="shared" si="74"/>
        <v>0</v>
      </c>
      <c r="HV38" s="540">
        <f t="shared" si="185"/>
        <v>0</v>
      </c>
      <c r="HW38" s="538"/>
      <c r="HX38" s="539">
        <f t="shared" si="75"/>
        <v>0</v>
      </c>
      <c r="HY38" s="540">
        <f t="shared" si="186"/>
        <v>0</v>
      </c>
      <c r="HZ38" s="538"/>
      <c r="IA38" s="539">
        <f t="shared" si="76"/>
        <v>0</v>
      </c>
      <c r="IB38" s="540">
        <f t="shared" si="187"/>
        <v>0</v>
      </c>
      <c r="IC38" s="538"/>
      <c r="ID38" s="539">
        <f t="shared" si="77"/>
        <v>0</v>
      </c>
      <c r="IE38" s="540">
        <f t="shared" si="188"/>
        <v>0</v>
      </c>
      <c r="IF38" s="538"/>
      <c r="IG38" s="539">
        <f t="shared" si="78"/>
        <v>0</v>
      </c>
      <c r="IH38" s="540">
        <f t="shared" si="189"/>
        <v>0</v>
      </c>
      <c r="II38" s="538"/>
      <c r="IJ38" s="539">
        <f t="shared" si="79"/>
        <v>0</v>
      </c>
      <c r="IK38" s="540">
        <f t="shared" si="190"/>
        <v>0</v>
      </c>
      <c r="IL38" s="538"/>
      <c r="IM38" s="539">
        <f t="shared" si="80"/>
        <v>0</v>
      </c>
      <c r="IN38" s="540">
        <f t="shared" si="191"/>
        <v>0</v>
      </c>
      <c r="IO38" s="538"/>
      <c r="IP38" s="539">
        <f t="shared" si="81"/>
        <v>0</v>
      </c>
      <c r="IQ38" s="540">
        <f t="shared" si="192"/>
        <v>0</v>
      </c>
      <c r="IR38" s="538"/>
      <c r="IS38" s="539">
        <f t="shared" si="82"/>
        <v>0</v>
      </c>
      <c r="IT38" s="540">
        <f t="shared" si="193"/>
        <v>0</v>
      </c>
      <c r="IU38" s="538"/>
      <c r="IV38" s="539">
        <f t="shared" si="83"/>
        <v>0</v>
      </c>
      <c r="IW38" s="540">
        <f t="shared" si="194"/>
        <v>0</v>
      </c>
      <c r="IX38" s="538"/>
      <c r="IY38" s="539">
        <f t="shared" si="84"/>
        <v>0</v>
      </c>
      <c r="IZ38" s="540">
        <f t="shared" si="195"/>
        <v>0</v>
      </c>
      <c r="JA38" s="538"/>
      <c r="JB38" s="539">
        <f t="shared" si="85"/>
        <v>0</v>
      </c>
      <c r="JC38" s="540">
        <f t="shared" si="196"/>
        <v>0</v>
      </c>
      <c r="JD38" s="538"/>
      <c r="JE38" s="539">
        <f t="shared" si="86"/>
        <v>0</v>
      </c>
      <c r="JF38" s="540">
        <f t="shared" si="197"/>
        <v>0</v>
      </c>
      <c r="JG38" s="538"/>
      <c r="JH38" s="539">
        <f t="shared" si="87"/>
        <v>0</v>
      </c>
      <c r="JI38" s="540">
        <f t="shared" si="198"/>
        <v>0</v>
      </c>
      <c r="JJ38" s="538"/>
      <c r="JK38" s="540" t="str">
        <f t="shared" si="88"/>
        <v>0</v>
      </c>
      <c r="JL38" s="540" t="str">
        <f t="shared" si="89"/>
        <v>0</v>
      </c>
      <c r="JM38" s="538"/>
      <c r="JN38" s="540" t="str">
        <f t="shared" si="90"/>
        <v>0</v>
      </c>
      <c r="JO38" s="540" t="str">
        <f t="shared" si="91"/>
        <v>0</v>
      </c>
      <c r="JP38" s="538"/>
      <c r="JQ38" s="540" t="str">
        <f t="shared" si="92"/>
        <v>0</v>
      </c>
      <c r="JR38" s="540" t="str">
        <f t="shared" si="93"/>
        <v>0</v>
      </c>
      <c r="JS38" s="538"/>
      <c r="JT38" s="540" t="str">
        <f t="shared" si="94"/>
        <v>0</v>
      </c>
      <c r="JU38" s="540" t="str">
        <f t="shared" si="95"/>
        <v>0</v>
      </c>
      <c r="JV38" s="538"/>
      <c r="JW38" s="540" t="str">
        <f t="shared" si="96"/>
        <v>0</v>
      </c>
      <c r="JX38" s="540" t="str">
        <f t="shared" si="97"/>
        <v>0</v>
      </c>
      <c r="JY38" s="538"/>
      <c r="JZ38" s="540" t="str">
        <f t="shared" si="98"/>
        <v>0</v>
      </c>
      <c r="KA38" s="540" t="str">
        <f t="shared" si="99"/>
        <v>0</v>
      </c>
      <c r="KB38" s="538"/>
      <c r="KC38" s="540" t="str">
        <f t="shared" si="100"/>
        <v>0</v>
      </c>
      <c r="KD38" s="540" t="str">
        <f t="shared" si="101"/>
        <v>0</v>
      </c>
      <c r="KE38" s="538"/>
      <c r="KF38" s="540" t="str">
        <f t="shared" si="102"/>
        <v>0</v>
      </c>
      <c r="KG38" s="540" t="str">
        <f t="shared" si="103"/>
        <v>0</v>
      </c>
      <c r="KH38" s="538"/>
      <c r="KI38" s="540" t="str">
        <f t="shared" si="104"/>
        <v>0</v>
      </c>
      <c r="KJ38" s="540" t="str">
        <f t="shared" si="105"/>
        <v>0</v>
      </c>
      <c r="KK38" s="538"/>
      <c r="KL38" s="540" t="str">
        <f t="shared" si="106"/>
        <v>0</v>
      </c>
      <c r="KM38" s="540" t="str">
        <f t="shared" si="107"/>
        <v>0</v>
      </c>
      <c r="KN38" s="538"/>
      <c r="KO38" s="540" t="str">
        <f t="shared" si="108"/>
        <v>0</v>
      </c>
      <c r="KP38" s="540" t="str">
        <f t="shared" si="109"/>
        <v>0</v>
      </c>
      <c r="KQ38" s="538"/>
      <c r="KR38" s="540" t="str">
        <f t="shared" si="110"/>
        <v>0</v>
      </c>
      <c r="KS38" s="540" t="str">
        <f t="shared" si="111"/>
        <v>0</v>
      </c>
      <c r="KT38" s="540">
        <f t="shared" si="201"/>
        <v>0</v>
      </c>
      <c r="KU38" s="540">
        <f t="shared" si="202"/>
        <v>0</v>
      </c>
      <c r="KV38" s="274">
        <f t="shared" si="199"/>
        <v>470.14239086685058</v>
      </c>
    </row>
    <row r="39" spans="1:308" ht="15" customHeight="1">
      <c r="A39" s="276">
        <f t="shared" si="200"/>
        <v>45900</v>
      </c>
      <c r="B39" s="277" t="str">
        <f>+Report1!B39</f>
        <v>Facial</v>
      </c>
      <c r="C39" s="417" t="str">
        <f>+Report1!C39</f>
        <v>10,3/12</v>
      </c>
      <c r="D39" s="278">
        <f>+Report1!P39</f>
        <v>56.9</v>
      </c>
      <c r="E39" s="279">
        <f>+Report1!R39</f>
        <v>48.325000000000003</v>
      </c>
      <c r="F39" s="538"/>
      <c r="G39" s="539">
        <f t="shared" si="0"/>
        <v>0</v>
      </c>
      <c r="H39" s="540">
        <f t="shared" si="112"/>
        <v>0</v>
      </c>
      <c r="I39" s="538">
        <v>296.5116279069768</v>
      </c>
      <c r="J39" s="539">
        <f t="shared" si="1"/>
        <v>6.1357812293218164</v>
      </c>
      <c r="K39" s="540">
        <f t="shared" si="113"/>
        <v>0</v>
      </c>
      <c r="L39" s="538"/>
      <c r="M39" s="539">
        <f t="shared" si="2"/>
        <v>0</v>
      </c>
      <c r="N39" s="540">
        <f t="shared" si="114"/>
        <v>0</v>
      </c>
      <c r="O39" s="538">
        <v>6.0000000000000142</v>
      </c>
      <c r="P39" s="539">
        <f t="shared" si="3"/>
        <v>0.12415933781686526</v>
      </c>
      <c r="Q39" s="540">
        <f t="shared" si="115"/>
        <v>0</v>
      </c>
      <c r="R39" s="538"/>
      <c r="S39" s="539">
        <f t="shared" si="4"/>
        <v>0</v>
      </c>
      <c r="T39" s="540">
        <f t="shared" si="116"/>
        <v>0</v>
      </c>
      <c r="U39" s="538">
        <v>5.1249999999999858</v>
      </c>
      <c r="V39" s="539">
        <f t="shared" si="5"/>
        <v>0.10605276771857186</v>
      </c>
      <c r="W39" s="540">
        <f t="shared" si="117"/>
        <v>0</v>
      </c>
      <c r="X39" s="538"/>
      <c r="Y39" s="539">
        <f t="shared" si="6"/>
        <v>0</v>
      </c>
      <c r="Z39" s="540">
        <f t="shared" si="118"/>
        <v>0</v>
      </c>
      <c r="AA39" s="538"/>
      <c r="AB39" s="539">
        <f t="shared" si="7"/>
        <v>0</v>
      </c>
      <c r="AC39" s="540">
        <f t="shared" si="119"/>
        <v>0</v>
      </c>
      <c r="AD39" s="538"/>
      <c r="AE39" s="539">
        <f t="shared" si="8"/>
        <v>0</v>
      </c>
      <c r="AF39" s="540">
        <f t="shared" si="120"/>
        <v>0</v>
      </c>
      <c r="AG39" s="538"/>
      <c r="AH39" s="539">
        <f t="shared" si="9"/>
        <v>0</v>
      </c>
      <c r="AI39" s="540">
        <f t="shared" si="121"/>
        <v>0</v>
      </c>
      <c r="AJ39" s="538">
        <v>24.96875</v>
      </c>
      <c r="AK39" s="539">
        <f t="shared" si="10"/>
        <v>0.51668391101914124</v>
      </c>
      <c r="AL39" s="540">
        <f t="shared" si="122"/>
        <v>0</v>
      </c>
      <c r="AM39" s="538">
        <v>0</v>
      </c>
      <c r="AN39" s="539">
        <f t="shared" si="11"/>
        <v>0</v>
      </c>
      <c r="AO39" s="540">
        <f t="shared" si="123"/>
        <v>0</v>
      </c>
      <c r="AP39" s="538">
        <v>76.898734177215189</v>
      </c>
      <c r="AQ39" s="539">
        <f t="shared" si="12"/>
        <v>1.5912826523996935</v>
      </c>
      <c r="AR39" s="540">
        <f t="shared" si="124"/>
        <v>0</v>
      </c>
      <c r="AS39" s="538"/>
      <c r="AT39" s="539">
        <f t="shared" si="13"/>
        <v>0</v>
      </c>
      <c r="AU39" s="540">
        <f t="shared" si="125"/>
        <v>0</v>
      </c>
      <c r="AV39" s="538">
        <v>2.7749999999999915</v>
      </c>
      <c r="AW39" s="539">
        <f t="shared" si="14"/>
        <v>5.7423693740299875E-2</v>
      </c>
      <c r="AX39" s="540">
        <f t="shared" si="126"/>
        <v>0</v>
      </c>
      <c r="AY39" s="538">
        <v>36.166666666666657</v>
      </c>
      <c r="AZ39" s="539">
        <f t="shared" si="15"/>
        <v>0.7484048973961025</v>
      </c>
      <c r="BA39" s="540">
        <f t="shared" si="127"/>
        <v>0</v>
      </c>
      <c r="BB39" s="538">
        <v>0</v>
      </c>
      <c r="BC39" s="539">
        <f t="shared" si="16"/>
        <v>0</v>
      </c>
      <c r="BD39" s="540">
        <f t="shared" si="128"/>
        <v>0</v>
      </c>
      <c r="BE39" s="538"/>
      <c r="BF39" s="539">
        <f t="shared" si="17"/>
        <v>0</v>
      </c>
      <c r="BG39" s="540">
        <f t="shared" si="129"/>
        <v>0</v>
      </c>
      <c r="BH39" s="538"/>
      <c r="BI39" s="539">
        <f t="shared" si="18"/>
        <v>0</v>
      </c>
      <c r="BJ39" s="540">
        <f t="shared" si="130"/>
        <v>0</v>
      </c>
      <c r="BK39" s="538"/>
      <c r="BL39" s="539">
        <f t="shared" si="19"/>
        <v>0</v>
      </c>
      <c r="BM39" s="540">
        <f t="shared" si="131"/>
        <v>0</v>
      </c>
      <c r="BN39" s="538">
        <v>5.0617283950617207</v>
      </c>
      <c r="BO39" s="539">
        <f t="shared" si="20"/>
        <v>0.10474347428994765</v>
      </c>
      <c r="BP39" s="540">
        <f t="shared" si="132"/>
        <v>0</v>
      </c>
      <c r="BQ39" s="538">
        <v>0</v>
      </c>
      <c r="BR39" s="539">
        <f t="shared" si="21"/>
        <v>0</v>
      </c>
      <c r="BS39" s="540">
        <f t="shared" si="133"/>
        <v>0</v>
      </c>
      <c r="BT39" s="538"/>
      <c r="BU39" s="539">
        <f t="shared" si="22"/>
        <v>0</v>
      </c>
      <c r="BV39" s="540">
        <f t="shared" si="134"/>
        <v>0</v>
      </c>
      <c r="BW39" s="538">
        <v>0</v>
      </c>
      <c r="BX39" s="539">
        <f t="shared" si="23"/>
        <v>0</v>
      </c>
      <c r="BY39" s="540">
        <f t="shared" si="135"/>
        <v>0</v>
      </c>
      <c r="BZ39" s="538">
        <v>0</v>
      </c>
      <c r="CA39" s="539">
        <f t="shared" si="24"/>
        <v>0</v>
      </c>
      <c r="CB39" s="540">
        <f t="shared" si="136"/>
        <v>0</v>
      </c>
      <c r="CC39" s="538">
        <v>0</v>
      </c>
      <c r="CD39" s="539">
        <f t="shared" si="25"/>
        <v>0</v>
      </c>
      <c r="CE39" s="540">
        <f t="shared" si="137"/>
        <v>0</v>
      </c>
      <c r="CF39" s="538">
        <v>0.10000000000000003</v>
      </c>
      <c r="CG39" s="539">
        <f t="shared" si="26"/>
        <v>2.06932229694775E-3</v>
      </c>
      <c r="CH39" s="540">
        <f t="shared" si="138"/>
        <v>0</v>
      </c>
      <c r="CI39" s="538">
        <v>0</v>
      </c>
      <c r="CJ39" s="539">
        <f t="shared" si="27"/>
        <v>0</v>
      </c>
      <c r="CK39" s="540">
        <f t="shared" si="139"/>
        <v>0</v>
      </c>
      <c r="CL39" s="538"/>
      <c r="CM39" s="539">
        <f t="shared" si="28"/>
        <v>0</v>
      </c>
      <c r="CN39" s="540">
        <f t="shared" si="140"/>
        <v>0</v>
      </c>
      <c r="CO39" s="538"/>
      <c r="CP39" s="539">
        <f t="shared" si="29"/>
        <v>0</v>
      </c>
      <c r="CQ39" s="540">
        <f t="shared" si="141"/>
        <v>0</v>
      </c>
      <c r="CR39" s="538"/>
      <c r="CS39" s="539">
        <f t="shared" si="30"/>
        <v>0</v>
      </c>
      <c r="CT39" s="540">
        <f t="shared" si="142"/>
        <v>0</v>
      </c>
      <c r="CU39" s="538"/>
      <c r="CV39" s="539">
        <f t="shared" si="31"/>
        <v>0</v>
      </c>
      <c r="CW39" s="540">
        <f t="shared" si="143"/>
        <v>0</v>
      </c>
      <c r="CX39" s="538"/>
      <c r="CY39" s="539">
        <f t="shared" si="32"/>
        <v>0</v>
      </c>
      <c r="CZ39" s="540">
        <f t="shared" si="144"/>
        <v>0</v>
      </c>
      <c r="DA39" s="538"/>
      <c r="DB39" s="539">
        <f t="shared" si="33"/>
        <v>0</v>
      </c>
      <c r="DC39" s="540">
        <f t="shared" si="145"/>
        <v>0</v>
      </c>
      <c r="DD39" s="538"/>
      <c r="DE39" s="539">
        <f t="shared" si="34"/>
        <v>0</v>
      </c>
      <c r="DF39" s="540">
        <f t="shared" si="146"/>
        <v>0</v>
      </c>
      <c r="DG39" s="538">
        <v>0</v>
      </c>
      <c r="DH39" s="539">
        <f t="shared" si="35"/>
        <v>0</v>
      </c>
      <c r="DI39" s="540">
        <f t="shared" si="203"/>
        <v>0</v>
      </c>
      <c r="DJ39" s="538"/>
      <c r="DK39" s="539">
        <f t="shared" si="36"/>
        <v>0</v>
      </c>
      <c r="DL39" s="540">
        <f t="shared" si="147"/>
        <v>0</v>
      </c>
      <c r="DM39" s="538"/>
      <c r="DN39" s="539">
        <f t="shared" si="37"/>
        <v>0</v>
      </c>
      <c r="DO39" s="540">
        <f t="shared" si="148"/>
        <v>0</v>
      </c>
      <c r="DP39" s="538"/>
      <c r="DQ39" s="539">
        <f t="shared" si="38"/>
        <v>0</v>
      </c>
      <c r="DR39" s="540">
        <f t="shared" si="149"/>
        <v>0</v>
      </c>
      <c r="DS39" s="538"/>
      <c r="DT39" s="539">
        <f t="shared" si="39"/>
        <v>0</v>
      </c>
      <c r="DU39" s="540">
        <f t="shared" si="150"/>
        <v>0</v>
      </c>
      <c r="DV39" s="538"/>
      <c r="DW39" s="539">
        <f t="shared" si="40"/>
        <v>0</v>
      </c>
      <c r="DX39" s="540">
        <f t="shared" si="151"/>
        <v>0</v>
      </c>
      <c r="DY39" s="538"/>
      <c r="DZ39" s="539">
        <f t="shared" si="41"/>
        <v>0</v>
      </c>
      <c r="EA39" s="540">
        <f t="shared" si="152"/>
        <v>0</v>
      </c>
      <c r="EB39" s="538">
        <v>14.534883720930239</v>
      </c>
      <c r="EC39" s="539">
        <f t="shared" si="42"/>
        <v>0.30077358967263812</v>
      </c>
      <c r="ED39" s="540">
        <f t="shared" si="153"/>
        <v>0</v>
      </c>
      <c r="EE39" s="538">
        <v>2</v>
      </c>
      <c r="EF39" s="539">
        <f t="shared" si="43"/>
        <v>4.1386445938954991E-2</v>
      </c>
      <c r="EG39" s="540">
        <f t="shared" si="154"/>
        <v>0</v>
      </c>
      <c r="EH39" s="538"/>
      <c r="EI39" s="539">
        <f t="shared" si="44"/>
        <v>0</v>
      </c>
      <c r="EJ39" s="540">
        <f t="shared" si="155"/>
        <v>0</v>
      </c>
      <c r="EK39" s="538"/>
      <c r="EL39" s="539">
        <f t="shared" si="45"/>
        <v>0</v>
      </c>
      <c r="EM39" s="540">
        <f t="shared" si="156"/>
        <v>0</v>
      </c>
      <c r="EN39" s="538"/>
      <c r="EO39" s="539">
        <f t="shared" si="46"/>
        <v>0</v>
      </c>
      <c r="EP39" s="540">
        <f t="shared" si="157"/>
        <v>0</v>
      </c>
      <c r="EQ39" s="538"/>
      <c r="ER39" s="539">
        <f t="shared" si="47"/>
        <v>0</v>
      </c>
      <c r="ES39" s="540">
        <f t="shared" si="158"/>
        <v>0</v>
      </c>
      <c r="ET39" s="538"/>
      <c r="EU39" s="539">
        <f t="shared" si="48"/>
        <v>0</v>
      </c>
      <c r="EV39" s="540">
        <f t="shared" si="159"/>
        <v>0</v>
      </c>
      <c r="EW39" s="538"/>
      <c r="EX39" s="539">
        <f t="shared" si="49"/>
        <v>0</v>
      </c>
      <c r="EY39" s="540">
        <f t="shared" si="160"/>
        <v>0</v>
      </c>
      <c r="EZ39" s="538"/>
      <c r="FA39" s="539">
        <f t="shared" si="50"/>
        <v>0</v>
      </c>
      <c r="FB39" s="540">
        <f t="shared" si="161"/>
        <v>0</v>
      </c>
      <c r="FC39" s="538"/>
      <c r="FD39" s="539">
        <f t="shared" si="51"/>
        <v>0</v>
      </c>
      <c r="FE39" s="540">
        <f t="shared" si="162"/>
        <v>0</v>
      </c>
      <c r="FF39" s="538"/>
      <c r="FG39" s="539">
        <f t="shared" si="52"/>
        <v>0</v>
      </c>
      <c r="FH39" s="540">
        <f t="shared" si="163"/>
        <v>0</v>
      </c>
      <c r="FI39" s="538"/>
      <c r="FJ39" s="539">
        <f t="shared" si="53"/>
        <v>0</v>
      </c>
      <c r="FK39" s="540">
        <f t="shared" si="164"/>
        <v>0</v>
      </c>
      <c r="FL39" s="538"/>
      <c r="FM39" s="539">
        <f t="shared" si="54"/>
        <v>0</v>
      </c>
      <c r="FN39" s="540">
        <f t="shared" si="165"/>
        <v>0</v>
      </c>
      <c r="FO39" s="538"/>
      <c r="FP39" s="539">
        <f t="shared" si="55"/>
        <v>0</v>
      </c>
      <c r="FQ39" s="540">
        <f t="shared" si="166"/>
        <v>0</v>
      </c>
      <c r="FR39" s="538"/>
      <c r="FS39" s="539">
        <f t="shared" si="56"/>
        <v>0</v>
      </c>
      <c r="FT39" s="540">
        <f t="shared" si="167"/>
        <v>0</v>
      </c>
      <c r="FU39" s="538"/>
      <c r="FV39" s="539">
        <f t="shared" si="57"/>
        <v>0</v>
      </c>
      <c r="FW39" s="540">
        <f t="shared" si="168"/>
        <v>0</v>
      </c>
      <c r="FX39" s="538"/>
      <c r="FY39" s="539">
        <f t="shared" si="58"/>
        <v>0</v>
      </c>
      <c r="FZ39" s="540">
        <f t="shared" si="169"/>
        <v>0</v>
      </c>
      <c r="GA39" s="538"/>
      <c r="GB39" s="539">
        <f t="shared" si="59"/>
        <v>0</v>
      </c>
      <c r="GC39" s="540">
        <f t="shared" si="170"/>
        <v>0</v>
      </c>
      <c r="GD39" s="538"/>
      <c r="GE39" s="539">
        <f t="shared" si="60"/>
        <v>0</v>
      </c>
      <c r="GF39" s="540">
        <f t="shared" si="171"/>
        <v>0</v>
      </c>
      <c r="GG39" s="538"/>
      <c r="GH39" s="539">
        <f t="shared" si="61"/>
        <v>0</v>
      </c>
      <c r="GI39" s="540">
        <f t="shared" si="172"/>
        <v>0</v>
      </c>
      <c r="GJ39" s="538"/>
      <c r="GK39" s="539">
        <f t="shared" si="62"/>
        <v>0</v>
      </c>
      <c r="GL39" s="540">
        <f t="shared" si="173"/>
        <v>0</v>
      </c>
      <c r="GM39" s="538"/>
      <c r="GN39" s="539">
        <f t="shared" si="63"/>
        <v>0</v>
      </c>
      <c r="GO39" s="540">
        <f t="shared" si="174"/>
        <v>0</v>
      </c>
      <c r="GP39" s="538"/>
      <c r="GQ39" s="539">
        <f t="shared" si="64"/>
        <v>0</v>
      </c>
      <c r="GR39" s="540">
        <f t="shared" si="175"/>
        <v>0</v>
      </c>
      <c r="GS39" s="538"/>
      <c r="GT39" s="539">
        <f t="shared" si="65"/>
        <v>0</v>
      </c>
      <c r="GU39" s="540">
        <f t="shared" si="176"/>
        <v>0</v>
      </c>
      <c r="GV39" s="538"/>
      <c r="GW39" s="539">
        <f t="shared" si="66"/>
        <v>0</v>
      </c>
      <c r="GX39" s="540">
        <f t="shared" si="177"/>
        <v>0</v>
      </c>
      <c r="GY39" s="538"/>
      <c r="GZ39" s="539">
        <f t="shared" si="67"/>
        <v>0</v>
      </c>
      <c r="HA39" s="540">
        <f t="shared" si="178"/>
        <v>0</v>
      </c>
      <c r="HB39" s="538"/>
      <c r="HC39" s="539">
        <f t="shared" si="68"/>
        <v>0</v>
      </c>
      <c r="HD39" s="540">
        <f t="shared" si="179"/>
        <v>0</v>
      </c>
      <c r="HE39" s="538"/>
      <c r="HF39" s="539">
        <f t="shared" si="69"/>
        <v>0</v>
      </c>
      <c r="HG39" s="540">
        <f t="shared" si="180"/>
        <v>0</v>
      </c>
      <c r="HH39" s="538"/>
      <c r="HI39" s="539">
        <f t="shared" si="70"/>
        <v>0</v>
      </c>
      <c r="HJ39" s="540">
        <f t="shared" si="181"/>
        <v>0</v>
      </c>
      <c r="HK39" s="538"/>
      <c r="HL39" s="539">
        <f t="shared" si="71"/>
        <v>0</v>
      </c>
      <c r="HM39" s="540">
        <f t="shared" si="182"/>
        <v>0</v>
      </c>
      <c r="HN39" s="538"/>
      <c r="HO39" s="539">
        <f t="shared" si="72"/>
        <v>0</v>
      </c>
      <c r="HP39" s="540">
        <f t="shared" si="183"/>
        <v>0</v>
      </c>
      <c r="HQ39" s="538"/>
      <c r="HR39" s="539">
        <f t="shared" si="73"/>
        <v>0</v>
      </c>
      <c r="HS39" s="540">
        <f t="shared" si="184"/>
        <v>0</v>
      </c>
      <c r="HT39" s="538"/>
      <c r="HU39" s="539">
        <f t="shared" si="74"/>
        <v>0</v>
      </c>
      <c r="HV39" s="540">
        <f t="shared" si="185"/>
        <v>0</v>
      </c>
      <c r="HW39" s="538"/>
      <c r="HX39" s="539">
        <f t="shared" si="75"/>
        <v>0</v>
      </c>
      <c r="HY39" s="540">
        <f t="shared" si="186"/>
        <v>0</v>
      </c>
      <c r="HZ39" s="538"/>
      <c r="IA39" s="539">
        <f t="shared" si="76"/>
        <v>0</v>
      </c>
      <c r="IB39" s="540">
        <f t="shared" si="187"/>
        <v>0</v>
      </c>
      <c r="IC39" s="538"/>
      <c r="ID39" s="539">
        <f t="shared" si="77"/>
        <v>0</v>
      </c>
      <c r="IE39" s="540">
        <f t="shared" si="188"/>
        <v>0</v>
      </c>
      <c r="IF39" s="538"/>
      <c r="IG39" s="539">
        <f t="shared" si="78"/>
        <v>0</v>
      </c>
      <c r="IH39" s="540">
        <f t="shared" si="189"/>
        <v>0</v>
      </c>
      <c r="II39" s="538"/>
      <c r="IJ39" s="539">
        <f t="shared" si="79"/>
        <v>0</v>
      </c>
      <c r="IK39" s="540">
        <f t="shared" si="190"/>
        <v>0</v>
      </c>
      <c r="IL39" s="538"/>
      <c r="IM39" s="539">
        <f t="shared" si="80"/>
        <v>0</v>
      </c>
      <c r="IN39" s="540">
        <f t="shared" si="191"/>
        <v>0</v>
      </c>
      <c r="IO39" s="538"/>
      <c r="IP39" s="539">
        <f t="shared" si="81"/>
        <v>0</v>
      </c>
      <c r="IQ39" s="540">
        <f t="shared" si="192"/>
        <v>0</v>
      </c>
      <c r="IR39" s="538"/>
      <c r="IS39" s="539">
        <f t="shared" si="82"/>
        <v>0</v>
      </c>
      <c r="IT39" s="540">
        <f t="shared" si="193"/>
        <v>0</v>
      </c>
      <c r="IU39" s="538"/>
      <c r="IV39" s="539">
        <f t="shared" si="83"/>
        <v>0</v>
      </c>
      <c r="IW39" s="540">
        <f t="shared" si="194"/>
        <v>0</v>
      </c>
      <c r="IX39" s="538"/>
      <c r="IY39" s="539">
        <f t="shared" si="84"/>
        <v>0</v>
      </c>
      <c r="IZ39" s="540">
        <f t="shared" si="195"/>
        <v>0</v>
      </c>
      <c r="JA39" s="538"/>
      <c r="JB39" s="539">
        <f t="shared" si="85"/>
        <v>0</v>
      </c>
      <c r="JC39" s="540">
        <f t="shared" si="196"/>
        <v>0</v>
      </c>
      <c r="JD39" s="538"/>
      <c r="JE39" s="539">
        <f t="shared" si="86"/>
        <v>0</v>
      </c>
      <c r="JF39" s="540">
        <f t="shared" si="197"/>
        <v>0</v>
      </c>
      <c r="JG39" s="538"/>
      <c r="JH39" s="539">
        <f t="shared" si="87"/>
        <v>0</v>
      </c>
      <c r="JI39" s="540">
        <f t="shared" si="198"/>
        <v>0</v>
      </c>
      <c r="JJ39" s="538"/>
      <c r="JK39" s="540" t="str">
        <f t="shared" si="88"/>
        <v>0</v>
      </c>
      <c r="JL39" s="540" t="str">
        <f t="shared" si="89"/>
        <v>0</v>
      </c>
      <c r="JM39" s="538"/>
      <c r="JN39" s="540" t="str">
        <f t="shared" si="90"/>
        <v>0</v>
      </c>
      <c r="JO39" s="540" t="str">
        <f t="shared" si="91"/>
        <v>0</v>
      </c>
      <c r="JP39" s="538"/>
      <c r="JQ39" s="540" t="str">
        <f t="shared" si="92"/>
        <v>0</v>
      </c>
      <c r="JR39" s="540" t="str">
        <f t="shared" si="93"/>
        <v>0</v>
      </c>
      <c r="JS39" s="538"/>
      <c r="JT39" s="540" t="str">
        <f t="shared" si="94"/>
        <v>0</v>
      </c>
      <c r="JU39" s="540" t="str">
        <f t="shared" si="95"/>
        <v>0</v>
      </c>
      <c r="JV39" s="538"/>
      <c r="JW39" s="540" t="str">
        <f t="shared" si="96"/>
        <v>0</v>
      </c>
      <c r="JX39" s="540" t="str">
        <f t="shared" si="97"/>
        <v>0</v>
      </c>
      <c r="JY39" s="538"/>
      <c r="JZ39" s="540" t="str">
        <f t="shared" si="98"/>
        <v>0</v>
      </c>
      <c r="KA39" s="540" t="str">
        <f t="shared" si="99"/>
        <v>0</v>
      </c>
      <c r="KB39" s="538"/>
      <c r="KC39" s="540" t="str">
        <f t="shared" si="100"/>
        <v>0</v>
      </c>
      <c r="KD39" s="540" t="str">
        <f t="shared" si="101"/>
        <v>0</v>
      </c>
      <c r="KE39" s="538"/>
      <c r="KF39" s="540" t="str">
        <f t="shared" si="102"/>
        <v>0</v>
      </c>
      <c r="KG39" s="540" t="str">
        <f t="shared" si="103"/>
        <v>0</v>
      </c>
      <c r="KH39" s="538"/>
      <c r="KI39" s="540" t="str">
        <f t="shared" si="104"/>
        <v>0</v>
      </c>
      <c r="KJ39" s="540" t="str">
        <f t="shared" si="105"/>
        <v>0</v>
      </c>
      <c r="KK39" s="538"/>
      <c r="KL39" s="540" t="str">
        <f t="shared" si="106"/>
        <v>0</v>
      </c>
      <c r="KM39" s="540" t="str">
        <f t="shared" si="107"/>
        <v>0</v>
      </c>
      <c r="KN39" s="538"/>
      <c r="KO39" s="540" t="str">
        <f t="shared" si="108"/>
        <v>0</v>
      </c>
      <c r="KP39" s="540" t="str">
        <f t="shared" si="109"/>
        <v>0</v>
      </c>
      <c r="KQ39" s="538"/>
      <c r="KR39" s="540" t="str">
        <f t="shared" si="110"/>
        <v>0</v>
      </c>
      <c r="KS39" s="540" t="str">
        <f t="shared" si="111"/>
        <v>0</v>
      </c>
      <c r="KT39" s="540">
        <f t="shared" si="201"/>
        <v>0</v>
      </c>
      <c r="KU39" s="540">
        <f t="shared" si="202"/>
        <v>0</v>
      </c>
      <c r="KV39" s="274">
        <f t="shared" si="199"/>
        <v>470.14239086685058</v>
      </c>
    </row>
    <row r="40" spans="1:308" ht="15" customHeight="1" thickBot="1">
      <c r="A40" s="281"/>
      <c r="B40" s="282"/>
      <c r="C40" s="283"/>
      <c r="D40" s="283"/>
      <c r="E40" s="279">
        <f>+Report1!R40</f>
        <v>0</v>
      </c>
      <c r="F40" s="538"/>
      <c r="G40" s="539"/>
      <c r="H40" s="540"/>
      <c r="I40" s="538"/>
      <c r="J40" s="539"/>
      <c r="K40" s="540"/>
      <c r="L40" s="538"/>
      <c r="M40" s="539"/>
      <c r="N40" s="540"/>
      <c r="O40" s="538"/>
      <c r="P40" s="539"/>
      <c r="Q40" s="540"/>
      <c r="R40" s="538"/>
      <c r="S40" s="539"/>
      <c r="T40" s="540"/>
      <c r="U40" s="538"/>
      <c r="V40" s="539"/>
      <c r="W40" s="540"/>
      <c r="X40" s="538"/>
      <c r="Y40" s="539"/>
      <c r="Z40" s="540"/>
      <c r="AA40" s="538"/>
      <c r="AB40" s="539"/>
      <c r="AC40" s="540"/>
      <c r="AD40" s="538"/>
      <c r="AE40" s="539"/>
      <c r="AF40" s="540"/>
      <c r="AG40" s="538"/>
      <c r="AH40" s="539"/>
      <c r="AI40" s="540"/>
      <c r="AJ40" s="538"/>
      <c r="AK40" s="539"/>
      <c r="AL40" s="540"/>
      <c r="AM40" s="538"/>
      <c r="AN40" s="539"/>
      <c r="AO40" s="540"/>
      <c r="AP40" s="538"/>
      <c r="AQ40" s="539"/>
      <c r="AR40" s="540"/>
      <c r="AS40" s="538"/>
      <c r="AT40" s="539"/>
      <c r="AU40" s="540"/>
      <c r="AV40" s="538"/>
      <c r="AW40" s="539"/>
      <c r="AX40" s="540"/>
      <c r="AY40" s="538"/>
      <c r="AZ40" s="539"/>
      <c r="BA40" s="540"/>
      <c r="BB40" s="538"/>
      <c r="BC40" s="539"/>
      <c r="BD40" s="540"/>
      <c r="BE40" s="538"/>
      <c r="BF40" s="539"/>
      <c r="BG40" s="540"/>
      <c r="BH40" s="538"/>
      <c r="BI40" s="539"/>
      <c r="BJ40" s="540"/>
      <c r="BK40" s="538"/>
      <c r="BL40" s="539"/>
      <c r="BM40" s="540"/>
      <c r="BN40" s="538"/>
      <c r="BO40" s="539"/>
      <c r="BP40" s="540"/>
      <c r="BQ40" s="538"/>
      <c r="BR40" s="539"/>
      <c r="BS40" s="540"/>
      <c r="BT40" s="538"/>
      <c r="BU40" s="539"/>
      <c r="BV40" s="540"/>
      <c r="BW40" s="538"/>
      <c r="BX40" s="539"/>
      <c r="BY40" s="540"/>
      <c r="BZ40" s="538"/>
      <c r="CA40" s="539"/>
      <c r="CB40" s="540"/>
      <c r="CC40" s="538"/>
      <c r="CD40" s="539"/>
      <c r="CE40" s="540"/>
      <c r="CF40" s="538"/>
      <c r="CG40" s="539"/>
      <c r="CH40" s="540"/>
      <c r="CI40" s="538"/>
      <c r="CJ40" s="539"/>
      <c r="CK40" s="540"/>
      <c r="CL40" s="538"/>
      <c r="CM40" s="539"/>
      <c r="CN40" s="540"/>
      <c r="CO40" s="538"/>
      <c r="CP40" s="539"/>
      <c r="CQ40" s="540"/>
      <c r="CR40" s="538"/>
      <c r="CS40" s="539"/>
      <c r="CT40" s="540"/>
      <c r="CU40" s="538"/>
      <c r="CV40" s="539"/>
      <c r="CW40" s="540"/>
      <c r="CX40" s="538"/>
      <c r="CY40" s="539"/>
      <c r="CZ40" s="540"/>
      <c r="DA40" s="538"/>
      <c r="DB40" s="539"/>
      <c r="DC40" s="540"/>
      <c r="DD40" s="538"/>
      <c r="DE40" s="539"/>
      <c r="DF40" s="540"/>
      <c r="DG40" s="538"/>
      <c r="DH40" s="539"/>
      <c r="DI40" s="540"/>
      <c r="DJ40" s="538"/>
      <c r="DK40" s="539"/>
      <c r="DL40" s="540"/>
      <c r="DM40" s="538"/>
      <c r="DN40" s="539"/>
      <c r="DO40" s="540"/>
      <c r="DP40" s="538"/>
      <c r="DQ40" s="539"/>
      <c r="DR40" s="540"/>
      <c r="DS40" s="538"/>
      <c r="DT40" s="539"/>
      <c r="DU40" s="540"/>
      <c r="DV40" s="538"/>
      <c r="DW40" s="539"/>
      <c r="DX40" s="540"/>
      <c r="DY40" s="538"/>
      <c r="DZ40" s="539"/>
      <c r="EA40" s="540"/>
      <c r="EB40" s="538"/>
      <c r="EC40" s="539"/>
      <c r="ED40" s="540"/>
      <c r="EE40" s="538"/>
      <c r="EF40" s="539"/>
      <c r="EG40" s="540"/>
      <c r="EH40" s="538"/>
      <c r="EI40" s="539"/>
      <c r="EJ40" s="540"/>
      <c r="EK40" s="538"/>
      <c r="EL40" s="539"/>
      <c r="EM40" s="540"/>
      <c r="EN40" s="538"/>
      <c r="EO40" s="539"/>
      <c r="EP40" s="540"/>
      <c r="EQ40" s="538"/>
      <c r="ER40" s="539"/>
      <c r="ES40" s="540"/>
      <c r="ET40" s="538"/>
      <c r="EU40" s="539"/>
      <c r="EV40" s="540"/>
      <c r="EW40" s="538"/>
      <c r="EX40" s="539"/>
      <c r="EY40" s="540"/>
      <c r="EZ40" s="538"/>
      <c r="FA40" s="539"/>
      <c r="FB40" s="540"/>
      <c r="FC40" s="538"/>
      <c r="FD40" s="539"/>
      <c r="FE40" s="540"/>
      <c r="FF40" s="538"/>
      <c r="FG40" s="539"/>
      <c r="FH40" s="540"/>
      <c r="FI40" s="538"/>
      <c r="FJ40" s="539"/>
      <c r="FK40" s="540"/>
      <c r="FL40" s="538"/>
      <c r="FM40" s="539"/>
      <c r="FN40" s="540"/>
      <c r="FO40" s="538"/>
      <c r="FP40" s="539"/>
      <c r="FQ40" s="540"/>
      <c r="FR40" s="538"/>
      <c r="FS40" s="539"/>
      <c r="FT40" s="540"/>
      <c r="FU40" s="538"/>
      <c r="FV40" s="539"/>
      <c r="FW40" s="540"/>
      <c r="FX40" s="538"/>
      <c r="FY40" s="539"/>
      <c r="FZ40" s="540"/>
      <c r="GA40" s="538"/>
      <c r="GB40" s="539"/>
      <c r="GC40" s="540"/>
      <c r="GD40" s="538"/>
      <c r="GE40" s="539"/>
      <c r="GF40" s="540"/>
      <c r="GG40" s="538"/>
      <c r="GH40" s="539"/>
      <c r="GI40" s="540"/>
      <c r="GJ40" s="538"/>
      <c r="GK40" s="539"/>
      <c r="GL40" s="540"/>
      <c r="GM40" s="538"/>
      <c r="GN40" s="539"/>
      <c r="GO40" s="540"/>
      <c r="GP40" s="538"/>
      <c r="GQ40" s="539"/>
      <c r="GR40" s="540"/>
      <c r="GS40" s="538"/>
      <c r="GT40" s="539"/>
      <c r="GU40" s="540"/>
      <c r="GV40" s="538"/>
      <c r="GW40" s="539"/>
      <c r="GX40" s="540"/>
      <c r="GY40" s="538"/>
      <c r="GZ40" s="539"/>
      <c r="HA40" s="540"/>
      <c r="HB40" s="538"/>
      <c r="HC40" s="539"/>
      <c r="HD40" s="540"/>
      <c r="HE40" s="538"/>
      <c r="HF40" s="539"/>
      <c r="HG40" s="540"/>
      <c r="HH40" s="538"/>
      <c r="HI40" s="539"/>
      <c r="HJ40" s="540"/>
      <c r="HK40" s="538"/>
      <c r="HL40" s="539"/>
      <c r="HM40" s="540"/>
      <c r="HN40" s="538"/>
      <c r="HO40" s="539"/>
      <c r="HP40" s="540"/>
      <c r="HQ40" s="538"/>
      <c r="HR40" s="539"/>
      <c r="HS40" s="540"/>
      <c r="HT40" s="538"/>
      <c r="HU40" s="539"/>
      <c r="HV40" s="540"/>
      <c r="HW40" s="538"/>
      <c r="HX40" s="539"/>
      <c r="HY40" s="540"/>
      <c r="HZ40" s="538"/>
      <c r="IA40" s="539"/>
      <c r="IB40" s="540"/>
      <c r="IC40" s="538"/>
      <c r="ID40" s="539"/>
      <c r="IE40" s="540"/>
      <c r="IF40" s="538"/>
      <c r="IG40" s="539"/>
      <c r="IH40" s="540"/>
      <c r="II40" s="538"/>
      <c r="IJ40" s="539"/>
      <c r="IK40" s="540"/>
      <c r="IL40" s="538"/>
      <c r="IM40" s="539"/>
      <c r="IN40" s="540"/>
      <c r="IO40" s="538"/>
      <c r="IP40" s="539"/>
      <c r="IQ40" s="540"/>
      <c r="IR40" s="538"/>
      <c r="IS40" s="539"/>
      <c r="IT40" s="540"/>
      <c r="IU40" s="538"/>
      <c r="IV40" s="539"/>
      <c r="IW40" s="540"/>
      <c r="IX40" s="538"/>
      <c r="IY40" s="539"/>
      <c r="IZ40" s="540"/>
      <c r="JA40" s="538"/>
      <c r="JB40" s="539"/>
      <c r="JC40" s="540"/>
      <c r="JD40" s="538"/>
      <c r="JE40" s="539"/>
      <c r="JF40" s="540"/>
      <c r="JG40" s="538"/>
      <c r="JH40" s="539"/>
      <c r="JI40" s="540"/>
      <c r="JJ40" s="538"/>
      <c r="JK40" s="540"/>
      <c r="JL40" s="540"/>
      <c r="JM40" s="538"/>
      <c r="JN40" s="540"/>
      <c r="JO40" s="540"/>
      <c r="JP40" s="538"/>
      <c r="JQ40" s="540"/>
      <c r="JR40" s="540"/>
      <c r="JS40" s="538"/>
      <c r="JT40" s="540"/>
      <c r="JU40" s="540"/>
      <c r="JV40" s="538"/>
      <c r="JW40" s="540"/>
      <c r="JX40" s="540"/>
      <c r="JY40" s="538"/>
      <c r="JZ40" s="540"/>
      <c r="KA40" s="540"/>
      <c r="KB40" s="538"/>
      <c r="KC40" s="540"/>
      <c r="KD40" s="540"/>
      <c r="KE40" s="538"/>
      <c r="KF40" s="540"/>
      <c r="KG40" s="540"/>
      <c r="KH40" s="538"/>
      <c r="KI40" s="540"/>
      <c r="KJ40" s="540"/>
      <c r="KK40" s="538"/>
      <c r="KL40" s="540"/>
      <c r="KM40" s="540"/>
      <c r="KN40" s="538"/>
      <c r="KO40" s="540"/>
      <c r="KP40" s="540"/>
      <c r="KQ40" s="538"/>
      <c r="KR40" s="540"/>
      <c r="KS40" s="540"/>
      <c r="KT40" s="540"/>
      <c r="KU40" s="540"/>
      <c r="KV40" s="274"/>
    </row>
    <row r="41" spans="1:308" s="280" customFormat="1" ht="15" customHeight="1" thickTop="1" thickBot="1">
      <c r="A41" s="965" t="s">
        <v>28</v>
      </c>
      <c r="B41" s="966"/>
      <c r="C41" s="967"/>
      <c r="D41" s="284">
        <f>SUM(D9:D40)</f>
        <v>1922.6600000000003</v>
      </c>
      <c r="E41" s="284">
        <f>SUM(E9:E40)</f>
        <v>1865.5170000000001</v>
      </c>
      <c r="F41" s="535">
        <f>SUM(F9:F39)</f>
        <v>0</v>
      </c>
      <c r="G41" s="535">
        <f>IFERROR((F41/$L$41),0)</f>
        <v>0</v>
      </c>
      <c r="H41" s="535">
        <f>IFERROR(((F41*H$8)/$L$41),0)</f>
        <v>0</v>
      </c>
      <c r="I41" s="535">
        <f>SUM(I9:I39)</f>
        <v>14290.697674418607</v>
      </c>
      <c r="J41" s="535">
        <f>IFERROR((I41/$L$41),0)</f>
        <v>0</v>
      </c>
      <c r="K41" s="535">
        <f>IFERROR(((I41*K$8)/$L$41),0)</f>
        <v>0</v>
      </c>
      <c r="L41" s="535">
        <f>SUM(L9:L39)</f>
        <v>0</v>
      </c>
      <c r="M41" s="535">
        <f>IFERROR((L41/$L$41),0)</f>
        <v>0</v>
      </c>
      <c r="N41" s="535">
        <f>IFERROR(((L41*N$8)/$L$41),0)</f>
        <v>0</v>
      </c>
      <c r="O41" s="535">
        <f>SUM(O9:O39)</f>
        <v>198</v>
      </c>
      <c r="P41" s="535">
        <f>IFERROR((O41/$L$41),0)</f>
        <v>0</v>
      </c>
      <c r="Q41" s="535">
        <f>IFERROR(((O41*Q$8)/$L$41),0)</f>
        <v>0</v>
      </c>
      <c r="R41" s="535">
        <f>SUM(R9:R39)</f>
        <v>0</v>
      </c>
      <c r="S41" s="535">
        <f>IFERROR((R41/$L$41),0)</f>
        <v>0</v>
      </c>
      <c r="T41" s="535">
        <f>IFERROR(((R41*T$8)/$L$41),0)</f>
        <v>0</v>
      </c>
      <c r="U41" s="535">
        <f>SUM(U9:U39)</f>
        <v>125.56250000000001</v>
      </c>
      <c r="V41" s="535">
        <f>IFERROR((U41/$L$41),0)</f>
        <v>0</v>
      </c>
      <c r="W41" s="535">
        <f>IFERROR(((U41*W$8)/$L$41),0)</f>
        <v>0</v>
      </c>
      <c r="X41" s="535">
        <f>SUM(X9:X39)</f>
        <v>0</v>
      </c>
      <c r="Y41" s="535">
        <f>IFERROR((X41/$L$41),0)</f>
        <v>0</v>
      </c>
      <c r="Z41" s="535">
        <f>IFERROR(((X41*Z$8)/$L$41),0)</f>
        <v>0</v>
      </c>
      <c r="AA41" s="535">
        <f>SUM(AA9:AA39)</f>
        <v>0</v>
      </c>
      <c r="AB41" s="535">
        <f>IFERROR((AA41/$L$41),0)</f>
        <v>0</v>
      </c>
      <c r="AC41" s="535">
        <f>IFERROR(((AA41*AC$8)/$L$41),0)</f>
        <v>0</v>
      </c>
      <c r="AD41" s="535">
        <f>SUM(AD9:AD39)</f>
        <v>0</v>
      </c>
      <c r="AE41" s="535">
        <f>IFERROR((AD41/$L$41),0)</f>
        <v>0</v>
      </c>
      <c r="AF41" s="535">
        <f>IFERROR(((AD41*AF$8)/$L$41),0)</f>
        <v>0</v>
      </c>
      <c r="AG41" s="535">
        <f>SUM(AG9:AG39)</f>
        <v>0</v>
      </c>
      <c r="AH41" s="535">
        <f>IFERROR((AG41/$L$41),0)</f>
        <v>0</v>
      </c>
      <c r="AI41" s="535">
        <f>IFERROR(((AG41*AI$8)/$L$41),0)</f>
        <v>0</v>
      </c>
      <c r="AJ41" s="535">
        <f>SUM(AJ9:AJ39)</f>
        <v>108.6824</v>
      </c>
      <c r="AK41" s="535">
        <f>IFERROR((AJ41/$L$41),0)</f>
        <v>0</v>
      </c>
      <c r="AL41" s="535">
        <f>IFERROR(((AJ41*AL$8)/$L$41),0)</f>
        <v>0</v>
      </c>
      <c r="AM41" s="535">
        <f>SUM(AM9:AM39)</f>
        <v>181.3461538461539</v>
      </c>
      <c r="AN41" s="535">
        <f>IFERROR((AM41/$L$41),0)</f>
        <v>0</v>
      </c>
      <c r="AO41" s="535">
        <f>IFERROR(((AM41*AO$8)/$L$41),0)</f>
        <v>0</v>
      </c>
      <c r="AP41" s="535">
        <f>SUM(AP9:AP39)</f>
        <v>783.22784810126564</v>
      </c>
      <c r="AQ41" s="535">
        <f>IFERROR((AP41/$L$41),0)</f>
        <v>0</v>
      </c>
      <c r="AR41" s="535">
        <f>IFERROR(((AP41*AR$8)/$L$41),0)</f>
        <v>0</v>
      </c>
      <c r="AS41" s="535">
        <f>SUM(AS9:AS39)</f>
        <v>0</v>
      </c>
      <c r="AT41" s="535">
        <f>IFERROR((AS41/$L$41),0)</f>
        <v>0</v>
      </c>
      <c r="AU41" s="535">
        <f>IFERROR(((AS41*AU$8)/$L$41),0)</f>
        <v>0</v>
      </c>
      <c r="AV41" s="535">
        <f>SUM(AV9:AV39)</f>
        <v>165.03009999999995</v>
      </c>
      <c r="AW41" s="535">
        <f>IFERROR((AV41/$L$41),0)</f>
        <v>0</v>
      </c>
      <c r="AX41" s="535">
        <f>IFERROR(((AV41*AX$8)/$L$41),0)</f>
        <v>0</v>
      </c>
      <c r="AY41" s="535">
        <f>SUM(AY9:AY39)</f>
        <v>1253</v>
      </c>
      <c r="AZ41" s="535">
        <f>IFERROR((AY41/$L$41),0)</f>
        <v>0</v>
      </c>
      <c r="BA41" s="535">
        <f>IFERROR(((AY41*BA$8)/$L$41),0)</f>
        <v>0</v>
      </c>
      <c r="BB41" s="535">
        <f>SUM(BB9:BB39)</f>
        <v>667.33333333333337</v>
      </c>
      <c r="BC41" s="535">
        <f>IFERROR((BB41/$L$41),0)</f>
        <v>0</v>
      </c>
      <c r="BD41" s="535">
        <f>IFERROR(((BB41*BD$8)/$L$41),0)</f>
        <v>0</v>
      </c>
      <c r="BE41" s="535">
        <f>SUM(BE9:BE39)</f>
        <v>0</v>
      </c>
      <c r="BF41" s="535">
        <f>IFERROR((BE41/$L$41),0)</f>
        <v>0</v>
      </c>
      <c r="BG41" s="535">
        <f>IFERROR(((BE41*BG$8)/$L$41),0)</f>
        <v>0</v>
      </c>
      <c r="BH41" s="535">
        <f>SUM(BH9:BH39)</f>
        <v>0</v>
      </c>
      <c r="BI41" s="535">
        <f>IFERROR((BH41/$L$41),0)</f>
        <v>0</v>
      </c>
      <c r="BJ41" s="535">
        <f>IFERROR(((BH41*BJ$8)/$L$41),0)</f>
        <v>0</v>
      </c>
      <c r="BK41" s="535">
        <f>SUM(BK9:BK39)</f>
        <v>0</v>
      </c>
      <c r="BL41" s="535">
        <f>IFERROR((BK41/$L$41),0)</f>
        <v>0</v>
      </c>
      <c r="BM41" s="535">
        <f>IFERROR(((BK41*BM$8)/$L$41),0)</f>
        <v>0</v>
      </c>
      <c r="BN41" s="535">
        <f>SUM(BN9:BN39)</f>
        <v>250.55555555555554</v>
      </c>
      <c r="BO41" s="535">
        <f>IFERROR((BN41/$L$41),0)</f>
        <v>0</v>
      </c>
      <c r="BP41" s="535">
        <f>IFERROR(((BN41*BP$8)/$L$41),0)</f>
        <v>0</v>
      </c>
      <c r="BQ41" s="535">
        <f>SUM(BQ9:BQ39)</f>
        <v>79.487179487179475</v>
      </c>
      <c r="BR41" s="535">
        <f>IFERROR((BQ41/$L$41),0)</f>
        <v>0</v>
      </c>
      <c r="BS41" s="535">
        <f>IFERROR(((BQ41*BS$8)/$L$41),0)</f>
        <v>0</v>
      </c>
      <c r="BT41" s="535">
        <f>SUM(BT9:BT39)</f>
        <v>0</v>
      </c>
      <c r="BU41" s="535">
        <f>IFERROR((BT41/$L$41),0)</f>
        <v>0</v>
      </c>
      <c r="BV41" s="535">
        <f>IFERROR(((BT41*BV$8)/$L$41),0)</f>
        <v>0</v>
      </c>
      <c r="BW41" s="535">
        <f>SUM(BW9:BW39)</f>
        <v>6.1200000000000188</v>
      </c>
      <c r="BX41" s="535">
        <f>IFERROR((BW41/$L$41),0)</f>
        <v>0</v>
      </c>
      <c r="BY41" s="535">
        <f>IFERROR(((BW41*BY$8)/$L$41),0)</f>
        <v>0</v>
      </c>
      <c r="BZ41" s="535">
        <f>SUM(BZ9:BZ39)</f>
        <v>698.69506976744151</v>
      </c>
      <c r="CA41" s="535">
        <f>IFERROR((BZ41/$L$41),0)</f>
        <v>0</v>
      </c>
      <c r="CB41" s="535">
        <f>IFERROR(((BZ41*CB$8)/$L$41),0)</f>
        <v>0</v>
      </c>
      <c r="CC41" s="535">
        <f>SUM(CC9:CC39)</f>
        <v>62.5</v>
      </c>
      <c r="CD41" s="535">
        <f>IFERROR((CC41/$L$41),0)</f>
        <v>0</v>
      </c>
      <c r="CE41" s="535">
        <f>IFERROR(((CC41*CE$8)/$L$41),0)</f>
        <v>0</v>
      </c>
      <c r="CF41" s="535">
        <f>SUM(CF9:CF39)</f>
        <v>3.1000000000000019</v>
      </c>
      <c r="CG41" s="535">
        <f>IFERROR((CF41/$L$41),0)</f>
        <v>0</v>
      </c>
      <c r="CH41" s="535">
        <f>IFERROR(((CF41*CH$8)/$L$41),0)</f>
        <v>0</v>
      </c>
      <c r="CI41" s="535">
        <f>SUM(CI9:CI39)</f>
        <v>95</v>
      </c>
      <c r="CJ41" s="535">
        <f>IFERROR((CI41/$L$41),0)</f>
        <v>0</v>
      </c>
      <c r="CK41" s="535">
        <f>IFERROR(((CI41*CK$8)/$L$41),0)</f>
        <v>0</v>
      </c>
      <c r="CL41" s="535">
        <f>SUM(CL9:CL39)</f>
        <v>0</v>
      </c>
      <c r="CM41" s="535">
        <f>IFERROR((CL41/$L$41),0)</f>
        <v>0</v>
      </c>
      <c r="CN41" s="535">
        <f>IFERROR(((CL41*CN$8)/$L$41),0)</f>
        <v>0</v>
      </c>
      <c r="CO41" s="535">
        <f>SUM(CO9:CO39)</f>
        <v>0</v>
      </c>
      <c r="CP41" s="535">
        <f>IFERROR((CO41/$L$41),0)</f>
        <v>0</v>
      </c>
      <c r="CQ41" s="535">
        <f>IFERROR(((CO41*CQ$8)/$L$41),0)</f>
        <v>0</v>
      </c>
      <c r="CR41" s="535">
        <f>SUM(CR9:CR39)</f>
        <v>0</v>
      </c>
      <c r="CS41" s="535">
        <f>IFERROR((CR41/$L$41),0)</f>
        <v>0</v>
      </c>
      <c r="CT41" s="535">
        <f>IFERROR(((CR41*CT$8)/$L$41),0)</f>
        <v>0</v>
      </c>
      <c r="CU41" s="535">
        <f>SUM(CU9:CU39)</f>
        <v>0</v>
      </c>
      <c r="CV41" s="535">
        <f>IFERROR((CU41/$L$41),0)</f>
        <v>0</v>
      </c>
      <c r="CW41" s="535">
        <f>IFERROR(((CU41*CW$8)/$L$41),0)</f>
        <v>0</v>
      </c>
      <c r="CX41" s="535">
        <f>SUM(CX9:CX39)</f>
        <v>0</v>
      </c>
      <c r="CY41" s="535">
        <f>IFERROR((CX41/$L$41),0)</f>
        <v>0</v>
      </c>
      <c r="CZ41" s="535">
        <f>IFERROR(((CX41*CZ$8)/$L$41),0)</f>
        <v>0</v>
      </c>
      <c r="DA41" s="535">
        <f>SUM(DA9:DA39)</f>
        <v>0</v>
      </c>
      <c r="DB41" s="535">
        <f>IFERROR((DA41/$L$41),0)</f>
        <v>0</v>
      </c>
      <c r="DC41" s="535">
        <f>IFERROR(((DA41*DC$8)/$L$41),0)</f>
        <v>0</v>
      </c>
      <c r="DD41" s="535">
        <f>SUM(DD9:DD39)</f>
        <v>0</v>
      </c>
      <c r="DE41" s="535">
        <f>IFERROR((DD41/$L$41),0)</f>
        <v>0</v>
      </c>
      <c r="DF41" s="535">
        <f>IFERROR(((DD41*DF$8)/$L$41),0)</f>
        <v>0</v>
      </c>
      <c r="DG41" s="535">
        <f>SUM(DG9:DG39)</f>
        <v>35.425000000000011</v>
      </c>
      <c r="DH41" s="535">
        <f>IFERROR((DG41/$L$41),0)</f>
        <v>0</v>
      </c>
      <c r="DI41" s="535">
        <f>IFERROR(((DG41*DI$8)/$L$41),0)</f>
        <v>0</v>
      </c>
      <c r="DJ41" s="535">
        <f>SUM(DJ9:DJ39)</f>
        <v>0</v>
      </c>
      <c r="DK41" s="535">
        <f>IFERROR((DJ41/$L$41),0)</f>
        <v>0</v>
      </c>
      <c r="DL41" s="535">
        <f>IFERROR(((DJ41*DL$8)/$L$41),0)</f>
        <v>0</v>
      </c>
      <c r="DM41" s="535">
        <f>SUM(DM9:DM39)</f>
        <v>0</v>
      </c>
      <c r="DN41" s="535">
        <f>IFERROR((DM41/$L$41),0)</f>
        <v>0</v>
      </c>
      <c r="DO41" s="535">
        <f>IFERROR(((DM41*DO$8)/$L$41),0)</f>
        <v>0</v>
      </c>
      <c r="DP41" s="535">
        <f>SUM(DP9:DP39)</f>
        <v>0</v>
      </c>
      <c r="DQ41" s="535">
        <f>IFERROR((DP41/$L$41),0)</f>
        <v>0</v>
      </c>
      <c r="DR41" s="535">
        <f>IFERROR(((DP41*DR$8)/$L$41),0)</f>
        <v>0</v>
      </c>
      <c r="DS41" s="535">
        <f>SUM(DS9:DS39)</f>
        <v>0</v>
      </c>
      <c r="DT41" s="535">
        <f>IFERROR((DS41/$L$41),0)</f>
        <v>0</v>
      </c>
      <c r="DU41" s="535">
        <f>IFERROR(((DS41*DU$8)/$L$41),0)</f>
        <v>0</v>
      </c>
      <c r="DV41" s="535">
        <f>SUM(DV9:DV39)</f>
        <v>0</v>
      </c>
      <c r="DW41" s="535">
        <f>IFERROR((DV41/$L$41),0)</f>
        <v>0</v>
      </c>
      <c r="DX41" s="535">
        <f>IFERROR(((DV41*DX$8)/$L$41),0)</f>
        <v>0</v>
      </c>
      <c r="DY41" s="535">
        <f>SUM(DY9:DY39)</f>
        <v>0</v>
      </c>
      <c r="DZ41" s="535">
        <f>IFERROR((DY41/$L$41),0)</f>
        <v>0</v>
      </c>
      <c r="EA41" s="535">
        <f>IFERROR(((DY41*EA$8)/$L$41),0)</f>
        <v>0</v>
      </c>
      <c r="EB41" s="535">
        <f>SUM(EB9:EB39)</f>
        <v>436.04651162790714</v>
      </c>
      <c r="EC41" s="535">
        <f>IFERROR((EB41/$L$41),0)</f>
        <v>0</v>
      </c>
      <c r="ED41" s="535">
        <f>IFERROR(((EB41*ED$8)/$L$41),0)</f>
        <v>0</v>
      </c>
      <c r="EE41" s="535">
        <f>SUM(EE9:EE39)</f>
        <v>52</v>
      </c>
      <c r="EF41" s="535">
        <f>IFERROR((EE41/$L$41),0)</f>
        <v>0</v>
      </c>
      <c r="EG41" s="535">
        <f>IFERROR(((EE41*EG$8)/$L$41),0)</f>
        <v>0</v>
      </c>
      <c r="EH41" s="535">
        <f>SUM(EH9:EH39)</f>
        <v>0</v>
      </c>
      <c r="EI41" s="535">
        <f>IFERROR((EH41/$L$41),0)</f>
        <v>0</v>
      </c>
      <c r="EJ41" s="535">
        <f>IFERROR(((EH41*EJ$8)/$L$41),0)</f>
        <v>0</v>
      </c>
      <c r="EK41" s="535">
        <f>SUM(EK9:EK39)</f>
        <v>0</v>
      </c>
      <c r="EL41" s="535">
        <f>IFERROR((EK41/$L$41),0)</f>
        <v>0</v>
      </c>
      <c r="EM41" s="535">
        <f>IFERROR(((EK41*EM$8)/$L$41),0)</f>
        <v>0</v>
      </c>
      <c r="EN41" s="535">
        <f>SUM(EN9:EN39)</f>
        <v>0</v>
      </c>
      <c r="EO41" s="535">
        <f>IFERROR((EN41/$L$41),0)</f>
        <v>0</v>
      </c>
      <c r="EP41" s="535">
        <f>IFERROR(((EN41*EP$8)/$L$41),0)</f>
        <v>0</v>
      </c>
      <c r="EQ41" s="535">
        <f>SUM(EQ9:EQ39)</f>
        <v>0</v>
      </c>
      <c r="ER41" s="535">
        <f>IFERROR((EQ41/$L$41),0)</f>
        <v>0</v>
      </c>
      <c r="ES41" s="535">
        <f>IFERROR(((EQ41*ES$8)/$L$41),0)</f>
        <v>0</v>
      </c>
      <c r="ET41" s="535">
        <f>SUM(ET9:ET39)</f>
        <v>0</v>
      </c>
      <c r="EU41" s="535">
        <f>IFERROR((ET41/$L$41),0)</f>
        <v>0</v>
      </c>
      <c r="EV41" s="535">
        <f>IFERROR(((ET41*EV$8)/$L$41),0)</f>
        <v>0</v>
      </c>
      <c r="EW41" s="535">
        <f>SUM(EW9:EW39)</f>
        <v>0</v>
      </c>
      <c r="EX41" s="535">
        <f>IFERROR((EW41/$L$41),0)</f>
        <v>0</v>
      </c>
      <c r="EY41" s="535">
        <f>IFERROR(((EW41*EY$8)/$L$41),0)</f>
        <v>0</v>
      </c>
      <c r="EZ41" s="535">
        <f>SUM(EZ9:EZ39)</f>
        <v>0</v>
      </c>
      <c r="FA41" s="535">
        <f>IFERROR((EZ41/$L$41),0)</f>
        <v>0</v>
      </c>
      <c r="FB41" s="535">
        <f>IFERROR(((EZ41*FB$8)/$L$41),0)</f>
        <v>0</v>
      </c>
      <c r="FC41" s="535">
        <f>SUM(FC9:FC39)</f>
        <v>0</v>
      </c>
      <c r="FD41" s="535">
        <f>IFERROR((FC41/$L$41),0)</f>
        <v>0</v>
      </c>
      <c r="FE41" s="535">
        <f>IFERROR(((FC41*FE$8)/$L$41),0)</f>
        <v>0</v>
      </c>
      <c r="FF41" s="535">
        <f>SUM(FF9:FF39)</f>
        <v>0</v>
      </c>
      <c r="FG41" s="535">
        <f>IFERROR((FF41/$L$41),0)</f>
        <v>0</v>
      </c>
      <c r="FH41" s="535">
        <f>IFERROR(((FF41*FH$8)/$L$41),0)</f>
        <v>0</v>
      </c>
      <c r="FI41" s="535">
        <f>SUM(FI9:FI39)</f>
        <v>0</v>
      </c>
      <c r="FJ41" s="535">
        <f>IFERROR((FI41/$L$41),0)</f>
        <v>0</v>
      </c>
      <c r="FK41" s="535">
        <f>IFERROR(((FI41*FK$8)/$L$41),0)</f>
        <v>0</v>
      </c>
      <c r="FL41" s="535">
        <f>SUM(FL9:FL39)</f>
        <v>0</v>
      </c>
      <c r="FM41" s="535">
        <f>IFERROR((FL41/$L$41),0)</f>
        <v>0</v>
      </c>
      <c r="FN41" s="535">
        <f>IFERROR(((FL41*FN$8)/$L$41),0)</f>
        <v>0</v>
      </c>
      <c r="FO41" s="535">
        <f>SUM(FO9:FO39)</f>
        <v>0</v>
      </c>
      <c r="FP41" s="535">
        <f>IFERROR((FO41/$L$41),0)</f>
        <v>0</v>
      </c>
      <c r="FQ41" s="535">
        <f>IFERROR(((FO41*FQ$8)/$L$41),0)</f>
        <v>0</v>
      </c>
      <c r="FR41" s="535">
        <f>SUM(FR9:FR39)</f>
        <v>0</v>
      </c>
      <c r="FS41" s="535">
        <f>IFERROR((FR41/$L$41),0)</f>
        <v>0</v>
      </c>
      <c r="FT41" s="535">
        <f>IFERROR(((FR41*FT$8)/$L$41),0)</f>
        <v>0</v>
      </c>
      <c r="FU41" s="535">
        <f>SUM(FU9:FU39)</f>
        <v>0</v>
      </c>
      <c r="FV41" s="535">
        <f>IFERROR((FU41/$L$41),0)</f>
        <v>0</v>
      </c>
      <c r="FW41" s="535">
        <f>IFERROR(((FU41*FW$8)/$L$41),0)</f>
        <v>0</v>
      </c>
      <c r="FX41" s="535">
        <f>SUM(FX9:FX39)</f>
        <v>0</v>
      </c>
      <c r="FY41" s="535">
        <f>IFERROR((FX41/$L$41),0)</f>
        <v>0</v>
      </c>
      <c r="FZ41" s="535">
        <f>IFERROR(((FX41*FZ$8)/$L$41),0)</f>
        <v>0</v>
      </c>
      <c r="GA41" s="535">
        <f>SUM(GA9:GA39)</f>
        <v>0</v>
      </c>
      <c r="GB41" s="535">
        <f>IFERROR((GA41/$L$41),0)</f>
        <v>0</v>
      </c>
      <c r="GC41" s="535">
        <f>IFERROR(((GA41*GC$8)/$L$41),0)</f>
        <v>0</v>
      </c>
      <c r="GD41" s="535">
        <f>SUM(GD9:GD39)</f>
        <v>0</v>
      </c>
      <c r="GE41" s="535">
        <f>IFERROR((GD41/$L$41),0)</f>
        <v>0</v>
      </c>
      <c r="GF41" s="535">
        <f>IFERROR(((GD41*GF$8)/$L$41),0)</f>
        <v>0</v>
      </c>
      <c r="GG41" s="535">
        <f>SUM(GG9:GG39)</f>
        <v>0</v>
      </c>
      <c r="GH41" s="535">
        <f>IFERROR((GG41/$L$41),0)</f>
        <v>0</v>
      </c>
      <c r="GI41" s="535">
        <f>IFERROR(((GG41*GI$8)/$L$41),0)</f>
        <v>0</v>
      </c>
      <c r="GJ41" s="535">
        <f>SUM(GJ9:GJ39)</f>
        <v>0</v>
      </c>
      <c r="GK41" s="535">
        <f>IFERROR((GJ41/$L$41),0)</f>
        <v>0</v>
      </c>
      <c r="GL41" s="535">
        <f>IFERROR(((GJ41*GL$8)/$L$41),0)</f>
        <v>0</v>
      </c>
      <c r="GM41" s="535">
        <f>SUM(GM9:GM39)</f>
        <v>0</v>
      </c>
      <c r="GN41" s="535">
        <f>IFERROR((GM41/$L$41),0)</f>
        <v>0</v>
      </c>
      <c r="GO41" s="535">
        <f>IFERROR(((GM41*GO$8)/$L$41),0)</f>
        <v>0</v>
      </c>
      <c r="GP41" s="535">
        <f>SUM(GP9:GP39)</f>
        <v>0</v>
      </c>
      <c r="GQ41" s="535">
        <f>IFERROR((GP41/$L$41),0)</f>
        <v>0</v>
      </c>
      <c r="GR41" s="535">
        <f>IFERROR(((GP41*GR$8)/$L$41),0)</f>
        <v>0</v>
      </c>
      <c r="GS41" s="535">
        <f>SUM(GS9:GS39)</f>
        <v>0</v>
      </c>
      <c r="GT41" s="535">
        <f>IFERROR((GS41/$L$41),0)</f>
        <v>0</v>
      </c>
      <c r="GU41" s="535">
        <f>IFERROR(((GS41*GU$8)/$L$41),0)</f>
        <v>0</v>
      </c>
      <c r="GV41" s="535">
        <f>SUM(GV9:GV39)</f>
        <v>0</v>
      </c>
      <c r="GW41" s="535">
        <f>IFERROR((GV41/$L$41),0)</f>
        <v>0</v>
      </c>
      <c r="GX41" s="535">
        <f>IFERROR(((GV41*GX$8)/$L$41),0)</f>
        <v>0</v>
      </c>
      <c r="GY41" s="535">
        <f>SUM(GY9:GY39)</f>
        <v>0</v>
      </c>
      <c r="GZ41" s="535">
        <f>IFERROR((GY41/$L$41),0)</f>
        <v>0</v>
      </c>
      <c r="HA41" s="535">
        <f>IFERROR(((GY41*HA$8)/$L$41),0)</f>
        <v>0</v>
      </c>
      <c r="HB41" s="535">
        <f>SUM(HB9:HB39)</f>
        <v>0</v>
      </c>
      <c r="HC41" s="535">
        <f>IFERROR((HB41/$L$41),0)</f>
        <v>0</v>
      </c>
      <c r="HD41" s="535">
        <f>IFERROR(((HB41*HD$8)/$L$41),0)</f>
        <v>0</v>
      </c>
      <c r="HE41" s="535">
        <f>SUM(HE9:HE39)</f>
        <v>0</v>
      </c>
      <c r="HF41" s="535">
        <f>IFERROR((HE41/$L$41),0)</f>
        <v>0</v>
      </c>
      <c r="HG41" s="535">
        <f>IFERROR(((HE41*HG$8)/$L$41),0)</f>
        <v>0</v>
      </c>
      <c r="HH41" s="535">
        <f>SUM(HH9:HH39)</f>
        <v>0</v>
      </c>
      <c r="HI41" s="535">
        <f>IFERROR((HH41/$L$41),0)</f>
        <v>0</v>
      </c>
      <c r="HJ41" s="535">
        <f>IFERROR(((HH41*HJ$8)/$L$41),0)</f>
        <v>0</v>
      </c>
      <c r="HK41" s="535">
        <f>SUM(HK9:HK39)</f>
        <v>0</v>
      </c>
      <c r="HL41" s="535">
        <f>IFERROR((HK41/$L$41),0)</f>
        <v>0</v>
      </c>
      <c r="HM41" s="535">
        <f>IFERROR(((HK41*HM$8)/$L$41),0)</f>
        <v>0</v>
      </c>
      <c r="HN41" s="535">
        <f>SUM(HN9:HN39)</f>
        <v>0</v>
      </c>
      <c r="HO41" s="535">
        <f>IFERROR((HN41/$L$41),0)</f>
        <v>0</v>
      </c>
      <c r="HP41" s="535">
        <f>IFERROR(((HN41*HP$8)/$L$41),0)</f>
        <v>0</v>
      </c>
      <c r="HQ41" s="535">
        <f>SUM(HQ9:HQ39)</f>
        <v>0</v>
      </c>
      <c r="HR41" s="535">
        <f>IFERROR((HQ41/$L$41),0)</f>
        <v>0</v>
      </c>
      <c r="HS41" s="535">
        <f>IFERROR(((HQ41*HS$8)/$L$41),0)</f>
        <v>0</v>
      </c>
      <c r="HT41" s="535">
        <f>SUM(HT9:HT39)</f>
        <v>0</v>
      </c>
      <c r="HU41" s="535">
        <f>IFERROR((HT41/$L$41),0)</f>
        <v>0</v>
      </c>
      <c r="HV41" s="535">
        <f>IFERROR(((HT41*HV$8)/$L$41),0)</f>
        <v>0</v>
      </c>
      <c r="HW41" s="535">
        <f>SUM(HW9:HW39)</f>
        <v>0</v>
      </c>
      <c r="HX41" s="535">
        <f>IFERROR((HW41/$L$41),0)</f>
        <v>0</v>
      </c>
      <c r="HY41" s="535">
        <f>IFERROR(((HW41*HY$8)/$L$41),0)</f>
        <v>0</v>
      </c>
      <c r="HZ41" s="535">
        <f>SUM(HZ9:HZ39)</f>
        <v>0</v>
      </c>
      <c r="IA41" s="535">
        <f>IFERROR((HZ41/$L$41),0)</f>
        <v>0</v>
      </c>
      <c r="IB41" s="535">
        <f>IFERROR(((HZ41*IB$8)/$L$41),0)</f>
        <v>0</v>
      </c>
      <c r="IC41" s="535">
        <f>SUM(IC9:IC39)</f>
        <v>0</v>
      </c>
      <c r="ID41" s="535">
        <f>IFERROR((IC41/$L$41),0)</f>
        <v>0</v>
      </c>
      <c r="IE41" s="535">
        <f>IFERROR(((IC41*IE$8)/$L$41),0)</f>
        <v>0</v>
      </c>
      <c r="IF41" s="535">
        <f>SUM(IF9:IF39)</f>
        <v>0</v>
      </c>
      <c r="IG41" s="535">
        <f>IFERROR((IF41/$L$41),0)</f>
        <v>0</v>
      </c>
      <c r="IH41" s="535">
        <f>IFERROR(((IF41*IH$8)/$L$41),0)</f>
        <v>0</v>
      </c>
      <c r="II41" s="535">
        <f>SUM(II9:II39)</f>
        <v>0</v>
      </c>
      <c r="IJ41" s="535">
        <f>IFERROR((II41/$L$41),0)</f>
        <v>0</v>
      </c>
      <c r="IK41" s="535">
        <f>IFERROR(((II41*IK$8)/$L$41),0)</f>
        <v>0</v>
      </c>
      <c r="IL41" s="535">
        <f>SUM(IL9:IL39)</f>
        <v>0</v>
      </c>
      <c r="IM41" s="535">
        <f>IFERROR((IL41/$L$41),0)</f>
        <v>0</v>
      </c>
      <c r="IN41" s="535">
        <f>IFERROR(((IL41*IN$8)/$L$41),0)</f>
        <v>0</v>
      </c>
      <c r="IO41" s="535">
        <f>SUM(IO9:IO39)</f>
        <v>0</v>
      </c>
      <c r="IP41" s="535">
        <f>IFERROR((IO41/$L$41),0)</f>
        <v>0</v>
      </c>
      <c r="IQ41" s="535">
        <f>IFERROR(((IO41*IQ$8)/$L$41),0)</f>
        <v>0</v>
      </c>
      <c r="IR41" s="535">
        <f>SUM(IR9:IR39)</f>
        <v>0</v>
      </c>
      <c r="IS41" s="535">
        <f>IFERROR((IR41/$L$41),0)</f>
        <v>0</v>
      </c>
      <c r="IT41" s="535">
        <f>IFERROR(((IR41*IT$8)/$L$41),0)</f>
        <v>0</v>
      </c>
      <c r="IU41" s="535">
        <f>SUM(IU9:IU39)</f>
        <v>0</v>
      </c>
      <c r="IV41" s="535">
        <f>IFERROR((IU41/$L$41),0)</f>
        <v>0</v>
      </c>
      <c r="IW41" s="535">
        <f>IFERROR(((IU41*IW$8)/$L$41),0)</f>
        <v>0</v>
      </c>
      <c r="IX41" s="535">
        <f>SUM(IX9:IX39)</f>
        <v>0</v>
      </c>
      <c r="IY41" s="535">
        <f>IFERROR((IX41/$L$41),0)</f>
        <v>0</v>
      </c>
      <c r="IZ41" s="535">
        <f>IFERROR(((IX41*IZ$8)/$L$41),0)</f>
        <v>0</v>
      </c>
      <c r="JA41" s="535">
        <f>SUM(JA9:JA39)</f>
        <v>0</v>
      </c>
      <c r="JB41" s="535">
        <f>IFERROR((JA41/$L$41),0)</f>
        <v>0</v>
      </c>
      <c r="JC41" s="535">
        <f>IFERROR(((JA41*JC$8)/$L$41),0)</f>
        <v>0</v>
      </c>
      <c r="JD41" s="535">
        <f>SUM(JD9:JD39)</f>
        <v>0</v>
      </c>
      <c r="JE41" s="535">
        <f>IFERROR((JD41/$L$41),0)</f>
        <v>0</v>
      </c>
      <c r="JF41" s="535">
        <f>IFERROR(((JD41*JF$8)/$L$41),0)</f>
        <v>0</v>
      </c>
      <c r="JG41" s="535">
        <f>SUM(JG9:JG39)</f>
        <v>0</v>
      </c>
      <c r="JH41" s="535">
        <f>IFERROR((JG41/$L$41),0)</f>
        <v>0</v>
      </c>
      <c r="JI41" s="535">
        <f>IFERROR(((JG41*JI$8)/$L$41),0)</f>
        <v>0</v>
      </c>
      <c r="JJ41" s="535">
        <f>SUM(JJ9:JJ39)</f>
        <v>0</v>
      </c>
      <c r="JK41" s="535">
        <f>IFERROR((JJ41/$L$41),0)</f>
        <v>0</v>
      </c>
      <c r="JL41" s="535">
        <f>IFERROR(((JJ41*JL$8)/$L$41),0)</f>
        <v>0</v>
      </c>
      <c r="JM41" s="535">
        <f>SUM(JM9:JM39)</f>
        <v>0</v>
      </c>
      <c r="JN41" s="535">
        <f>IFERROR((JM41/$L$41),0)</f>
        <v>0</v>
      </c>
      <c r="JO41" s="535">
        <f>IFERROR(((JM41*JO$8)/$L$41),0)</f>
        <v>0</v>
      </c>
      <c r="JP41" s="535">
        <f>SUM(JP9:JP39)</f>
        <v>0</v>
      </c>
      <c r="JQ41" s="535">
        <f>IFERROR((JP41/$L$41),0)</f>
        <v>0</v>
      </c>
      <c r="JR41" s="535">
        <f>IFERROR(((JP41*JR$8)/$L$41),0)</f>
        <v>0</v>
      </c>
      <c r="JS41" s="535">
        <f>SUM(JS9:JS39)</f>
        <v>0</v>
      </c>
      <c r="JT41" s="535">
        <f>IFERROR((JS41/$L$41),0)</f>
        <v>0</v>
      </c>
      <c r="JU41" s="535">
        <f>IFERROR(((JS41*JU$8)/$L$41),0)</f>
        <v>0</v>
      </c>
      <c r="JV41" s="535">
        <f>SUM(JV9:JV39)</f>
        <v>0</v>
      </c>
      <c r="JW41" s="535">
        <f>IFERROR((JV41/$L$41),0)</f>
        <v>0</v>
      </c>
      <c r="JX41" s="535">
        <f>IFERROR(((JV41*JX$8)/$L$41),0)</f>
        <v>0</v>
      </c>
      <c r="JY41" s="535">
        <f>SUM(JY9:JY39)</f>
        <v>0</v>
      </c>
      <c r="JZ41" s="535">
        <f>IFERROR((JY41/$L$41),0)</f>
        <v>0</v>
      </c>
      <c r="KA41" s="535">
        <f>IFERROR(((JY41*KA$8)/$L$41),0)</f>
        <v>0</v>
      </c>
      <c r="KB41" s="535">
        <f>SUM(KB9:KB39)</f>
        <v>0</v>
      </c>
      <c r="KC41" s="535">
        <f>IFERROR((KB41/$L$41),0)</f>
        <v>0</v>
      </c>
      <c r="KD41" s="535">
        <f>IFERROR(((KB41*KD$8)/$L$41),0)</f>
        <v>0</v>
      </c>
      <c r="KE41" s="535">
        <f>SUM(KE9:KE39)</f>
        <v>0</v>
      </c>
      <c r="KF41" s="535">
        <f>IFERROR((KE41/$L$41),0)</f>
        <v>0</v>
      </c>
      <c r="KG41" s="535">
        <f>IFERROR(((KE41*KG$8)/$L$41),0)</f>
        <v>0</v>
      </c>
      <c r="KH41" s="535">
        <f>SUM(KH9:KH39)</f>
        <v>0</v>
      </c>
      <c r="KI41" s="535">
        <f>IFERROR((KH41/$L$41),0)</f>
        <v>0</v>
      </c>
      <c r="KJ41" s="535">
        <f>IFERROR(((KH41*KJ$8)/$L$41),0)</f>
        <v>0</v>
      </c>
      <c r="KK41" s="535">
        <f>SUM(KK9:KK39)</f>
        <v>0</v>
      </c>
      <c r="KL41" s="535">
        <f>IFERROR((KK41/$L$41),0)</f>
        <v>0</v>
      </c>
      <c r="KM41" s="535">
        <f>IFERROR(((KK41*KM$8)/$L$41),0)</f>
        <v>0</v>
      </c>
      <c r="KN41" s="535">
        <f>SUM(KN9:KN39)</f>
        <v>0</v>
      </c>
      <c r="KO41" s="535">
        <f>IFERROR((KN41/$L$41),0)</f>
        <v>0</v>
      </c>
      <c r="KP41" s="535">
        <f>IFERROR(((KN41*KP$8)/$L$41),0)</f>
        <v>0</v>
      </c>
      <c r="KQ41" s="535">
        <f>SUM(KQ9:KQ39)</f>
        <v>0</v>
      </c>
      <c r="KR41" s="535">
        <f>IFERROR((KQ41/$L$41),0)</f>
        <v>0</v>
      </c>
      <c r="KS41" s="535">
        <f>IFERROR(((KQ41*KS$8)/$L$41),0)</f>
        <v>0</v>
      </c>
      <c r="KT41" s="536">
        <f t="shared" si="201"/>
        <v>0</v>
      </c>
      <c r="KU41" s="536">
        <f t="shared" si="202"/>
        <v>0</v>
      </c>
      <c r="KV41" s="274">
        <f t="shared" si="199"/>
        <v>19491.809326137438</v>
      </c>
    </row>
    <row r="43" spans="1:308" ht="15" customHeight="1">
      <c r="A43" s="285" t="s">
        <v>137</v>
      </c>
      <c r="B43" s="286" t="s">
        <v>138</v>
      </c>
      <c r="C43" s="287" t="s">
        <v>151</v>
      </c>
      <c r="D43" s="271"/>
      <c r="E43" s="271"/>
    </row>
    <row r="44" spans="1:308" ht="15" customHeight="1">
      <c r="A44" s="288"/>
      <c r="B44" s="286" t="s">
        <v>139</v>
      </c>
      <c r="C44" s="287" t="s">
        <v>145</v>
      </c>
      <c r="D44" s="271"/>
      <c r="E44" s="271"/>
    </row>
    <row r="45" spans="1:308" ht="15" customHeight="1">
      <c r="A45" s="288"/>
      <c r="B45" s="289" t="s">
        <v>140</v>
      </c>
      <c r="C45" s="287" t="s">
        <v>141</v>
      </c>
      <c r="D45" s="271"/>
      <c r="E45" s="271"/>
    </row>
  </sheetData>
  <mergeCells count="210">
    <mergeCell ref="CL7:CM7"/>
    <mergeCell ref="CO7:CP7"/>
    <mergeCell ref="B6:B8"/>
    <mergeCell ref="AJ7:AK7"/>
    <mergeCell ref="BN7:BO7"/>
    <mergeCell ref="BZ7:CA7"/>
    <mergeCell ref="CC7:CD7"/>
    <mergeCell ref="CF7:CG7"/>
    <mergeCell ref="CI7:CJ7"/>
    <mergeCell ref="AV6:AX6"/>
    <mergeCell ref="AY7:AZ7"/>
    <mergeCell ref="AY6:BA6"/>
    <mergeCell ref="BB6:BD6"/>
    <mergeCell ref="BE6:BG6"/>
    <mergeCell ref="A41:C41"/>
    <mergeCell ref="F7:G7"/>
    <mergeCell ref="C6:C8"/>
    <mergeCell ref="E6:E8"/>
    <mergeCell ref="D6:D8"/>
    <mergeCell ref="A6:A8"/>
    <mergeCell ref="F5:GC5"/>
    <mergeCell ref="GD5:KS5"/>
    <mergeCell ref="KT5:KT8"/>
    <mergeCell ref="CF6:CH6"/>
    <mergeCell ref="CI6:CK6"/>
    <mergeCell ref="BH6:BJ6"/>
    <mergeCell ref="BK6:BM6"/>
    <mergeCell ref="BN6:BP6"/>
    <mergeCell ref="BQ6:BS6"/>
    <mergeCell ref="BT6:BV6"/>
    <mergeCell ref="DA6:DC6"/>
    <mergeCell ref="DD6:DF6"/>
    <mergeCell ref="DG6:DI6"/>
    <mergeCell ref="DJ6:DL6"/>
    <mergeCell ref="DM6:DO6"/>
    <mergeCell ref="CL6:CN6"/>
    <mergeCell ref="CO6:CQ6"/>
    <mergeCell ref="CR6:CT6"/>
    <mergeCell ref="KU5:KU8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BT7:BU7"/>
    <mergeCell ref="BK7:BL7"/>
    <mergeCell ref="R7:S7"/>
    <mergeCell ref="U7:V7"/>
    <mergeCell ref="AG7:AH7"/>
    <mergeCell ref="AV7:AW7"/>
    <mergeCell ref="AP6:AR6"/>
    <mergeCell ref="AS6:AU6"/>
    <mergeCell ref="BW6:BY6"/>
    <mergeCell ref="BZ6:CB6"/>
    <mergeCell ref="CC6:CE6"/>
    <mergeCell ref="CU6:CW6"/>
    <mergeCell ref="CX6:CZ6"/>
    <mergeCell ref="EE6:EG6"/>
    <mergeCell ref="EH6:EJ6"/>
    <mergeCell ref="EK6:EM6"/>
    <mergeCell ref="EN6:EP6"/>
    <mergeCell ref="EQ6:ES6"/>
    <mergeCell ref="DP6:DR6"/>
    <mergeCell ref="DS6:DU6"/>
    <mergeCell ref="DV6:DX6"/>
    <mergeCell ref="DY6:EA6"/>
    <mergeCell ref="EB6:ED6"/>
    <mergeCell ref="FI6:FK6"/>
    <mergeCell ref="FL6:FN6"/>
    <mergeCell ref="FO6:FQ6"/>
    <mergeCell ref="FR6:FT6"/>
    <mergeCell ref="FU6:FW6"/>
    <mergeCell ref="ET6:EV6"/>
    <mergeCell ref="EW6:EY6"/>
    <mergeCell ref="EZ6:FB6"/>
    <mergeCell ref="FC6:FE6"/>
    <mergeCell ref="FF6:FH6"/>
    <mergeCell ref="GM6:GO6"/>
    <mergeCell ref="GP6:GR6"/>
    <mergeCell ref="GS6:GU6"/>
    <mergeCell ref="GV6:GX6"/>
    <mergeCell ref="GY6:HA6"/>
    <mergeCell ref="FX6:FZ6"/>
    <mergeCell ref="GA6:GC6"/>
    <mergeCell ref="GD6:GF6"/>
    <mergeCell ref="GG6:GI6"/>
    <mergeCell ref="GJ6:GL6"/>
    <mergeCell ref="HQ6:HS6"/>
    <mergeCell ref="HT6:HV6"/>
    <mergeCell ref="HW6:HY6"/>
    <mergeCell ref="HZ6:IB6"/>
    <mergeCell ref="IC6:IE6"/>
    <mergeCell ref="HB6:HD6"/>
    <mergeCell ref="HE6:HG6"/>
    <mergeCell ref="HH6:HJ6"/>
    <mergeCell ref="HK6:HM6"/>
    <mergeCell ref="HN6:HP6"/>
    <mergeCell ref="JS6:JU6"/>
    <mergeCell ref="JV6:JX6"/>
    <mergeCell ref="IU6:IW6"/>
    <mergeCell ref="IX6:IZ6"/>
    <mergeCell ref="JA6:JC6"/>
    <mergeCell ref="JD6:JF6"/>
    <mergeCell ref="JG6:JI6"/>
    <mergeCell ref="IF6:IH6"/>
    <mergeCell ref="II6:IK6"/>
    <mergeCell ref="IL6:IN6"/>
    <mergeCell ref="IO6:IQ6"/>
    <mergeCell ref="IR6:IT6"/>
    <mergeCell ref="KN6:KP6"/>
    <mergeCell ref="KQ6:KS6"/>
    <mergeCell ref="I7:J7"/>
    <mergeCell ref="L7:M7"/>
    <mergeCell ref="O7:P7"/>
    <mergeCell ref="X7:Y7"/>
    <mergeCell ref="AA7:AB7"/>
    <mergeCell ref="AD7:AE7"/>
    <mergeCell ref="AM7:AN7"/>
    <mergeCell ref="AP7:AQ7"/>
    <mergeCell ref="AS7:AT7"/>
    <mergeCell ref="BB7:BC7"/>
    <mergeCell ref="BE7:BF7"/>
    <mergeCell ref="BH7:BI7"/>
    <mergeCell ref="BQ7:BR7"/>
    <mergeCell ref="BW7:BX7"/>
    <mergeCell ref="JY6:KA6"/>
    <mergeCell ref="KB6:KD6"/>
    <mergeCell ref="KE6:KG6"/>
    <mergeCell ref="KH6:KJ6"/>
    <mergeCell ref="KK6:KM6"/>
    <mergeCell ref="JJ6:JL6"/>
    <mergeCell ref="JM6:JO6"/>
    <mergeCell ref="JP6:JR6"/>
    <mergeCell ref="DG7:DH7"/>
    <mergeCell ref="DJ7:DK7"/>
    <mergeCell ref="DM7:DN7"/>
    <mergeCell ref="DP7:DQ7"/>
    <mergeCell ref="DS7:DT7"/>
    <mergeCell ref="CR7:CS7"/>
    <mergeCell ref="CU7:CV7"/>
    <mergeCell ref="CX7:CY7"/>
    <mergeCell ref="DA7:DB7"/>
    <mergeCell ref="DD7:DE7"/>
    <mergeCell ref="EK7:EL7"/>
    <mergeCell ref="EN7:EO7"/>
    <mergeCell ref="EQ7:ER7"/>
    <mergeCell ref="ET7:EU7"/>
    <mergeCell ref="EW7:EX7"/>
    <mergeCell ref="DV7:DW7"/>
    <mergeCell ref="DY7:DZ7"/>
    <mergeCell ref="EB7:EC7"/>
    <mergeCell ref="EE7:EF7"/>
    <mergeCell ref="EH7:EI7"/>
    <mergeCell ref="FO7:FP7"/>
    <mergeCell ref="FR7:FS7"/>
    <mergeCell ref="FU7:FV7"/>
    <mergeCell ref="FX7:FY7"/>
    <mergeCell ref="GA7:GB7"/>
    <mergeCell ref="EZ7:FA7"/>
    <mergeCell ref="FC7:FD7"/>
    <mergeCell ref="FF7:FG7"/>
    <mergeCell ref="FI7:FJ7"/>
    <mergeCell ref="FL7:FM7"/>
    <mergeCell ref="GS7:GT7"/>
    <mergeCell ref="GV7:GW7"/>
    <mergeCell ref="GY7:GZ7"/>
    <mergeCell ref="HB7:HC7"/>
    <mergeCell ref="HE7:HF7"/>
    <mergeCell ref="GD7:GE7"/>
    <mergeCell ref="GG7:GH7"/>
    <mergeCell ref="GJ7:GK7"/>
    <mergeCell ref="GM7:GN7"/>
    <mergeCell ref="GP7:GQ7"/>
    <mergeCell ref="HW7:HX7"/>
    <mergeCell ref="HZ7:IA7"/>
    <mergeCell ref="IC7:ID7"/>
    <mergeCell ref="IF7:IG7"/>
    <mergeCell ref="II7:IJ7"/>
    <mergeCell ref="HH7:HI7"/>
    <mergeCell ref="HK7:HL7"/>
    <mergeCell ref="HN7:HO7"/>
    <mergeCell ref="HQ7:HR7"/>
    <mergeCell ref="HT7:HU7"/>
    <mergeCell ref="JA7:JB7"/>
    <mergeCell ref="JD7:JE7"/>
    <mergeCell ref="JG7:JH7"/>
    <mergeCell ref="JJ7:JK7"/>
    <mergeCell ref="JM7:JN7"/>
    <mergeCell ref="IL7:IM7"/>
    <mergeCell ref="IO7:IP7"/>
    <mergeCell ref="IR7:IS7"/>
    <mergeCell ref="IU7:IV7"/>
    <mergeCell ref="IX7:IY7"/>
    <mergeCell ref="KE7:KF7"/>
    <mergeCell ref="KH7:KI7"/>
    <mergeCell ref="KK7:KL7"/>
    <mergeCell ref="KN7:KO7"/>
    <mergeCell ref="KQ7:KR7"/>
    <mergeCell ref="JP7:JQ7"/>
    <mergeCell ref="JS7:JT7"/>
    <mergeCell ref="JV7:JW7"/>
    <mergeCell ref="JY7:JZ7"/>
    <mergeCell ref="KB7:KC7"/>
  </mergeCells>
  <phoneticPr fontId="31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9"/>
  <sheetViews>
    <sheetView workbookViewId="0">
      <selection activeCell="AF7" sqref="AF7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17" width="9.140625" hidden="1" customWidth="1"/>
    <col min="18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4400</v>
      </c>
      <c r="C1">
        <v>4300</v>
      </c>
      <c r="D1">
        <v>5100</v>
      </c>
      <c r="E1">
        <v>5600</v>
      </c>
      <c r="F1">
        <v>6100</v>
      </c>
      <c r="G1">
        <v>7500</v>
      </c>
      <c r="H1">
        <v>7600</v>
      </c>
      <c r="I1">
        <v>7600</v>
      </c>
      <c r="J1">
        <v>7200</v>
      </c>
      <c r="K1">
        <v>6000</v>
      </c>
      <c r="L1">
        <v>5000</v>
      </c>
      <c r="M1">
        <v>8400</v>
      </c>
      <c r="N1">
        <v>7400</v>
      </c>
      <c r="O1">
        <v>6800</v>
      </c>
      <c r="P1">
        <v>6900</v>
      </c>
      <c r="Q1">
        <v>7000</v>
      </c>
      <c r="R1">
        <v>5500</v>
      </c>
      <c r="S1">
        <v>5600</v>
      </c>
      <c r="T1">
        <v>4300</v>
      </c>
      <c r="U1">
        <v>5000</v>
      </c>
      <c r="V1">
        <v>5.7</v>
      </c>
      <c r="W1">
        <v>5700</v>
      </c>
      <c r="X1">
        <v>7800</v>
      </c>
      <c r="Y1">
        <v>6800</v>
      </c>
      <c r="Z1">
        <v>7100</v>
      </c>
      <c r="AA1">
        <v>5900</v>
      </c>
      <c r="AB1">
        <v>6500</v>
      </c>
      <c r="AC1">
        <v>6500</v>
      </c>
      <c r="AD1">
        <v>5400</v>
      </c>
      <c r="AE1">
        <v>5400</v>
      </c>
      <c r="AF1">
        <v>4900</v>
      </c>
    </row>
    <row r="2" spans="1:35" ht="15">
      <c r="A2" s="6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486" t="s">
        <v>278</v>
      </c>
      <c r="AH2" s="487" t="s">
        <v>279</v>
      </c>
      <c r="AI2" s="488" t="s">
        <v>280</v>
      </c>
    </row>
    <row r="3" spans="1:35">
      <c r="A3" s="489" t="s">
        <v>281</v>
      </c>
      <c r="B3" s="6">
        <v>3.1</v>
      </c>
      <c r="C3" s="6">
        <v>3.2</v>
      </c>
      <c r="D3" s="6">
        <v>3.8</v>
      </c>
      <c r="E3" s="506">
        <v>4.8</v>
      </c>
      <c r="F3" s="6">
        <v>10.7</v>
      </c>
      <c r="G3" s="6">
        <v>14</v>
      </c>
      <c r="H3" s="6">
        <v>9</v>
      </c>
      <c r="I3" s="6">
        <v>9</v>
      </c>
      <c r="J3" s="6">
        <v>9.4</v>
      </c>
      <c r="K3" s="6">
        <v>4.4000000000000004</v>
      </c>
      <c r="L3" s="6">
        <v>13</v>
      </c>
      <c r="M3" s="6">
        <v>5.0999999999999996</v>
      </c>
      <c r="N3" s="6">
        <v>6.9</v>
      </c>
      <c r="O3" s="6">
        <v>2.5</v>
      </c>
      <c r="P3" s="6">
        <v>6.8</v>
      </c>
      <c r="Q3" s="6">
        <v>4.9000000000000004</v>
      </c>
      <c r="R3" s="6">
        <v>6.8</v>
      </c>
      <c r="S3" s="6">
        <v>5</v>
      </c>
      <c r="T3" s="6">
        <f>1.5+1.9</f>
        <v>3.4</v>
      </c>
      <c r="U3" s="6">
        <v>2.8</v>
      </c>
      <c r="V3" s="6">
        <v>2.8</v>
      </c>
      <c r="W3" s="6">
        <v>2.65</v>
      </c>
      <c r="X3" s="6">
        <v>11</v>
      </c>
      <c r="Y3" s="6">
        <v>14.8</v>
      </c>
      <c r="Z3" s="6">
        <v>17.3</v>
      </c>
      <c r="AA3" s="6">
        <v>26</v>
      </c>
      <c r="AB3" s="6">
        <v>25</v>
      </c>
      <c r="AC3" s="6">
        <v>32.200000000000003</v>
      </c>
      <c r="AD3" s="6">
        <v>22.5</v>
      </c>
      <c r="AE3" s="6">
        <v>0</v>
      </c>
      <c r="AF3" s="6">
        <v>12.5</v>
      </c>
      <c r="AG3" s="6">
        <f>+AF3</f>
        <v>12.5</v>
      </c>
      <c r="AH3" s="482">
        <f>+AG3/Efficiency1!$K$150</f>
        <v>6.0296072891785762E-3</v>
      </c>
      <c r="AI3" s="983">
        <f>SUM(AH3:AH4)</f>
        <v>6.7994675478608973E-3</v>
      </c>
    </row>
    <row r="4" spans="1:35">
      <c r="A4" s="489" t="s">
        <v>282</v>
      </c>
      <c r="B4" s="6">
        <v>0.186</v>
      </c>
      <c r="C4" s="6">
        <v>0.2</v>
      </c>
      <c r="D4" s="6">
        <v>1.1000000000000001</v>
      </c>
      <c r="E4" s="506">
        <v>2.097</v>
      </c>
      <c r="F4" s="6">
        <v>1.6990000000000001</v>
      </c>
      <c r="G4" s="6">
        <v>1.415</v>
      </c>
      <c r="H4" s="6">
        <v>1.3080000000000001</v>
      </c>
      <c r="I4" s="6">
        <v>1.3080000000000001</v>
      </c>
      <c r="J4" s="6">
        <v>0.34</v>
      </c>
      <c r="K4" s="6">
        <v>1.694</v>
      </c>
      <c r="L4" s="6">
        <v>1.0309999999999999</v>
      </c>
      <c r="M4" s="6">
        <v>2.8479999999999999</v>
      </c>
      <c r="N4" s="490">
        <v>0</v>
      </c>
      <c r="O4" s="490">
        <v>2.6629999999999998</v>
      </c>
      <c r="P4" s="6">
        <v>0.33500000000000002</v>
      </c>
      <c r="Q4" s="6">
        <v>3.1</v>
      </c>
      <c r="R4" s="6">
        <v>0.27300000000000002</v>
      </c>
      <c r="S4" s="6">
        <v>2</v>
      </c>
      <c r="T4" s="6">
        <v>1.5</v>
      </c>
      <c r="U4" s="6">
        <v>0.61499999999999999</v>
      </c>
      <c r="V4" s="6">
        <v>1.569</v>
      </c>
      <c r="W4" s="490">
        <v>1.571</v>
      </c>
      <c r="X4" s="6">
        <v>1.2</v>
      </c>
      <c r="Y4" s="6">
        <v>1.62</v>
      </c>
      <c r="Z4" s="6">
        <v>0.33900000000000002</v>
      </c>
      <c r="AA4" s="6">
        <v>3.3</v>
      </c>
      <c r="AB4" s="6">
        <v>3.4</v>
      </c>
      <c r="AC4" s="6">
        <v>0.2</v>
      </c>
      <c r="AD4" s="6">
        <v>0.13600000000000001</v>
      </c>
      <c r="AE4" s="6">
        <v>0.71299999999999997</v>
      </c>
      <c r="AF4" s="6">
        <v>1.5960000000000001</v>
      </c>
      <c r="AG4" s="6">
        <f>+AF4</f>
        <v>1.5960000000000001</v>
      </c>
      <c r="AH4" s="482">
        <f>+AG4/Efficiency1!$K$150</f>
        <v>7.698602586823206E-4</v>
      </c>
      <c r="AI4" s="984"/>
    </row>
    <row r="5" spans="1:35">
      <c r="A5" s="491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3"/>
      <c r="O5" s="493"/>
      <c r="P5" s="492"/>
      <c r="Q5" s="492"/>
      <c r="R5" s="492"/>
      <c r="S5" s="492"/>
      <c r="T5" s="492"/>
      <c r="U5" s="492"/>
      <c r="V5" s="492"/>
      <c r="W5" s="493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4"/>
    </row>
    <row r="6" spans="1:35">
      <c r="A6" s="489" t="s">
        <v>283</v>
      </c>
      <c r="B6" s="490">
        <v>0.1</v>
      </c>
      <c r="C6" s="6">
        <f>0.1+0.225+0.1</f>
        <v>0.42500000000000004</v>
      </c>
      <c r="D6" s="6">
        <f>0.242+0.101+0.1</f>
        <v>0.44299999999999995</v>
      </c>
      <c r="E6" s="6">
        <f>0.5+0.487+0.3+1.5</f>
        <v>2.7869999999999999</v>
      </c>
      <c r="F6" s="6">
        <f>0.514+0.448+0.3</f>
        <v>1.262</v>
      </c>
      <c r="G6" s="6">
        <f>0.298+0.294+0.25</f>
        <v>0.84199999999999997</v>
      </c>
      <c r="H6" s="6">
        <f>0.31+0.15+0.15</f>
        <v>0.61</v>
      </c>
      <c r="I6" s="6">
        <f>0.31+0.25+0.15+0.15</f>
        <v>0.8600000000000001</v>
      </c>
      <c r="J6" s="6">
        <f>0.28+0.15+0.18</f>
        <v>0.6100000000000001</v>
      </c>
      <c r="K6" s="6">
        <f>0.1+0.1+0.128+0.15</f>
        <v>0.47799999999999998</v>
      </c>
      <c r="L6" s="6">
        <f>0.5+0.641</f>
        <v>1.141</v>
      </c>
      <c r="M6" s="6">
        <f>0.616+0.2+0.202</f>
        <v>1.018</v>
      </c>
      <c r="N6" s="6">
        <f>0.323+0.35+0.1</f>
        <v>0.77300000000000002</v>
      </c>
      <c r="O6" s="6">
        <f>0.162+0.12+0.193</f>
        <v>0.47500000000000003</v>
      </c>
      <c r="P6" s="6">
        <f>0.5+0.2+0.2</f>
        <v>0.89999999999999991</v>
      </c>
      <c r="Q6" s="6">
        <f>0.1+0.1+0.132</f>
        <v>0.33200000000000002</v>
      </c>
      <c r="R6" s="6">
        <f>0.1+0.1+0.161</f>
        <v>0.36099999999999999</v>
      </c>
      <c r="S6" s="6">
        <f>0.1+0.1+0.1</f>
        <v>0.30000000000000004</v>
      </c>
      <c r="T6" s="6">
        <f>0.1+0.169+0.167</f>
        <v>0.43600000000000005</v>
      </c>
      <c r="U6" s="6">
        <f>0.1+0.114</f>
        <v>0.21400000000000002</v>
      </c>
      <c r="V6" s="6">
        <v>0.22800000000000001</v>
      </c>
      <c r="W6" s="490">
        <f>0.8+0.194+0.094</f>
        <v>1.0880000000000001</v>
      </c>
      <c r="X6" s="6">
        <f>0.27+0.307+0.2</f>
        <v>0.77699999999999991</v>
      </c>
      <c r="Y6" s="6">
        <f>0.2+0.376+0.1</f>
        <v>0.67600000000000005</v>
      </c>
      <c r="Z6" s="490">
        <f>0.45+0.1+0.38</f>
        <v>0.93</v>
      </c>
      <c r="AA6" s="6">
        <f>0.85+0.1+0.1+0.1</f>
        <v>1.1500000000000001</v>
      </c>
      <c r="AB6" s="6">
        <f>0.345+0.085+0.255</f>
        <v>0.68500000000000005</v>
      </c>
      <c r="AC6" s="6">
        <f>0.255+0.234+0.1</f>
        <v>0.58899999999999997</v>
      </c>
      <c r="AD6" s="6">
        <f>0.389+0.187+0.15</f>
        <v>0.72600000000000009</v>
      </c>
      <c r="AE6" s="6">
        <v>0.27900000000000003</v>
      </c>
      <c r="AF6" s="6">
        <f>0.222+0.1+0.3</f>
        <v>0.622</v>
      </c>
      <c r="AG6" s="6">
        <f t="shared" ref="AG6:AG37" si="0">+SUM(B6:AF6)</f>
        <v>22.116999999999997</v>
      </c>
      <c r="AH6" s="495">
        <f t="shared" ref="AH6:AH36" si="1">+AG6/$AG$39</f>
        <v>0.37742964897011899</v>
      </c>
    </row>
    <row r="7" spans="1:35">
      <c r="A7" s="489" t="s">
        <v>284</v>
      </c>
      <c r="B7" s="6"/>
      <c r="C7" s="6">
        <f>0.2+0.295</f>
        <v>0.495</v>
      </c>
      <c r="D7" s="6"/>
      <c r="E7" s="6">
        <f>1.078+0.24</f>
        <v>1.3180000000000001</v>
      </c>
      <c r="F7" s="6">
        <f>1.064+0.32+0.156</f>
        <v>1.54</v>
      </c>
      <c r="G7" s="6">
        <v>0.29599999999999999</v>
      </c>
      <c r="H7" s="490">
        <f>0.25+0.781+0.648</f>
        <v>1.6790000000000003</v>
      </c>
      <c r="I7" s="6">
        <f>0.781+0.648</f>
        <v>1.429</v>
      </c>
      <c r="J7" s="6"/>
      <c r="K7" s="6">
        <f>0.31+0.44+0.423</f>
        <v>1.173</v>
      </c>
      <c r="L7" s="6">
        <f>0.5+0.16</f>
        <v>0.66</v>
      </c>
      <c r="M7" s="6"/>
      <c r="N7" s="6"/>
      <c r="O7" s="6"/>
      <c r="P7" s="6">
        <f>0.185+0.131</f>
        <v>0.316</v>
      </c>
      <c r="Q7" s="6"/>
      <c r="S7" s="6"/>
      <c r="T7" s="6">
        <f>0.452+0.91</f>
        <v>1.3620000000000001</v>
      </c>
      <c r="U7" s="6">
        <v>1.2</v>
      </c>
      <c r="V7" s="6"/>
      <c r="W7" s="6"/>
      <c r="X7" s="6">
        <f>0.404+0.924</f>
        <v>1.3280000000000001</v>
      </c>
      <c r="Y7" s="6">
        <f>0.228+0.105</f>
        <v>0.33300000000000002</v>
      </c>
      <c r="Z7" s="6">
        <f>1.814+0.405+1.184</f>
        <v>3.4030000000000005</v>
      </c>
      <c r="AA7" s="6">
        <f>1.068+0.1+0.1+0.456</f>
        <v>1.7240000000000002</v>
      </c>
      <c r="AB7" s="6">
        <f>0.291+0.08+0.286</f>
        <v>0.65700000000000003</v>
      </c>
      <c r="AC7" s="6">
        <f>0.64+0.78</f>
        <v>1.42</v>
      </c>
      <c r="AD7" s="6">
        <f>1.265+0.138</f>
        <v>1.403</v>
      </c>
      <c r="AE7" s="6">
        <v>0.24</v>
      </c>
      <c r="AF7" s="6"/>
      <c r="AG7" s="6">
        <f t="shared" si="0"/>
        <v>21.975999999999996</v>
      </c>
      <c r="AH7" s="482">
        <f t="shared" si="1"/>
        <v>0.37502346456424168</v>
      </c>
    </row>
    <row r="8" spans="1:35">
      <c r="A8" s="496" t="s">
        <v>285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f t="shared" si="0"/>
        <v>0</v>
      </c>
      <c r="AH8" s="482">
        <f t="shared" si="1"/>
        <v>0</v>
      </c>
    </row>
    <row r="9" spans="1:35">
      <c r="A9" s="489" t="s">
        <v>286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f t="shared" si="0"/>
        <v>0</v>
      </c>
      <c r="AH9" s="482">
        <f t="shared" si="1"/>
        <v>0</v>
      </c>
    </row>
    <row r="10" spans="1:35">
      <c r="A10" s="489" t="s">
        <v>287</v>
      </c>
      <c r="B10" s="6"/>
      <c r="C10" s="6"/>
      <c r="D10" s="6"/>
      <c r="E10" s="6"/>
      <c r="F10" s="6"/>
      <c r="G10" s="6"/>
      <c r="H10" s="6">
        <v>0.42199999999999999</v>
      </c>
      <c r="I10" s="6">
        <v>0.42199999999999999</v>
      </c>
      <c r="J10" s="6">
        <v>1.097</v>
      </c>
      <c r="K10" s="6"/>
      <c r="L10" s="6"/>
      <c r="M10" s="6">
        <v>1.1000000000000001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>
        <v>0.755</v>
      </c>
      <c r="Y10" s="6">
        <v>0.74199999999999999</v>
      </c>
      <c r="Z10" s="6"/>
      <c r="AA10" s="6"/>
      <c r="AB10" s="6"/>
      <c r="AC10" s="6"/>
      <c r="AD10" s="6"/>
      <c r="AE10" s="6"/>
      <c r="AF10" s="6"/>
      <c r="AG10" s="6">
        <f t="shared" si="0"/>
        <v>4.5380000000000003</v>
      </c>
      <c r="AH10" s="482">
        <f t="shared" si="1"/>
        <v>7.7441594566460201E-2</v>
      </c>
    </row>
    <row r="11" spans="1:35">
      <c r="A11" s="489" t="s">
        <v>288</v>
      </c>
      <c r="B11" s="6">
        <v>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>
        <v>0.15</v>
      </c>
      <c r="Y11" s="6"/>
      <c r="Z11" s="6"/>
      <c r="AA11" s="6"/>
      <c r="AB11" s="6"/>
      <c r="AC11" s="6"/>
      <c r="AD11" s="6">
        <v>0.2</v>
      </c>
      <c r="AE11" s="6"/>
      <c r="AF11" s="6"/>
      <c r="AG11" s="6">
        <f t="shared" si="0"/>
        <v>2.35</v>
      </c>
      <c r="AH11" s="482">
        <f t="shared" si="1"/>
        <v>4.0103073431287231E-2</v>
      </c>
    </row>
    <row r="12" spans="1:35">
      <c r="A12" s="489" t="s">
        <v>289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>
        <v>4.0380000000000003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0.28999999999999998</v>
      </c>
      <c r="AC12" s="6"/>
      <c r="AD12" s="6"/>
      <c r="AE12" s="6"/>
      <c r="AF12" s="6"/>
      <c r="AG12" s="6">
        <f t="shared" si="0"/>
        <v>4.3280000000000003</v>
      </c>
      <c r="AH12" s="482">
        <f t="shared" si="1"/>
        <v>7.3857915664089849E-2</v>
      </c>
    </row>
    <row r="13" spans="1:35">
      <c r="A13" s="489" t="s">
        <v>259</v>
      </c>
      <c r="B13" s="6">
        <v>0.2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f t="shared" si="0"/>
        <v>0.2</v>
      </c>
      <c r="AH13" s="482">
        <f t="shared" si="1"/>
        <v>3.4130275260669985E-3</v>
      </c>
    </row>
    <row r="14" spans="1:35">
      <c r="A14" s="489" t="s">
        <v>290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f t="shared" si="0"/>
        <v>0</v>
      </c>
      <c r="AH14" s="482">
        <f t="shared" si="1"/>
        <v>0</v>
      </c>
    </row>
    <row r="15" spans="1:35">
      <c r="A15" s="489" t="s">
        <v>311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f t="shared" si="0"/>
        <v>0</v>
      </c>
      <c r="AH15" s="482">
        <f t="shared" si="1"/>
        <v>0</v>
      </c>
    </row>
    <row r="16" spans="1:35">
      <c r="A16" s="489" t="s">
        <v>291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f t="shared" si="0"/>
        <v>0</v>
      </c>
      <c r="AH16" s="482">
        <f t="shared" si="1"/>
        <v>0</v>
      </c>
    </row>
    <row r="17" spans="1:34">
      <c r="A17" s="489" t="s">
        <v>292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f t="shared" si="0"/>
        <v>0</v>
      </c>
      <c r="AH17" s="482">
        <f t="shared" si="1"/>
        <v>0</v>
      </c>
    </row>
    <row r="18" spans="1:34">
      <c r="A18" s="489" t="s">
        <v>293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490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>
        <v>0.15</v>
      </c>
      <c r="AF18" s="6"/>
      <c r="AG18" s="6">
        <f t="shared" si="0"/>
        <v>0.15</v>
      </c>
      <c r="AH18" s="482">
        <f t="shared" si="1"/>
        <v>2.5597706445502485E-3</v>
      </c>
    </row>
    <row r="19" spans="1:34">
      <c r="A19" s="489" t="s">
        <v>294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f t="shared" si="0"/>
        <v>0</v>
      </c>
      <c r="AH19" s="482">
        <f t="shared" si="1"/>
        <v>0</v>
      </c>
    </row>
    <row r="20" spans="1:34">
      <c r="A20" s="489" t="s">
        <v>410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f t="shared" si="0"/>
        <v>0</v>
      </c>
      <c r="AH20" s="482">
        <f t="shared" si="1"/>
        <v>0</v>
      </c>
    </row>
    <row r="21" spans="1:34">
      <c r="A21" s="489" t="s">
        <v>295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f t="shared" si="0"/>
        <v>0</v>
      </c>
      <c r="AH21" s="482">
        <f t="shared" si="1"/>
        <v>0</v>
      </c>
    </row>
    <row r="22" spans="1:34">
      <c r="A22" s="489" t="s">
        <v>296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f t="shared" si="0"/>
        <v>0</v>
      </c>
      <c r="AH22" s="482">
        <f t="shared" si="1"/>
        <v>0</v>
      </c>
    </row>
    <row r="23" spans="1:34">
      <c r="A23" s="489" t="s">
        <v>297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f t="shared" si="0"/>
        <v>0</v>
      </c>
      <c r="AH23" s="482">
        <f t="shared" si="1"/>
        <v>0</v>
      </c>
    </row>
    <row r="24" spans="1:34">
      <c r="A24" s="489" t="s">
        <v>298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f t="shared" si="0"/>
        <v>0</v>
      </c>
      <c r="AH24" s="482">
        <f t="shared" si="1"/>
        <v>0</v>
      </c>
    </row>
    <row r="25" spans="1:34">
      <c r="A25" s="489" t="s">
        <v>299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f t="shared" si="0"/>
        <v>0</v>
      </c>
      <c r="AH25" s="482">
        <f t="shared" si="1"/>
        <v>0</v>
      </c>
    </row>
    <row r="26" spans="1:34">
      <c r="A26" s="489" t="s">
        <v>417</v>
      </c>
      <c r="B26" s="6"/>
      <c r="C26" s="6"/>
      <c r="D26" s="6"/>
      <c r="E26" s="6">
        <v>2.94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f t="shared" si="0"/>
        <v>2.94</v>
      </c>
      <c r="AH26" s="482">
        <f t="shared" si="1"/>
        <v>5.0171504633184871E-2</v>
      </c>
    </row>
    <row r="27" spans="1:34">
      <c r="A27" s="489" t="s">
        <v>300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f t="shared" si="0"/>
        <v>0</v>
      </c>
      <c r="AH27" s="482">
        <f t="shared" si="1"/>
        <v>0</v>
      </c>
    </row>
    <row r="28" spans="1:34">
      <c r="A28" s="489" t="s">
        <v>301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f t="shared" si="0"/>
        <v>0</v>
      </c>
      <c r="AH28" s="482">
        <f t="shared" si="1"/>
        <v>0</v>
      </c>
    </row>
    <row r="29" spans="1:34">
      <c r="A29" s="489" t="s">
        <v>302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f t="shared" si="0"/>
        <v>0</v>
      </c>
      <c r="AH29" s="482">
        <f t="shared" si="1"/>
        <v>0</v>
      </c>
    </row>
    <row r="30" spans="1:34">
      <c r="A30" s="489" t="s">
        <v>303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f t="shared" si="0"/>
        <v>0</v>
      </c>
      <c r="AH30" s="482">
        <f t="shared" si="1"/>
        <v>0</v>
      </c>
    </row>
    <row r="31" spans="1:34">
      <c r="A31" s="489" t="s">
        <v>231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f t="shared" si="0"/>
        <v>0</v>
      </c>
      <c r="AH31" s="482">
        <f t="shared" si="1"/>
        <v>0</v>
      </c>
    </row>
    <row r="32" spans="1:34">
      <c r="A32" s="489" t="s">
        <v>304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f t="shared" si="0"/>
        <v>0</v>
      </c>
      <c r="AH32" s="482">
        <f t="shared" si="1"/>
        <v>0</v>
      </c>
    </row>
    <row r="33" spans="1:34">
      <c r="A33" s="489" t="s">
        <v>305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f t="shared" si="0"/>
        <v>0</v>
      </c>
      <c r="AH33" s="482">
        <f t="shared" si="1"/>
        <v>0</v>
      </c>
    </row>
    <row r="34" spans="1:34">
      <c r="A34" s="497" t="s">
        <v>306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f t="shared" si="0"/>
        <v>0</v>
      </c>
      <c r="AH34" s="482">
        <f t="shared" si="1"/>
        <v>0</v>
      </c>
    </row>
    <row r="35" spans="1:34">
      <c r="A35" s="497" t="s">
        <v>307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f t="shared" si="0"/>
        <v>0</v>
      </c>
      <c r="AH35" s="482">
        <f t="shared" si="1"/>
        <v>0</v>
      </c>
    </row>
    <row r="36" spans="1:34">
      <c r="A36" s="497" t="s">
        <v>308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f t="shared" si="0"/>
        <v>0</v>
      </c>
      <c r="AH36" s="482">
        <f t="shared" si="1"/>
        <v>0</v>
      </c>
    </row>
    <row r="37" spans="1:34">
      <c r="A37" s="497" t="s">
        <v>309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f t="shared" si="0"/>
        <v>0</v>
      </c>
      <c r="AH37" s="482">
        <f>+AG37/$AG$39</f>
        <v>0</v>
      </c>
    </row>
    <row r="38" spans="1:34">
      <c r="A38" s="498" t="s">
        <v>310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499">
        <f>+AG39/Efficiency1!$K$150</f>
        <v>2.8266316603086025E-2</v>
      </c>
    </row>
    <row r="39" spans="1:34">
      <c r="A39" s="497" t="s">
        <v>2</v>
      </c>
      <c r="B39" s="6">
        <f t="shared" ref="B39:AF39" si="2">SUM(B3:B37)</f>
        <v>5.5860000000000003</v>
      </c>
      <c r="C39" s="6">
        <f t="shared" si="2"/>
        <v>4.32</v>
      </c>
      <c r="D39" s="6">
        <f t="shared" si="2"/>
        <v>5.343</v>
      </c>
      <c r="E39" s="6">
        <f t="shared" si="2"/>
        <v>13.942</v>
      </c>
      <c r="F39" s="6">
        <f t="shared" si="2"/>
        <v>15.201000000000001</v>
      </c>
      <c r="G39" s="6">
        <f t="shared" si="2"/>
        <v>16.552999999999997</v>
      </c>
      <c r="H39" s="6">
        <f t="shared" si="2"/>
        <v>13.019</v>
      </c>
      <c r="I39" s="6">
        <f t="shared" si="2"/>
        <v>13.019</v>
      </c>
      <c r="J39" s="6">
        <f t="shared" si="2"/>
        <v>11.446999999999999</v>
      </c>
      <c r="K39" s="6">
        <f t="shared" si="2"/>
        <v>7.7450000000000001</v>
      </c>
      <c r="L39" s="6">
        <f t="shared" si="2"/>
        <v>19.87</v>
      </c>
      <c r="M39" s="6">
        <f t="shared" si="2"/>
        <v>10.065999999999999</v>
      </c>
      <c r="N39" s="6">
        <f t="shared" si="2"/>
        <v>7.673</v>
      </c>
      <c r="O39" s="7">
        <f t="shared" si="2"/>
        <v>5.6379999999999999</v>
      </c>
      <c r="P39" s="6">
        <f t="shared" si="2"/>
        <v>8.3510000000000009</v>
      </c>
      <c r="Q39" s="6">
        <f t="shared" si="2"/>
        <v>8.3320000000000007</v>
      </c>
      <c r="R39" s="6">
        <f t="shared" si="2"/>
        <v>7.4339999999999993</v>
      </c>
      <c r="S39" s="6">
        <f t="shared" si="2"/>
        <v>7.3</v>
      </c>
      <c r="T39" s="6">
        <f t="shared" si="2"/>
        <v>6.6980000000000004</v>
      </c>
      <c r="U39" s="6">
        <f t="shared" si="2"/>
        <v>4.8289999999999997</v>
      </c>
      <c r="V39" s="6">
        <f t="shared" si="2"/>
        <v>4.5969999999999995</v>
      </c>
      <c r="W39" s="6">
        <f t="shared" si="2"/>
        <v>5.3090000000000002</v>
      </c>
      <c r="X39" s="6">
        <f t="shared" si="2"/>
        <v>15.209999999999999</v>
      </c>
      <c r="Y39" s="6">
        <f t="shared" si="2"/>
        <v>18.170999999999999</v>
      </c>
      <c r="Z39" s="6">
        <f t="shared" si="2"/>
        <v>21.972000000000001</v>
      </c>
      <c r="AA39" s="6">
        <f t="shared" si="2"/>
        <v>32.173999999999999</v>
      </c>
      <c r="AB39" s="6">
        <f t="shared" si="2"/>
        <v>30.031999999999996</v>
      </c>
      <c r="AC39" s="6">
        <f t="shared" si="2"/>
        <v>34.409000000000006</v>
      </c>
      <c r="AD39" s="6">
        <f t="shared" si="2"/>
        <v>24.964999999999996</v>
      </c>
      <c r="AE39" s="6">
        <f t="shared" si="2"/>
        <v>1.3819999999999999</v>
      </c>
      <c r="AF39" s="6">
        <f t="shared" si="2"/>
        <v>14.718</v>
      </c>
      <c r="AG39" s="17">
        <f>SUM(AG6:AG38)</f>
        <v>58.59899999999999</v>
      </c>
      <c r="AH39" s="500">
        <f>SUM(AH6:AH37)</f>
        <v>1</v>
      </c>
    </row>
  </sheetData>
  <mergeCells count="1">
    <mergeCell ref="AI3:AI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3"/>
  <sheetViews>
    <sheetView topLeftCell="G13" workbookViewId="0">
      <selection activeCell="H150" sqref="H150:P152"/>
    </sheetView>
  </sheetViews>
  <sheetFormatPr defaultRowHeight="12.75"/>
  <cols>
    <col min="4" max="4" width="52.42578125" bestFit="1" customWidth="1"/>
    <col min="5" max="5" width="18.85546875" bestFit="1" customWidth="1"/>
    <col min="6" max="6" width="17.28515625" bestFit="1" customWidth="1"/>
    <col min="8" max="8" width="27.7109375" bestFit="1" customWidth="1"/>
    <col min="15" max="15" width="52.42578125" bestFit="1" customWidth="1"/>
    <col min="16" max="16" width="18.85546875" bestFit="1" customWidth="1"/>
    <col min="17" max="17" width="17.28515625" bestFit="1" customWidth="1"/>
    <col min="19" max="19" width="27.7109375" bestFit="1" customWidth="1"/>
  </cols>
  <sheetData>
    <row r="1" spans="1:21" ht="45">
      <c r="A1" s="455" t="s">
        <v>148</v>
      </c>
      <c r="B1" s="478" t="s">
        <v>8</v>
      </c>
      <c r="C1" s="479" t="s">
        <v>266</v>
      </c>
      <c r="D1" s="480" t="s">
        <v>128</v>
      </c>
      <c r="E1" s="480" t="s">
        <v>267</v>
      </c>
      <c r="F1" s="480" t="s">
        <v>268</v>
      </c>
      <c r="H1" s="477" t="s">
        <v>269</v>
      </c>
      <c r="I1" s="469" t="s">
        <v>270</v>
      </c>
      <c r="J1" s="469" t="s">
        <v>271</v>
      </c>
      <c r="L1" s="455" t="s">
        <v>148</v>
      </c>
      <c r="M1" s="478" t="s">
        <v>8</v>
      </c>
      <c r="N1" s="479" t="s">
        <v>266</v>
      </c>
      <c r="O1" s="480" t="s">
        <v>128</v>
      </c>
      <c r="P1" s="480" t="s">
        <v>267</v>
      </c>
      <c r="Q1" s="480" t="s">
        <v>268</v>
      </c>
      <c r="S1" s="546" t="s">
        <v>269</v>
      </c>
      <c r="T1" s="469" t="s">
        <v>270</v>
      </c>
      <c r="U1" s="469" t="s">
        <v>271</v>
      </c>
    </row>
    <row r="2" spans="1:21">
      <c r="B2" s="344">
        <v>45505</v>
      </c>
      <c r="C2" s="4">
        <v>20</v>
      </c>
      <c r="D2" s="504" t="s">
        <v>447</v>
      </c>
      <c r="E2" t="s">
        <v>258</v>
      </c>
      <c r="F2" t="s">
        <v>255</v>
      </c>
      <c r="H2" s="6" t="s">
        <v>152</v>
      </c>
      <c r="I2" s="317">
        <f>+Efficiency1!Z150</f>
        <v>33.051000000000002</v>
      </c>
      <c r="J2" s="473">
        <f>I2/$I$8</f>
        <v>1.594276404117129E-2</v>
      </c>
      <c r="M2" s="344">
        <v>45505</v>
      </c>
      <c r="N2" s="4">
        <v>20</v>
      </c>
      <c r="O2" s="504" t="s">
        <v>447</v>
      </c>
      <c r="P2" t="s">
        <v>258</v>
      </c>
      <c r="Q2" t="s">
        <v>255</v>
      </c>
      <c r="S2" s="6" t="s">
        <v>152</v>
      </c>
      <c r="T2" s="317">
        <f>+Efficiency2!Z150</f>
        <v>33.051000000000002</v>
      </c>
      <c r="U2" s="473">
        <f>T2/$T$8</f>
        <v>1.5946500735889078E-2</v>
      </c>
    </row>
    <row r="3" spans="1:21">
      <c r="B3" s="344"/>
      <c r="C3" s="4">
        <v>0</v>
      </c>
      <c r="D3" s="504" t="s">
        <v>446</v>
      </c>
      <c r="E3" t="s">
        <v>256</v>
      </c>
      <c r="F3" t="s">
        <v>255</v>
      </c>
      <c r="H3" s="6" t="s">
        <v>249</v>
      </c>
      <c r="I3" s="317">
        <f>+Efficiency1!AA150+Efficiency1!Y150</f>
        <v>-8.4920755056773345</v>
      </c>
      <c r="J3" s="473">
        <f>I3/$I$8</f>
        <v>-4.0963104295429521E-3</v>
      </c>
      <c r="M3" s="344"/>
      <c r="N3" s="4">
        <v>0</v>
      </c>
      <c r="O3" s="504" t="s">
        <v>446</v>
      </c>
      <c r="P3" t="s">
        <v>256</v>
      </c>
      <c r="Q3" t="s">
        <v>255</v>
      </c>
      <c r="S3" s="6" t="s">
        <v>249</v>
      </c>
      <c r="T3" s="317">
        <f>+Efficiency2!AA150+Efficiency2!Y150</f>
        <v>-8.9497795056773413</v>
      </c>
      <c r="U3" s="473">
        <f>T3/$T$8</f>
        <v>-4.3181043076859615E-3</v>
      </c>
    </row>
    <row r="4" spans="1:21">
      <c r="B4" s="44"/>
      <c r="C4" s="4">
        <v>7</v>
      </c>
      <c r="D4" t="s">
        <v>445</v>
      </c>
      <c r="E4" t="s">
        <v>257</v>
      </c>
      <c r="F4" t="s">
        <v>255</v>
      </c>
      <c r="H4" s="6" t="s">
        <v>272</v>
      </c>
      <c r="I4" s="317">
        <f>+Efficiency1!AB150</f>
        <v>-17.970591930426473</v>
      </c>
      <c r="J4" s="473">
        <f>I4/$I$8</f>
        <v>-8.6684489675642531E-3</v>
      </c>
      <c r="M4" s="44"/>
      <c r="N4" s="4">
        <v>7</v>
      </c>
      <c r="O4" t="s">
        <v>445</v>
      </c>
      <c r="P4" t="s">
        <v>257</v>
      </c>
      <c r="Q4" t="s">
        <v>255</v>
      </c>
      <c r="S4" s="6" t="s">
        <v>272</v>
      </c>
      <c r="T4" s="317">
        <f>+Efficiency2!AB150</f>
        <v>-17.970591930426465</v>
      </c>
      <c r="U4" s="473">
        <f>T4/$T$8</f>
        <v>-8.6704806947719565E-3</v>
      </c>
    </row>
    <row r="5" spans="1:21">
      <c r="B5" s="44"/>
      <c r="C5" s="4">
        <v>1090</v>
      </c>
      <c r="D5" t="s">
        <v>439</v>
      </c>
      <c r="E5" t="s">
        <v>453</v>
      </c>
      <c r="F5" s="383" t="s">
        <v>265</v>
      </c>
      <c r="H5" s="6" t="s">
        <v>252</v>
      </c>
      <c r="I5" s="317">
        <f>+Efficiency1!AC150</f>
        <v>67.159803815544208</v>
      </c>
      <c r="J5" s="473">
        <f>I5/$I$8</f>
        <v>3.2395779410080677E-2</v>
      </c>
      <c r="M5" s="44"/>
      <c r="N5" s="4">
        <v>1090</v>
      </c>
      <c r="O5" t="s">
        <v>439</v>
      </c>
      <c r="P5" t="s">
        <v>453</v>
      </c>
      <c r="Q5" s="383" t="s">
        <v>265</v>
      </c>
      <c r="S5" s="6" t="s">
        <v>252</v>
      </c>
      <c r="T5" s="317">
        <f>+Efficiency2!AC150</f>
        <v>67.159803815544208</v>
      </c>
      <c r="U5" s="473">
        <f>T5/$T$8</f>
        <v>3.2403372393172425E-2</v>
      </c>
    </row>
    <row r="6" spans="1:21">
      <c r="B6" s="344"/>
      <c r="C6" s="4"/>
      <c r="M6" s="344"/>
      <c r="N6" s="4"/>
    </row>
    <row r="7" spans="1:21">
      <c r="B7" s="344">
        <v>45871</v>
      </c>
      <c r="C7" s="4">
        <v>25</v>
      </c>
      <c r="D7" t="s">
        <v>484</v>
      </c>
      <c r="E7" t="s">
        <v>258</v>
      </c>
      <c r="F7" t="s">
        <v>255</v>
      </c>
      <c r="M7" s="344">
        <v>45871</v>
      </c>
      <c r="N7" s="4">
        <v>25</v>
      </c>
      <c r="O7" t="s">
        <v>484</v>
      </c>
      <c r="P7" t="s">
        <v>258</v>
      </c>
      <c r="Q7" t="s">
        <v>255</v>
      </c>
    </row>
    <row r="8" spans="1:21">
      <c r="B8" s="44"/>
      <c r="C8" s="4">
        <v>17</v>
      </c>
      <c r="D8" t="s">
        <v>499</v>
      </c>
      <c r="E8" t="s">
        <v>256</v>
      </c>
      <c r="F8" t="s">
        <v>255</v>
      </c>
      <c r="H8" s="481" t="s">
        <v>273</v>
      </c>
      <c r="I8" s="7">
        <f>+Efficiency1!K150</f>
        <v>2073.1035041757914</v>
      </c>
      <c r="M8" s="44"/>
      <c r="N8" s="4">
        <v>17</v>
      </c>
      <c r="O8" t="s">
        <v>499</v>
      </c>
      <c r="P8" t="s">
        <v>256</v>
      </c>
      <c r="Q8" t="s">
        <v>255</v>
      </c>
      <c r="S8" s="481" t="s">
        <v>273</v>
      </c>
      <c r="T8" s="7">
        <f>+Efficiency2!K150</f>
        <v>2072.6177201757914</v>
      </c>
    </row>
    <row r="9" spans="1:21">
      <c r="B9" s="344"/>
      <c r="C9" s="4">
        <v>30</v>
      </c>
      <c r="D9" t="s">
        <v>500</v>
      </c>
      <c r="E9" t="s">
        <v>257</v>
      </c>
      <c r="F9" t="s">
        <v>255</v>
      </c>
      <c r="H9" s="481" t="s">
        <v>274</v>
      </c>
      <c r="I9" s="7">
        <f>+Efficiency1!AD150</f>
        <v>2930</v>
      </c>
      <c r="M9" s="344"/>
      <c r="N9" s="4">
        <v>30</v>
      </c>
      <c r="O9" t="s">
        <v>500</v>
      </c>
      <c r="P9" t="s">
        <v>257</v>
      </c>
      <c r="Q9" t="s">
        <v>255</v>
      </c>
      <c r="S9" s="481" t="s">
        <v>274</v>
      </c>
      <c r="T9" s="7">
        <f>+Efficiency2!AD150</f>
        <v>2930</v>
      </c>
    </row>
    <row r="10" spans="1:21">
      <c r="B10" s="344"/>
      <c r="C10" s="4">
        <v>15</v>
      </c>
      <c r="D10" t="s">
        <v>462</v>
      </c>
      <c r="E10" t="s">
        <v>501</v>
      </c>
      <c r="F10" t="s">
        <v>263</v>
      </c>
      <c r="H10" s="481" t="s">
        <v>276</v>
      </c>
      <c r="I10" s="7">
        <f>+Efficiency1!V150</f>
        <v>133.83836779635098</v>
      </c>
      <c r="M10" s="344"/>
      <c r="N10" s="4">
        <v>15</v>
      </c>
      <c r="O10" t="s">
        <v>462</v>
      </c>
      <c r="P10" t="s">
        <v>501</v>
      </c>
      <c r="Q10" t="s">
        <v>263</v>
      </c>
      <c r="S10" s="481" t="s">
        <v>276</v>
      </c>
      <c r="T10" s="7">
        <f>+Efficiency2!V150</f>
        <v>133.81028779635099</v>
      </c>
    </row>
    <row r="11" spans="1:21">
      <c r="B11" s="344"/>
      <c r="C11" s="4">
        <v>39</v>
      </c>
      <c r="D11" t="s">
        <v>466</v>
      </c>
      <c r="E11" t="s">
        <v>502</v>
      </c>
      <c r="F11" t="s">
        <v>264</v>
      </c>
      <c r="H11" s="481" t="s">
        <v>275</v>
      </c>
      <c r="I11" s="482">
        <f>I10/I8</f>
        <v>6.4559423842931285E-2</v>
      </c>
      <c r="M11" s="344"/>
      <c r="N11" s="4">
        <v>39</v>
      </c>
      <c r="O11" t="s">
        <v>466</v>
      </c>
      <c r="P11" t="s">
        <v>502</v>
      </c>
      <c r="Q11" t="s">
        <v>264</v>
      </c>
      <c r="S11" s="481" t="s">
        <v>275</v>
      </c>
      <c r="T11" s="482">
        <f>T10/T8</f>
        <v>6.4561007316391042E-2</v>
      </c>
    </row>
    <row r="12" spans="1:21">
      <c r="B12" s="44"/>
      <c r="C12" s="4"/>
      <c r="M12" s="44"/>
      <c r="N12" s="4"/>
    </row>
    <row r="13" spans="1:21">
      <c r="B13" s="344">
        <v>45872</v>
      </c>
      <c r="C13" s="4">
        <v>44</v>
      </c>
      <c r="D13" s="504" t="s">
        <v>496</v>
      </c>
      <c r="E13" t="s">
        <v>258</v>
      </c>
      <c r="F13" t="s">
        <v>255</v>
      </c>
      <c r="M13" s="344">
        <v>45872</v>
      </c>
      <c r="N13" s="4">
        <v>44</v>
      </c>
      <c r="O13" s="504" t="s">
        <v>496</v>
      </c>
      <c r="P13" t="s">
        <v>258</v>
      </c>
      <c r="Q13" t="s">
        <v>255</v>
      </c>
    </row>
    <row r="14" spans="1:21">
      <c r="B14" s="344"/>
      <c r="C14" s="4">
        <v>26</v>
      </c>
      <c r="D14" s="504" t="s">
        <v>497</v>
      </c>
      <c r="E14" t="s">
        <v>256</v>
      </c>
      <c r="F14" t="s">
        <v>255</v>
      </c>
      <c r="M14" s="344"/>
      <c r="N14" s="4">
        <v>26</v>
      </c>
      <c r="O14" s="504" t="s">
        <v>497</v>
      </c>
      <c r="P14" t="s">
        <v>256</v>
      </c>
      <c r="Q14" t="s">
        <v>255</v>
      </c>
    </row>
    <row r="15" spans="1:21">
      <c r="B15" s="344"/>
      <c r="C15" s="4">
        <v>30</v>
      </c>
      <c r="D15" t="s">
        <v>498</v>
      </c>
      <c r="E15" t="s">
        <v>257</v>
      </c>
      <c r="F15" t="s">
        <v>255</v>
      </c>
      <c r="M15" s="344"/>
      <c r="N15" s="4">
        <v>30</v>
      </c>
      <c r="O15" t="s">
        <v>498</v>
      </c>
      <c r="P15" t="s">
        <v>257</v>
      </c>
      <c r="Q15" t="s">
        <v>255</v>
      </c>
    </row>
    <row r="16" spans="1:21">
      <c r="B16" s="344"/>
      <c r="C16" s="4"/>
      <c r="M16" s="344"/>
      <c r="N16" s="4"/>
    </row>
    <row r="17" spans="2:17">
      <c r="B17" s="344">
        <v>45873</v>
      </c>
      <c r="C17" s="4">
        <v>65</v>
      </c>
      <c r="D17" t="s">
        <v>523</v>
      </c>
      <c r="E17" t="s">
        <v>258</v>
      </c>
      <c r="F17" t="s">
        <v>255</v>
      </c>
      <c r="M17" s="344">
        <v>45873</v>
      </c>
      <c r="N17" s="4">
        <v>65</v>
      </c>
      <c r="O17" t="s">
        <v>523</v>
      </c>
      <c r="P17" t="s">
        <v>258</v>
      </c>
      <c r="Q17" t="s">
        <v>255</v>
      </c>
    </row>
    <row r="18" spans="2:17">
      <c r="B18" s="44"/>
      <c r="C18" s="4">
        <v>19</v>
      </c>
      <c r="D18" s="501" t="s">
        <v>499</v>
      </c>
      <c r="E18" t="s">
        <v>256</v>
      </c>
      <c r="F18" t="s">
        <v>255</v>
      </c>
      <c r="M18" s="44"/>
      <c r="N18" s="4">
        <v>19</v>
      </c>
      <c r="O18" s="501" t="s">
        <v>499</v>
      </c>
      <c r="P18" t="s">
        <v>256</v>
      </c>
      <c r="Q18" t="s">
        <v>255</v>
      </c>
    </row>
    <row r="19" spans="2:17">
      <c r="B19" s="344"/>
      <c r="C19" s="4">
        <v>35</v>
      </c>
      <c r="D19" s="501" t="s">
        <v>524</v>
      </c>
      <c r="E19" t="s">
        <v>257</v>
      </c>
      <c r="F19" t="s">
        <v>255</v>
      </c>
      <c r="M19" s="344"/>
      <c r="N19" s="4">
        <v>35</v>
      </c>
      <c r="O19" s="501" t="s">
        <v>524</v>
      </c>
      <c r="P19" t="s">
        <v>257</v>
      </c>
      <c r="Q19" t="s">
        <v>255</v>
      </c>
    </row>
    <row r="20" spans="2:17">
      <c r="B20" s="344"/>
      <c r="C20" s="4"/>
      <c r="D20" s="501"/>
      <c r="E20" s="383"/>
      <c r="F20" s="383"/>
      <c r="M20" s="344"/>
      <c r="N20" s="4"/>
      <c r="O20" s="501"/>
      <c r="P20" s="383"/>
      <c r="Q20" s="383"/>
    </row>
    <row r="21" spans="2:17">
      <c r="B21" s="44">
        <v>45874</v>
      </c>
      <c r="C21" s="4">
        <v>10</v>
      </c>
      <c r="D21" s="501" t="s">
        <v>522</v>
      </c>
      <c r="E21" t="s">
        <v>258</v>
      </c>
      <c r="F21" t="s">
        <v>255</v>
      </c>
      <c r="M21" s="44">
        <v>45874</v>
      </c>
      <c r="N21" s="4">
        <v>10</v>
      </c>
      <c r="O21" s="501" t="s">
        <v>522</v>
      </c>
      <c r="P21" t="s">
        <v>258</v>
      </c>
      <c r="Q21" t="s">
        <v>255</v>
      </c>
    </row>
    <row r="22" spans="2:17">
      <c r="B22" s="344"/>
      <c r="C22" s="4">
        <v>11</v>
      </c>
      <c r="D22" s="501" t="s">
        <v>491</v>
      </c>
      <c r="E22" t="s">
        <v>256</v>
      </c>
      <c r="F22" t="s">
        <v>255</v>
      </c>
      <c r="M22" s="344"/>
      <c r="N22" s="4">
        <v>11</v>
      </c>
      <c r="O22" s="501" t="s">
        <v>491</v>
      </c>
      <c r="P22" t="s">
        <v>256</v>
      </c>
      <c r="Q22" t="s">
        <v>255</v>
      </c>
    </row>
    <row r="23" spans="2:17">
      <c r="B23" s="344"/>
      <c r="C23" s="4">
        <v>18</v>
      </c>
      <c r="D23" t="s">
        <v>540</v>
      </c>
      <c r="E23" t="s">
        <v>257</v>
      </c>
      <c r="F23" t="s">
        <v>255</v>
      </c>
      <c r="M23" s="344"/>
      <c r="N23" s="4">
        <v>18</v>
      </c>
      <c r="O23" t="s">
        <v>540</v>
      </c>
      <c r="P23" t="s">
        <v>257</v>
      </c>
      <c r="Q23" t="s">
        <v>255</v>
      </c>
    </row>
    <row r="24" spans="2:17">
      <c r="B24" s="44"/>
      <c r="C24" s="4">
        <v>15</v>
      </c>
      <c r="D24" t="s">
        <v>541</v>
      </c>
      <c r="E24" t="s">
        <v>202</v>
      </c>
      <c r="F24" t="s">
        <v>254</v>
      </c>
      <c r="M24" s="44"/>
      <c r="N24" s="4">
        <v>15</v>
      </c>
      <c r="O24" t="s">
        <v>541</v>
      </c>
      <c r="P24" t="s">
        <v>202</v>
      </c>
      <c r="Q24" t="s">
        <v>254</v>
      </c>
    </row>
    <row r="25" spans="2:17">
      <c r="B25" s="344"/>
      <c r="C25" s="4"/>
      <c r="M25" s="344"/>
      <c r="N25" s="4"/>
    </row>
    <row r="26" spans="2:17">
      <c r="B26" s="44">
        <v>45875</v>
      </c>
      <c r="C26" s="4">
        <v>0</v>
      </c>
      <c r="D26" t="s">
        <v>277</v>
      </c>
      <c r="E26" t="s">
        <v>258</v>
      </c>
      <c r="F26" t="s">
        <v>255</v>
      </c>
      <c r="M26" s="44">
        <v>45875</v>
      </c>
      <c r="N26" s="4">
        <v>0</v>
      </c>
      <c r="O26" t="s">
        <v>277</v>
      </c>
      <c r="P26" t="s">
        <v>258</v>
      </c>
      <c r="Q26" t="s">
        <v>255</v>
      </c>
    </row>
    <row r="27" spans="2:17">
      <c r="B27" s="344"/>
      <c r="C27" s="4">
        <v>2</v>
      </c>
      <c r="D27" t="s">
        <v>521</v>
      </c>
      <c r="E27" t="s">
        <v>256</v>
      </c>
      <c r="F27" t="s">
        <v>255</v>
      </c>
      <c r="M27" s="344"/>
      <c r="N27" s="4">
        <v>2</v>
      </c>
      <c r="O27" t="s">
        <v>521</v>
      </c>
      <c r="P27" t="s">
        <v>256</v>
      </c>
      <c r="Q27" t="s">
        <v>255</v>
      </c>
    </row>
    <row r="28" spans="2:17">
      <c r="B28" s="44"/>
      <c r="C28" s="4">
        <v>30</v>
      </c>
      <c r="D28" t="s">
        <v>500</v>
      </c>
      <c r="E28" t="s">
        <v>257</v>
      </c>
      <c r="F28" t="s">
        <v>255</v>
      </c>
      <c r="M28" s="44"/>
      <c r="N28" s="4">
        <v>30</v>
      </c>
      <c r="O28" t="s">
        <v>500</v>
      </c>
      <c r="P28" t="s">
        <v>257</v>
      </c>
      <c r="Q28" t="s">
        <v>255</v>
      </c>
    </row>
    <row r="29" spans="2:17">
      <c r="B29" s="344"/>
      <c r="C29" s="4"/>
      <c r="E29" s="383"/>
      <c r="F29" s="383"/>
      <c r="M29" s="344"/>
      <c r="N29" s="4"/>
      <c r="P29" s="383"/>
      <c r="Q29" s="383"/>
    </row>
    <row r="30" spans="2:17">
      <c r="B30" s="44">
        <v>45876</v>
      </c>
      <c r="C30" s="4">
        <v>20</v>
      </c>
      <c r="D30" t="s">
        <v>447</v>
      </c>
      <c r="E30" t="s">
        <v>258</v>
      </c>
      <c r="F30" t="s">
        <v>255</v>
      </c>
      <c r="M30" s="44">
        <v>45876</v>
      </c>
      <c r="N30" s="4">
        <v>20</v>
      </c>
      <c r="O30" t="s">
        <v>447</v>
      </c>
      <c r="P30" t="s">
        <v>258</v>
      </c>
      <c r="Q30" t="s">
        <v>255</v>
      </c>
    </row>
    <row r="31" spans="2:17">
      <c r="B31" s="344"/>
      <c r="C31" s="4">
        <v>6</v>
      </c>
      <c r="D31" t="s">
        <v>567</v>
      </c>
      <c r="E31" t="s">
        <v>256</v>
      </c>
      <c r="F31" t="s">
        <v>255</v>
      </c>
      <c r="M31" s="344"/>
      <c r="N31" s="4">
        <v>6</v>
      </c>
      <c r="O31" t="s">
        <v>567</v>
      </c>
      <c r="P31" t="s">
        <v>256</v>
      </c>
      <c r="Q31" t="s">
        <v>255</v>
      </c>
    </row>
    <row r="32" spans="2:17">
      <c r="B32" s="44"/>
      <c r="C32" s="4">
        <v>30</v>
      </c>
      <c r="D32" t="s">
        <v>568</v>
      </c>
      <c r="E32" t="s">
        <v>257</v>
      </c>
      <c r="F32" t="s">
        <v>255</v>
      </c>
      <c r="M32" s="44"/>
      <c r="N32" s="4">
        <v>30</v>
      </c>
      <c r="O32" t="s">
        <v>568</v>
      </c>
      <c r="P32" t="s">
        <v>257</v>
      </c>
      <c r="Q32" t="s">
        <v>255</v>
      </c>
    </row>
    <row r="33" spans="2:17">
      <c r="B33" s="344"/>
      <c r="C33" s="4">
        <v>10</v>
      </c>
      <c r="D33" t="s">
        <v>541</v>
      </c>
      <c r="E33" t="s">
        <v>202</v>
      </c>
      <c r="F33" t="s">
        <v>254</v>
      </c>
      <c r="M33" s="344"/>
      <c r="N33" s="4">
        <v>10</v>
      </c>
      <c r="O33" t="s">
        <v>541</v>
      </c>
      <c r="P33" t="s">
        <v>202</v>
      </c>
      <c r="Q33" t="s">
        <v>254</v>
      </c>
    </row>
    <row r="34" spans="2:17">
      <c r="B34" s="44"/>
      <c r="C34" s="4">
        <v>105</v>
      </c>
      <c r="D34" t="s">
        <v>569</v>
      </c>
      <c r="E34" t="s">
        <v>570</v>
      </c>
      <c r="F34" t="s">
        <v>261</v>
      </c>
      <c r="M34" s="44"/>
      <c r="N34" s="4">
        <v>105</v>
      </c>
      <c r="O34" t="s">
        <v>569</v>
      </c>
      <c r="P34" t="s">
        <v>570</v>
      </c>
      <c r="Q34" t="s">
        <v>261</v>
      </c>
    </row>
    <row r="35" spans="2:17">
      <c r="B35" s="44"/>
      <c r="C35" s="4"/>
      <c r="M35" s="44"/>
      <c r="N35" s="4"/>
    </row>
    <row r="36" spans="2:17">
      <c r="B36" s="344">
        <v>45877</v>
      </c>
      <c r="C36" s="4">
        <v>14</v>
      </c>
      <c r="D36" t="s">
        <v>580</v>
      </c>
      <c r="E36" t="s">
        <v>258</v>
      </c>
      <c r="F36" t="s">
        <v>255</v>
      </c>
      <c r="M36" s="344">
        <v>45877</v>
      </c>
      <c r="N36" s="4">
        <v>14</v>
      </c>
      <c r="O36" t="s">
        <v>580</v>
      </c>
      <c r="P36" t="s">
        <v>258</v>
      </c>
      <c r="Q36" t="s">
        <v>255</v>
      </c>
    </row>
    <row r="37" spans="2:17">
      <c r="B37" s="44"/>
      <c r="C37" s="4">
        <v>0</v>
      </c>
      <c r="D37" t="s">
        <v>446</v>
      </c>
      <c r="E37" t="s">
        <v>256</v>
      </c>
      <c r="F37" t="s">
        <v>255</v>
      </c>
      <c r="M37" s="44"/>
      <c r="N37" s="4">
        <v>0</v>
      </c>
      <c r="O37" t="s">
        <v>446</v>
      </c>
      <c r="P37" t="s">
        <v>256</v>
      </c>
      <c r="Q37" t="s">
        <v>255</v>
      </c>
    </row>
    <row r="38" spans="2:17">
      <c r="B38" s="344"/>
      <c r="C38" s="4">
        <v>35</v>
      </c>
      <c r="D38" t="s">
        <v>581</v>
      </c>
      <c r="E38" t="s">
        <v>257</v>
      </c>
      <c r="F38" t="s">
        <v>255</v>
      </c>
      <c r="M38" s="344"/>
      <c r="N38" s="4">
        <v>35</v>
      </c>
      <c r="O38" t="s">
        <v>581</v>
      </c>
      <c r="P38" t="s">
        <v>257</v>
      </c>
      <c r="Q38" t="s">
        <v>255</v>
      </c>
    </row>
    <row r="39" spans="2:17">
      <c r="B39" s="344"/>
      <c r="C39" s="4"/>
      <c r="M39" s="344"/>
      <c r="N39" s="4"/>
    </row>
    <row r="40" spans="2:17">
      <c r="B40" s="344">
        <v>45878</v>
      </c>
      <c r="C40" s="4">
        <v>0</v>
      </c>
      <c r="D40" t="s">
        <v>277</v>
      </c>
      <c r="E40" t="s">
        <v>258</v>
      </c>
      <c r="F40" t="s">
        <v>255</v>
      </c>
      <c r="M40" s="344">
        <v>45878</v>
      </c>
      <c r="N40" s="4">
        <v>0</v>
      </c>
      <c r="O40" t="s">
        <v>277</v>
      </c>
      <c r="P40" t="s">
        <v>258</v>
      </c>
      <c r="Q40" t="s">
        <v>255</v>
      </c>
    </row>
    <row r="41" spans="2:17">
      <c r="B41" s="344"/>
      <c r="C41" s="4">
        <v>2</v>
      </c>
      <c r="D41" t="s">
        <v>567</v>
      </c>
      <c r="E41" t="s">
        <v>256</v>
      </c>
      <c r="F41" t="s">
        <v>255</v>
      </c>
      <c r="M41" s="344"/>
      <c r="N41" s="4">
        <v>2</v>
      </c>
      <c r="O41" t="s">
        <v>567</v>
      </c>
      <c r="P41" t="s">
        <v>256</v>
      </c>
      <c r="Q41" t="s">
        <v>255</v>
      </c>
    </row>
    <row r="42" spans="2:17">
      <c r="B42" s="344"/>
      <c r="C42" s="4">
        <v>22</v>
      </c>
      <c r="D42" t="s">
        <v>581</v>
      </c>
      <c r="E42" t="s">
        <v>257</v>
      </c>
      <c r="F42" t="s">
        <v>255</v>
      </c>
      <c r="M42" s="344"/>
      <c r="N42" s="4">
        <v>22</v>
      </c>
      <c r="O42" t="s">
        <v>581</v>
      </c>
      <c r="P42" t="s">
        <v>257</v>
      </c>
      <c r="Q42" t="s">
        <v>255</v>
      </c>
    </row>
    <row r="43" spans="2:17">
      <c r="B43" s="44"/>
      <c r="C43" s="4">
        <v>52</v>
      </c>
      <c r="D43" t="s">
        <v>561</v>
      </c>
      <c r="E43" t="s">
        <v>618</v>
      </c>
      <c r="F43" t="s">
        <v>263</v>
      </c>
      <c r="M43" s="44"/>
      <c r="N43" s="4">
        <v>52</v>
      </c>
      <c r="O43" t="s">
        <v>561</v>
      </c>
      <c r="P43" t="s">
        <v>618</v>
      </c>
      <c r="Q43" t="s">
        <v>263</v>
      </c>
    </row>
    <row r="44" spans="2:17">
      <c r="B44" s="44"/>
      <c r="C44" s="4"/>
      <c r="M44" s="44"/>
      <c r="N44" s="4"/>
    </row>
    <row r="45" spans="2:17">
      <c r="B45" s="344">
        <v>45879</v>
      </c>
      <c r="C45" s="4">
        <v>18</v>
      </c>
      <c r="D45" t="s">
        <v>494</v>
      </c>
      <c r="E45" t="s">
        <v>258</v>
      </c>
      <c r="F45" t="s">
        <v>255</v>
      </c>
      <c r="M45" s="344">
        <v>45879</v>
      </c>
      <c r="N45" s="4">
        <v>18</v>
      </c>
      <c r="O45" t="s">
        <v>494</v>
      </c>
      <c r="P45" t="s">
        <v>258</v>
      </c>
      <c r="Q45" t="s">
        <v>255</v>
      </c>
    </row>
    <row r="46" spans="2:17">
      <c r="B46" s="344"/>
      <c r="C46" s="4">
        <v>0</v>
      </c>
      <c r="D46" t="s">
        <v>446</v>
      </c>
      <c r="E46" t="s">
        <v>256</v>
      </c>
      <c r="F46" t="s">
        <v>255</v>
      </c>
      <c r="M46" s="344"/>
      <c r="N46" s="4">
        <v>0</v>
      </c>
      <c r="O46" t="s">
        <v>446</v>
      </c>
      <c r="P46" t="s">
        <v>256</v>
      </c>
      <c r="Q46" t="s">
        <v>255</v>
      </c>
    </row>
    <row r="47" spans="2:17">
      <c r="B47" s="44"/>
      <c r="C47" s="4">
        <v>26</v>
      </c>
      <c r="D47" t="s">
        <v>596</v>
      </c>
      <c r="E47" t="s">
        <v>257</v>
      </c>
      <c r="F47" t="s">
        <v>255</v>
      </c>
      <c r="M47" s="44"/>
      <c r="N47" s="4">
        <v>26</v>
      </c>
      <c r="O47" t="s">
        <v>596</v>
      </c>
      <c r="P47" t="s">
        <v>257</v>
      </c>
      <c r="Q47" t="s">
        <v>255</v>
      </c>
    </row>
    <row r="48" spans="2:17">
      <c r="B48" s="44"/>
      <c r="C48" s="4">
        <v>18</v>
      </c>
      <c r="D48" t="s">
        <v>561</v>
      </c>
      <c r="E48" t="s">
        <v>618</v>
      </c>
      <c r="F48" t="s">
        <v>263</v>
      </c>
      <c r="M48" s="44"/>
      <c r="N48" s="4">
        <v>18</v>
      </c>
      <c r="O48" t="s">
        <v>561</v>
      </c>
      <c r="P48" t="s">
        <v>618</v>
      </c>
      <c r="Q48" t="s">
        <v>263</v>
      </c>
    </row>
    <row r="49" spans="2:17">
      <c r="B49" s="344"/>
      <c r="C49" s="4"/>
      <c r="M49" s="344"/>
      <c r="N49" s="4"/>
    </row>
    <row r="50" spans="2:17">
      <c r="B50" s="344">
        <v>45880</v>
      </c>
      <c r="C50">
        <v>14</v>
      </c>
      <c r="D50" t="s">
        <v>492</v>
      </c>
      <c r="E50" t="s">
        <v>258</v>
      </c>
      <c r="F50" t="s">
        <v>255</v>
      </c>
      <c r="G50" s="525">
        <f>+summary!H42</f>
        <v>1.0000000000000002</v>
      </c>
      <c r="M50" s="344">
        <v>45880</v>
      </c>
      <c r="N50">
        <v>14</v>
      </c>
      <c r="O50" t="s">
        <v>492</v>
      </c>
      <c r="P50" t="s">
        <v>258</v>
      </c>
      <c r="Q50" t="s">
        <v>255</v>
      </c>
    </row>
    <row r="51" spans="2:17">
      <c r="B51" s="44"/>
      <c r="C51">
        <v>0</v>
      </c>
      <c r="D51" t="s">
        <v>446</v>
      </c>
      <c r="E51" t="s">
        <v>256</v>
      </c>
      <c r="F51" t="s">
        <v>255</v>
      </c>
      <c r="M51" s="44"/>
      <c r="N51">
        <v>0</v>
      </c>
      <c r="O51" t="s">
        <v>446</v>
      </c>
      <c r="P51" t="s">
        <v>256</v>
      </c>
      <c r="Q51" t="s">
        <v>255</v>
      </c>
    </row>
    <row r="52" spans="2:17">
      <c r="B52" s="344"/>
      <c r="C52">
        <v>27</v>
      </c>
      <c r="D52" t="s">
        <v>617</v>
      </c>
      <c r="E52" t="s">
        <v>257</v>
      </c>
      <c r="F52" t="s">
        <v>255</v>
      </c>
      <c r="M52" s="344"/>
      <c r="N52">
        <v>27</v>
      </c>
      <c r="O52" t="s">
        <v>617</v>
      </c>
      <c r="P52" t="s">
        <v>257</v>
      </c>
      <c r="Q52" t="s">
        <v>255</v>
      </c>
    </row>
    <row r="53" spans="2:17">
      <c r="B53" s="344"/>
      <c r="C53">
        <v>5</v>
      </c>
      <c r="D53" t="s">
        <v>541</v>
      </c>
      <c r="E53" t="s">
        <v>202</v>
      </c>
      <c r="F53" t="s">
        <v>254</v>
      </c>
      <c r="M53" s="344"/>
      <c r="N53">
        <v>5</v>
      </c>
      <c r="O53" t="s">
        <v>541</v>
      </c>
      <c r="P53" t="s">
        <v>202</v>
      </c>
      <c r="Q53" t="s">
        <v>254</v>
      </c>
    </row>
    <row r="54" spans="2:17">
      <c r="B54" s="44"/>
      <c r="C54">
        <v>14</v>
      </c>
      <c r="D54" t="s">
        <v>561</v>
      </c>
      <c r="E54" t="s">
        <v>618</v>
      </c>
      <c r="F54" t="s">
        <v>263</v>
      </c>
      <c r="M54" s="44"/>
      <c r="N54">
        <v>14</v>
      </c>
      <c r="O54" t="s">
        <v>561</v>
      </c>
      <c r="P54" t="s">
        <v>618</v>
      </c>
      <c r="Q54" t="s">
        <v>263</v>
      </c>
    </row>
    <row r="55" spans="2:17">
      <c r="B55" s="344"/>
      <c r="M55" s="344"/>
    </row>
    <row r="56" spans="2:17">
      <c r="B56" s="344">
        <v>45881</v>
      </c>
      <c r="C56">
        <v>0</v>
      </c>
      <c r="D56" t="s">
        <v>277</v>
      </c>
      <c r="E56" t="s">
        <v>258</v>
      </c>
      <c r="F56" t="s">
        <v>255</v>
      </c>
      <c r="M56" s="344">
        <v>45881</v>
      </c>
      <c r="N56">
        <v>0</v>
      </c>
      <c r="O56" t="s">
        <v>277</v>
      </c>
      <c r="P56" t="s">
        <v>258</v>
      </c>
      <c r="Q56" t="s">
        <v>255</v>
      </c>
    </row>
    <row r="57" spans="2:17">
      <c r="B57" s="44"/>
      <c r="C57">
        <v>0</v>
      </c>
      <c r="D57" t="s">
        <v>446</v>
      </c>
      <c r="E57" t="s">
        <v>256</v>
      </c>
      <c r="F57" t="s">
        <v>255</v>
      </c>
      <c r="M57" s="44"/>
      <c r="N57">
        <v>0</v>
      </c>
      <c r="O57" t="s">
        <v>446</v>
      </c>
      <c r="P57" t="s">
        <v>256</v>
      </c>
      <c r="Q57" t="s">
        <v>255</v>
      </c>
    </row>
    <row r="58" spans="2:17">
      <c r="B58" s="44"/>
      <c r="C58">
        <v>12</v>
      </c>
      <c r="D58" t="s">
        <v>500</v>
      </c>
      <c r="E58" t="s">
        <v>257</v>
      </c>
      <c r="F58" t="s">
        <v>255</v>
      </c>
      <c r="M58" s="44"/>
      <c r="N58">
        <v>12</v>
      </c>
      <c r="O58" t="s">
        <v>500</v>
      </c>
      <c r="P58" t="s">
        <v>257</v>
      </c>
      <c r="Q58" t="s">
        <v>255</v>
      </c>
    </row>
    <row r="59" spans="2:17">
      <c r="B59" s="344"/>
      <c r="C59">
        <v>10</v>
      </c>
      <c r="D59" t="s">
        <v>541</v>
      </c>
      <c r="E59" t="s">
        <v>202</v>
      </c>
      <c r="F59" t="s">
        <v>254</v>
      </c>
      <c r="M59" s="344"/>
      <c r="N59">
        <v>10</v>
      </c>
      <c r="O59" t="s">
        <v>541</v>
      </c>
      <c r="P59" t="s">
        <v>202</v>
      </c>
      <c r="Q59" t="s">
        <v>254</v>
      </c>
    </row>
    <row r="60" spans="2:17">
      <c r="B60" s="344"/>
      <c r="C60">
        <v>15</v>
      </c>
      <c r="D60" t="s">
        <v>561</v>
      </c>
      <c r="E60" t="s">
        <v>618</v>
      </c>
      <c r="F60" t="s">
        <v>263</v>
      </c>
      <c r="M60" s="344"/>
      <c r="N60">
        <v>15</v>
      </c>
      <c r="O60" t="s">
        <v>561</v>
      </c>
      <c r="P60" t="s">
        <v>618</v>
      </c>
      <c r="Q60" t="s">
        <v>263</v>
      </c>
    </row>
    <row r="61" spans="2:17">
      <c r="B61" s="44"/>
      <c r="M61" s="44"/>
    </row>
    <row r="62" spans="2:17">
      <c r="B62" s="344">
        <v>45882</v>
      </c>
      <c r="C62">
        <v>5</v>
      </c>
      <c r="D62" t="s">
        <v>648</v>
      </c>
      <c r="E62" t="s">
        <v>258</v>
      </c>
      <c r="F62" t="s">
        <v>255</v>
      </c>
      <c r="M62" s="344">
        <v>45882</v>
      </c>
      <c r="N62">
        <v>5</v>
      </c>
      <c r="O62" t="s">
        <v>648</v>
      </c>
      <c r="P62" t="s">
        <v>258</v>
      </c>
      <c r="Q62" t="s">
        <v>255</v>
      </c>
    </row>
    <row r="63" spans="2:17">
      <c r="B63" s="44"/>
      <c r="C63">
        <v>2</v>
      </c>
      <c r="D63" t="s">
        <v>567</v>
      </c>
      <c r="E63" t="s">
        <v>256</v>
      </c>
      <c r="F63" t="s">
        <v>255</v>
      </c>
      <c r="M63" s="44"/>
      <c r="N63">
        <v>2</v>
      </c>
      <c r="O63" t="s">
        <v>567</v>
      </c>
      <c r="P63" t="s">
        <v>256</v>
      </c>
      <c r="Q63" t="s">
        <v>255</v>
      </c>
    </row>
    <row r="64" spans="2:17">
      <c r="B64" s="344"/>
      <c r="C64">
        <v>19</v>
      </c>
      <c r="D64" t="s">
        <v>617</v>
      </c>
      <c r="E64" t="s">
        <v>257</v>
      </c>
      <c r="F64" t="s">
        <v>255</v>
      </c>
      <c r="M64" s="344"/>
      <c r="N64">
        <v>19</v>
      </c>
      <c r="O64" t="s">
        <v>617</v>
      </c>
      <c r="P64" t="s">
        <v>257</v>
      </c>
      <c r="Q64" t="s">
        <v>255</v>
      </c>
    </row>
    <row r="65" spans="2:18">
      <c r="B65" s="344"/>
      <c r="C65">
        <v>5</v>
      </c>
      <c r="D65" t="s">
        <v>541</v>
      </c>
      <c r="E65" t="s">
        <v>202</v>
      </c>
      <c r="F65" t="s">
        <v>254</v>
      </c>
      <c r="M65" s="344"/>
      <c r="N65">
        <v>5</v>
      </c>
      <c r="O65" t="s">
        <v>541</v>
      </c>
      <c r="P65" t="s">
        <v>202</v>
      </c>
      <c r="Q65" t="s">
        <v>254</v>
      </c>
    </row>
    <row r="66" spans="2:18">
      <c r="B66" s="344"/>
      <c r="F66" s="383"/>
      <c r="M66" s="344"/>
      <c r="Q66" s="383"/>
    </row>
    <row r="67" spans="2:18">
      <c r="B67" s="44">
        <v>45883</v>
      </c>
      <c r="C67">
        <v>0</v>
      </c>
      <c r="D67" t="s">
        <v>277</v>
      </c>
      <c r="E67" t="s">
        <v>258</v>
      </c>
      <c r="F67" t="s">
        <v>255</v>
      </c>
      <c r="M67" s="44">
        <v>45883</v>
      </c>
      <c r="N67">
        <v>0</v>
      </c>
      <c r="O67" t="s">
        <v>277</v>
      </c>
      <c r="P67" t="s">
        <v>258</v>
      </c>
      <c r="Q67" t="s">
        <v>255</v>
      </c>
    </row>
    <row r="68" spans="2:18">
      <c r="B68" s="44"/>
      <c r="C68">
        <v>2</v>
      </c>
      <c r="D68" t="s">
        <v>567</v>
      </c>
      <c r="E68" t="s">
        <v>256</v>
      </c>
      <c r="F68" t="s">
        <v>255</v>
      </c>
      <c r="M68" s="44"/>
      <c r="N68">
        <v>2</v>
      </c>
      <c r="O68" t="s">
        <v>567</v>
      </c>
      <c r="P68" t="s">
        <v>256</v>
      </c>
      <c r="Q68" t="s">
        <v>255</v>
      </c>
    </row>
    <row r="69" spans="2:18">
      <c r="B69" s="344"/>
      <c r="C69">
        <v>5</v>
      </c>
      <c r="D69" t="s">
        <v>500</v>
      </c>
      <c r="E69" t="s">
        <v>257</v>
      </c>
      <c r="F69" t="s">
        <v>255</v>
      </c>
      <c r="M69" s="344"/>
      <c r="N69">
        <v>5</v>
      </c>
      <c r="O69" t="s">
        <v>500</v>
      </c>
      <c r="P69" t="s">
        <v>257</v>
      </c>
      <c r="Q69" t="s">
        <v>255</v>
      </c>
    </row>
    <row r="70" spans="2:18">
      <c r="B70" s="344"/>
      <c r="M70" s="344"/>
    </row>
    <row r="71" spans="2:18">
      <c r="B71" s="44">
        <v>45884</v>
      </c>
      <c r="C71">
        <v>0</v>
      </c>
      <c r="D71" t="s">
        <v>277</v>
      </c>
      <c r="E71" t="s">
        <v>258</v>
      </c>
      <c r="F71" t="s">
        <v>255</v>
      </c>
      <c r="M71" s="44">
        <v>45884</v>
      </c>
      <c r="N71">
        <v>0</v>
      </c>
      <c r="O71" t="s">
        <v>277</v>
      </c>
      <c r="P71" t="s">
        <v>258</v>
      </c>
      <c r="Q71" t="s">
        <v>255</v>
      </c>
      <c r="R71" s="525"/>
    </row>
    <row r="72" spans="2:18">
      <c r="B72" s="44"/>
      <c r="C72">
        <v>0</v>
      </c>
      <c r="D72" t="s">
        <v>446</v>
      </c>
      <c r="E72" t="s">
        <v>256</v>
      </c>
      <c r="F72" t="s">
        <v>255</v>
      </c>
      <c r="M72" s="44"/>
      <c r="N72">
        <v>0</v>
      </c>
      <c r="O72" t="s">
        <v>446</v>
      </c>
      <c r="P72" t="s">
        <v>256</v>
      </c>
      <c r="Q72" t="s">
        <v>255</v>
      </c>
    </row>
    <row r="73" spans="2:18">
      <c r="B73" s="344"/>
      <c r="C73">
        <v>15</v>
      </c>
      <c r="D73" t="s">
        <v>596</v>
      </c>
      <c r="E73" t="s">
        <v>257</v>
      </c>
      <c r="F73" t="s">
        <v>255</v>
      </c>
      <c r="M73" s="344"/>
      <c r="N73">
        <v>15</v>
      </c>
      <c r="O73" t="s">
        <v>596</v>
      </c>
      <c r="P73" t="s">
        <v>257</v>
      </c>
      <c r="Q73" t="s">
        <v>255</v>
      </c>
    </row>
    <row r="74" spans="2:18">
      <c r="B74" s="344"/>
      <c r="C74">
        <v>5</v>
      </c>
      <c r="D74" t="s">
        <v>541</v>
      </c>
      <c r="E74" t="s">
        <v>202</v>
      </c>
      <c r="F74" t="s">
        <v>254</v>
      </c>
      <c r="M74" s="344"/>
      <c r="N74">
        <v>5</v>
      </c>
      <c r="O74" t="s">
        <v>541</v>
      </c>
      <c r="P74" t="s">
        <v>202</v>
      </c>
      <c r="Q74" t="s">
        <v>254</v>
      </c>
    </row>
    <row r="75" spans="2:18">
      <c r="B75" s="44"/>
      <c r="M75" s="44"/>
    </row>
    <row r="76" spans="2:18">
      <c r="B76" s="44">
        <v>45885</v>
      </c>
      <c r="C76">
        <v>0</v>
      </c>
      <c r="D76" t="s">
        <v>277</v>
      </c>
      <c r="E76" t="s">
        <v>258</v>
      </c>
      <c r="F76" t="s">
        <v>255</v>
      </c>
      <c r="M76" s="44">
        <v>45885</v>
      </c>
      <c r="N76">
        <v>0</v>
      </c>
      <c r="O76" t="s">
        <v>277</v>
      </c>
      <c r="P76" t="s">
        <v>258</v>
      </c>
      <c r="Q76" t="s">
        <v>255</v>
      </c>
    </row>
    <row r="77" spans="2:18">
      <c r="B77" s="44"/>
      <c r="C77">
        <v>0</v>
      </c>
      <c r="D77" t="s">
        <v>446</v>
      </c>
      <c r="E77" t="s">
        <v>256</v>
      </c>
      <c r="F77" t="s">
        <v>255</v>
      </c>
      <c r="M77" s="44"/>
      <c r="N77">
        <v>0</v>
      </c>
      <c r="O77" t="s">
        <v>446</v>
      </c>
      <c r="P77" t="s">
        <v>256</v>
      </c>
      <c r="Q77" t="s">
        <v>255</v>
      </c>
    </row>
    <row r="78" spans="2:18">
      <c r="B78" s="344"/>
      <c r="C78">
        <v>11</v>
      </c>
      <c r="D78" t="s">
        <v>500</v>
      </c>
      <c r="E78" t="s">
        <v>257</v>
      </c>
      <c r="F78" t="s">
        <v>255</v>
      </c>
      <c r="M78" s="344"/>
      <c r="N78">
        <v>11</v>
      </c>
      <c r="O78" t="s">
        <v>500</v>
      </c>
      <c r="P78" t="s">
        <v>257</v>
      </c>
      <c r="Q78" t="s">
        <v>255</v>
      </c>
    </row>
    <row r="79" spans="2:18">
      <c r="B79" s="44"/>
      <c r="C79">
        <v>5</v>
      </c>
      <c r="D79" t="s">
        <v>541</v>
      </c>
      <c r="E79" t="s">
        <v>202</v>
      </c>
      <c r="F79" t="s">
        <v>254</v>
      </c>
      <c r="M79" s="44"/>
      <c r="N79">
        <v>5</v>
      </c>
      <c r="O79" t="s">
        <v>541</v>
      </c>
      <c r="P79" t="s">
        <v>202</v>
      </c>
      <c r="Q79" t="s">
        <v>254</v>
      </c>
    </row>
    <row r="80" spans="2:18">
      <c r="B80" s="344"/>
      <c r="F80" s="383"/>
      <c r="M80" s="344"/>
      <c r="Q80" s="383"/>
    </row>
    <row r="81" spans="2:17">
      <c r="B81" s="44">
        <v>45886</v>
      </c>
      <c r="C81">
        <v>0</v>
      </c>
      <c r="D81" t="s">
        <v>277</v>
      </c>
      <c r="E81" t="s">
        <v>258</v>
      </c>
      <c r="F81" t="s">
        <v>255</v>
      </c>
      <c r="M81" s="44">
        <v>45886</v>
      </c>
      <c r="N81">
        <v>0</v>
      </c>
      <c r="O81" t="s">
        <v>277</v>
      </c>
      <c r="P81" t="s">
        <v>258</v>
      </c>
      <c r="Q81" t="s">
        <v>255</v>
      </c>
    </row>
    <row r="82" spans="2:17">
      <c r="B82" s="44"/>
      <c r="C82">
        <v>8</v>
      </c>
      <c r="D82" t="s">
        <v>491</v>
      </c>
      <c r="E82" t="s">
        <v>256</v>
      </c>
      <c r="F82" t="s">
        <v>255</v>
      </c>
      <c r="M82" s="44"/>
      <c r="N82">
        <v>8</v>
      </c>
      <c r="O82" t="s">
        <v>491</v>
      </c>
      <c r="P82" t="s">
        <v>256</v>
      </c>
      <c r="Q82" t="s">
        <v>255</v>
      </c>
    </row>
    <row r="83" spans="2:17">
      <c r="B83" s="344"/>
      <c r="C83">
        <v>18</v>
      </c>
      <c r="D83" t="s">
        <v>617</v>
      </c>
      <c r="E83" t="s">
        <v>257</v>
      </c>
      <c r="F83" t="s">
        <v>255</v>
      </c>
      <c r="M83" s="344"/>
      <c r="N83">
        <v>18</v>
      </c>
      <c r="O83" t="s">
        <v>617</v>
      </c>
      <c r="P83" t="s">
        <v>257</v>
      </c>
      <c r="Q83" t="s">
        <v>255</v>
      </c>
    </row>
    <row r="84" spans="2:17">
      <c r="B84" s="344"/>
      <c r="C84">
        <v>28</v>
      </c>
      <c r="D84" t="s">
        <v>541</v>
      </c>
      <c r="E84" t="s">
        <v>202</v>
      </c>
      <c r="F84" t="s">
        <v>254</v>
      </c>
      <c r="M84" s="344"/>
      <c r="N84">
        <v>28</v>
      </c>
      <c r="O84" t="s">
        <v>541</v>
      </c>
      <c r="P84" t="s">
        <v>202</v>
      </c>
      <c r="Q84" t="s">
        <v>254</v>
      </c>
    </row>
    <row r="85" spans="2:17">
      <c r="B85" s="44"/>
      <c r="M85" s="44"/>
    </row>
    <row r="86" spans="2:17">
      <c r="B86" s="44">
        <v>45887</v>
      </c>
      <c r="C86">
        <v>20</v>
      </c>
      <c r="D86" t="s">
        <v>447</v>
      </c>
      <c r="E86" t="s">
        <v>258</v>
      </c>
      <c r="F86" t="s">
        <v>255</v>
      </c>
      <c r="M86" s="44">
        <v>45887</v>
      </c>
      <c r="N86">
        <v>20</v>
      </c>
      <c r="O86" t="s">
        <v>447</v>
      </c>
      <c r="P86" t="s">
        <v>258</v>
      </c>
      <c r="Q86" t="s">
        <v>255</v>
      </c>
    </row>
    <row r="87" spans="2:17">
      <c r="B87" s="344"/>
      <c r="C87">
        <v>23</v>
      </c>
      <c r="D87" t="s">
        <v>684</v>
      </c>
      <c r="E87" t="s">
        <v>256</v>
      </c>
      <c r="F87" t="s">
        <v>255</v>
      </c>
      <c r="M87" s="344"/>
      <c r="N87">
        <v>23</v>
      </c>
      <c r="O87" t="s">
        <v>684</v>
      </c>
      <c r="P87" t="s">
        <v>256</v>
      </c>
      <c r="Q87" t="s">
        <v>255</v>
      </c>
    </row>
    <row r="88" spans="2:17">
      <c r="B88" s="344"/>
      <c r="C88">
        <v>29</v>
      </c>
      <c r="D88" t="s">
        <v>685</v>
      </c>
      <c r="E88" t="s">
        <v>257</v>
      </c>
      <c r="F88" t="s">
        <v>255</v>
      </c>
      <c r="M88" s="344"/>
      <c r="N88">
        <v>29</v>
      </c>
      <c r="O88" t="s">
        <v>685</v>
      </c>
      <c r="P88" t="s">
        <v>257</v>
      </c>
      <c r="Q88" t="s">
        <v>255</v>
      </c>
    </row>
    <row r="89" spans="2:17">
      <c r="B89" s="44"/>
      <c r="M89" s="44"/>
    </row>
    <row r="90" spans="2:17">
      <c r="B90" s="44">
        <v>45888</v>
      </c>
      <c r="C90">
        <v>20</v>
      </c>
      <c r="D90" t="s">
        <v>447</v>
      </c>
      <c r="E90" t="s">
        <v>258</v>
      </c>
      <c r="F90" t="s">
        <v>255</v>
      </c>
      <c r="M90" s="44">
        <v>45888</v>
      </c>
      <c r="N90">
        <v>20</v>
      </c>
      <c r="O90" t="s">
        <v>447</v>
      </c>
      <c r="P90" t="s">
        <v>258</v>
      </c>
      <c r="Q90" t="s">
        <v>255</v>
      </c>
    </row>
    <row r="91" spans="2:17">
      <c r="B91" s="344"/>
      <c r="C91">
        <v>26</v>
      </c>
      <c r="D91" t="s">
        <v>694</v>
      </c>
      <c r="E91" t="s">
        <v>256</v>
      </c>
      <c r="F91" t="s">
        <v>255</v>
      </c>
      <c r="M91" s="344"/>
      <c r="N91">
        <v>26</v>
      </c>
      <c r="O91" t="s">
        <v>694</v>
      </c>
      <c r="P91" t="s">
        <v>256</v>
      </c>
      <c r="Q91" t="s">
        <v>255</v>
      </c>
    </row>
    <row r="92" spans="2:17">
      <c r="B92" s="344"/>
      <c r="C92">
        <v>30</v>
      </c>
      <c r="D92" t="s">
        <v>540</v>
      </c>
      <c r="E92" t="s">
        <v>257</v>
      </c>
      <c r="F92" t="s">
        <v>255</v>
      </c>
      <c r="M92" s="344"/>
      <c r="N92">
        <v>30</v>
      </c>
      <c r="O92" t="s">
        <v>540</v>
      </c>
      <c r="P92" t="s">
        <v>257</v>
      </c>
      <c r="Q92" t="s">
        <v>255</v>
      </c>
    </row>
    <row r="93" spans="2:17">
      <c r="B93" s="44"/>
      <c r="M93" s="44"/>
    </row>
    <row r="94" spans="2:17">
      <c r="B94" s="344">
        <v>45889</v>
      </c>
      <c r="C94">
        <v>50</v>
      </c>
      <c r="D94" t="s">
        <v>701</v>
      </c>
      <c r="E94" t="s">
        <v>258</v>
      </c>
      <c r="F94" t="s">
        <v>255</v>
      </c>
      <c r="M94" s="344">
        <v>45889</v>
      </c>
      <c r="N94">
        <v>50</v>
      </c>
      <c r="O94" t="s">
        <v>701</v>
      </c>
      <c r="P94" t="s">
        <v>258</v>
      </c>
      <c r="Q94" t="s">
        <v>255</v>
      </c>
    </row>
    <row r="95" spans="2:17">
      <c r="B95" s="44"/>
      <c r="C95">
        <v>18</v>
      </c>
      <c r="D95" t="s">
        <v>702</v>
      </c>
      <c r="E95" t="s">
        <v>256</v>
      </c>
      <c r="F95" t="s">
        <v>255</v>
      </c>
      <c r="M95" s="44"/>
      <c r="N95">
        <v>18</v>
      </c>
      <c r="O95" t="s">
        <v>702</v>
      </c>
      <c r="P95" t="s">
        <v>256</v>
      </c>
      <c r="Q95" t="s">
        <v>255</v>
      </c>
    </row>
    <row r="96" spans="2:17">
      <c r="B96" s="344"/>
      <c r="C96">
        <v>30</v>
      </c>
      <c r="D96" t="s">
        <v>498</v>
      </c>
      <c r="E96" t="s">
        <v>257</v>
      </c>
      <c r="F96" t="s">
        <v>255</v>
      </c>
      <c r="M96" s="344"/>
      <c r="N96">
        <v>30</v>
      </c>
      <c r="O96" t="s">
        <v>498</v>
      </c>
      <c r="P96" t="s">
        <v>257</v>
      </c>
      <c r="Q96" t="s">
        <v>255</v>
      </c>
    </row>
    <row r="97" spans="2:17">
      <c r="B97" s="44"/>
      <c r="M97" s="44"/>
    </row>
    <row r="98" spans="2:17">
      <c r="B98" s="344">
        <v>45890</v>
      </c>
      <c r="C98">
        <v>20</v>
      </c>
      <c r="D98" s="501" t="s">
        <v>447</v>
      </c>
      <c r="E98" t="s">
        <v>258</v>
      </c>
      <c r="F98" t="s">
        <v>255</v>
      </c>
      <c r="M98" s="344">
        <v>45890</v>
      </c>
      <c r="N98">
        <v>20</v>
      </c>
      <c r="O98" s="501" t="s">
        <v>447</v>
      </c>
      <c r="P98" t="s">
        <v>258</v>
      </c>
      <c r="Q98" t="s">
        <v>255</v>
      </c>
    </row>
    <row r="99" spans="2:17">
      <c r="B99" s="44"/>
      <c r="C99">
        <v>21</v>
      </c>
      <c r="D99" t="s">
        <v>702</v>
      </c>
      <c r="E99" t="s">
        <v>256</v>
      </c>
      <c r="F99" t="s">
        <v>255</v>
      </c>
      <c r="M99" s="44"/>
      <c r="N99">
        <v>21</v>
      </c>
      <c r="O99" t="s">
        <v>702</v>
      </c>
      <c r="P99" t="s">
        <v>256</v>
      </c>
      <c r="Q99" t="s">
        <v>255</v>
      </c>
    </row>
    <row r="100" spans="2:17">
      <c r="B100" s="44"/>
      <c r="C100">
        <v>32</v>
      </c>
      <c r="D100" t="s">
        <v>705</v>
      </c>
      <c r="E100" t="s">
        <v>257</v>
      </c>
      <c r="F100" t="s">
        <v>255</v>
      </c>
      <c r="M100" s="44"/>
      <c r="N100">
        <v>32</v>
      </c>
      <c r="O100" t="s">
        <v>705</v>
      </c>
      <c r="P100" t="s">
        <v>257</v>
      </c>
      <c r="Q100" t="s">
        <v>255</v>
      </c>
    </row>
    <row r="101" spans="2:17">
      <c r="B101" s="344"/>
      <c r="M101" s="344"/>
    </row>
    <row r="102" spans="2:17">
      <c r="B102" s="44">
        <v>45891</v>
      </c>
      <c r="C102">
        <v>51</v>
      </c>
      <c r="D102" t="s">
        <v>701</v>
      </c>
      <c r="E102" t="s">
        <v>258</v>
      </c>
      <c r="F102" t="s">
        <v>255</v>
      </c>
      <c r="M102" s="44">
        <v>45891</v>
      </c>
      <c r="N102">
        <v>51</v>
      </c>
      <c r="O102" t="s">
        <v>701</v>
      </c>
      <c r="P102" t="s">
        <v>258</v>
      </c>
      <c r="Q102" t="s">
        <v>255</v>
      </c>
    </row>
    <row r="103" spans="2:17">
      <c r="B103" s="344"/>
      <c r="C103">
        <v>19</v>
      </c>
      <c r="D103" t="s">
        <v>684</v>
      </c>
      <c r="E103" t="s">
        <v>256</v>
      </c>
      <c r="F103" t="s">
        <v>255</v>
      </c>
      <c r="M103" s="344"/>
      <c r="N103">
        <v>19</v>
      </c>
      <c r="O103" t="s">
        <v>684</v>
      </c>
      <c r="P103" t="s">
        <v>256</v>
      </c>
      <c r="Q103" t="s">
        <v>255</v>
      </c>
    </row>
    <row r="104" spans="2:17">
      <c r="B104" s="44"/>
      <c r="C104">
        <v>36</v>
      </c>
      <c r="D104" t="s">
        <v>715</v>
      </c>
      <c r="E104" t="s">
        <v>257</v>
      </c>
      <c r="F104" t="s">
        <v>255</v>
      </c>
      <c r="M104" s="44"/>
      <c r="N104">
        <v>36</v>
      </c>
      <c r="O104" t="s">
        <v>715</v>
      </c>
      <c r="P104" t="s">
        <v>257</v>
      </c>
      <c r="Q104" t="s">
        <v>255</v>
      </c>
    </row>
    <row r="105" spans="2:17">
      <c r="B105" s="344"/>
      <c r="C105">
        <v>31</v>
      </c>
      <c r="D105" t="s">
        <v>716</v>
      </c>
      <c r="E105" t="s">
        <v>717</v>
      </c>
      <c r="F105" t="s">
        <v>264</v>
      </c>
      <c r="M105" s="344"/>
      <c r="N105">
        <v>31</v>
      </c>
      <c r="O105" t="s">
        <v>716</v>
      </c>
      <c r="P105" t="s">
        <v>717</v>
      </c>
      <c r="Q105" t="s">
        <v>264</v>
      </c>
    </row>
    <row r="106" spans="2:17">
      <c r="B106" s="344"/>
      <c r="M106" s="344"/>
    </row>
    <row r="107" spans="2:17">
      <c r="B107" s="344">
        <v>45892</v>
      </c>
      <c r="C107">
        <v>10</v>
      </c>
      <c r="D107" t="s">
        <v>522</v>
      </c>
      <c r="E107" t="s">
        <v>258</v>
      </c>
      <c r="F107" t="s">
        <v>255</v>
      </c>
      <c r="M107" s="344">
        <v>45892</v>
      </c>
      <c r="N107">
        <v>10</v>
      </c>
      <c r="O107" t="s">
        <v>522</v>
      </c>
      <c r="P107" t="s">
        <v>258</v>
      </c>
      <c r="Q107" t="s">
        <v>255</v>
      </c>
    </row>
    <row r="108" spans="2:17">
      <c r="B108" s="44"/>
      <c r="C108">
        <v>9</v>
      </c>
      <c r="D108" t="s">
        <v>722</v>
      </c>
      <c r="E108" t="s">
        <v>256</v>
      </c>
      <c r="F108" t="s">
        <v>255</v>
      </c>
      <c r="M108" s="44"/>
      <c r="N108">
        <v>9</v>
      </c>
      <c r="O108" t="s">
        <v>722</v>
      </c>
      <c r="P108" t="s">
        <v>256</v>
      </c>
      <c r="Q108" t="s">
        <v>255</v>
      </c>
    </row>
    <row r="109" spans="2:17">
      <c r="B109" s="44"/>
      <c r="C109">
        <v>22</v>
      </c>
      <c r="D109" t="s">
        <v>540</v>
      </c>
      <c r="E109" t="s">
        <v>257</v>
      </c>
      <c r="F109" t="s">
        <v>255</v>
      </c>
      <c r="M109" s="44"/>
      <c r="N109">
        <v>22</v>
      </c>
      <c r="O109" t="s">
        <v>540</v>
      </c>
      <c r="P109" t="s">
        <v>257</v>
      </c>
      <c r="Q109" t="s">
        <v>255</v>
      </c>
    </row>
    <row r="110" spans="2:17">
      <c r="B110" s="344"/>
      <c r="C110">
        <v>10</v>
      </c>
      <c r="D110" t="s">
        <v>541</v>
      </c>
      <c r="E110" t="s">
        <v>202</v>
      </c>
      <c r="F110" t="s">
        <v>254</v>
      </c>
      <c r="M110" s="344"/>
      <c r="N110">
        <v>10</v>
      </c>
      <c r="O110" t="s">
        <v>541</v>
      </c>
      <c r="P110" t="s">
        <v>202</v>
      </c>
      <c r="Q110" t="s">
        <v>254</v>
      </c>
    </row>
    <row r="111" spans="2:17">
      <c r="B111" s="44"/>
      <c r="M111" s="44"/>
    </row>
    <row r="112" spans="2:17">
      <c r="B112" s="344">
        <v>45893</v>
      </c>
      <c r="C112">
        <v>15</v>
      </c>
      <c r="D112" t="s">
        <v>492</v>
      </c>
      <c r="E112" t="s">
        <v>258</v>
      </c>
      <c r="F112" t="s">
        <v>255</v>
      </c>
      <c r="M112" s="344">
        <v>45893</v>
      </c>
      <c r="N112">
        <v>15</v>
      </c>
      <c r="O112" t="s">
        <v>492</v>
      </c>
      <c r="P112" t="s">
        <v>258</v>
      </c>
      <c r="Q112" t="s">
        <v>255</v>
      </c>
    </row>
    <row r="113" spans="2:17">
      <c r="B113" s="44"/>
      <c r="C113">
        <v>6</v>
      </c>
      <c r="D113" t="s">
        <v>481</v>
      </c>
      <c r="E113" t="s">
        <v>256</v>
      </c>
      <c r="F113" t="s">
        <v>255</v>
      </c>
      <c r="M113" s="44"/>
      <c r="N113">
        <v>6</v>
      </c>
      <c r="O113" t="s">
        <v>481</v>
      </c>
      <c r="P113" t="s">
        <v>256</v>
      </c>
      <c r="Q113" t="s">
        <v>255</v>
      </c>
    </row>
    <row r="114" spans="2:17">
      <c r="B114" s="44"/>
      <c r="C114">
        <v>18</v>
      </c>
      <c r="D114" t="s">
        <v>723</v>
      </c>
      <c r="E114" t="s">
        <v>257</v>
      </c>
      <c r="F114" t="s">
        <v>255</v>
      </c>
      <c r="M114" s="44"/>
      <c r="N114">
        <v>18</v>
      </c>
      <c r="O114" t="s">
        <v>723</v>
      </c>
      <c r="P114" t="s">
        <v>257</v>
      </c>
      <c r="Q114" t="s">
        <v>255</v>
      </c>
    </row>
    <row r="115" spans="2:17">
      <c r="B115" s="44"/>
      <c r="M115" s="44"/>
    </row>
    <row r="116" spans="2:17">
      <c r="B116" s="44">
        <v>45894</v>
      </c>
      <c r="C116">
        <v>10</v>
      </c>
      <c r="D116" t="s">
        <v>522</v>
      </c>
      <c r="E116" t="s">
        <v>258</v>
      </c>
      <c r="F116" t="s">
        <v>255</v>
      </c>
      <c r="M116" s="44">
        <v>45894</v>
      </c>
      <c r="N116">
        <v>10</v>
      </c>
      <c r="O116" t="s">
        <v>522</v>
      </c>
      <c r="P116" t="s">
        <v>258</v>
      </c>
      <c r="Q116" t="s">
        <v>255</v>
      </c>
    </row>
    <row r="117" spans="2:17">
      <c r="B117" s="44"/>
      <c r="C117">
        <v>10</v>
      </c>
      <c r="D117" t="s">
        <v>482</v>
      </c>
      <c r="E117" t="s">
        <v>256</v>
      </c>
      <c r="F117" t="s">
        <v>255</v>
      </c>
      <c r="M117" s="44"/>
      <c r="N117">
        <v>10</v>
      </c>
      <c r="O117" t="s">
        <v>482</v>
      </c>
      <c r="P117" t="s">
        <v>256</v>
      </c>
      <c r="Q117" t="s">
        <v>255</v>
      </c>
    </row>
    <row r="118" spans="2:17">
      <c r="B118" s="44"/>
      <c r="C118">
        <v>21</v>
      </c>
      <c r="D118" t="s">
        <v>732</v>
      </c>
      <c r="E118" t="s">
        <v>257</v>
      </c>
      <c r="F118" t="s">
        <v>255</v>
      </c>
      <c r="M118" s="44"/>
      <c r="N118">
        <v>21</v>
      </c>
      <c r="O118" t="s">
        <v>732</v>
      </c>
      <c r="P118" t="s">
        <v>257</v>
      </c>
      <c r="Q118" t="s">
        <v>255</v>
      </c>
    </row>
    <row r="119" spans="2:17">
      <c r="B119" s="44"/>
      <c r="M119" s="44"/>
      <c r="P119" s="383"/>
      <c r="Q119" s="383"/>
    </row>
    <row r="120" spans="2:17">
      <c r="B120" s="44">
        <v>45895</v>
      </c>
      <c r="C120">
        <v>0</v>
      </c>
      <c r="D120" t="s">
        <v>277</v>
      </c>
      <c r="E120" t="s">
        <v>258</v>
      </c>
      <c r="F120" t="s">
        <v>255</v>
      </c>
      <c r="M120" s="44">
        <v>45895</v>
      </c>
      <c r="N120">
        <v>0</v>
      </c>
      <c r="O120" t="s">
        <v>277</v>
      </c>
      <c r="P120" t="s">
        <v>258</v>
      </c>
      <c r="Q120" t="s">
        <v>255</v>
      </c>
    </row>
    <row r="121" spans="2:17">
      <c r="B121" s="44"/>
      <c r="C121">
        <v>12</v>
      </c>
      <c r="D121" t="s">
        <v>737</v>
      </c>
      <c r="E121" t="s">
        <v>256</v>
      </c>
      <c r="F121" t="s">
        <v>255</v>
      </c>
      <c r="M121" s="44"/>
      <c r="N121">
        <v>12</v>
      </c>
      <c r="O121" t="s">
        <v>737</v>
      </c>
      <c r="P121" t="s">
        <v>256</v>
      </c>
      <c r="Q121" t="s">
        <v>255</v>
      </c>
    </row>
    <row r="122" spans="2:17">
      <c r="B122" s="44"/>
      <c r="C122">
        <v>18</v>
      </c>
      <c r="D122" t="s">
        <v>738</v>
      </c>
      <c r="E122" t="s">
        <v>257</v>
      </c>
      <c r="F122" t="s">
        <v>255</v>
      </c>
      <c r="M122" s="44"/>
      <c r="N122">
        <v>18</v>
      </c>
      <c r="O122" t="s">
        <v>738</v>
      </c>
      <c r="P122" t="s">
        <v>257</v>
      </c>
      <c r="Q122" t="s">
        <v>255</v>
      </c>
    </row>
    <row r="123" spans="2:17">
      <c r="B123" s="44"/>
      <c r="M123" s="44"/>
    </row>
    <row r="124" spans="2:17">
      <c r="B124" s="44">
        <v>45896</v>
      </c>
      <c r="C124">
        <v>0</v>
      </c>
      <c r="D124" t="s">
        <v>277</v>
      </c>
      <c r="E124" t="s">
        <v>258</v>
      </c>
      <c r="F124" t="s">
        <v>255</v>
      </c>
      <c r="M124" s="44">
        <v>45896</v>
      </c>
      <c r="N124">
        <v>0</v>
      </c>
      <c r="O124" t="s">
        <v>277</v>
      </c>
      <c r="P124" t="s">
        <v>258</v>
      </c>
      <c r="Q124" t="s">
        <v>255</v>
      </c>
    </row>
    <row r="125" spans="2:17">
      <c r="B125" s="44"/>
      <c r="C125">
        <v>14</v>
      </c>
      <c r="D125" t="s">
        <v>754</v>
      </c>
      <c r="E125" t="s">
        <v>256</v>
      </c>
      <c r="F125" t="s">
        <v>255</v>
      </c>
      <c r="M125" s="44"/>
      <c r="N125">
        <v>14</v>
      </c>
      <c r="O125" t="s">
        <v>754</v>
      </c>
      <c r="P125" t="s">
        <v>256</v>
      </c>
      <c r="Q125" t="s">
        <v>255</v>
      </c>
    </row>
    <row r="126" spans="2:17">
      <c r="B126" s="44"/>
      <c r="C126">
        <v>20</v>
      </c>
      <c r="D126" t="s">
        <v>732</v>
      </c>
      <c r="E126" t="s">
        <v>257</v>
      </c>
      <c r="F126" t="s">
        <v>255</v>
      </c>
      <c r="M126" s="44"/>
      <c r="N126">
        <v>20</v>
      </c>
      <c r="O126" t="s">
        <v>732</v>
      </c>
      <c r="P126" t="s">
        <v>257</v>
      </c>
      <c r="Q126" t="s">
        <v>255</v>
      </c>
    </row>
    <row r="127" spans="2:17">
      <c r="B127" s="44"/>
      <c r="M127" s="44"/>
    </row>
    <row r="128" spans="2:17">
      <c r="B128" s="44">
        <v>45897</v>
      </c>
      <c r="C128">
        <v>0</v>
      </c>
      <c r="D128" t="s">
        <v>277</v>
      </c>
      <c r="E128" t="s">
        <v>258</v>
      </c>
      <c r="F128" t="s">
        <v>255</v>
      </c>
      <c r="M128" s="44">
        <v>45897</v>
      </c>
      <c r="N128">
        <v>0</v>
      </c>
      <c r="O128" t="s">
        <v>277</v>
      </c>
      <c r="P128" t="s">
        <v>258</v>
      </c>
      <c r="Q128" t="s">
        <v>255</v>
      </c>
    </row>
    <row r="129" spans="2:17">
      <c r="B129" s="44"/>
      <c r="C129">
        <v>13</v>
      </c>
      <c r="D129" t="s">
        <v>737</v>
      </c>
      <c r="E129" t="s">
        <v>256</v>
      </c>
      <c r="F129" t="s">
        <v>255</v>
      </c>
      <c r="M129" s="44"/>
      <c r="N129">
        <v>13</v>
      </c>
      <c r="O129" t="s">
        <v>737</v>
      </c>
      <c r="P129" t="s">
        <v>256</v>
      </c>
      <c r="Q129" t="s">
        <v>255</v>
      </c>
    </row>
    <row r="130" spans="2:17">
      <c r="B130" s="44"/>
      <c r="C130">
        <v>22</v>
      </c>
      <c r="D130" t="s">
        <v>765</v>
      </c>
      <c r="E130" t="s">
        <v>257</v>
      </c>
      <c r="F130" t="s">
        <v>255</v>
      </c>
      <c r="M130" s="44"/>
      <c r="N130">
        <v>22</v>
      </c>
      <c r="O130" t="s">
        <v>765</v>
      </c>
      <c r="P130" t="s">
        <v>257</v>
      </c>
      <c r="Q130" t="s">
        <v>255</v>
      </c>
    </row>
    <row r="131" spans="2:17">
      <c r="B131" s="44"/>
      <c r="M131" s="44"/>
    </row>
    <row r="132" spans="2:17">
      <c r="B132" s="44">
        <v>45898</v>
      </c>
      <c r="C132">
        <v>10</v>
      </c>
      <c r="D132" t="s">
        <v>522</v>
      </c>
      <c r="E132" t="s">
        <v>258</v>
      </c>
      <c r="F132" t="s">
        <v>255</v>
      </c>
      <c r="M132" s="44">
        <v>45898</v>
      </c>
      <c r="N132">
        <v>10</v>
      </c>
      <c r="O132" t="s">
        <v>522</v>
      </c>
      <c r="P132" t="s">
        <v>258</v>
      </c>
      <c r="Q132" t="s">
        <v>255</v>
      </c>
    </row>
    <row r="133" spans="2:17">
      <c r="B133" s="44"/>
      <c r="C133">
        <v>16</v>
      </c>
      <c r="D133" t="s">
        <v>779</v>
      </c>
      <c r="E133" t="s">
        <v>256</v>
      </c>
      <c r="F133" t="s">
        <v>255</v>
      </c>
      <c r="M133" s="44"/>
      <c r="N133">
        <v>16</v>
      </c>
      <c r="O133" t="s">
        <v>779</v>
      </c>
      <c r="P133" t="s">
        <v>256</v>
      </c>
      <c r="Q133" t="s">
        <v>255</v>
      </c>
    </row>
    <row r="134" spans="2:17">
      <c r="B134" s="44"/>
      <c r="C134">
        <v>25</v>
      </c>
      <c r="D134" t="s">
        <v>581</v>
      </c>
      <c r="E134" t="s">
        <v>257</v>
      </c>
      <c r="F134" t="s">
        <v>255</v>
      </c>
      <c r="M134" s="44"/>
      <c r="N134">
        <v>25</v>
      </c>
      <c r="O134" t="s">
        <v>581</v>
      </c>
      <c r="P134" t="s">
        <v>257</v>
      </c>
      <c r="Q134" t="s">
        <v>255</v>
      </c>
    </row>
    <row r="135" spans="2:17">
      <c r="B135" s="44"/>
      <c r="C135">
        <v>8</v>
      </c>
      <c r="D135" t="s">
        <v>541</v>
      </c>
      <c r="E135" t="s">
        <v>202</v>
      </c>
      <c r="F135" t="s">
        <v>254</v>
      </c>
      <c r="M135" s="44"/>
      <c r="N135">
        <v>8</v>
      </c>
      <c r="O135" t="s">
        <v>541</v>
      </c>
      <c r="P135" t="s">
        <v>202</v>
      </c>
      <c r="Q135" t="s">
        <v>254</v>
      </c>
    </row>
    <row r="136" spans="2:17">
      <c r="B136" s="44"/>
      <c r="M136" s="44"/>
    </row>
    <row r="137" spans="2:17">
      <c r="B137" s="44">
        <v>45899</v>
      </c>
      <c r="C137">
        <v>0</v>
      </c>
      <c r="D137" t="s">
        <v>277</v>
      </c>
      <c r="E137" t="s">
        <v>258</v>
      </c>
      <c r="F137" t="s">
        <v>255</v>
      </c>
      <c r="M137" s="44">
        <v>45899</v>
      </c>
      <c r="N137">
        <v>0</v>
      </c>
      <c r="O137" t="s">
        <v>277</v>
      </c>
      <c r="P137" t="s">
        <v>258</v>
      </c>
      <c r="Q137" t="s">
        <v>255</v>
      </c>
    </row>
    <row r="138" spans="2:17">
      <c r="B138" s="44"/>
      <c r="C138">
        <v>10</v>
      </c>
      <c r="D138" t="s">
        <v>702</v>
      </c>
      <c r="E138" t="s">
        <v>256</v>
      </c>
      <c r="F138" t="s">
        <v>255</v>
      </c>
      <c r="M138" s="44"/>
      <c r="N138">
        <v>10</v>
      </c>
      <c r="O138" t="s">
        <v>702</v>
      </c>
      <c r="P138" t="s">
        <v>256</v>
      </c>
      <c r="Q138" t="s">
        <v>255</v>
      </c>
    </row>
    <row r="139" spans="2:17">
      <c r="B139" s="44"/>
      <c r="C139">
        <v>10</v>
      </c>
      <c r="D139" t="s">
        <v>723</v>
      </c>
      <c r="E139" t="s">
        <v>257</v>
      </c>
      <c r="F139" t="s">
        <v>255</v>
      </c>
      <c r="M139" s="44"/>
      <c r="N139">
        <v>10</v>
      </c>
      <c r="O139" t="s">
        <v>723</v>
      </c>
      <c r="P139" t="s">
        <v>257</v>
      </c>
      <c r="Q139" t="s">
        <v>255</v>
      </c>
    </row>
    <row r="140" spans="2:17">
      <c r="B140" s="44"/>
      <c r="M140" s="44"/>
    </row>
    <row r="141" spans="2:17">
      <c r="B141" s="44">
        <v>45900</v>
      </c>
      <c r="C141">
        <v>0</v>
      </c>
      <c r="D141" t="s">
        <v>277</v>
      </c>
      <c r="E141" t="s">
        <v>258</v>
      </c>
      <c r="F141" t="s">
        <v>255</v>
      </c>
      <c r="M141" s="44">
        <v>45900</v>
      </c>
      <c r="N141">
        <v>0</v>
      </c>
      <c r="O141" t="s">
        <v>277</v>
      </c>
      <c r="P141" t="s">
        <v>258</v>
      </c>
      <c r="Q141" t="s">
        <v>255</v>
      </c>
    </row>
    <row r="142" spans="2:17">
      <c r="B142" s="44"/>
      <c r="C142">
        <v>14</v>
      </c>
      <c r="D142" t="s">
        <v>722</v>
      </c>
      <c r="E142" t="s">
        <v>256</v>
      </c>
      <c r="F142" t="s">
        <v>255</v>
      </c>
      <c r="M142" s="44"/>
      <c r="N142">
        <v>14</v>
      </c>
      <c r="O142" t="s">
        <v>722</v>
      </c>
      <c r="P142" t="s">
        <v>256</v>
      </c>
      <c r="Q142" t="s">
        <v>255</v>
      </c>
    </row>
    <row r="143" spans="2:17">
      <c r="B143" s="44"/>
      <c r="C143">
        <v>20</v>
      </c>
      <c r="D143" t="s">
        <v>685</v>
      </c>
      <c r="E143" t="s">
        <v>257</v>
      </c>
      <c r="F143" t="s">
        <v>255</v>
      </c>
      <c r="M143" s="44"/>
      <c r="N143">
        <v>20</v>
      </c>
      <c r="O143" t="s">
        <v>685</v>
      </c>
      <c r="P143" t="s">
        <v>257</v>
      </c>
      <c r="Q143" t="s">
        <v>255</v>
      </c>
    </row>
    <row r="144" spans="2:17">
      <c r="B144" s="44"/>
      <c r="M144" s="44"/>
    </row>
    <row r="145" spans="2:13">
      <c r="B145" s="44"/>
      <c r="M145" s="44"/>
    </row>
    <row r="146" spans="2:13">
      <c r="B146" s="44"/>
      <c r="M146" s="44"/>
    </row>
    <row r="147" spans="2:13">
      <c r="B147" s="44"/>
      <c r="M147" s="44"/>
    </row>
    <row r="148" spans="2:13">
      <c r="B148" s="44"/>
    </row>
    <row r="149" spans="2:13">
      <c r="B149" s="44"/>
    </row>
    <row r="150" spans="2:13">
      <c r="B150" s="44"/>
    </row>
    <row r="151" spans="2:13">
      <c r="B151" s="44"/>
    </row>
    <row r="152" spans="2:13">
      <c r="B152" s="44"/>
    </row>
    <row r="153" spans="2:13">
      <c r="B153" s="44"/>
    </row>
    <row r="154" spans="2:13">
      <c r="B154" s="44"/>
    </row>
    <row r="155" spans="2:13">
      <c r="B155" s="44"/>
    </row>
    <row r="156" spans="2:13">
      <c r="B156" s="44"/>
    </row>
    <row r="157" spans="2:13">
      <c r="B157" s="44"/>
    </row>
    <row r="158" spans="2:13">
      <c r="B158" s="44"/>
    </row>
    <row r="159" spans="2:13">
      <c r="B159" s="44"/>
    </row>
    <row r="160" spans="2:13">
      <c r="B160" s="44"/>
    </row>
    <row r="161" spans="2:2">
      <c r="B161" s="44"/>
    </row>
    <row r="162" spans="2:2">
      <c r="B162" s="44"/>
    </row>
    <row r="163" spans="2:2">
      <c r="B163" s="44"/>
    </row>
  </sheetData>
  <autoFilter ref="C1:F118"/>
  <conditionalFormatting sqref="G2:G11">
    <cfRule type="cellIs" dxfId="7" priority="2" operator="greaterThan">
      <formula>0</formula>
    </cfRule>
  </conditionalFormatting>
  <conditionalFormatting sqref="R2:R11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opLeftCell="G1" workbookViewId="0">
      <selection activeCell="H24" sqref="H24:H37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47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47" customWidth="1"/>
    <col min="13" max="17" width="13.5703125" customWidth="1"/>
  </cols>
  <sheetData>
    <row r="1" spans="1:17" ht="15">
      <c r="A1" s="455" t="s">
        <v>237</v>
      </c>
      <c r="E1" s="467"/>
      <c r="F1" s="1"/>
      <c r="J1" s="455" t="s">
        <v>401</v>
      </c>
      <c r="N1" s="467"/>
      <c r="O1" s="1"/>
    </row>
    <row r="2" spans="1:17" ht="30">
      <c r="A2" s="1003" t="s">
        <v>238</v>
      </c>
      <c r="B2" s="1003" t="s">
        <v>239</v>
      </c>
      <c r="C2" s="1005" t="s">
        <v>240</v>
      </c>
      <c r="D2" s="468" t="s">
        <v>241</v>
      </c>
      <c r="E2" s="469" t="s">
        <v>242</v>
      </c>
      <c r="F2" s="470" t="s">
        <v>243</v>
      </c>
      <c r="G2" s="469" t="s">
        <v>244</v>
      </c>
      <c r="H2" s="469" t="s">
        <v>245</v>
      </c>
      <c r="J2" s="1003" t="s">
        <v>238</v>
      </c>
      <c r="K2" s="1003" t="s">
        <v>239</v>
      </c>
      <c r="L2" s="1004" t="s">
        <v>240</v>
      </c>
      <c r="M2" s="468" t="s">
        <v>241</v>
      </c>
      <c r="N2" s="469" t="s">
        <v>242</v>
      </c>
      <c r="O2" s="470" t="s">
        <v>243</v>
      </c>
      <c r="P2" s="469" t="s">
        <v>244</v>
      </c>
      <c r="Q2" s="469" t="s">
        <v>245</v>
      </c>
    </row>
    <row r="3" spans="1:17" ht="15">
      <c r="A3" s="1003"/>
      <c r="B3" s="1003"/>
      <c r="C3" s="1006"/>
      <c r="D3" s="468" t="s">
        <v>454</v>
      </c>
      <c r="E3" s="468" t="str">
        <f>+D3</f>
        <v>AGUSTUS</v>
      </c>
      <c r="F3" s="468" t="str">
        <f>+E3</f>
        <v>AGUSTUS</v>
      </c>
      <c r="G3" s="468" t="str">
        <f>+F3</f>
        <v>AGUSTUS</v>
      </c>
      <c r="H3" s="468" t="str">
        <f>+G3</f>
        <v>AGUSTUS</v>
      </c>
      <c r="J3" s="1003"/>
      <c r="K3" s="1003"/>
      <c r="L3" s="1004"/>
      <c r="M3" s="468" t="str">
        <f>+H3</f>
        <v>AGUSTUS</v>
      </c>
      <c r="N3" s="468" t="str">
        <f>+M3</f>
        <v>AGUSTUS</v>
      </c>
      <c r="O3" s="468" t="str">
        <f>+N3</f>
        <v>AGUSTUS</v>
      </c>
      <c r="P3" s="468" t="str">
        <f>+O3</f>
        <v>AGUSTUS</v>
      </c>
      <c r="Q3" s="468" t="str">
        <f>+P3</f>
        <v>AGUSTUS</v>
      </c>
    </row>
    <row r="4" spans="1:17" ht="15">
      <c r="A4" s="985" t="s">
        <v>246</v>
      </c>
      <c r="B4" s="545" t="s">
        <v>330</v>
      </c>
      <c r="C4" s="548"/>
      <c r="D4" s="7">
        <f>SUMIFS(Sheet1!$C$2:$C$180,Sheet1!$F$2:$F$180,B4,Sheet1!$E$2:$E$180,C4)</f>
        <v>0</v>
      </c>
      <c r="E4" s="7">
        <f>D4/Sheet1!$I$9*Sheet1!$I$10</f>
        <v>0</v>
      </c>
      <c r="F4" s="483">
        <f>D4/Sheet1!$I$9*Sheet1!$I$11</f>
        <v>0</v>
      </c>
      <c r="G4" s="476">
        <f>F4</f>
        <v>0</v>
      </c>
      <c r="H4" s="998">
        <f>SUM(G4:G11)</f>
        <v>0</v>
      </c>
      <c r="J4" s="985" t="s">
        <v>246</v>
      </c>
      <c r="K4" s="545" t="s">
        <v>330</v>
      </c>
      <c r="L4" s="548"/>
      <c r="M4" s="7">
        <f>SUMIFS(Sheet1!$N$2:$N$180,Sheet1!$Q$2:$Q$180,K4,Sheet1!$P$2:$P$180,L4)</f>
        <v>0</v>
      </c>
      <c r="N4" s="7">
        <f>M4/Sheet1!$T$9*Sheet1!$T$10</f>
        <v>0</v>
      </c>
      <c r="O4" s="483">
        <f>M4/Sheet1!$T$9*Sheet1!$T$11</f>
        <v>0</v>
      </c>
      <c r="P4" s="476">
        <f>O4</f>
        <v>0</v>
      </c>
      <c r="Q4" s="998">
        <f>SUM(P4:P11)</f>
        <v>0</v>
      </c>
    </row>
    <row r="5" spans="1:17" ht="15">
      <c r="A5" s="985"/>
      <c r="B5" s="545" t="s">
        <v>247</v>
      </c>
      <c r="C5" s="548"/>
      <c r="D5" s="7">
        <f>SUMIFS(Sheet1!$C$2:$C$180,Sheet1!$F$2:$F$180,B5,Sheet1!$E$2:$E$180,C5)</f>
        <v>0</v>
      </c>
      <c r="E5" s="7">
        <f>D5/Sheet1!$I$9*Sheet1!$I$10</f>
        <v>0</v>
      </c>
      <c r="F5" s="483">
        <f>D5/Sheet1!$I$9*Sheet1!$I$11</f>
        <v>0</v>
      </c>
      <c r="G5" s="549">
        <f t="shared" ref="G5:G14" si="0">F5</f>
        <v>0</v>
      </c>
      <c r="H5" s="985"/>
      <c r="J5" s="985"/>
      <c r="K5" s="545" t="s">
        <v>247</v>
      </c>
      <c r="L5" s="548"/>
      <c r="M5" s="7">
        <f>SUMIFS(Sheet1!$N$2:$N$180,Sheet1!$Q$2:$Q$180,K5,Sheet1!$P$2:$P$180,L5)</f>
        <v>0</v>
      </c>
      <c r="N5" s="7">
        <f>M5/Sheet1!$T$9*Sheet1!$T$10</f>
        <v>0</v>
      </c>
      <c r="O5" s="483">
        <f>M5/Sheet1!$T$9*Sheet1!$T$11</f>
        <v>0</v>
      </c>
      <c r="P5" s="549">
        <f t="shared" ref="P5:P14" si="1">O5</f>
        <v>0</v>
      </c>
      <c r="Q5" s="985"/>
    </row>
    <row r="6" spans="1:17" ht="15">
      <c r="A6" s="985"/>
      <c r="B6" s="993" t="s">
        <v>336</v>
      </c>
      <c r="C6" s="548"/>
      <c r="D6" s="7">
        <f>SUMIFS(Sheet1!$C$2:$C$180,Sheet1!$F$2:$F$180,B6,Sheet1!$E$2:$E$180,C6)</f>
        <v>0</v>
      </c>
      <c r="E6" s="7">
        <f>D6/Sheet1!$I$9*Sheet1!$I$10</f>
        <v>0</v>
      </c>
      <c r="F6" s="483">
        <f>D6/Sheet1!$I$9*Sheet1!$I$11</f>
        <v>0</v>
      </c>
      <c r="G6" s="549">
        <f t="shared" si="0"/>
        <v>0</v>
      </c>
      <c r="H6" s="985"/>
      <c r="J6" s="985"/>
      <c r="K6" s="993" t="s">
        <v>336</v>
      </c>
      <c r="L6" s="548"/>
      <c r="M6" s="7">
        <f>SUMIFS(Sheet1!$N$2:$N$180,Sheet1!$Q$2:$Q$180,K6,Sheet1!$P$2:$P$180,L6)</f>
        <v>0</v>
      </c>
      <c r="N6" s="7">
        <f>M6/Sheet1!$T$9*Sheet1!$T$10</f>
        <v>0</v>
      </c>
      <c r="O6" s="483">
        <f>M6/Sheet1!$T$9*Sheet1!$T$11</f>
        <v>0</v>
      </c>
      <c r="P6" s="549">
        <f t="shared" si="1"/>
        <v>0</v>
      </c>
      <c r="Q6" s="985"/>
    </row>
    <row r="7" spans="1:17" ht="15">
      <c r="A7" s="985"/>
      <c r="B7" s="995"/>
      <c r="C7" s="548"/>
      <c r="D7" s="7">
        <f>SUMIFS(Sheet1!$C$2:$C$180,Sheet1!$F$2:$F$180,B6,Sheet1!$E$2:$E$180,C7)</f>
        <v>0</v>
      </c>
      <c r="E7" s="7">
        <f>D7/Sheet1!$I$9*Sheet1!$I$10</f>
        <v>0</v>
      </c>
      <c r="F7" s="483">
        <f>D7/Sheet1!$I$9*Sheet1!$I$11</f>
        <v>0</v>
      </c>
      <c r="G7" s="549">
        <f t="shared" si="0"/>
        <v>0</v>
      </c>
      <c r="H7" s="985"/>
      <c r="J7" s="985"/>
      <c r="K7" s="995"/>
      <c r="L7" s="548"/>
      <c r="M7" s="7">
        <f>SUMIFS(Sheet1!$N$2:$N$180,Sheet1!$Q$2:$Q$180,K6,Sheet1!$P$2:$P$180,L7)</f>
        <v>0</v>
      </c>
      <c r="N7" s="7">
        <f>M7/Sheet1!$T$9*Sheet1!$T$10</f>
        <v>0</v>
      </c>
      <c r="O7" s="483">
        <f>M7/Sheet1!$T$9*Sheet1!$T$11</f>
        <v>0</v>
      </c>
      <c r="P7" s="549">
        <f t="shared" si="1"/>
        <v>0</v>
      </c>
      <c r="Q7" s="985"/>
    </row>
    <row r="8" spans="1:17">
      <c r="A8" s="985"/>
      <c r="B8" s="993" t="s">
        <v>335</v>
      </c>
      <c r="C8" s="548"/>
      <c r="D8" s="7">
        <f>SUMIFS(Sheet1!$C$2:$C$180,Sheet1!$F$2:$F$180,B8,Sheet1!$E$2:$E$180,C8)</f>
        <v>0</v>
      </c>
      <c r="E8" s="7">
        <f>D8/Sheet1!$I$9*Sheet1!$I$10</f>
        <v>0</v>
      </c>
      <c r="F8" s="483">
        <f>D8/Sheet1!$I$9*Sheet1!$I$11</f>
        <v>0</v>
      </c>
      <c r="G8" s="471">
        <f t="shared" si="0"/>
        <v>0</v>
      </c>
      <c r="H8" s="985"/>
      <c r="J8" s="985"/>
      <c r="K8" s="993" t="s">
        <v>335</v>
      </c>
      <c r="L8" s="548"/>
      <c r="M8" s="7">
        <f>SUMIFS(Sheet1!$N$2:$N$180,Sheet1!$Q$2:$Q$180,K8,Sheet1!$P$2:$P$180,L8)</f>
        <v>0</v>
      </c>
      <c r="N8" s="7">
        <f>M8/Sheet1!$T$9*Sheet1!$T$10</f>
        <v>0</v>
      </c>
      <c r="O8" s="483">
        <f>M8/Sheet1!$T$9*Sheet1!$T$11</f>
        <v>0</v>
      </c>
      <c r="P8" s="471">
        <f t="shared" si="1"/>
        <v>0</v>
      </c>
      <c r="Q8" s="985"/>
    </row>
    <row r="9" spans="1:17">
      <c r="A9" s="985"/>
      <c r="B9" s="995"/>
      <c r="C9" s="548"/>
      <c r="D9" s="7">
        <f>SUMIFS(Sheet1!$C$2:$C$180,Sheet1!$F$2:$F$180,B8,Sheet1!$E$2:$E$180,C9)</f>
        <v>0</v>
      </c>
      <c r="E9" s="7">
        <f>D9/Sheet1!$I$9*Sheet1!$I$10</f>
        <v>0</v>
      </c>
      <c r="F9" s="483">
        <f>D9/Sheet1!$I$9*Sheet1!$I$11</f>
        <v>0</v>
      </c>
      <c r="G9" s="471">
        <f t="shared" si="0"/>
        <v>0</v>
      </c>
      <c r="H9" s="985"/>
      <c r="J9" s="985"/>
      <c r="K9" s="995"/>
      <c r="L9" s="548"/>
      <c r="M9" s="7">
        <f>SUMIFS(Sheet1!$N$2:$N$180,Sheet1!$Q$2:$Q$180,K8,Sheet1!$P$2:$P$180,L9)</f>
        <v>0</v>
      </c>
      <c r="N9" s="7">
        <f>M9/Sheet1!$T$9*Sheet1!$T$10</f>
        <v>0</v>
      </c>
      <c r="O9" s="483">
        <f>M9/Sheet1!$T$9*Sheet1!$T$11</f>
        <v>0</v>
      </c>
      <c r="P9" s="471">
        <f t="shared" si="1"/>
        <v>0</v>
      </c>
      <c r="Q9" s="985"/>
    </row>
    <row r="10" spans="1:17" ht="15" customHeight="1">
      <c r="A10" s="985"/>
      <c r="B10" s="993" t="s">
        <v>402</v>
      </c>
      <c r="C10" s="548"/>
      <c r="D10" s="7">
        <f>SUMIFS(Sheet1!$C$2:$C$180,Sheet1!$F$2:$F$180,B10,Sheet1!$E$2:$E$180,C10)</f>
        <v>0</v>
      </c>
      <c r="E10" s="7">
        <f>D10/Sheet1!$I$9*Sheet1!$I$10</f>
        <v>0</v>
      </c>
      <c r="F10" s="483">
        <f>D10/Sheet1!$I$9*Sheet1!$I$11</f>
        <v>0</v>
      </c>
      <c r="G10" s="471">
        <f t="shared" si="0"/>
        <v>0</v>
      </c>
      <c r="H10" s="985"/>
      <c r="J10" s="985"/>
      <c r="K10" s="993" t="s">
        <v>402</v>
      </c>
      <c r="L10" s="548"/>
      <c r="M10" s="7">
        <f>SUMIFS(Sheet1!$N$2:$N$180,Sheet1!$Q$2:$Q$180,K10,Sheet1!$P$2:$P$180,L10)</f>
        <v>0</v>
      </c>
      <c r="N10" s="7">
        <f>M10/Sheet1!$T$9*Sheet1!$T$10</f>
        <v>0</v>
      </c>
      <c r="O10" s="483">
        <f>M10/Sheet1!$T$9*Sheet1!$T$11</f>
        <v>0</v>
      </c>
      <c r="P10" s="471">
        <f t="shared" si="1"/>
        <v>0</v>
      </c>
      <c r="Q10" s="985"/>
    </row>
    <row r="11" spans="1:17" ht="15" customHeight="1">
      <c r="A11" s="985"/>
      <c r="B11" s="995"/>
      <c r="C11" s="548"/>
      <c r="D11" s="7">
        <f>SUMIFS(Sheet1!$C$2:$C$180,Sheet1!$F$2:$F$180,B10,Sheet1!$E$2:$E$180,C11)</f>
        <v>0</v>
      </c>
      <c r="E11" s="7">
        <f>D11/Sheet1!$I$9*Sheet1!$I$10</f>
        <v>0</v>
      </c>
      <c r="F11" s="483">
        <f>D11/Sheet1!$I$9*Sheet1!$I$11</f>
        <v>0</v>
      </c>
      <c r="G11" s="471">
        <f t="shared" si="0"/>
        <v>0</v>
      </c>
      <c r="H11" s="985"/>
      <c r="J11" s="985"/>
      <c r="K11" s="995"/>
      <c r="L11" s="548"/>
      <c r="M11" s="7">
        <f>SUMIFS(Sheet1!$N$2:$N$180,Sheet1!$Q$2:$Q$180,K10,Sheet1!$P$2:$P$180,L11)</f>
        <v>0</v>
      </c>
      <c r="N11" s="7">
        <f>M11/Sheet1!$T$9*Sheet1!$T$10</f>
        <v>0</v>
      </c>
      <c r="O11" s="483">
        <f>M11/Sheet1!$T$9*Sheet1!$T$11</f>
        <v>0</v>
      </c>
      <c r="P11" s="471">
        <f t="shared" si="1"/>
        <v>0</v>
      </c>
      <c r="Q11" s="985"/>
    </row>
    <row r="12" spans="1:17" ht="15">
      <c r="A12" s="985" t="s">
        <v>10</v>
      </c>
      <c r="B12" s="545" t="s">
        <v>152</v>
      </c>
      <c r="C12" s="548" t="s">
        <v>152</v>
      </c>
      <c r="D12" s="7"/>
      <c r="E12" s="7">
        <f>+Sheet1!I2</f>
        <v>33.051000000000002</v>
      </c>
      <c r="F12" s="483">
        <f>E12/Sheet1!$I$8</f>
        <v>1.594276404117129E-2</v>
      </c>
      <c r="G12" s="549">
        <f t="shared" si="0"/>
        <v>1.594276404117129E-2</v>
      </c>
      <c r="H12" s="986">
        <f>SUM(G12:G13)</f>
        <v>1.1846453611628338E-2</v>
      </c>
      <c r="J12" s="985" t="s">
        <v>10</v>
      </c>
      <c r="K12" s="545" t="s">
        <v>152</v>
      </c>
      <c r="L12" s="548" t="s">
        <v>152</v>
      </c>
      <c r="M12" s="7"/>
      <c r="N12" s="7">
        <f>+Sheet1!T2</f>
        <v>33.051000000000002</v>
      </c>
      <c r="O12" s="483">
        <f>+Sheet1!U2</f>
        <v>1.5946500735889078E-2</v>
      </c>
      <c r="P12" s="549">
        <f t="shared" si="1"/>
        <v>1.5946500735889078E-2</v>
      </c>
      <c r="Q12" s="986">
        <f>SUM(P12:P13)</f>
        <v>1.1628396428203116E-2</v>
      </c>
    </row>
    <row r="13" spans="1:17" ht="15">
      <c r="A13" s="985"/>
      <c r="B13" s="545" t="s">
        <v>249</v>
      </c>
      <c r="C13" s="548" t="s">
        <v>250</v>
      </c>
      <c r="D13" s="7"/>
      <c r="E13" s="7">
        <f>+Sheet1!I3</f>
        <v>-8.4920755056773345</v>
      </c>
      <c r="F13" s="483">
        <f>E13/Sheet1!$I$8</f>
        <v>-4.0963104295429521E-3</v>
      </c>
      <c r="G13" s="549">
        <f t="shared" si="0"/>
        <v>-4.0963104295429521E-3</v>
      </c>
      <c r="H13" s="987"/>
      <c r="J13" s="985"/>
      <c r="K13" s="545" t="s">
        <v>249</v>
      </c>
      <c r="L13" s="548" t="s">
        <v>250</v>
      </c>
      <c r="M13" s="7"/>
      <c r="N13" s="7">
        <f>+Sheet1!T3</f>
        <v>-8.9497795056773413</v>
      </c>
      <c r="O13" s="483">
        <f>+Sheet1!U3</f>
        <v>-4.3181043076859615E-3</v>
      </c>
      <c r="P13" s="549">
        <f t="shared" si="1"/>
        <v>-4.3181043076859615E-3</v>
      </c>
      <c r="Q13" s="987"/>
    </row>
    <row r="14" spans="1:17" ht="15">
      <c r="A14" s="988" t="s">
        <v>12</v>
      </c>
      <c r="B14" s="545" t="s">
        <v>251</v>
      </c>
      <c r="C14" s="548" t="s">
        <v>251</v>
      </c>
      <c r="D14" s="7"/>
      <c r="E14" s="7">
        <f>+Sheet1!I4</f>
        <v>-17.970591930426473</v>
      </c>
      <c r="F14" s="483">
        <f>E14/Sheet1!$I$8</f>
        <v>-8.6684489675642531E-3</v>
      </c>
      <c r="G14" s="549">
        <f t="shared" si="0"/>
        <v>-8.6684489675642531E-3</v>
      </c>
      <c r="H14" s="990">
        <f>SUM(G14:G23)</f>
        <v>5.7901960606470834E-2</v>
      </c>
      <c r="J14" s="988" t="s">
        <v>12</v>
      </c>
      <c r="K14" s="545" t="s">
        <v>251</v>
      </c>
      <c r="L14" s="548" t="s">
        <v>251</v>
      </c>
      <c r="M14" s="7"/>
      <c r="N14" s="7">
        <f>+Sheet1!T4</f>
        <v>-17.970591930426465</v>
      </c>
      <c r="O14" s="483">
        <f>+Sheet1!U4</f>
        <v>-8.6704806947719565E-3</v>
      </c>
      <c r="P14" s="549">
        <f t="shared" si="1"/>
        <v>-8.6704806947719565E-3</v>
      </c>
      <c r="Q14" s="990">
        <f>SUM(P14:P23)</f>
        <v>5.7908360076462759E-2</v>
      </c>
    </row>
    <row r="15" spans="1:17" ht="15">
      <c r="A15" s="989"/>
      <c r="B15" s="545" t="s">
        <v>252</v>
      </c>
      <c r="C15" s="548" t="s">
        <v>252</v>
      </c>
      <c r="D15" s="7"/>
      <c r="E15" s="7">
        <f>+Sheet1!I5</f>
        <v>67.159803815544208</v>
      </c>
      <c r="F15" s="483">
        <f>E15/Sheet1!$I$8</f>
        <v>3.2395779410080677E-2</v>
      </c>
      <c r="G15" s="549">
        <f>F15</f>
        <v>3.2395779410080677E-2</v>
      </c>
      <c r="H15" s="990"/>
      <c r="J15" s="989"/>
      <c r="K15" s="545" t="s">
        <v>252</v>
      </c>
      <c r="L15" s="548" t="s">
        <v>252</v>
      </c>
      <c r="M15" s="7"/>
      <c r="N15" s="7">
        <f>+Sheet1!T5</f>
        <v>67.159803815544208</v>
      </c>
      <c r="O15" s="483">
        <f>+Sheet1!U5</f>
        <v>3.2403372393172425E-2</v>
      </c>
      <c r="P15" s="549">
        <f>O15</f>
        <v>3.2403372393172425E-2</v>
      </c>
      <c r="Q15" s="990"/>
    </row>
    <row r="16" spans="1:17">
      <c r="A16" s="989"/>
      <c r="B16" s="991" t="s">
        <v>253</v>
      </c>
      <c r="C16" s="548"/>
      <c r="D16" s="7">
        <f>SUMIFS(Sheet1!$C$2:$C$180,Sheet1!$F$2:$F$180,B16,Sheet1!$E$2:$E$180,C16)</f>
        <v>0</v>
      </c>
      <c r="E16" s="7">
        <f>D16/Sheet1!$I$9*Sheet1!$I$10</f>
        <v>0</v>
      </c>
      <c r="F16" s="483">
        <f>D16/Sheet1!$I$9*Sheet1!$I$11</f>
        <v>0</v>
      </c>
      <c r="G16" s="992">
        <f>SUM(F16:F17)</f>
        <v>0</v>
      </c>
      <c r="H16" s="990"/>
      <c r="J16" s="989"/>
      <c r="K16" s="991" t="s">
        <v>253</v>
      </c>
      <c r="L16" s="548"/>
      <c r="M16" s="7">
        <f>SUMIFS(Sheet1!$N$2:$N$180,Sheet1!$Q$2:$Q$180,K16,Sheet1!$P$2:$P$180,L16)</f>
        <v>0</v>
      </c>
      <c r="N16" s="7">
        <f>M16/Sheet1!$T$9*Sheet1!$T$10</f>
        <v>0</v>
      </c>
      <c r="O16" s="483">
        <f>M16/Sheet1!$T$9*Sheet1!$T$11</f>
        <v>0</v>
      </c>
      <c r="P16" s="992">
        <f>SUM(O16:O17)</f>
        <v>0</v>
      </c>
      <c r="Q16" s="990"/>
    </row>
    <row r="17" spans="1:17">
      <c r="A17" s="989"/>
      <c r="B17" s="991"/>
      <c r="C17" s="548"/>
      <c r="D17" s="7">
        <f>SUMIFS(Sheet1!$C$2:$C$180,Sheet1!$F$2:$F$180,B16,Sheet1!$E$2:$E$180,C17)</f>
        <v>0</v>
      </c>
      <c r="E17" s="7">
        <f>D17/Sheet1!$I$9*Sheet1!$I$10</f>
        <v>0</v>
      </c>
      <c r="F17" s="483">
        <f>D17/Sheet1!$I$9*Sheet1!$I$11</f>
        <v>0</v>
      </c>
      <c r="G17" s="992"/>
      <c r="H17" s="990"/>
      <c r="J17" s="989"/>
      <c r="K17" s="991"/>
      <c r="L17" s="548"/>
      <c r="M17" s="7">
        <f>SUMIFS(Sheet1!$N$2:$N$180,Sheet1!$Q$2:$Q$180,K16,Sheet1!$P$2:$P$180,L17)</f>
        <v>0</v>
      </c>
      <c r="N17" s="7">
        <f>M17/Sheet1!$T$9*Sheet1!$T$10</f>
        <v>0</v>
      </c>
      <c r="O17" s="483">
        <f>M17/Sheet1!$T$9*Sheet1!$T$11</f>
        <v>0</v>
      </c>
      <c r="P17" s="992"/>
      <c r="Q17" s="990"/>
    </row>
    <row r="18" spans="1:17" ht="15">
      <c r="A18" s="989"/>
      <c r="B18" s="545" t="s">
        <v>254</v>
      </c>
      <c r="C18" s="548" t="s">
        <v>202</v>
      </c>
      <c r="D18" s="7">
        <f>SUMIFS(Sheet1!$C$2:$C$180,Sheet1!$F$2:$F$180,B18,Sheet1!$E$2:$E$180,C18)</f>
        <v>101</v>
      </c>
      <c r="E18" s="7">
        <f>D18/Sheet1!$I$9*Sheet1!$I$10</f>
        <v>4.6135410059492994</v>
      </c>
      <c r="F18" s="483">
        <f>D18/Sheet1!$I$9*Sheet1!$I$11</f>
        <v>2.2254272382716926E-3</v>
      </c>
      <c r="G18" s="549">
        <f>F18</f>
        <v>2.2254272382716926E-3</v>
      </c>
      <c r="H18" s="990"/>
      <c r="J18" s="989"/>
      <c r="K18" s="545" t="s">
        <v>254</v>
      </c>
      <c r="L18" s="548" t="s">
        <v>202</v>
      </c>
      <c r="M18" s="7">
        <f>SUMIFS(Sheet1!$N$2:$N$180,Sheet1!$Q$2:$Q$180,K18,Sheet1!$P$2:$P$180,L18)</f>
        <v>101</v>
      </c>
      <c r="N18" s="7">
        <f>M18/Sheet1!$T$9*Sheet1!$T$10</f>
        <v>4.6125730605568087</v>
      </c>
      <c r="O18" s="483">
        <f>M18/Sheet1!$T$9*Sheet1!$T$11</f>
        <v>2.2254818221691111E-3</v>
      </c>
      <c r="P18" s="549">
        <f>O18</f>
        <v>2.2254818221691111E-3</v>
      </c>
      <c r="Q18" s="990"/>
    </row>
    <row r="19" spans="1:17">
      <c r="A19" s="989"/>
      <c r="B19" s="993" t="s">
        <v>255</v>
      </c>
      <c r="C19" s="548" t="s">
        <v>256</v>
      </c>
      <c r="D19" s="7">
        <f>SUMIFS(Sheet1!$C$2:$C$180,Sheet1!$F$2:$F$180,B19,Sheet1!$E$2:$E$180,C19)</f>
        <v>306</v>
      </c>
      <c r="E19" s="7">
        <f>D19/Sheet1!$I$9*Sheet1!$I$10</f>
        <v>13.977658889311741</v>
      </c>
      <c r="F19" s="483">
        <f>D19/Sheet1!$I$9*Sheet1!$I$11</f>
        <v>6.7423835139716632E-3</v>
      </c>
      <c r="G19" s="996">
        <f>SUM(F19:F23)</f>
        <v>3.1949202925682714E-2</v>
      </c>
      <c r="H19" s="990"/>
      <c r="J19" s="989"/>
      <c r="K19" s="993" t="s">
        <v>255</v>
      </c>
      <c r="L19" s="548" t="s">
        <v>256</v>
      </c>
      <c r="M19" s="7">
        <f>SUMIFS(Sheet1!$N$2:$N$180,Sheet1!$Q$2:$Q$180,$K$19,Sheet1!$P$2:$P$180,L19)</f>
        <v>306</v>
      </c>
      <c r="N19" s="7">
        <f>M19/Sheet1!$T$9*Sheet1!$T$10</f>
        <v>13.974726302281026</v>
      </c>
      <c r="O19" s="483">
        <f>M19/Sheet1!$T$9*Sheet1!$T$11</f>
        <v>6.7425488869678023E-3</v>
      </c>
      <c r="P19" s="996">
        <f>SUM(O19:O23)</f>
        <v>3.1949986555893178E-2</v>
      </c>
      <c r="Q19" s="990"/>
    </row>
    <row r="20" spans="1:17">
      <c r="A20" s="989"/>
      <c r="B20" s="994"/>
      <c r="C20" s="548" t="s">
        <v>257</v>
      </c>
      <c r="D20" s="7">
        <f>SUMIFS(Sheet1!$C$2:$C$180,Sheet1!$F$2:$F$180,B19,Sheet1!$E$2:$E$180,C20)</f>
        <v>703</v>
      </c>
      <c r="E20" s="7">
        <f>D20/Sheet1!$I$9*Sheet1!$I$10</f>
        <v>32.112072546359983</v>
      </c>
      <c r="F20" s="483">
        <f>D20/Sheet1!$I$9*Sheet1!$I$11</f>
        <v>1.5489854935693069E-2</v>
      </c>
      <c r="G20" s="999"/>
      <c r="H20" s="990"/>
      <c r="J20" s="989"/>
      <c r="K20" s="994"/>
      <c r="L20" s="548" t="s">
        <v>257</v>
      </c>
      <c r="M20" s="7">
        <f>SUMIFS(Sheet1!$N$2:$N$180,Sheet1!$Q$2:$Q$180,$K$19,Sheet1!$P$2:$P$180,L20)</f>
        <v>703</v>
      </c>
      <c r="N20" s="7">
        <f>M20/Sheet1!$T$9*Sheet1!$T$10</f>
        <v>32.105335263083532</v>
      </c>
      <c r="O20" s="483">
        <f>M20/Sheet1!$T$9*Sheet1!$T$11</f>
        <v>1.5490234861236485E-2</v>
      </c>
      <c r="P20" s="999"/>
      <c r="Q20" s="990"/>
    </row>
    <row r="21" spans="1:17">
      <c r="A21" s="989"/>
      <c r="B21" s="994"/>
      <c r="C21" s="548" t="s">
        <v>258</v>
      </c>
      <c r="D21" s="7">
        <f>SUMIFS(Sheet1!$C$2:$C$180,Sheet1!$F$2:$F$180,B19,Sheet1!$E$2:$E$180,C21)</f>
        <v>441</v>
      </c>
      <c r="E21" s="7">
        <f>D21/Sheet1!$I$9*Sheet1!$I$10</f>
        <v>20.144273105184567</v>
      </c>
      <c r="F21" s="483">
        <f>D21/Sheet1!$I$9*Sheet1!$I$11</f>
        <v>9.7169644760179853E-3</v>
      </c>
      <c r="G21" s="999"/>
      <c r="H21" s="990"/>
      <c r="J21" s="989"/>
      <c r="K21" s="994"/>
      <c r="L21" s="548" t="s">
        <v>258</v>
      </c>
      <c r="M21" s="7">
        <f>SUMIFS(Sheet1!$N$2:$N$180,Sheet1!$Q$2:$Q$180,$K$19,Sheet1!$P$2:$P$180,L21)</f>
        <v>441</v>
      </c>
      <c r="N21" s="7">
        <f>M21/Sheet1!$T$9*Sheet1!$T$10</f>
        <v>20.140046729757948</v>
      </c>
      <c r="O21" s="483">
        <f>M21/Sheet1!$T$9*Sheet1!$T$11</f>
        <v>9.7172028076888909E-3</v>
      </c>
      <c r="P21" s="999"/>
      <c r="Q21" s="990"/>
    </row>
    <row r="22" spans="1:17">
      <c r="A22" s="989"/>
      <c r="B22" s="994"/>
      <c r="C22" s="548"/>
      <c r="D22" s="7">
        <f>SUMIFS(Sheet1!$C$2:$C$180,Sheet1!$F$2:$F$180,B19,Sheet1!$E$2:$E$180,C22)</f>
        <v>0</v>
      </c>
      <c r="E22" s="7">
        <f>D22/Sheet1!$I$9*Sheet1!$I$10</f>
        <v>0</v>
      </c>
      <c r="F22" s="483">
        <f>D22/Sheet1!$I$9*Sheet1!$I$11</f>
        <v>0</v>
      </c>
      <c r="G22" s="999"/>
      <c r="H22" s="990"/>
      <c r="J22" s="989"/>
      <c r="K22" s="994"/>
      <c r="L22" s="548"/>
      <c r="M22" s="7">
        <f>SUMIFS(Sheet1!$N$2:$N$180,Sheet1!$Q$2:$Q$180,$K$19,Sheet1!$P$2:$P$180,L22)</f>
        <v>0</v>
      </c>
      <c r="N22" s="7">
        <f>M22/Sheet1!$T$9*Sheet1!$T$10</f>
        <v>0</v>
      </c>
      <c r="O22" s="483">
        <f>M22/Sheet1!$T$9*Sheet1!$T$11</f>
        <v>0</v>
      </c>
      <c r="P22" s="999"/>
      <c r="Q22" s="990"/>
    </row>
    <row r="23" spans="1:17">
      <c r="A23" s="989"/>
      <c r="B23" s="995"/>
      <c r="C23" s="548"/>
      <c r="D23" s="7">
        <f>SUMIFS(Sheet1!$C$2:$C$180,Sheet1!$F$2:$F$180,B19,Sheet1!$E$2:$E$180,C23)</f>
        <v>0</v>
      </c>
      <c r="E23" s="7">
        <f>D23/Sheet1!$I$9*Sheet1!$I$10</f>
        <v>0</v>
      </c>
      <c r="F23" s="483">
        <f>D23/Sheet1!$I$9*Sheet1!$I$11</f>
        <v>0</v>
      </c>
      <c r="G23" s="997"/>
      <c r="H23" s="990"/>
      <c r="J23" s="989"/>
      <c r="K23" s="995"/>
      <c r="L23" s="548"/>
      <c r="M23" s="7">
        <f>SUMIFS(Sheet1!$N$2:$N$180,Sheet1!$Q$2:$Q$180,$K$19,Sheet1!$P$2:$P$180,L23)</f>
        <v>0</v>
      </c>
      <c r="N23" s="7">
        <f>M23/Sheet1!$T$9*Sheet1!$T$10</f>
        <v>0</v>
      </c>
      <c r="O23" s="483">
        <f>M23/Sheet1!$T$9*Sheet1!$T$11</f>
        <v>0</v>
      </c>
      <c r="P23" s="997"/>
      <c r="Q23" s="990"/>
    </row>
    <row r="24" spans="1:17" ht="12.75" customHeight="1">
      <c r="A24" s="985" t="s">
        <v>260</v>
      </c>
      <c r="B24" s="991" t="s">
        <v>261</v>
      </c>
      <c r="C24" s="550" t="s">
        <v>570</v>
      </c>
      <c r="D24" s="7">
        <f>SUMIFS(Sheet1!$C$2:$C$180,Sheet1!$F$2:$F$180,B24,Sheet1!$E$2:$E$180,C24)</f>
        <v>105</v>
      </c>
      <c r="E24" s="7">
        <f>D24/Sheet1!$I$9*Sheet1!$I$10</f>
        <v>4.7962555012344206</v>
      </c>
      <c r="F24" s="483">
        <f>D24/Sheet1!$I$9*Sheet1!$I$11</f>
        <v>2.3135629704804728E-3</v>
      </c>
      <c r="G24" s="992">
        <f>SUM(F24:F30)</f>
        <v>2.3135629704804728E-3</v>
      </c>
      <c r="H24" s="990">
        <f>SUM(G24:G37)</f>
        <v>6.3678066520843485E-3</v>
      </c>
      <c r="J24" s="985" t="s">
        <v>260</v>
      </c>
      <c r="K24" s="991" t="s">
        <v>261</v>
      </c>
      <c r="L24" s="550" t="s">
        <v>570</v>
      </c>
      <c r="M24" s="7">
        <f>SUMIFS(Sheet1!$N$2:$N$180,Sheet1!$Q$2:$Q$180,$K$24,Sheet1!$P$2:$P$180,L24)</f>
        <v>105</v>
      </c>
      <c r="N24" s="7">
        <f>M24/Sheet1!$T$9*Sheet1!$T$10</f>
        <v>4.7952492213709395</v>
      </c>
      <c r="O24" s="483">
        <f>M24/Sheet1!$T$9*Sheet1!$T$11</f>
        <v>2.3136197161164026E-3</v>
      </c>
      <c r="P24" s="992">
        <f>SUM(O24:O30)</f>
        <v>2.3136197161164026E-3</v>
      </c>
      <c r="Q24" s="990">
        <f>SUM(P24:P37)</f>
        <v>6.3679628376918122E-3</v>
      </c>
    </row>
    <row r="25" spans="1:17" ht="12.75" customHeight="1">
      <c r="A25" s="985"/>
      <c r="B25" s="991"/>
      <c r="C25" s="550"/>
      <c r="D25" s="7">
        <f>SUMIFS(Sheet1!$C$2:$C$180,Sheet1!$F$2:$F$180,B24,Sheet1!$E$2:$E$180,C25)</f>
        <v>0</v>
      </c>
      <c r="E25" s="7">
        <f>D25/Sheet1!$I$9*Sheet1!$I$10</f>
        <v>0</v>
      </c>
      <c r="F25" s="483">
        <f>D25/Sheet1!$I$9*Sheet1!$I$11</f>
        <v>0</v>
      </c>
      <c r="G25" s="992"/>
      <c r="H25" s="990"/>
      <c r="J25" s="985"/>
      <c r="K25" s="991"/>
      <c r="L25" s="550"/>
      <c r="M25" s="7">
        <f>SUMIFS(Sheet1!$N$2:$N$180,Sheet1!$Q$2:$Q$180,$K$24,Sheet1!$P$2:$P$180,L25)</f>
        <v>0</v>
      </c>
      <c r="N25" s="7">
        <f>M25/Sheet1!$T$9*Sheet1!$T$10</f>
        <v>0</v>
      </c>
      <c r="O25" s="483">
        <f>M25/Sheet1!$T$9*Sheet1!$T$11</f>
        <v>0</v>
      </c>
      <c r="P25" s="992"/>
      <c r="Q25" s="990"/>
    </row>
    <row r="26" spans="1:17" ht="12.75" customHeight="1">
      <c r="A26" s="985"/>
      <c r="B26" s="991"/>
      <c r="C26" s="583"/>
      <c r="D26" s="7">
        <f>SUMIFS(Sheet1!$C$2:$C$180,Sheet1!$F$2:$F$180,B24,Sheet1!$E$2:$E$180,C26)</f>
        <v>0</v>
      </c>
      <c r="E26" s="7">
        <f>D26/Sheet1!$I$9*Sheet1!$I$10</f>
        <v>0</v>
      </c>
      <c r="F26" s="483">
        <f>D26/Sheet1!$I$9*Sheet1!$I$11</f>
        <v>0</v>
      </c>
      <c r="G26" s="992"/>
      <c r="H26" s="990"/>
      <c r="J26" s="985"/>
      <c r="K26" s="991"/>
      <c r="L26" s="583"/>
      <c r="M26" s="7">
        <f>SUMIFS(Sheet1!$N$2:$N$180,Sheet1!$Q$2:$Q$180,$K$24,Sheet1!$P$2:$P$180,L26)</f>
        <v>0</v>
      </c>
      <c r="N26" s="7">
        <f>M26/Sheet1!$T$9*Sheet1!$T$10</f>
        <v>0</v>
      </c>
      <c r="O26" s="483">
        <f>M26/Sheet1!$T$9*Sheet1!$T$11</f>
        <v>0</v>
      </c>
      <c r="P26" s="992"/>
      <c r="Q26" s="990"/>
    </row>
    <row r="27" spans="1:17" ht="12.75" customHeight="1">
      <c r="A27" s="985"/>
      <c r="B27" s="991"/>
      <c r="D27" s="7">
        <f>SUMIFS(Sheet1!$C$2:$C$180,Sheet1!$F$2:$F$180,B24,Sheet1!$E$2:$E$180,C27)</f>
        <v>0</v>
      </c>
      <c r="E27" s="7">
        <f>D27/Sheet1!$I$9*Sheet1!$I$10</f>
        <v>0</v>
      </c>
      <c r="F27" s="483">
        <f>D27/Sheet1!$I$9*Sheet1!$I$11</f>
        <v>0</v>
      </c>
      <c r="G27" s="992"/>
      <c r="H27" s="990"/>
      <c r="J27" s="985"/>
      <c r="K27" s="991"/>
      <c r="M27" s="7">
        <f>SUMIFS(Sheet1!$N$2:$N$180,Sheet1!$Q$2:$Q$180,$K$24,Sheet1!$P$2:$P$180,L27)</f>
        <v>0</v>
      </c>
      <c r="N27" s="7">
        <f>M27/Sheet1!$T$9*Sheet1!$T$10</f>
        <v>0</v>
      </c>
      <c r="O27" s="483">
        <f>M27/Sheet1!$T$9*Sheet1!$T$11</f>
        <v>0</v>
      </c>
      <c r="P27" s="992"/>
      <c r="Q27" s="990"/>
    </row>
    <row r="28" spans="1:17" ht="12.75" customHeight="1">
      <c r="A28" s="985"/>
      <c r="B28" s="991"/>
      <c r="C28" s="548"/>
      <c r="D28" s="7">
        <f>SUMIFS(Sheet1!$C$2:$C$180,Sheet1!$F$2:$F$180,B24,Sheet1!$E$2:$E$180,C28)</f>
        <v>0</v>
      </c>
      <c r="E28" s="7">
        <f>D28/Sheet1!$I$9*Sheet1!$I$10</f>
        <v>0</v>
      </c>
      <c r="F28" s="483">
        <f>D28/Sheet1!$I$9*Sheet1!$I$11</f>
        <v>0</v>
      </c>
      <c r="G28" s="992"/>
      <c r="H28" s="990"/>
      <c r="J28" s="985"/>
      <c r="K28" s="991"/>
      <c r="L28" s="548"/>
      <c r="M28" s="7">
        <f>SUMIFS(Sheet1!$N$2:$N$180,Sheet1!$Q$2:$Q$180,$K$24,Sheet1!$P$2:$P$180,L28)</f>
        <v>0</v>
      </c>
      <c r="N28" s="7">
        <f>M28/Sheet1!$T$9*Sheet1!$T$10</f>
        <v>0</v>
      </c>
      <c r="O28" s="483">
        <f>M28/Sheet1!$T$9*Sheet1!$T$11</f>
        <v>0</v>
      </c>
      <c r="P28" s="992"/>
      <c r="Q28" s="990"/>
    </row>
    <row r="29" spans="1:17" ht="12.75" customHeight="1">
      <c r="A29" s="985"/>
      <c r="B29" s="991"/>
      <c r="C29" s="548"/>
      <c r="D29" s="7">
        <f>SUMIFS(Sheet1!$C$2:$C$180,Sheet1!$F$2:$F$180,B24,Sheet1!$E$2:$E$180,C29)</f>
        <v>0</v>
      </c>
      <c r="E29" s="7">
        <f>D29/Sheet1!$I$9*Sheet1!$I$10</f>
        <v>0</v>
      </c>
      <c r="F29" s="483">
        <f>D29/Sheet1!$I$9*Sheet1!$I$11</f>
        <v>0</v>
      </c>
      <c r="G29" s="992"/>
      <c r="H29" s="990"/>
      <c r="J29" s="985"/>
      <c r="K29" s="991"/>
      <c r="L29" s="548"/>
      <c r="M29" s="7">
        <f>SUMIFS(Sheet1!$N$2:$N$180,Sheet1!$Q$2:$Q$180,$K$24,Sheet1!$P$2:$P$180,L29)</f>
        <v>0</v>
      </c>
      <c r="N29" s="7">
        <f>M29/Sheet1!$T$9*Sheet1!$T$10</f>
        <v>0</v>
      </c>
      <c r="O29" s="483">
        <f>M29/Sheet1!$T$9*Sheet1!$T$11</f>
        <v>0</v>
      </c>
      <c r="P29" s="992"/>
      <c r="Q29" s="990"/>
    </row>
    <row r="30" spans="1:17" ht="12.75" customHeight="1">
      <c r="A30" s="985"/>
      <c r="B30" s="991"/>
      <c r="C30" s="548"/>
      <c r="D30" s="7">
        <f>SUMIFS(Sheet1!$C$2:$C$180,Sheet1!$F$2:$F$180,B24,Sheet1!$E$2:$E$180,C30)</f>
        <v>0</v>
      </c>
      <c r="E30" s="7">
        <f>D30/Sheet1!$I$9*Sheet1!$I$10</f>
        <v>0</v>
      </c>
      <c r="F30" s="483">
        <f>D30/Sheet1!$I$9*Sheet1!$I$11</f>
        <v>0</v>
      </c>
      <c r="G30" s="992"/>
      <c r="H30" s="990"/>
      <c r="J30" s="985"/>
      <c r="K30" s="991"/>
      <c r="L30" s="548"/>
      <c r="M30" s="7">
        <f>SUMIFS(Sheet1!$N$2:$N$180,Sheet1!$Q$2:$Q$180,$K$24,Sheet1!$P$2:$P$180,L30)</f>
        <v>0</v>
      </c>
      <c r="N30" s="7">
        <f>M30/Sheet1!$T$9*Sheet1!$T$10</f>
        <v>0</v>
      </c>
      <c r="O30" s="483">
        <f>M30/Sheet1!$T$9*Sheet1!$T$11</f>
        <v>0</v>
      </c>
      <c r="P30" s="992"/>
      <c r="Q30" s="990"/>
    </row>
    <row r="31" spans="1:17" ht="12.75" customHeight="1">
      <c r="A31" s="985"/>
      <c r="B31" s="993" t="s">
        <v>262</v>
      </c>
      <c r="D31" s="7">
        <f>SUMIFS(Sheet1!$C$2:$C$180,Sheet1!$F$2:$F$180,B31,Sheet1!$E$2:$E$180,C31)</f>
        <v>0</v>
      </c>
      <c r="E31" s="7">
        <f>D31/Sheet1!$I$9*Sheet1!$I$10</f>
        <v>0</v>
      </c>
      <c r="F31" s="483">
        <f>D31/Sheet1!$I$9*Sheet1!$I$11</f>
        <v>0</v>
      </c>
      <c r="G31" s="996">
        <f>SUM(F31:F32)</f>
        <v>0</v>
      </c>
      <c r="H31" s="990"/>
      <c r="J31" s="985"/>
      <c r="K31" s="993" t="s">
        <v>262</v>
      </c>
      <c r="M31" s="7">
        <f>SUMIFS(Sheet1!$N$2:$N$180,Sheet1!$Q$2:$Q$180,$K$31,Sheet1!$P$2:$P$180,L31)</f>
        <v>0</v>
      </c>
      <c r="N31" s="7">
        <f>M31/Sheet1!$T$9*Sheet1!$T$10</f>
        <v>0</v>
      </c>
      <c r="O31" s="483">
        <f>M31/Sheet1!$T$9*Sheet1!$T$11</f>
        <v>0</v>
      </c>
      <c r="P31" s="996">
        <f>SUM(O31:O32)</f>
        <v>0</v>
      </c>
      <c r="Q31" s="990"/>
    </row>
    <row r="32" spans="1:17" ht="12.75" customHeight="1">
      <c r="A32" s="985"/>
      <c r="B32" s="995"/>
      <c r="C32" s="548"/>
      <c r="D32" s="7">
        <f>SUMIFS(Sheet1!$C$2:$C$180,Sheet1!$F$2:$F$180,B31,Sheet1!$E$2:$E$180,C32)</f>
        <v>0</v>
      </c>
      <c r="E32" s="7">
        <f>D32/Sheet1!$I$9*Sheet1!$I$10</f>
        <v>0</v>
      </c>
      <c r="F32" s="483">
        <f>D32/Sheet1!$I$9*Sheet1!$I$11</f>
        <v>0</v>
      </c>
      <c r="G32" s="997"/>
      <c r="H32" s="990"/>
      <c r="J32" s="985"/>
      <c r="K32" s="995"/>
      <c r="L32" s="548"/>
      <c r="M32" s="7">
        <f>SUMIFS(Sheet1!$N$2:$N$180,Sheet1!$Q$2:$Q$180,$K$31,Sheet1!$P$2:$P$180,L32)</f>
        <v>0</v>
      </c>
      <c r="N32" s="7">
        <f>M32/Sheet1!$T$9*Sheet1!$T$10</f>
        <v>0</v>
      </c>
      <c r="O32" s="483">
        <f>M32/Sheet1!$T$9*Sheet1!$T$11</f>
        <v>0</v>
      </c>
      <c r="P32" s="997"/>
      <c r="Q32" s="990"/>
    </row>
    <row r="33" spans="1:17" ht="12.75" customHeight="1">
      <c r="A33" s="985"/>
      <c r="B33" s="991" t="s">
        <v>263</v>
      </c>
      <c r="C33" s="548" t="s">
        <v>501</v>
      </c>
      <c r="D33" s="7">
        <f>SUMIFS(Sheet1!$C$2:$C$180,Sheet1!$F$2:$F$180,B33,Sheet1!$E$2:$E$180,C33)</f>
        <v>15</v>
      </c>
      <c r="E33" s="7">
        <f>D33/Sheet1!$I$9*Sheet1!$I$10</f>
        <v>0.68517935731920299</v>
      </c>
      <c r="F33" s="483">
        <f>D33/Sheet1!$I$9*Sheet1!$I$11</f>
        <v>3.3050899578292468E-4</v>
      </c>
      <c r="G33" s="992">
        <f>SUM(F33:F35)</f>
        <v>2.5118683679502271E-3</v>
      </c>
      <c r="H33" s="990"/>
      <c r="J33" s="985"/>
      <c r="K33" s="991" t="s">
        <v>263</v>
      </c>
      <c r="L33" s="548" t="s">
        <v>501</v>
      </c>
      <c r="M33" s="7">
        <f>SUMIFS(Sheet1!$N$2:$N$180,Sheet1!$Q$2:$Q$180,$K$33,Sheet1!$P$2:$P$180,L33)</f>
        <v>15</v>
      </c>
      <c r="N33" s="7">
        <f>M33/Sheet1!$T$9*Sheet1!$T$10</f>
        <v>0.68503560305299138</v>
      </c>
      <c r="O33" s="483">
        <f>M33/Sheet1!$T$9*Sheet1!$T$11</f>
        <v>3.305171023023432E-4</v>
      </c>
      <c r="P33" s="992">
        <f>SUM(O33:O35)</f>
        <v>2.5119299774978079E-3</v>
      </c>
      <c r="Q33" s="990"/>
    </row>
    <row r="34" spans="1:17" ht="12.75" customHeight="1">
      <c r="A34" s="985"/>
      <c r="B34" s="991"/>
      <c r="C34" s="548" t="s">
        <v>618</v>
      </c>
      <c r="D34" s="7">
        <f>SUMIFS(Sheet1!$C$2:$C$180,Sheet1!$F$2:$F$180,B33,Sheet1!$E$2:$E$180,C34)</f>
        <v>99</v>
      </c>
      <c r="E34" s="7">
        <f>D34/Sheet1!$I$9*Sheet1!$I$10</f>
        <v>4.5221837583067392</v>
      </c>
      <c r="F34" s="483">
        <f>D34/Sheet1!$I$9*Sheet1!$I$11</f>
        <v>2.1813593721673025E-3</v>
      </c>
      <c r="G34" s="992"/>
      <c r="H34" s="990"/>
      <c r="J34" s="985"/>
      <c r="K34" s="991"/>
      <c r="L34" s="548" t="s">
        <v>618</v>
      </c>
      <c r="M34" s="7">
        <f>SUMIFS(Sheet1!$N$2:$N$180,Sheet1!$Q$2:$Q$180,$K$33,Sheet1!$P$2:$P$180,L34)</f>
        <v>99</v>
      </c>
      <c r="N34" s="7">
        <f>M34/Sheet1!$T$9*Sheet1!$T$10</f>
        <v>4.5212349801497433</v>
      </c>
      <c r="O34" s="483">
        <f>M34/Sheet1!$T$9*Sheet1!$T$11</f>
        <v>2.1814128751954649E-3</v>
      </c>
      <c r="P34" s="992"/>
      <c r="Q34" s="990"/>
    </row>
    <row r="35" spans="1:17" ht="12.75" customHeight="1">
      <c r="A35" s="985"/>
      <c r="B35" s="991"/>
      <c r="C35" s="548"/>
      <c r="D35" s="7">
        <f>SUMIFS(Sheet1!$C$2:$C$180,Sheet1!$F$2:$F$180,B33,Sheet1!$E$2:$E$180,C35)</f>
        <v>0</v>
      </c>
      <c r="E35" s="7">
        <f>D35/Sheet1!$I$9*Sheet1!$I$10</f>
        <v>0</v>
      </c>
      <c r="F35" s="483">
        <f>D35/Sheet1!$I$9*Sheet1!$I$11</f>
        <v>0</v>
      </c>
      <c r="G35" s="992"/>
      <c r="H35" s="990"/>
      <c r="J35" s="985"/>
      <c r="K35" s="991"/>
      <c r="L35" s="548"/>
      <c r="M35" s="7">
        <f>SUMIFS(Sheet1!$N$2:$N$180,Sheet1!$Q$2:$Q$180,$K$33,Sheet1!$P$2:$P$180,L35)</f>
        <v>0</v>
      </c>
      <c r="N35" s="7">
        <f>M35/Sheet1!$T$9*Sheet1!$T$10</f>
        <v>0</v>
      </c>
      <c r="O35" s="483">
        <f>M35/Sheet1!$T$9*Sheet1!$T$11</f>
        <v>0</v>
      </c>
      <c r="P35" s="992"/>
      <c r="Q35" s="990"/>
    </row>
    <row r="36" spans="1:17" ht="12.75" customHeight="1">
      <c r="A36" s="985"/>
      <c r="B36" s="993" t="s">
        <v>264</v>
      </c>
      <c r="C36" s="548" t="s">
        <v>502</v>
      </c>
      <c r="D36" s="7">
        <f>SUMIFS(Sheet1!$C$2:$C$180,Sheet1!$F$2:$F$180,B36,Sheet1!$E$2:$E$180,C36)</f>
        <v>39</v>
      </c>
      <c r="E36" s="7">
        <f>D36/Sheet1!$I$9*Sheet1!$I$10</f>
        <v>1.7814663290299277</v>
      </c>
      <c r="F36" s="483">
        <f>D36/Sheet1!$I$9*Sheet1!$I$11</f>
        <v>8.5932338903560413E-4</v>
      </c>
      <c r="G36" s="996">
        <f>SUM(F36:F37)</f>
        <v>1.5423753136536485E-3</v>
      </c>
      <c r="H36" s="990"/>
      <c r="J36" s="985"/>
      <c r="K36" s="993" t="s">
        <v>264</v>
      </c>
      <c r="L36" s="548" t="s">
        <v>502</v>
      </c>
      <c r="M36" s="7">
        <f>SUMIFS(Sheet1!$N$2:$N$180,Sheet1!$Q$2:$Q$180,$K$36,Sheet1!$P$2:$P$180,L36)</f>
        <v>39</v>
      </c>
      <c r="N36" s="7">
        <f>M36/Sheet1!$T$9*Sheet1!$T$10</f>
        <v>1.7810925679377776</v>
      </c>
      <c r="O36" s="483">
        <f>M36/Sheet1!$T$9*Sheet1!$T$11</f>
        <v>8.5934446598609233E-4</v>
      </c>
      <c r="P36" s="996">
        <f>SUM(O36:O37)</f>
        <v>1.5424131440776017E-3</v>
      </c>
      <c r="Q36" s="990"/>
    </row>
    <row r="37" spans="1:17" ht="12.75" customHeight="1">
      <c r="A37" s="985"/>
      <c r="B37" s="995"/>
      <c r="C37" s="548" t="s">
        <v>717</v>
      </c>
      <c r="D37" s="7">
        <f>SUMIFS(Sheet1!$C$2:$C$180,Sheet1!$F$2:$F$180,B36,Sheet1!$E$2:$E$180,C37)</f>
        <v>31</v>
      </c>
      <c r="E37" s="7">
        <f>D37/Sheet1!$I$9*Sheet1!$I$10</f>
        <v>1.416037338459686</v>
      </c>
      <c r="F37" s="483">
        <f>D37/Sheet1!$I$9*Sheet1!$I$11</f>
        <v>6.830519246180443E-4</v>
      </c>
      <c r="G37" s="997"/>
      <c r="H37" s="990"/>
      <c r="J37" s="985"/>
      <c r="K37" s="995"/>
      <c r="L37" s="548" t="s">
        <v>717</v>
      </c>
      <c r="M37" s="7">
        <f>SUMIFS(Sheet1!$N$2:$N$180,Sheet1!$Q$2:$Q$180,$K$36,Sheet1!$P$2:$P$180,L37)</f>
        <v>31</v>
      </c>
      <c r="N37" s="7">
        <f>M37/Sheet1!$T$9*Sheet1!$T$10</f>
        <v>1.4157402463095157</v>
      </c>
      <c r="O37" s="483">
        <f>M37/Sheet1!$T$9*Sheet1!$T$11</f>
        <v>6.8306867809150927E-4</v>
      </c>
      <c r="P37" s="997"/>
      <c r="Q37" s="990"/>
    </row>
    <row r="38" spans="1:17" ht="12.75" customHeight="1">
      <c r="A38" s="985" t="s">
        <v>425</v>
      </c>
      <c r="B38" s="993" t="s">
        <v>265</v>
      </c>
      <c r="C38" s="548" t="s">
        <v>453</v>
      </c>
      <c r="D38" s="7">
        <f>SUMIFS(Sheet1!$C$2:$C$180,Sheet1!$F$2:$F$180,B38,Sheet1!$E$2:$E$180,C38)</f>
        <v>1090</v>
      </c>
      <c r="E38" s="7">
        <f>D38/Sheet1!$I$9*Sheet1!$I$10</f>
        <v>49.78969996519541</v>
      </c>
      <c r="F38" s="483">
        <f>D38/Sheet1!$I$9*Sheet1!$I$11</f>
        <v>2.4016987026892526E-2</v>
      </c>
      <c r="G38" s="996">
        <f>SUM(F38:F39)</f>
        <v>2.4016987026892526E-2</v>
      </c>
      <c r="H38" s="1001">
        <f>SUM(G38:G39)</f>
        <v>2.4016987026892526E-2</v>
      </c>
      <c r="J38" s="985" t="s">
        <v>425</v>
      </c>
      <c r="K38" s="993" t="s">
        <v>265</v>
      </c>
      <c r="L38" s="548" t="s">
        <v>453</v>
      </c>
      <c r="M38" s="7">
        <f>SUMIFS(Sheet1!$N$2:$N$180,Sheet1!$Q$2:$Q$180,K38,Sheet1!$P$2:$P$180,L38)</f>
        <v>1090</v>
      </c>
      <c r="N38" s="7">
        <f>M38/Sheet1!$T$9*Sheet1!$T$10</f>
        <v>49.779253821850709</v>
      </c>
      <c r="O38" s="483">
        <f>M38/Sheet1!$T$9*Sheet1!$T$11</f>
        <v>2.4017576100636939E-2</v>
      </c>
      <c r="P38" s="996">
        <f>SUM(O38:O39)</f>
        <v>2.4017576100636939E-2</v>
      </c>
      <c r="Q38" s="1001">
        <f>SUM(P38:P39)</f>
        <v>2.4017576100636939E-2</v>
      </c>
    </row>
    <row r="39" spans="1:17" ht="12.75" customHeight="1">
      <c r="A39" s="985"/>
      <c r="B39" s="995"/>
      <c r="C39" s="550"/>
      <c r="D39" s="7">
        <f>SUMIFS(Sheet1!$C$2:$C$180,Sheet1!$F$2:$F$180,B38,Sheet1!$E$2:$E$180,C39)</f>
        <v>0</v>
      </c>
      <c r="E39" s="7">
        <f>D39/Sheet1!$I$9*Sheet1!$I$10</f>
        <v>0</v>
      </c>
      <c r="F39" s="483">
        <f>D39/Sheet1!$I$9*Sheet1!$I$11</f>
        <v>0</v>
      </c>
      <c r="G39" s="997"/>
      <c r="H39" s="1002"/>
      <c r="J39" s="985"/>
      <c r="K39" s="995"/>
      <c r="L39" s="550"/>
      <c r="M39" s="7">
        <f>SUMIFS(Sheet1!$N$2:$N$180,Sheet1!$Q$2:$Q$180,K38,Sheet1!$P$2:$P$180,L39)</f>
        <v>0</v>
      </c>
      <c r="N39" s="7">
        <f>M39/Sheet1!$T$9*Sheet1!$T$10</f>
        <v>0</v>
      </c>
      <c r="O39" s="483">
        <f>M39/Sheet1!$T$9*Sheet1!$T$11</f>
        <v>0</v>
      </c>
      <c r="P39" s="997"/>
      <c r="Q39" s="1002"/>
    </row>
    <row r="40" spans="1:17" ht="15">
      <c r="A40" s="472"/>
      <c r="B40" s="1000" t="s">
        <v>2</v>
      </c>
      <c r="C40" s="1000"/>
      <c r="D40" s="317">
        <f>SUM(D4:D39)</f>
        <v>2930</v>
      </c>
      <c r="E40" s="317">
        <f>SUM(E4:E39)</f>
        <v>207.58650417579142</v>
      </c>
      <c r="F40" s="473">
        <f>SUM(F4:F39)</f>
        <v>0.10013320789707605</v>
      </c>
      <c r="G40" s="473">
        <f>SUM(G4:G39)</f>
        <v>0.10013320789707603</v>
      </c>
      <c r="H40" s="473">
        <f>SUM(H4:H39)</f>
        <v>0.10013320789707605</v>
      </c>
      <c r="J40" s="472"/>
      <c r="K40" s="1000" t="s">
        <v>2</v>
      </c>
      <c r="L40" s="1000"/>
      <c r="M40" s="317">
        <f>SUM(M4:M39)</f>
        <v>2930</v>
      </c>
      <c r="N40" s="317">
        <f>SUM(N4:N39)</f>
        <v>207.10072017579142</v>
      </c>
      <c r="O40" s="473">
        <f>SUM(O4:O39)</f>
        <v>9.9922295442994635E-2</v>
      </c>
      <c r="P40" s="473">
        <f>SUM(P4:P39)</f>
        <v>9.9922295442994621E-2</v>
      </c>
      <c r="Q40" s="473">
        <f>SUM(Q4:Q39)</f>
        <v>9.9922295442994621E-2</v>
      </c>
    </row>
    <row r="41" spans="1:17" ht="15">
      <c r="A41" s="472"/>
      <c r="B41" s="1000" t="s">
        <v>1</v>
      </c>
      <c r="C41" s="1000"/>
      <c r="D41" s="1000"/>
      <c r="E41" s="1000"/>
      <c r="F41" s="474">
        <f>+Efficiency1!X150</f>
        <v>0.89986679210292408</v>
      </c>
      <c r="G41" s="474">
        <f>+F41</f>
        <v>0.89986679210292408</v>
      </c>
      <c r="H41" s="474">
        <f>+G41</f>
        <v>0.89986679210292408</v>
      </c>
      <c r="J41" s="472"/>
      <c r="K41" s="1000" t="s">
        <v>1</v>
      </c>
      <c r="L41" s="1000"/>
      <c r="M41" s="1000"/>
      <c r="N41" s="1000"/>
      <c r="O41" s="474">
        <f>+Efficiency2!X150</f>
        <v>0.90007770455700553</v>
      </c>
      <c r="P41" s="474">
        <f>+O41</f>
        <v>0.90007770455700553</v>
      </c>
      <c r="Q41" s="474">
        <f>+P41</f>
        <v>0.90007770455700553</v>
      </c>
    </row>
    <row r="42" spans="1:17" ht="15">
      <c r="A42" s="472"/>
      <c r="B42" s="1000" t="s">
        <v>57</v>
      </c>
      <c r="C42" s="1000"/>
      <c r="D42" s="1000"/>
      <c r="E42" s="1000"/>
      <c r="F42" s="475">
        <f>SUM(F40:F41)</f>
        <v>1.0000000000000002</v>
      </c>
      <c r="G42" s="475">
        <f>SUM(G40:G41)</f>
        <v>1</v>
      </c>
      <c r="H42" s="476">
        <f>SUM(H40:H41)</f>
        <v>1.0000000000000002</v>
      </c>
      <c r="J42" s="472"/>
      <c r="K42" s="1000" t="s">
        <v>57</v>
      </c>
      <c r="L42" s="1000"/>
      <c r="M42" s="1000"/>
      <c r="N42" s="1000"/>
      <c r="O42" s="475">
        <f>SUM(O40:O41)</f>
        <v>1.0000000000000002</v>
      </c>
      <c r="P42" s="475">
        <f>SUM(P40:P41)</f>
        <v>1.0000000000000002</v>
      </c>
      <c r="Q42" s="476">
        <f>SUM(Q40:Q41)</f>
        <v>1.0000000000000002</v>
      </c>
    </row>
  </sheetData>
  <mergeCells count="66">
    <mergeCell ref="A2:A3"/>
    <mergeCell ref="B2:B3"/>
    <mergeCell ref="C2:C3"/>
    <mergeCell ref="B24:B30"/>
    <mergeCell ref="A4:A11"/>
    <mergeCell ref="Q14:Q23"/>
    <mergeCell ref="K16:K17"/>
    <mergeCell ref="P16:P17"/>
    <mergeCell ref="K19:K23"/>
    <mergeCell ref="P19:P23"/>
    <mergeCell ref="K2:K3"/>
    <mergeCell ref="L2:L3"/>
    <mergeCell ref="J4:J11"/>
    <mergeCell ref="Q4:Q11"/>
    <mergeCell ref="K6:K7"/>
    <mergeCell ref="K8:K9"/>
    <mergeCell ref="K10:K11"/>
    <mergeCell ref="J2:J3"/>
    <mergeCell ref="J12:J13"/>
    <mergeCell ref="J24:J37"/>
    <mergeCell ref="J38:J39"/>
    <mergeCell ref="Q38:Q39"/>
    <mergeCell ref="K40:L40"/>
    <mergeCell ref="K24:K30"/>
    <mergeCell ref="P24:P30"/>
    <mergeCell ref="Q24:Q37"/>
    <mergeCell ref="K31:K32"/>
    <mergeCell ref="P31:P32"/>
    <mergeCell ref="K33:K35"/>
    <mergeCell ref="P33:P35"/>
    <mergeCell ref="K36:K37"/>
    <mergeCell ref="P36:P37"/>
    <mergeCell ref="Q12:Q13"/>
    <mergeCell ref="J14:J23"/>
    <mergeCell ref="B42:E42"/>
    <mergeCell ref="K38:K39"/>
    <mergeCell ref="P38:P39"/>
    <mergeCell ref="B38:B39"/>
    <mergeCell ref="G38:G39"/>
    <mergeCell ref="H38:H39"/>
    <mergeCell ref="B40:C40"/>
    <mergeCell ref="B41:E41"/>
    <mergeCell ref="K41:N41"/>
    <mergeCell ref="K42:N42"/>
    <mergeCell ref="H4:H11"/>
    <mergeCell ref="B6:B7"/>
    <mergeCell ref="B8:B9"/>
    <mergeCell ref="B10:B11"/>
    <mergeCell ref="A24:A37"/>
    <mergeCell ref="B31:B32"/>
    <mergeCell ref="G19:G23"/>
    <mergeCell ref="A38:A39"/>
    <mergeCell ref="A12:A13"/>
    <mergeCell ref="H12:H13"/>
    <mergeCell ref="A14:A23"/>
    <mergeCell ref="H14:H23"/>
    <mergeCell ref="B16:B17"/>
    <mergeCell ref="G16:G17"/>
    <mergeCell ref="B19:B23"/>
    <mergeCell ref="G33:G35"/>
    <mergeCell ref="B36:B37"/>
    <mergeCell ref="G36:G37"/>
    <mergeCell ref="H24:H37"/>
    <mergeCell ref="G31:G32"/>
    <mergeCell ref="B33:B35"/>
    <mergeCell ref="G24:G30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1496062992125984" right="0.31496062992125984" top="0.3543307086614173" bottom="0.3543307086614173" header="0.31496062992125984" footer="0.31496062992125984"/>
  <pageSetup paperSize="9" scale="33" fitToHeight="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A31" zoomScale="80" zoomScaleNormal="80" workbookViewId="0">
      <selection activeCell="G36" sqref="G36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4.42578125" style="158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30</v>
      </c>
      <c r="G4" s="163">
        <v>31</v>
      </c>
      <c r="H4" s="163" t="str">
        <f>+'1'!H4</f>
        <v>.06.24</v>
      </c>
    </row>
    <row r="5" spans="1:15" ht="13.5" thickBot="1">
      <c r="C5" s="164"/>
      <c r="D5" s="164"/>
    </row>
    <row r="6" spans="1:15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36.7+155+189</f>
        <v>380.7</v>
      </c>
    </row>
    <row r="7" spans="1:15" ht="13.5" customHeight="1" thickBot="1">
      <c r="A7" s="1015" t="s">
        <v>693</v>
      </c>
      <c r="B7" s="225" t="s">
        <v>669</v>
      </c>
      <c r="C7" s="226">
        <v>20486</v>
      </c>
      <c r="D7" s="227"/>
      <c r="E7" s="228"/>
      <c r="F7" s="238"/>
      <c r="G7" s="239" t="s">
        <v>12</v>
      </c>
      <c r="H7" s="240" t="s">
        <v>277</v>
      </c>
      <c r="I7" s="1018" t="s">
        <v>666</v>
      </c>
      <c r="J7" s="224" t="str">
        <f>+'30'!J7</f>
        <v>F 13,5 VP OW</v>
      </c>
      <c r="K7" s="248"/>
      <c r="L7" s="252"/>
      <c r="M7" s="126">
        <f>+L7+'30'!M7+K7</f>
        <v>97821</v>
      </c>
    </row>
    <row r="8" spans="1:15" ht="13.5" thickBot="1">
      <c r="A8" s="1016"/>
      <c r="B8" s="225"/>
      <c r="C8" s="226"/>
      <c r="D8" s="227"/>
      <c r="E8" s="229"/>
      <c r="F8" s="241">
        <v>4</v>
      </c>
      <c r="G8" s="242" t="s">
        <v>12</v>
      </c>
      <c r="H8" s="240" t="s">
        <v>483</v>
      </c>
      <c r="I8" s="1019"/>
      <c r="J8" s="224" t="str">
        <f>+'30'!J8</f>
        <v>F 13 VP OW</v>
      </c>
      <c r="K8" s="249"/>
      <c r="L8" s="249"/>
      <c r="M8" s="126">
        <f>+L8+'30'!M8+K8</f>
        <v>71398</v>
      </c>
      <c r="N8" s="158">
        <v>1680</v>
      </c>
      <c r="O8" s="158">
        <f>+N8-N8*0.16</f>
        <v>1411.2</v>
      </c>
    </row>
    <row r="9" spans="1:15" ht="13.5" thickBot="1">
      <c r="A9" s="1016"/>
      <c r="B9" s="225"/>
      <c r="C9" s="226"/>
      <c r="D9" s="227"/>
      <c r="E9" s="230"/>
      <c r="F9" s="238">
        <v>5</v>
      </c>
      <c r="G9" s="242" t="s">
        <v>12</v>
      </c>
      <c r="H9" s="243" t="s">
        <v>730</v>
      </c>
      <c r="I9" s="1019"/>
      <c r="J9" s="224" t="str">
        <f>+'30'!J9</f>
        <v>MG 17 VP OW</v>
      </c>
      <c r="K9" s="249"/>
      <c r="L9" s="249"/>
      <c r="M9" s="126">
        <f>+L9+'30'!M9+K9</f>
        <v>43925</v>
      </c>
    </row>
    <row r="10" spans="1:15" ht="13.5" thickBot="1">
      <c r="A10" s="1016"/>
      <c r="B10" s="225"/>
      <c r="C10" s="226"/>
      <c r="D10" s="227"/>
      <c r="E10" s="229"/>
      <c r="F10" s="238"/>
      <c r="G10" s="242"/>
      <c r="H10" s="243" t="s">
        <v>782</v>
      </c>
      <c r="I10" s="1019"/>
      <c r="J10" s="224" t="str">
        <f>+'30'!J10</f>
        <v>MG 16,5 VP OW</v>
      </c>
      <c r="K10" s="249"/>
      <c r="L10" s="249"/>
      <c r="M10" s="126">
        <f>+L10+'30'!M10+K10</f>
        <v>226263</v>
      </c>
    </row>
    <row r="11" spans="1:15" ht="13.5" thickBot="1">
      <c r="A11" s="1016"/>
      <c r="B11" s="225"/>
      <c r="C11" s="226"/>
      <c r="D11" s="227"/>
      <c r="E11" s="229"/>
      <c r="F11" s="238"/>
      <c r="G11" s="242"/>
      <c r="H11" s="243"/>
      <c r="I11" s="1019"/>
      <c r="J11" s="224" t="str">
        <f>+'30'!J11</f>
        <v>MG 14 VP HW</v>
      </c>
      <c r="K11" s="249"/>
      <c r="L11" s="249"/>
      <c r="M11" s="126">
        <f>+L11+'30'!M11+K11</f>
        <v>160355</v>
      </c>
    </row>
    <row r="12" spans="1:15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+'30'!J12</f>
        <v>MG 17 VP HW</v>
      </c>
      <c r="K12" s="249"/>
      <c r="L12" s="249"/>
      <c r="M12" s="126">
        <f>+L12+'30'!M12+K12</f>
        <v>173331</v>
      </c>
    </row>
    <row r="13" spans="1:15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+'30'!J13</f>
        <v>MG 21 VP OW</v>
      </c>
      <c r="K13" s="249"/>
      <c r="L13" s="249"/>
      <c r="M13" s="126">
        <f>+L13+'30'!M13+K13</f>
        <v>117118</v>
      </c>
    </row>
    <row r="14" spans="1:15" ht="13.5" thickBot="1">
      <c r="A14" s="1017"/>
      <c r="B14" s="175" t="s">
        <v>2</v>
      </c>
      <c r="C14" s="108">
        <f>SUM(C7:C13)</f>
        <v>20486</v>
      </c>
      <c r="D14" s="120">
        <f>SUM(D7:D13)</f>
        <v>0</v>
      </c>
      <c r="E14" s="121">
        <f>SUM(E5:E13)</f>
        <v>0</v>
      </c>
      <c r="F14" s="125">
        <f>SUM(F7:F13)</f>
        <v>9</v>
      </c>
      <c r="G14" s="168"/>
      <c r="H14" s="176"/>
      <c r="I14" s="177"/>
      <c r="J14" s="224" t="str">
        <f>+'30'!J14</f>
        <v>MG 22 VP HW</v>
      </c>
      <c r="K14" s="249"/>
      <c r="L14" s="249"/>
      <c r="M14" s="126">
        <f>+L14+'30'!M14+K14</f>
        <v>13084</v>
      </c>
    </row>
    <row r="15" spans="1:15" ht="13.5" customHeight="1" thickBot="1">
      <c r="A15" s="1015" t="s">
        <v>451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666</v>
      </c>
      <c r="J15" s="224" t="str">
        <f>+'30'!J15</f>
        <v>MG 16 VP HW</v>
      </c>
      <c r="K15" s="249"/>
      <c r="L15" s="249"/>
      <c r="M15" s="126">
        <f>+L15+'30'!M15+K15</f>
        <v>181308</v>
      </c>
    </row>
    <row r="16" spans="1:15" ht="13.5" thickBot="1">
      <c r="A16" s="1021"/>
      <c r="B16" s="225" t="s">
        <v>669</v>
      </c>
      <c r="C16" s="232">
        <v>14046</v>
      </c>
      <c r="D16" s="233"/>
      <c r="E16" s="234"/>
      <c r="F16" s="238">
        <v>5</v>
      </c>
      <c r="G16" s="242" t="s">
        <v>12</v>
      </c>
      <c r="H16" s="240" t="s">
        <v>482</v>
      </c>
      <c r="I16" s="1019"/>
      <c r="J16" s="224" t="str">
        <f>+'30'!J16</f>
        <v>MG 16,5 VP HW</v>
      </c>
      <c r="K16" s="239"/>
      <c r="L16" s="239"/>
      <c r="M16" s="126">
        <f>+L16+'30'!M16+K16</f>
        <v>11812</v>
      </c>
    </row>
    <row r="17" spans="1:18" ht="13.5" thickBot="1">
      <c r="A17" s="1021"/>
      <c r="B17" s="225"/>
      <c r="C17" s="226"/>
      <c r="D17" s="227"/>
      <c r="E17" s="235"/>
      <c r="F17" s="238">
        <v>5</v>
      </c>
      <c r="G17" s="242" t="s">
        <v>12</v>
      </c>
      <c r="H17" s="243" t="s">
        <v>445</v>
      </c>
      <c r="I17" s="1019"/>
      <c r="J17" s="224" t="str">
        <f>+'30'!J17</f>
        <v>F 10,3 VP OW</v>
      </c>
      <c r="K17" s="239">
        <f>+C7+C16+C25</f>
        <v>44966</v>
      </c>
      <c r="L17" s="239"/>
      <c r="M17" s="126">
        <f>+L17+'30'!M17+K17</f>
        <v>414244</v>
      </c>
    </row>
    <row r="18" spans="1:18" ht="13.5" thickBot="1">
      <c r="A18" s="1021"/>
      <c r="B18" s="225"/>
      <c r="C18" s="226"/>
      <c r="D18" s="227"/>
      <c r="E18" s="235"/>
      <c r="F18" s="238"/>
      <c r="G18" s="242"/>
      <c r="H18" s="243" t="s">
        <v>782</v>
      </c>
      <c r="I18" s="1019"/>
      <c r="J18" s="224" t="str">
        <f>+'30'!J18</f>
        <v>SN 13 VP OW</v>
      </c>
      <c r="K18" s="249"/>
      <c r="L18" s="249"/>
      <c r="M18" s="126">
        <f>+L18+'30'!M18+K18</f>
        <v>118843</v>
      </c>
    </row>
    <row r="19" spans="1:18" ht="13.5" thickBot="1">
      <c r="A19" s="1021"/>
      <c r="B19" s="225"/>
      <c r="C19" s="226"/>
      <c r="D19" s="227"/>
      <c r="E19" s="235"/>
      <c r="F19" s="245"/>
      <c r="G19" s="242"/>
      <c r="H19" s="243"/>
      <c r="I19" s="1019"/>
      <c r="J19" s="224" t="str">
        <f>+'30'!J19</f>
        <v>SN 14 VP OW</v>
      </c>
      <c r="K19" s="249"/>
      <c r="L19" s="249"/>
      <c r="M19" s="126">
        <f>+L19+'30'!M19+K19</f>
        <v>51472</v>
      </c>
    </row>
    <row r="20" spans="1:18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 t="str">
        <f>+'30'!J20</f>
        <v>SN 15 VP OW</v>
      </c>
      <c r="K20" s="250"/>
      <c r="L20" s="250"/>
      <c r="M20" s="126">
        <f>+L20+'30'!M20+K20</f>
        <v>105118</v>
      </c>
    </row>
    <row r="21" spans="1:18" ht="13.5" thickBot="1">
      <c r="A21" s="1021"/>
      <c r="B21" s="225"/>
      <c r="C21" s="226"/>
      <c r="D21" s="227"/>
      <c r="E21" s="235"/>
      <c r="F21" s="241"/>
      <c r="G21" s="242"/>
      <c r="H21" s="243"/>
      <c r="I21" s="1019"/>
      <c r="J21" s="224" t="str">
        <f>+'30'!J21</f>
        <v>SN 16 VP OW</v>
      </c>
      <c r="K21" s="249"/>
      <c r="L21" s="249"/>
      <c r="M21" s="126">
        <f>+L21+'30'!M21+K21</f>
        <v>11026</v>
      </c>
    </row>
    <row r="22" spans="1:18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 t="str">
        <f>+'30'!J22</f>
        <v>F 12,5 VP OW</v>
      </c>
      <c r="K22" s="249"/>
      <c r="L22" s="249"/>
      <c r="M22" s="126">
        <f>+L22+'30'!M22+K22</f>
        <v>65040</v>
      </c>
    </row>
    <row r="23" spans="1:18" ht="13.5" thickBot="1">
      <c r="A23" s="1022"/>
      <c r="B23" s="178" t="s">
        <v>2</v>
      </c>
      <c r="C23" s="109">
        <f>SUM(C16:C22)</f>
        <v>14046</v>
      </c>
      <c r="D23" s="120">
        <f>SUM(D16:D22)</f>
        <v>0</v>
      </c>
      <c r="E23" s="121">
        <f>SUM(E18:E22)</f>
        <v>0</v>
      </c>
      <c r="F23" s="125">
        <f>SUM(F15:F22)</f>
        <v>10</v>
      </c>
      <c r="G23" s="168"/>
      <c r="H23" s="176"/>
      <c r="I23" s="179"/>
      <c r="J23" s="224" t="s">
        <v>786</v>
      </c>
      <c r="K23" s="249">
        <f>+C26</f>
        <v>3359</v>
      </c>
      <c r="L23" s="249"/>
      <c r="M23" s="126">
        <f>+L23+'30'!M23+K23</f>
        <v>3359</v>
      </c>
    </row>
    <row r="24" spans="1:18" ht="13.5" customHeight="1" thickBot="1">
      <c r="A24" s="1015" t="s">
        <v>449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784</v>
      </c>
      <c r="J24" s="224">
        <f>+'30'!J24</f>
        <v>0</v>
      </c>
      <c r="K24" s="249"/>
      <c r="L24" s="249"/>
      <c r="M24" s="126">
        <f>+L24+'30'!M24+K24</f>
        <v>0</v>
      </c>
    </row>
    <row r="25" spans="1:18" ht="13.5" thickBot="1">
      <c r="A25" s="1021"/>
      <c r="B25" s="225" t="s">
        <v>669</v>
      </c>
      <c r="C25" s="236">
        <v>10434</v>
      </c>
      <c r="D25" s="227"/>
      <c r="E25" s="235"/>
      <c r="F25" s="241">
        <v>5</v>
      </c>
      <c r="G25" s="242" t="s">
        <v>12</v>
      </c>
      <c r="H25" s="240" t="s">
        <v>567</v>
      </c>
      <c r="I25" s="1019"/>
      <c r="J25" s="224">
        <f>+'30'!J25</f>
        <v>0</v>
      </c>
      <c r="K25" s="249"/>
      <c r="L25" s="249"/>
      <c r="M25" s="126">
        <f>+L25+'30'!M25+K25</f>
        <v>0</v>
      </c>
    </row>
    <row r="26" spans="1:18" ht="13.5" thickBot="1">
      <c r="A26" s="1021"/>
      <c r="B26" s="225" t="s">
        <v>786</v>
      </c>
      <c r="C26" s="236">
        <v>3359</v>
      </c>
      <c r="D26" s="227"/>
      <c r="E26" s="237"/>
      <c r="F26" s="241">
        <v>10</v>
      </c>
      <c r="G26" s="242" t="s">
        <v>12</v>
      </c>
      <c r="H26" s="243" t="s">
        <v>539</v>
      </c>
      <c r="I26" s="1019"/>
      <c r="J26" s="224">
        <f>+'30'!J26</f>
        <v>0</v>
      </c>
      <c r="K26" s="249"/>
      <c r="L26" s="249"/>
      <c r="M26" s="126">
        <f>+L26+'30'!M26+K26</f>
        <v>0</v>
      </c>
      <c r="N26" s="158">
        <v>1680</v>
      </c>
      <c r="O26" s="158">
        <f>+N26-N26*0.16</f>
        <v>1411.2</v>
      </c>
      <c r="P26" s="158">
        <v>35</v>
      </c>
      <c r="Q26" s="158">
        <f>+N26*P26</f>
        <v>58800</v>
      </c>
      <c r="R26" s="158">
        <f>+O26*P26</f>
        <v>49392</v>
      </c>
    </row>
    <row r="27" spans="1:18" ht="13.5" thickBot="1">
      <c r="A27" s="1021"/>
      <c r="B27" s="225"/>
      <c r="C27" s="226"/>
      <c r="D27" s="227"/>
      <c r="E27" s="235"/>
      <c r="F27" s="241"/>
      <c r="G27" s="242"/>
      <c r="H27" s="243" t="s">
        <v>782</v>
      </c>
      <c r="I27" s="1019"/>
      <c r="J27" s="224">
        <f>+'30'!J27</f>
        <v>0</v>
      </c>
      <c r="K27" s="249"/>
      <c r="L27" s="249"/>
      <c r="M27" s="126">
        <f>+L27+'30'!M27+K27</f>
        <v>0</v>
      </c>
      <c r="N27" s="158">
        <v>1680</v>
      </c>
      <c r="O27" s="158">
        <f>+N27-N27*0.2</f>
        <v>1344</v>
      </c>
      <c r="P27" s="158">
        <f>480-P26</f>
        <v>445</v>
      </c>
      <c r="Q27" s="158">
        <f>+N27*P27</f>
        <v>747600</v>
      </c>
      <c r="R27" s="158">
        <f>+O27*P27</f>
        <v>598080</v>
      </c>
    </row>
    <row r="28" spans="1:18" ht="13.5" thickBot="1">
      <c r="A28" s="1021"/>
      <c r="B28" s="225"/>
      <c r="C28" s="226"/>
      <c r="D28" s="227"/>
      <c r="E28" s="235"/>
      <c r="F28" s="241"/>
      <c r="G28" s="242"/>
      <c r="H28" s="243" t="s">
        <v>783</v>
      </c>
      <c r="I28" s="1019"/>
      <c r="J28" s="224">
        <f>+'30'!J28</f>
        <v>0</v>
      </c>
      <c r="K28" s="249"/>
      <c r="L28" s="249"/>
      <c r="M28" s="126">
        <f>+L28+'30'!M28+K28</f>
        <v>0</v>
      </c>
      <c r="P28" s="158">
        <f>SUM(P26:P27)</f>
        <v>480</v>
      </c>
      <c r="Q28" s="158">
        <f t="shared" ref="Q28:R28" si="0">SUM(Q26:Q27)</f>
        <v>806400</v>
      </c>
      <c r="R28" s="158">
        <f t="shared" si="0"/>
        <v>647472</v>
      </c>
    </row>
    <row r="29" spans="1:18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+'30'!J29</f>
        <v>0</v>
      </c>
      <c r="K29" s="249"/>
      <c r="L29" s="249"/>
      <c r="M29" s="126">
        <f>+L29+'30'!M29+K29</f>
        <v>0</v>
      </c>
      <c r="Q29" s="158">
        <f>+Q28/P28</f>
        <v>1680</v>
      </c>
      <c r="R29" s="158">
        <f>+R28/P28</f>
        <v>1348.9</v>
      </c>
    </row>
    <row r="30" spans="1:18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+'30'!J30</f>
        <v>0</v>
      </c>
      <c r="K30" s="249"/>
      <c r="L30" s="249"/>
      <c r="M30" s="126">
        <f>+L30+'30'!M30+K30</f>
        <v>0</v>
      </c>
      <c r="N30" s="164"/>
    </row>
    <row r="31" spans="1:18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+'30'!J31</f>
        <v>0</v>
      </c>
      <c r="K31" s="249"/>
      <c r="L31" s="249"/>
      <c r="M31" s="126">
        <f>+L31+'30'!M31+K31</f>
        <v>0</v>
      </c>
    </row>
    <row r="32" spans="1:18" ht="13.5" thickBot="1">
      <c r="A32" s="1022"/>
      <c r="B32" s="175" t="s">
        <v>2</v>
      </c>
      <c r="C32" s="108">
        <f>SUM(C25:C31)</f>
        <v>13793</v>
      </c>
      <c r="D32" s="109">
        <f>SUM(D25:D31)</f>
        <v>0</v>
      </c>
      <c r="E32" s="110">
        <f>SUM(E25:E31)</f>
        <v>0</v>
      </c>
      <c r="F32" s="111">
        <f>SUM(F24:F31)</f>
        <v>15</v>
      </c>
      <c r="G32" s="181"/>
      <c r="H32" s="182"/>
      <c r="I32" s="179"/>
      <c r="J32" s="224">
        <f>+'30'!J32</f>
        <v>0</v>
      </c>
      <c r="K32" s="251"/>
      <c r="L32" s="253"/>
      <c r="M32" s="126">
        <f>+L32+'30'!M32+K32</f>
        <v>0</v>
      </c>
    </row>
    <row r="33" spans="1:14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48325</v>
      </c>
      <c r="D34" s="116">
        <f>D14+D23+D32</f>
        <v>0</v>
      </c>
      <c r="E34" s="116">
        <f>E14+E23+E32</f>
        <v>0</v>
      </c>
      <c r="F34" s="117">
        <f>F14+F23+F32</f>
        <v>34</v>
      </c>
      <c r="H34" s="188"/>
      <c r="I34" s="188"/>
      <c r="J34" s="132" t="s">
        <v>28</v>
      </c>
      <c r="K34" s="133">
        <f>SUM(K7:K32)</f>
        <v>48325</v>
      </c>
      <c r="L34" s="222">
        <f>SUM(L7:L32)</f>
        <v>0</v>
      </c>
      <c r="M34" s="129">
        <f>SUM(M7:M32)</f>
        <v>1865517</v>
      </c>
      <c r="N34" s="164"/>
    </row>
    <row r="35" spans="1:14" ht="13.5" thickBot="1">
      <c r="A35" s="189"/>
      <c r="B35" s="190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(10.3*995+12*445)/1440*G42*2.77*1440/1000000</f>
        <v>60.039112946166661</v>
      </c>
      <c r="J37" s="134">
        <f>+I37+'30'!J37</f>
        <v>2047.7509995304779</v>
      </c>
      <c r="K37" s="135" t="s">
        <v>63</v>
      </c>
      <c r="L37" s="566">
        <f>+I38-L38</f>
        <v>40.683999999999997</v>
      </c>
    </row>
    <row r="38" spans="1:14" ht="17.45" customHeight="1">
      <c r="A38" s="1013" t="s">
        <v>12</v>
      </c>
      <c r="B38" s="1014"/>
      <c r="C38" s="173">
        <f>SUMIF($G$7:$G$31,"Process",$F$7:$F$31)</f>
        <v>34</v>
      </c>
      <c r="D38" s="127">
        <f>+C38+'30'!D38</f>
        <v>1551</v>
      </c>
      <c r="E38" s="152">
        <f t="shared" ref="E38:E51" si="1">D38/60</f>
        <v>25.85</v>
      </c>
      <c r="F38" s="338">
        <v>1680</v>
      </c>
      <c r="G38" s="338">
        <f t="shared" ref="G38:G39" si="2">+F38-F38*0.16</f>
        <v>1411.2</v>
      </c>
      <c r="H38" s="197" t="s">
        <v>64</v>
      </c>
      <c r="I38" s="554">
        <f>17.178+21.255+18.467</f>
        <v>56.9</v>
      </c>
      <c r="J38" s="136">
        <f>+I38+'30'!J38</f>
        <v>1922.6600000000003</v>
      </c>
      <c r="K38" s="137" t="s">
        <v>63</v>
      </c>
      <c r="L38" s="158">
        <f>18.467-2.251</f>
        <v>16.215999999999998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+C39+'30'!D39</f>
        <v>0</v>
      </c>
      <c r="E39" s="152">
        <f t="shared" si="1"/>
        <v>0</v>
      </c>
      <c r="F39" s="338">
        <v>1680</v>
      </c>
      <c r="G39" s="338">
        <f t="shared" si="2"/>
        <v>1411.2</v>
      </c>
      <c r="H39" s="197" t="s">
        <v>65</v>
      </c>
      <c r="I39" s="151"/>
      <c r="J39" s="138">
        <f>J37/G4</f>
        <v>66.056483855821867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+C40+'30'!D40</f>
        <v>95</v>
      </c>
      <c r="E40" s="152">
        <f t="shared" si="1"/>
        <v>1.5833333333333333</v>
      </c>
      <c r="F40" s="338">
        <v>1680</v>
      </c>
      <c r="G40" s="338">
        <v>1348.9</v>
      </c>
      <c r="H40" s="197" t="s">
        <v>67</v>
      </c>
      <c r="I40" s="127">
        <f>(K34+L34)/1000</f>
        <v>48.325000000000003</v>
      </c>
      <c r="J40" s="140">
        <f>+I40+'30'!J40</f>
        <v>1865.5170000000001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+C41+'30'!D41</f>
        <v>246</v>
      </c>
      <c r="E41" s="152">
        <f t="shared" si="1"/>
        <v>4.0999999999999996</v>
      </c>
      <c r="F41" s="338"/>
      <c r="G41" s="338"/>
      <c r="H41" s="197" t="s">
        <v>69</v>
      </c>
      <c r="I41" s="151"/>
      <c r="J41" s="138">
        <f>J40/G4</f>
        <v>60.177967741935483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+C42+'30'!D42</f>
        <v>0</v>
      </c>
      <c r="E42" s="152">
        <f t="shared" si="1"/>
        <v>0</v>
      </c>
      <c r="F42" s="338">
        <f>+(F38*480+F39*480+F40*480)/1440</f>
        <v>1680</v>
      </c>
      <c r="G42" s="338">
        <f>+(G38*480+G39*480+G40*480)/1440</f>
        <v>1390.4333333333334</v>
      </c>
      <c r="H42" s="197" t="s">
        <v>70</v>
      </c>
      <c r="I42" s="256" t="s">
        <v>785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+C43+'30'!D43</f>
        <v>0</v>
      </c>
      <c r="E43" s="152">
        <f t="shared" si="1"/>
        <v>0</v>
      </c>
      <c r="F43" s="338"/>
      <c r="G43" s="339"/>
      <c r="H43" s="198" t="s">
        <v>73</v>
      </c>
      <c r="I43" s="127">
        <f>+Report1!T39</f>
        <v>122.824</v>
      </c>
      <c r="J43" s="142">
        <f>+I43+'30'!J43</f>
        <v>4287.8439999999991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+C44+'30'!D44</f>
        <v>0</v>
      </c>
      <c r="E44" s="152">
        <f t="shared" si="1"/>
        <v>0</v>
      </c>
      <c r="F44" s="338"/>
      <c r="G44" s="339"/>
      <c r="H44" s="198" t="s">
        <v>74</v>
      </c>
      <c r="I44" s="127">
        <f>I43/I38</f>
        <v>2.1585940246045694</v>
      </c>
      <c r="J44" s="143">
        <f>J43/J38</f>
        <v>2.2301623792038106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+C45+'30'!D45</f>
        <v>0</v>
      </c>
      <c r="E45" s="152">
        <f t="shared" si="1"/>
        <v>0</v>
      </c>
      <c r="F45" s="338"/>
      <c r="G45" s="341"/>
      <c r="H45" s="198" t="s">
        <v>75</v>
      </c>
      <c r="I45" s="127">
        <f>I43/I40</f>
        <v>2.5416244180031038</v>
      </c>
      <c r="J45" s="143">
        <f>J43/J40</f>
        <v>2.2984748999875095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+C46+'30'!D46</f>
        <v>0</v>
      </c>
      <c r="E46" s="152">
        <f t="shared" si="1"/>
        <v>0</v>
      </c>
      <c r="F46" s="338"/>
      <c r="G46" s="339"/>
      <c r="H46" s="198" t="s">
        <v>77</v>
      </c>
      <c r="I46" s="149">
        <f>+SUMIF(Listrik!AR38,"&gt;0")</f>
        <v>58713.139999997198</v>
      </c>
      <c r="J46" s="144">
        <f>+I46+'30'!J46</f>
        <v>1697838.4199999967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+C47+'30'!D47</f>
        <v>0</v>
      </c>
      <c r="E47" s="152">
        <f t="shared" si="1"/>
        <v>0</v>
      </c>
      <c r="F47" s="338"/>
      <c r="G47" s="339"/>
      <c r="H47" s="198" t="s">
        <v>80</v>
      </c>
      <c r="I47" s="127">
        <f>I46/I38</f>
        <v>1031.8653778558382</v>
      </c>
      <c r="J47" s="144">
        <f>J46/J38</f>
        <v>883.06742741826235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+C48+'30'!D48</f>
        <v>0</v>
      </c>
      <c r="E48" s="152">
        <f t="shared" si="1"/>
        <v>0</v>
      </c>
      <c r="F48" s="338"/>
      <c r="G48" s="339"/>
      <c r="H48" s="198" t="s">
        <v>81</v>
      </c>
      <c r="I48" s="127">
        <f>I46/I40</f>
        <v>1214.9640972580899</v>
      </c>
      <c r="J48" s="144">
        <f>J46/J40</f>
        <v>910.11683088387645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+C49+'30'!D49</f>
        <v>0</v>
      </c>
      <c r="E49" s="152">
        <f t="shared" si="1"/>
        <v>0</v>
      </c>
      <c r="F49" s="195"/>
      <c r="H49" s="198" t="s">
        <v>82</v>
      </c>
      <c r="I49" s="127">
        <v>0</v>
      </c>
      <c r="J49" s="144">
        <f>+I49+'30'!J49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+C50+'30'!D50</f>
        <v>0</v>
      </c>
      <c r="E50" s="152">
        <f t="shared" si="1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+C51+'30'!D51</f>
        <v>1090</v>
      </c>
      <c r="E51" s="152">
        <f t="shared" si="1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34</v>
      </c>
      <c r="D52" s="153">
        <f>SUM(D38:D51)</f>
        <v>2982</v>
      </c>
      <c r="E52" s="154">
        <f>SUM(E38:E51)</f>
        <v>49.7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2.361111111111111E-2</v>
      </c>
      <c r="D53" s="155">
        <f>D52/(24*60*G4)</f>
        <v>6.6801075268817206E-2</v>
      </c>
      <c r="E53" s="156">
        <f>E52/(G4*24)</f>
        <v>6.6801075268817206E-2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+D34+'30'!J56</f>
        <v>33051</v>
      </c>
      <c r="K56" s="211">
        <f>J56/(J40+J56/1000)/1000</f>
        <v>1.7408383581731073E-2</v>
      </c>
    </row>
    <row r="57" spans="1:11">
      <c r="A57" s="186"/>
      <c r="I57" s="209" t="s">
        <v>89</v>
      </c>
      <c r="J57" s="210">
        <f>+E34+'30'!J57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zoomScale="80" zoomScaleNormal="80" workbookViewId="0">
      <selection activeCell="K23" sqref="K23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7.140625" style="158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30</v>
      </c>
      <c r="G4" s="163">
        <v>30</v>
      </c>
      <c r="H4" s="163" t="str">
        <f>+'1'!H4</f>
        <v>.06.24</v>
      </c>
    </row>
    <row r="5" spans="1:15" ht="13.5" thickBot="1">
      <c r="C5" s="164"/>
      <c r="D5" s="164"/>
    </row>
    <row r="6" spans="1:15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196+186+200</f>
        <v>582</v>
      </c>
    </row>
    <row r="7" spans="1:15" ht="13.5" customHeight="1" thickBot="1">
      <c r="A7" s="1015" t="s">
        <v>693</v>
      </c>
      <c r="B7" s="225" t="s">
        <v>669</v>
      </c>
      <c r="C7" s="226">
        <v>19030</v>
      </c>
      <c r="D7" s="227"/>
      <c r="E7" s="228"/>
      <c r="F7" s="238">
        <v>0</v>
      </c>
      <c r="G7" s="239" t="s">
        <v>12</v>
      </c>
      <c r="H7" s="240" t="s">
        <v>277</v>
      </c>
      <c r="I7" s="1018" t="s">
        <v>788</v>
      </c>
      <c r="J7" s="224" t="str">
        <f>+'29'!J7</f>
        <v>F 13,5 VP OW</v>
      </c>
      <c r="K7" s="248"/>
      <c r="L7" s="252"/>
      <c r="M7" s="126">
        <f>+K7+'29'!M7+L7</f>
        <v>97821</v>
      </c>
    </row>
    <row r="8" spans="1:15" ht="13.5" thickBot="1">
      <c r="A8" s="1016"/>
      <c r="B8" s="225" t="s">
        <v>774</v>
      </c>
      <c r="C8" s="226">
        <f>2874+3633</f>
        <v>6507</v>
      </c>
      <c r="D8" s="227">
        <v>240</v>
      </c>
      <c r="E8" s="229"/>
      <c r="F8" s="241">
        <v>5</v>
      </c>
      <c r="G8" s="242" t="s">
        <v>12</v>
      </c>
      <c r="H8" s="240" t="s">
        <v>482</v>
      </c>
      <c r="I8" s="1019"/>
      <c r="J8" s="224" t="str">
        <f>+'29'!J8</f>
        <v>F 13 VP OW</v>
      </c>
      <c r="K8" s="249"/>
      <c r="L8" s="249"/>
      <c r="M8" s="126">
        <f>+K8+'29'!M8+L8</f>
        <v>71398</v>
      </c>
      <c r="N8" s="158">
        <v>1650</v>
      </c>
      <c r="O8" s="158">
        <f>+N8-N8*0.16</f>
        <v>1386</v>
      </c>
    </row>
    <row r="9" spans="1:15" ht="13.5" thickBot="1">
      <c r="A9" s="1016"/>
      <c r="B9" s="225"/>
      <c r="C9" s="226"/>
      <c r="D9" s="227"/>
      <c r="E9" s="230"/>
      <c r="F9" s="238">
        <v>5</v>
      </c>
      <c r="G9" s="242" t="s">
        <v>12</v>
      </c>
      <c r="H9" s="243" t="s">
        <v>682</v>
      </c>
      <c r="I9" s="1019"/>
      <c r="J9" s="224" t="str">
        <f>+'29'!J9</f>
        <v>MG 17 VP OW</v>
      </c>
      <c r="K9" s="249"/>
      <c r="L9" s="249"/>
      <c r="M9" s="126">
        <f>+K9+'29'!M9+L9</f>
        <v>43925</v>
      </c>
      <c r="N9" s="158">
        <v>1681</v>
      </c>
      <c r="O9" s="158">
        <f>+N9-N9*0.16</f>
        <v>1412.04</v>
      </c>
    </row>
    <row r="10" spans="1:15" ht="13.5" thickBot="1">
      <c r="A10" s="1016"/>
      <c r="B10" s="225"/>
      <c r="C10" s="226"/>
      <c r="D10" s="227"/>
      <c r="E10" s="229"/>
      <c r="F10" s="238"/>
      <c r="G10" s="242"/>
      <c r="H10" s="243" t="s">
        <v>781</v>
      </c>
      <c r="I10" s="1019"/>
      <c r="J10" s="224" t="str">
        <f>+'29'!J10</f>
        <v>MG 16,5 VP OW</v>
      </c>
      <c r="K10" s="249"/>
      <c r="L10" s="249"/>
      <c r="M10" s="126">
        <f>+K10+'29'!M10+L10</f>
        <v>226263</v>
      </c>
      <c r="N10" s="158">
        <v>1681</v>
      </c>
      <c r="O10" s="158">
        <f>+N10-N10*0.16</f>
        <v>1412.04</v>
      </c>
    </row>
    <row r="11" spans="1:15" ht="13.5" thickBot="1">
      <c r="A11" s="1016"/>
      <c r="B11" s="225"/>
      <c r="C11" s="226"/>
      <c r="D11" s="227"/>
      <c r="E11" s="229"/>
      <c r="F11" s="238"/>
      <c r="G11" s="242"/>
      <c r="H11" s="243"/>
      <c r="I11" s="1019"/>
      <c r="J11" s="224" t="str">
        <f>+'29'!J11</f>
        <v>MG 14 VP HW</v>
      </c>
      <c r="K11" s="249"/>
      <c r="L11" s="249"/>
      <c r="M11" s="126">
        <f>+K11+'29'!M11+L11</f>
        <v>160355</v>
      </c>
    </row>
    <row r="12" spans="1:15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+'29'!J12</f>
        <v>MG 17 VP HW</v>
      </c>
      <c r="K12" s="249"/>
      <c r="L12" s="249"/>
      <c r="M12" s="126">
        <f>+K12+'29'!M12+L12</f>
        <v>173331</v>
      </c>
    </row>
    <row r="13" spans="1:15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+'29'!J13</f>
        <v>MG 21 VP OW</v>
      </c>
      <c r="K13" s="249"/>
      <c r="L13" s="249"/>
      <c r="M13" s="126">
        <f>+K13+'29'!M13+L13</f>
        <v>117118</v>
      </c>
    </row>
    <row r="14" spans="1:15" ht="13.5" thickBot="1">
      <c r="A14" s="1017"/>
      <c r="B14" s="175" t="s">
        <v>2</v>
      </c>
      <c r="C14" s="108">
        <f>SUM(C7:C13)</f>
        <v>25537</v>
      </c>
      <c r="D14" s="120">
        <f>SUM(D7:D13)</f>
        <v>240</v>
      </c>
      <c r="E14" s="121">
        <f>SUM(E5:E13)</f>
        <v>0</v>
      </c>
      <c r="F14" s="125">
        <f>SUM(F7:F13)</f>
        <v>10</v>
      </c>
      <c r="G14" s="168"/>
      <c r="H14" s="176"/>
      <c r="I14" s="177"/>
      <c r="J14" s="224" t="str">
        <f>+'29'!J14</f>
        <v>MG 22 VP HW</v>
      </c>
      <c r="K14" s="249"/>
      <c r="L14" s="249"/>
      <c r="M14" s="126">
        <f>+K14+'29'!M14+L14</f>
        <v>13084</v>
      </c>
    </row>
    <row r="15" spans="1:15" ht="13.5" customHeight="1" thickBot="1">
      <c r="A15" s="1015" t="s">
        <v>450</v>
      </c>
      <c r="B15" s="175"/>
      <c r="C15" s="122">
        <f>C14/($C$23+$D$23+$E$23)</f>
        <v>1.2296913372177012</v>
      </c>
      <c r="D15" s="123">
        <f>D14/($C$23+$D$23+$E$23)</f>
        <v>1.1556796841142197E-2</v>
      </c>
      <c r="E15" s="124">
        <f>E14/($C$23+$D$23+$E$23)</f>
        <v>0</v>
      </c>
      <c r="F15" s="238"/>
      <c r="G15" s="239" t="s">
        <v>12</v>
      </c>
      <c r="H15" s="240" t="s">
        <v>277</v>
      </c>
      <c r="I15" s="1018" t="s">
        <v>789</v>
      </c>
      <c r="J15" s="224" t="str">
        <f>+'29'!J15</f>
        <v>MG 16 VP HW</v>
      </c>
      <c r="K15" s="249"/>
      <c r="L15" s="249"/>
      <c r="M15" s="126">
        <f>+K15+'29'!M15+L15</f>
        <v>181308</v>
      </c>
    </row>
    <row r="16" spans="1:15" ht="13.5" thickBot="1">
      <c r="A16" s="1021"/>
      <c r="B16" s="231" t="s">
        <v>669</v>
      </c>
      <c r="C16" s="232">
        <v>20767</v>
      </c>
      <c r="D16" s="233"/>
      <c r="E16" s="234"/>
      <c r="F16" s="238">
        <v>3</v>
      </c>
      <c r="G16" s="242" t="s">
        <v>12</v>
      </c>
      <c r="H16" s="240" t="s">
        <v>482</v>
      </c>
      <c r="I16" s="1019"/>
      <c r="J16" s="224" t="str">
        <f>+'29'!J16</f>
        <v>MG 16,5 VP HW</v>
      </c>
      <c r="K16" s="239"/>
      <c r="L16" s="239"/>
      <c r="M16" s="126">
        <f>+K16+'29'!M16+L16</f>
        <v>11812</v>
      </c>
    </row>
    <row r="17" spans="1:14" ht="13.5" thickBot="1">
      <c r="A17" s="1021"/>
      <c r="B17" s="225"/>
      <c r="C17" s="226"/>
      <c r="D17" s="227"/>
      <c r="E17" s="235"/>
      <c r="F17" s="238">
        <v>3</v>
      </c>
      <c r="G17" s="242" t="s">
        <v>12</v>
      </c>
      <c r="H17" s="243" t="s">
        <v>682</v>
      </c>
      <c r="I17" s="1019"/>
      <c r="J17" s="224" t="str">
        <f>+'29'!J17</f>
        <v>F 10,3 VP OW</v>
      </c>
      <c r="K17" s="239">
        <f>+C7+C16+C25</f>
        <v>54697</v>
      </c>
      <c r="L17" s="239"/>
      <c r="M17" s="126">
        <f>+K17+'29'!M17+L17</f>
        <v>369278</v>
      </c>
    </row>
    <row r="18" spans="1:14" ht="13.5" thickBot="1">
      <c r="A18" s="1021"/>
      <c r="B18" s="225"/>
      <c r="C18" s="226"/>
      <c r="D18" s="227"/>
      <c r="E18" s="235"/>
      <c r="F18" s="238"/>
      <c r="G18" s="242"/>
      <c r="H18" s="243" t="s">
        <v>787</v>
      </c>
      <c r="I18" s="1019"/>
      <c r="J18" s="224" t="str">
        <f>+'29'!J18</f>
        <v>SN 13 VP OW</v>
      </c>
      <c r="K18" s="249"/>
      <c r="L18" s="249"/>
      <c r="M18" s="126">
        <f>+K18+'29'!M18+L18</f>
        <v>118843</v>
      </c>
    </row>
    <row r="19" spans="1:14" ht="13.5" thickBot="1">
      <c r="A19" s="1021"/>
      <c r="B19" s="225"/>
      <c r="C19" s="226"/>
      <c r="D19" s="227"/>
      <c r="E19" s="235"/>
      <c r="F19" s="245"/>
      <c r="G19" s="242"/>
      <c r="H19" s="243"/>
      <c r="I19" s="1019"/>
      <c r="J19" s="224" t="str">
        <f>+'29'!J19</f>
        <v>SN 14 VP OW</v>
      </c>
      <c r="K19" s="249"/>
      <c r="L19" s="249"/>
      <c r="M19" s="126">
        <f>+K19+'29'!M19+L19</f>
        <v>51472</v>
      </c>
    </row>
    <row r="20" spans="1:14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 t="str">
        <f>+'29'!J20</f>
        <v>SN 15 VP OW</v>
      </c>
      <c r="K20" s="250"/>
      <c r="L20" s="250"/>
      <c r="M20" s="126">
        <f>+K20+'29'!M20+L20</f>
        <v>105118</v>
      </c>
    </row>
    <row r="21" spans="1:14" ht="13.5" thickBot="1">
      <c r="A21" s="1021"/>
      <c r="B21" s="225"/>
      <c r="C21" s="226"/>
      <c r="D21" s="227"/>
      <c r="E21" s="235"/>
      <c r="F21" s="241"/>
      <c r="G21" s="242"/>
      <c r="H21" s="243"/>
      <c r="I21" s="1019"/>
      <c r="J21" s="224" t="str">
        <f>+'29'!J21</f>
        <v>SN 16 VP OW</v>
      </c>
      <c r="K21" s="249"/>
      <c r="L21" s="249"/>
      <c r="M21" s="126">
        <f>+K21+'29'!M21+L21</f>
        <v>11026</v>
      </c>
    </row>
    <row r="22" spans="1:1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 t="str">
        <f>+'29'!J22</f>
        <v>F 12,5 VP OW</v>
      </c>
      <c r="K22" s="249">
        <f>+C8</f>
        <v>6507</v>
      </c>
      <c r="L22" s="249"/>
      <c r="M22" s="126">
        <f>+K22+'29'!M22+L22</f>
        <v>65040</v>
      </c>
    </row>
    <row r="23" spans="1:14" ht="13.5" thickBot="1">
      <c r="A23" s="1022"/>
      <c r="B23" s="178" t="s">
        <v>2</v>
      </c>
      <c r="C23" s="109">
        <f>SUM(C16:C22)</f>
        <v>20767</v>
      </c>
      <c r="D23" s="120">
        <f>SUM(D16:D22)</f>
        <v>0</v>
      </c>
      <c r="E23" s="121">
        <f>SUM(E18:E22)</f>
        <v>0</v>
      </c>
      <c r="F23" s="125">
        <f>SUM(F15:F22)</f>
        <v>6</v>
      </c>
      <c r="G23" s="168"/>
      <c r="H23" s="176"/>
      <c r="I23" s="179"/>
      <c r="J23" s="224">
        <f>+'29'!J23</f>
        <v>0</v>
      </c>
      <c r="K23" s="249"/>
      <c r="L23" s="249"/>
      <c r="M23" s="126">
        <f>+K23+'29'!M23+L23</f>
        <v>0</v>
      </c>
    </row>
    <row r="24" spans="1:14" ht="13.5" customHeight="1" thickBot="1">
      <c r="A24" s="1015" t="s">
        <v>449</v>
      </c>
      <c r="B24" s="180"/>
      <c r="C24" s="122">
        <f>C23/($C$23+$D$23+$E$23)</f>
        <v>1</v>
      </c>
      <c r="D24" s="123">
        <f>D23/($C$23+$D$23+$E$23)</f>
        <v>0</v>
      </c>
      <c r="E24" s="124">
        <f>E23/($C$23+$D$23+$E$23)</f>
        <v>0</v>
      </c>
      <c r="F24" s="246"/>
      <c r="G24" s="239" t="s">
        <v>12</v>
      </c>
      <c r="H24" s="240" t="s">
        <v>277</v>
      </c>
      <c r="I24" s="1018" t="s">
        <v>789</v>
      </c>
      <c r="J24" s="224">
        <f>+'29'!J24</f>
        <v>0</v>
      </c>
      <c r="K24" s="249"/>
      <c r="L24" s="249"/>
      <c r="M24" s="126">
        <f>+K24+'29'!M24+L24</f>
        <v>0</v>
      </c>
    </row>
    <row r="25" spans="1:14" ht="13.5" thickBot="1">
      <c r="A25" s="1021"/>
      <c r="B25" s="225" t="s">
        <v>669</v>
      </c>
      <c r="C25" s="236">
        <v>14900</v>
      </c>
      <c r="D25" s="227"/>
      <c r="E25" s="235"/>
      <c r="F25" s="241">
        <v>2</v>
      </c>
      <c r="G25" s="242" t="s">
        <v>12</v>
      </c>
      <c r="H25" s="240" t="s">
        <v>482</v>
      </c>
      <c r="I25" s="1019"/>
      <c r="J25" s="224">
        <f>+'29'!J25</f>
        <v>0</v>
      </c>
      <c r="K25" s="249"/>
      <c r="L25" s="249"/>
      <c r="M25" s="126">
        <f>+K25+'29'!M25+L25</f>
        <v>0</v>
      </c>
    </row>
    <row r="26" spans="1:14" ht="13.5" thickBot="1">
      <c r="A26" s="1021"/>
      <c r="B26" s="225"/>
      <c r="C26" s="236"/>
      <c r="D26" s="227"/>
      <c r="E26" s="237"/>
      <c r="F26" s="241">
        <v>2</v>
      </c>
      <c r="G26" s="242" t="s">
        <v>12</v>
      </c>
      <c r="H26" s="243" t="s">
        <v>682</v>
      </c>
      <c r="I26" s="1019"/>
      <c r="J26" s="224">
        <f>+'29'!J26</f>
        <v>0</v>
      </c>
      <c r="K26" s="249"/>
      <c r="L26" s="249"/>
      <c r="M26" s="126">
        <f>+K26+'29'!M26+L26</f>
        <v>0</v>
      </c>
    </row>
    <row r="27" spans="1:14" ht="13.5" thickBot="1">
      <c r="A27" s="1021"/>
      <c r="B27" s="225"/>
      <c r="C27" s="226"/>
      <c r="D27" s="227"/>
      <c r="E27" s="235"/>
      <c r="F27" s="241"/>
      <c r="G27" s="242"/>
      <c r="H27" s="243" t="s">
        <v>787</v>
      </c>
      <c r="I27" s="1019"/>
      <c r="J27" s="224">
        <f>+'29'!J27</f>
        <v>0</v>
      </c>
      <c r="K27" s="249"/>
      <c r="L27" s="249"/>
      <c r="M27" s="126">
        <f>+K27+'29'!M27+L27</f>
        <v>0</v>
      </c>
    </row>
    <row r="28" spans="1:14" ht="13.5" thickBot="1">
      <c r="A28" s="1021"/>
      <c r="B28" s="225"/>
      <c r="C28" s="226"/>
      <c r="D28" s="227"/>
      <c r="E28" s="235"/>
      <c r="F28" s="241"/>
      <c r="G28" s="242"/>
      <c r="H28" s="243"/>
      <c r="I28" s="1019"/>
      <c r="J28" s="224">
        <f>+'29'!J28</f>
        <v>0</v>
      </c>
      <c r="K28" s="249"/>
      <c r="L28" s="249"/>
      <c r="M28" s="126">
        <f>+K28+'29'!M28+L28</f>
        <v>0</v>
      </c>
    </row>
    <row r="29" spans="1:14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+'29'!J29</f>
        <v>0</v>
      </c>
      <c r="K29" s="249"/>
      <c r="L29" s="249"/>
      <c r="M29" s="126">
        <f>+K29+'29'!M29+L29</f>
        <v>0</v>
      </c>
    </row>
    <row r="30" spans="1:1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+'29'!J30</f>
        <v>0</v>
      </c>
      <c r="K30" s="249"/>
      <c r="L30" s="249"/>
      <c r="M30" s="126">
        <f>+K30+'29'!M30+L30</f>
        <v>0</v>
      </c>
      <c r="N30" s="164"/>
    </row>
    <row r="31" spans="1:14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+'29'!J31</f>
        <v>0</v>
      </c>
      <c r="K31" s="249"/>
      <c r="L31" s="249"/>
      <c r="M31" s="126">
        <f>+K31+'29'!M31+L31</f>
        <v>0</v>
      </c>
    </row>
    <row r="32" spans="1:14" ht="13.5" thickBot="1">
      <c r="A32" s="1022"/>
      <c r="B32" s="175" t="s">
        <v>2</v>
      </c>
      <c r="C32" s="108">
        <f>SUM(C25:C31)</f>
        <v>14900</v>
      </c>
      <c r="D32" s="109">
        <f>SUM(D25:D31)</f>
        <v>0</v>
      </c>
      <c r="E32" s="110">
        <f>SUM(E25:E31)</f>
        <v>0</v>
      </c>
      <c r="F32" s="111">
        <f>SUM(F24:F31)</f>
        <v>4</v>
      </c>
      <c r="G32" s="181"/>
      <c r="H32" s="182"/>
      <c r="I32" s="179"/>
      <c r="J32" s="224">
        <f>+'29'!J32</f>
        <v>0</v>
      </c>
      <c r="K32" s="251"/>
      <c r="L32" s="253"/>
      <c r="M32" s="126">
        <f>+K32+'29'!M32+L32</f>
        <v>0</v>
      </c>
    </row>
    <row r="33" spans="1:14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61204</v>
      </c>
      <c r="D34" s="116">
        <f>D14+D23+D32</f>
        <v>240</v>
      </c>
      <c r="E34" s="116">
        <f>E14+E23+E32</f>
        <v>0</v>
      </c>
      <c r="F34" s="117">
        <f>F14+F23+F32</f>
        <v>20</v>
      </c>
      <c r="H34" s="188"/>
      <c r="I34" s="188"/>
      <c r="J34" s="132" t="s">
        <v>28</v>
      </c>
      <c r="K34" s="133">
        <f>SUM(K7:K32)</f>
        <v>61204</v>
      </c>
      <c r="L34" s="222">
        <f>SUM(L7:L32)</f>
        <v>0</v>
      </c>
      <c r="M34" s="129">
        <f>SUM(M7:M32)</f>
        <v>1817192</v>
      </c>
      <c r="N34" s="164"/>
    </row>
    <row r="35" spans="1:14" ht="13.5" thickBot="1">
      <c r="A35" s="189"/>
      <c r="B35" s="190"/>
      <c r="C35" s="113">
        <f>C34/($C$34+$D$34+$E$34)</f>
        <v>0.99609400429659523</v>
      </c>
      <c r="D35" s="113">
        <f>D34/($C$34+$D$34+$E$34)</f>
        <v>3.9059957034047262E-3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(10.3*1440)/1440*G42*2.77*1440/1000000</f>
        <v>57.656540390399996</v>
      </c>
      <c r="J37" s="134">
        <f>+I37+'29'!J37</f>
        <v>1987.7118865843113</v>
      </c>
      <c r="K37" s="135" t="s">
        <v>63</v>
      </c>
    </row>
    <row r="38" spans="1:14" ht="17.45" customHeight="1">
      <c r="A38" s="1013" t="s">
        <v>12</v>
      </c>
      <c r="B38" s="1014"/>
      <c r="C38" s="173">
        <f>SUMIF($G$7:$G$31,"Process",$F$7:$F$31)</f>
        <v>20</v>
      </c>
      <c r="D38" s="127">
        <f>+C38+'29'!D38</f>
        <v>1517</v>
      </c>
      <c r="E38" s="152">
        <f t="shared" ref="E38:E51" si="0">D38/60</f>
        <v>25.283333333333335</v>
      </c>
      <c r="F38" s="338">
        <v>1650</v>
      </c>
      <c r="G38" s="338">
        <f>+F38-F38*0.16</f>
        <v>1386</v>
      </c>
      <c r="H38" s="197" t="s">
        <v>64</v>
      </c>
      <c r="I38" s="255">
        <f>19.032+20.767+18.101</f>
        <v>57.9</v>
      </c>
      <c r="J38" s="136">
        <f>+I38+'29'!J38</f>
        <v>1865.7600000000002</v>
      </c>
      <c r="K38" s="137" t="s">
        <v>63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+C39+'29'!D39</f>
        <v>0</v>
      </c>
      <c r="E39" s="152">
        <f t="shared" si="0"/>
        <v>0</v>
      </c>
      <c r="F39" s="338">
        <v>1681</v>
      </c>
      <c r="G39" s="338">
        <f>+F39-F39*0.16</f>
        <v>1412.04</v>
      </c>
      <c r="H39" s="197" t="s">
        <v>65</v>
      </c>
      <c r="I39" s="151"/>
      <c r="J39" s="138">
        <f>J37/G4</f>
        <v>66.257062886143714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+C40+'29'!D40</f>
        <v>95</v>
      </c>
      <c r="E40" s="152">
        <f t="shared" si="0"/>
        <v>1.5833333333333333</v>
      </c>
      <c r="F40" s="338">
        <v>1681</v>
      </c>
      <c r="G40" s="338">
        <f>+F40-F40*0.16</f>
        <v>1412.04</v>
      </c>
      <c r="H40" s="197" t="s">
        <v>67</v>
      </c>
      <c r="I40" s="127">
        <f>(K34+L34)/1000</f>
        <v>61.204000000000001</v>
      </c>
      <c r="J40" s="140">
        <f>+I40+'29'!J40</f>
        <v>1817.192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+C41+'29'!D41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60.573066666666669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+C42+'29'!D42</f>
        <v>0</v>
      </c>
      <c r="E42" s="152">
        <f t="shared" si="0"/>
        <v>0</v>
      </c>
      <c r="F42" s="338">
        <f>+(F38*480+F39*480+F40*480)/1440</f>
        <v>1670.6666666666667</v>
      </c>
      <c r="G42" s="338">
        <f>+(G38*480+G39*480+G40*480)/1440</f>
        <v>1403.36</v>
      </c>
      <c r="H42" s="197" t="s">
        <v>70</v>
      </c>
      <c r="I42" s="256" t="s">
        <v>790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+C43+'29'!D43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+Report1!T38</f>
        <v>120.238</v>
      </c>
      <c r="J43" s="142">
        <f>+I43+'29'!J43</f>
        <v>4165.0199999999995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+C44+'29'!D44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2.0766493955094991</v>
      </c>
      <c r="J44" s="143">
        <f>J43/J38</f>
        <v>2.232344996140982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+C45+'29'!D45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1.964544800993399</v>
      </c>
      <c r="J45" s="143">
        <f>J43/J40</f>
        <v>2.292008769574156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+C46+'29'!D46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+SUMIF(Listrik!AR37,"&gt;0")</f>
        <v>58714.940000000614</v>
      </c>
      <c r="J46" s="144">
        <f>+I46+'29'!J46</f>
        <v>1639125.2799999996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+C47+'29'!D47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1014.0749568221177</v>
      </c>
      <c r="J47" s="144">
        <f>J46/J38</f>
        <v>878.52954292084689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+C48+'29'!D48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959.3317430233418</v>
      </c>
      <c r="J48" s="144">
        <f>J46/J40</f>
        <v>902.00995822125537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+C49+'29'!D49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+I49+'29'!J49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+C50+'29'!D50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+C51+'29'!D51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20</v>
      </c>
      <c r="D52" s="153">
        <f>SUM(D38:D51)</f>
        <v>2948</v>
      </c>
      <c r="E52" s="154">
        <f>SUM(E38:E51)</f>
        <v>49.13333333333334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1.3888888888888888E-2</v>
      </c>
      <c r="D53" s="155">
        <f>D52/(24*60*G4)</f>
        <v>6.8240740740740741E-2</v>
      </c>
      <c r="E53" s="156">
        <f>E52/(G4*24)</f>
        <v>6.8240740740740755E-2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+D34+'29'!J56</f>
        <v>33051</v>
      </c>
      <c r="K56" s="211">
        <f>J56/(J40+J56/1000)/1000</f>
        <v>1.7863059068457497E-2</v>
      </c>
    </row>
    <row r="57" spans="1:11">
      <c r="A57" s="186"/>
      <c r="I57" s="209" t="s">
        <v>89</v>
      </c>
      <c r="J57" s="210">
        <f>+E34+'29'!J57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topLeftCell="A10" zoomScale="80" zoomScaleNormal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4.140625" style="158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30</v>
      </c>
      <c r="G4" s="163">
        <v>29</v>
      </c>
      <c r="H4" s="163" t="str">
        <f>+'1'!H4</f>
        <v>.06.24</v>
      </c>
    </row>
    <row r="5" spans="1:15" ht="13.5" thickBot="1">
      <c r="C5" s="164"/>
      <c r="D5" s="164"/>
    </row>
    <row r="6" spans="1:15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209+176+181</f>
        <v>566</v>
      </c>
    </row>
    <row r="7" spans="1:15" ht="13.5" customHeight="1" thickBot="1">
      <c r="A7" s="1015" t="s">
        <v>693</v>
      </c>
      <c r="B7" s="225" t="s">
        <v>774</v>
      </c>
      <c r="C7" s="226">
        <v>9642</v>
      </c>
      <c r="D7" s="227">
        <f>520+602</f>
        <v>1122</v>
      </c>
      <c r="E7" s="228"/>
      <c r="F7" s="238"/>
      <c r="G7" s="239" t="s">
        <v>12</v>
      </c>
      <c r="H7" s="240" t="s">
        <v>277</v>
      </c>
      <c r="I7" s="1018" t="s">
        <v>762</v>
      </c>
      <c r="J7" s="224" t="str">
        <f>+'28'!J7</f>
        <v>F 13,5 VP OW</v>
      </c>
      <c r="K7" s="248"/>
      <c r="L7" s="252"/>
      <c r="M7" s="126">
        <f>+K7+'28'!M7+L7</f>
        <v>97821</v>
      </c>
    </row>
    <row r="8" spans="1:15" ht="13.5" thickBot="1">
      <c r="A8" s="1016"/>
      <c r="B8" s="225" t="s">
        <v>748</v>
      </c>
      <c r="C8" s="226">
        <f>689+3307</f>
        <v>3996</v>
      </c>
      <c r="D8" s="227">
        <f>24+87</f>
        <v>111</v>
      </c>
      <c r="E8" s="229"/>
      <c r="F8" s="241">
        <v>6</v>
      </c>
      <c r="G8" s="242" t="s">
        <v>12</v>
      </c>
      <c r="H8" s="240" t="s">
        <v>720</v>
      </c>
      <c r="I8" s="1019"/>
      <c r="J8" s="224" t="str">
        <f>+'28'!J8</f>
        <v>F 13 VP OW</v>
      </c>
      <c r="K8" s="249"/>
      <c r="L8" s="249"/>
      <c r="M8" s="126">
        <f>+K8+'28'!M8+L8</f>
        <v>71398</v>
      </c>
      <c r="N8" s="158">
        <v>1650</v>
      </c>
      <c r="O8" s="158">
        <f>+N8-N8*0.24</f>
        <v>1254</v>
      </c>
    </row>
    <row r="9" spans="1:15" ht="13.5" thickBot="1">
      <c r="A9" s="1016"/>
      <c r="B9" s="225" t="s">
        <v>775</v>
      </c>
      <c r="C9" s="226">
        <v>3812</v>
      </c>
      <c r="D9" s="227">
        <v>46</v>
      </c>
      <c r="E9" s="230"/>
      <c r="F9" s="238">
        <v>10</v>
      </c>
      <c r="G9" s="242" t="s">
        <v>12</v>
      </c>
      <c r="H9" s="243" t="s">
        <v>445</v>
      </c>
      <c r="I9" s="1019"/>
      <c r="J9" s="224" t="str">
        <f>+'28'!J9</f>
        <v>MG 17 VP OW</v>
      </c>
      <c r="K9" s="249"/>
      <c r="L9" s="249"/>
      <c r="M9" s="126">
        <f>+K9+'28'!M9+L9</f>
        <v>43925</v>
      </c>
    </row>
    <row r="10" spans="1:15" ht="13.5" thickBot="1">
      <c r="A10" s="1016"/>
      <c r="B10" s="225"/>
      <c r="C10" s="226"/>
      <c r="D10" s="227"/>
      <c r="E10" s="229"/>
      <c r="F10" s="238"/>
      <c r="G10" s="242"/>
      <c r="H10" s="243" t="s">
        <v>763</v>
      </c>
      <c r="I10" s="1019"/>
      <c r="J10" s="224" t="str">
        <f>+'28'!J10</f>
        <v>MG 16,5 VP OW</v>
      </c>
      <c r="K10" s="249"/>
      <c r="L10" s="249"/>
      <c r="M10" s="126">
        <f>+K10+'28'!M10+L10</f>
        <v>226263</v>
      </c>
    </row>
    <row r="11" spans="1:15" ht="13.5" thickBot="1">
      <c r="A11" s="1016"/>
      <c r="B11" s="225"/>
      <c r="C11" s="226"/>
      <c r="D11" s="227"/>
      <c r="E11" s="229"/>
      <c r="F11" s="238"/>
      <c r="G11" s="242"/>
      <c r="H11" s="243"/>
      <c r="I11" s="1019"/>
      <c r="J11" s="224" t="str">
        <f>+'28'!J11</f>
        <v>MG 14 VP HW</v>
      </c>
      <c r="K11" s="249"/>
      <c r="L11" s="249"/>
      <c r="M11" s="126">
        <f>+K11+'28'!M11+L11</f>
        <v>160355</v>
      </c>
    </row>
    <row r="12" spans="1:15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+'28'!J12</f>
        <v>MG 17 VP HW</v>
      </c>
      <c r="K12" s="249"/>
      <c r="L12" s="249"/>
      <c r="M12" s="126">
        <f>+K12+'28'!M12+L12</f>
        <v>173331</v>
      </c>
    </row>
    <row r="13" spans="1:15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+'28'!J13</f>
        <v>MG 21 VP OW</v>
      </c>
      <c r="K13" s="249"/>
      <c r="L13" s="249"/>
      <c r="M13" s="126">
        <f>+K13+'28'!M13+L13</f>
        <v>117118</v>
      </c>
    </row>
    <row r="14" spans="1:15" ht="13.5" thickBot="1">
      <c r="A14" s="1017"/>
      <c r="B14" s="175" t="s">
        <v>2</v>
      </c>
      <c r="C14" s="108">
        <f>SUM(C7:C13)</f>
        <v>17450</v>
      </c>
      <c r="D14" s="120">
        <f>SUM(D7:D13)</f>
        <v>1279</v>
      </c>
      <c r="E14" s="121">
        <f>SUM(E5:E13)</f>
        <v>0</v>
      </c>
      <c r="F14" s="125">
        <f>SUM(F7:F13)</f>
        <v>16</v>
      </c>
      <c r="G14" s="168"/>
      <c r="H14" s="176"/>
      <c r="I14" s="177"/>
      <c r="J14" s="224" t="str">
        <f>+'28'!J14</f>
        <v>MG 22 VP HW</v>
      </c>
      <c r="K14" s="249"/>
      <c r="L14" s="249"/>
      <c r="M14" s="126">
        <f>+K14+'28'!M14+L14</f>
        <v>13084</v>
      </c>
    </row>
    <row r="15" spans="1:15" ht="13.5" customHeight="1" thickBot="1">
      <c r="A15" s="1015" t="s">
        <v>450</v>
      </c>
      <c r="B15" s="175"/>
      <c r="C15" s="122"/>
      <c r="D15" s="123"/>
      <c r="E15" s="124"/>
      <c r="F15" s="238">
        <v>10</v>
      </c>
      <c r="G15" s="239" t="s">
        <v>12</v>
      </c>
      <c r="H15" s="240" t="s">
        <v>522</v>
      </c>
      <c r="I15" s="1018" t="s">
        <v>762</v>
      </c>
      <c r="J15" s="224" t="str">
        <f>+'28'!J15</f>
        <v>MG 16 VP HW</v>
      </c>
      <c r="K15" s="249"/>
      <c r="L15" s="249"/>
      <c r="M15" s="126">
        <f>+K15+'28'!M15+L15</f>
        <v>181308</v>
      </c>
    </row>
    <row r="16" spans="1:15" ht="13.5" thickBot="1">
      <c r="A16" s="1021"/>
      <c r="B16" s="225" t="s">
        <v>774</v>
      </c>
      <c r="C16" s="232">
        <f>7904+9207</f>
        <v>17111</v>
      </c>
      <c r="D16" s="233"/>
      <c r="E16" s="234"/>
      <c r="F16" s="238">
        <v>5</v>
      </c>
      <c r="G16" s="242" t="s">
        <v>12</v>
      </c>
      <c r="H16" s="240" t="s">
        <v>567</v>
      </c>
      <c r="I16" s="1019"/>
      <c r="J16" s="224" t="str">
        <f>+'28'!J16</f>
        <v>MG 16,5 VP HW</v>
      </c>
      <c r="K16" s="239"/>
      <c r="L16" s="239"/>
      <c r="M16" s="126">
        <f>+K16+'28'!M16+L16</f>
        <v>11812</v>
      </c>
    </row>
    <row r="17" spans="1:18" ht="13.5" thickBot="1">
      <c r="A17" s="1021"/>
      <c r="B17" s="225" t="s">
        <v>775</v>
      </c>
      <c r="C17" s="226">
        <v>7214</v>
      </c>
      <c r="D17" s="227">
        <v>138</v>
      </c>
      <c r="E17" s="235"/>
      <c r="F17" s="238">
        <v>10</v>
      </c>
      <c r="G17" s="242" t="s">
        <v>12</v>
      </c>
      <c r="H17" s="243" t="s">
        <v>539</v>
      </c>
      <c r="I17" s="1019"/>
      <c r="J17" s="224" t="str">
        <f>+'28'!J17</f>
        <v>F 10,3 VP OW</v>
      </c>
      <c r="K17" s="239">
        <f>+C26</f>
        <v>14753</v>
      </c>
      <c r="L17" s="239"/>
      <c r="M17" s="126">
        <f>+K17+'28'!M17+L17</f>
        <v>314581</v>
      </c>
    </row>
    <row r="18" spans="1:18" ht="13.5" thickBot="1">
      <c r="A18" s="1021"/>
      <c r="B18" s="225"/>
      <c r="C18" s="226"/>
      <c r="D18" s="227"/>
      <c r="E18" s="235"/>
      <c r="F18" s="238"/>
      <c r="G18" s="242"/>
      <c r="H18" s="243" t="s">
        <v>763</v>
      </c>
      <c r="I18" s="1019"/>
      <c r="J18" s="224" t="str">
        <f>+'28'!J18</f>
        <v>SN 13 VP OW</v>
      </c>
      <c r="K18" s="249"/>
      <c r="L18" s="249"/>
      <c r="M18" s="126">
        <f>+K18+'28'!M18+L18</f>
        <v>118843</v>
      </c>
    </row>
    <row r="19" spans="1:18" ht="13.5" thickBot="1">
      <c r="A19" s="1021"/>
      <c r="B19" s="225"/>
      <c r="C19" s="226"/>
      <c r="D19" s="227"/>
      <c r="E19" s="235"/>
      <c r="F19" s="245"/>
      <c r="G19" s="242"/>
      <c r="H19" s="243"/>
      <c r="I19" s="1019"/>
      <c r="J19" s="224" t="str">
        <f>+'28'!J19</f>
        <v>SN 14 VP OW</v>
      </c>
      <c r="K19" s="249"/>
      <c r="L19" s="249"/>
      <c r="M19" s="126">
        <f>+K19+'28'!M19+L19</f>
        <v>51472</v>
      </c>
    </row>
    <row r="20" spans="1:18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 t="str">
        <f>+'28'!J20</f>
        <v>SN 15 VP OW</v>
      </c>
      <c r="K20" s="250">
        <f>+C8</f>
        <v>3996</v>
      </c>
      <c r="L20" s="250"/>
      <c r="M20" s="126">
        <f>+K20+'28'!M20+L20</f>
        <v>105118</v>
      </c>
    </row>
    <row r="21" spans="1:18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 t="str">
        <f>+'28'!J21</f>
        <v>SN 16 VP OW</v>
      </c>
      <c r="K21" s="249">
        <f>+C9+C17</f>
        <v>11026</v>
      </c>
      <c r="L21" s="249"/>
      <c r="M21" s="126">
        <f>+K21+'28'!M21+L21</f>
        <v>11026</v>
      </c>
    </row>
    <row r="22" spans="1:18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 t="str">
        <f>+'28'!J22</f>
        <v>F 12,5 VP OW</v>
      </c>
      <c r="K22" s="249">
        <f>+C7+C16+C25</f>
        <v>48053</v>
      </c>
      <c r="L22" s="249"/>
      <c r="M22" s="126">
        <f>+K22+'28'!M22+L22</f>
        <v>58533</v>
      </c>
    </row>
    <row r="23" spans="1:18" ht="13.5" thickBot="1">
      <c r="A23" s="1022"/>
      <c r="B23" s="178" t="s">
        <v>2</v>
      </c>
      <c r="C23" s="109">
        <f>SUM(C16:C22)</f>
        <v>24325</v>
      </c>
      <c r="D23" s="120">
        <f>SUM(D16:D22)</f>
        <v>138</v>
      </c>
      <c r="E23" s="121">
        <f>SUM(E18:E22)</f>
        <v>0</v>
      </c>
      <c r="F23" s="125">
        <f>SUM(F15:F22)</f>
        <v>25</v>
      </c>
      <c r="G23" s="168"/>
      <c r="H23" s="176" t="s">
        <v>234</v>
      </c>
      <c r="I23" s="179"/>
      <c r="J23" s="224">
        <f>+'28'!J23</f>
        <v>0</v>
      </c>
      <c r="K23" s="249"/>
      <c r="L23" s="249"/>
      <c r="M23" s="126">
        <f>+K23+'28'!M23+L23</f>
        <v>0</v>
      </c>
    </row>
    <row r="24" spans="1:18" ht="13.5" customHeight="1" thickBot="1">
      <c r="A24" s="1015" t="s">
        <v>449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777</v>
      </c>
      <c r="J24" s="224">
        <f>+'28'!J24</f>
        <v>0</v>
      </c>
      <c r="K24" s="249"/>
      <c r="L24" s="249"/>
      <c r="M24" s="126">
        <f>+K24+'28'!M24+L24</f>
        <v>0</v>
      </c>
    </row>
    <row r="25" spans="1:18" ht="13.5" customHeight="1" thickBot="1">
      <c r="A25" s="1021"/>
      <c r="B25" s="225" t="s">
        <v>774</v>
      </c>
      <c r="C25" s="236">
        <f>9824+11476</f>
        <v>21300</v>
      </c>
      <c r="D25" s="227"/>
      <c r="E25" s="235"/>
      <c r="F25" s="241">
        <v>5</v>
      </c>
      <c r="G25" s="242" t="s">
        <v>12</v>
      </c>
      <c r="H25" s="240" t="s">
        <v>482</v>
      </c>
      <c r="I25" s="1019"/>
      <c r="J25" s="224">
        <f>+'28'!J25</f>
        <v>0</v>
      </c>
      <c r="K25" s="249"/>
      <c r="L25" s="249"/>
      <c r="M25" s="126">
        <f>+K25+'28'!M25+L25</f>
        <v>0</v>
      </c>
    </row>
    <row r="26" spans="1:18" ht="13.5" customHeight="1" thickBot="1">
      <c r="A26" s="1021"/>
      <c r="B26" s="225" t="s">
        <v>669</v>
      </c>
      <c r="C26" s="236">
        <v>14753</v>
      </c>
      <c r="D26" s="227"/>
      <c r="E26" s="237"/>
      <c r="F26" s="241">
        <v>5</v>
      </c>
      <c r="G26" s="242" t="s">
        <v>12</v>
      </c>
      <c r="H26" s="243" t="s">
        <v>445</v>
      </c>
      <c r="I26" s="1019"/>
      <c r="J26" s="224">
        <f>+'28'!J26</f>
        <v>0</v>
      </c>
      <c r="K26" s="249"/>
      <c r="L26" s="249"/>
      <c r="M26" s="126">
        <f>+K26+'28'!M26+L26</f>
        <v>0</v>
      </c>
      <c r="N26" s="158">
        <v>1650</v>
      </c>
      <c r="O26" s="158">
        <f>+N26-N26*0.24</f>
        <v>1254</v>
      </c>
      <c r="P26" s="158">
        <f>60+30</f>
        <v>90</v>
      </c>
      <c r="Q26" s="158">
        <f>+N26*P26</f>
        <v>148500</v>
      </c>
      <c r="R26" s="158">
        <f>+O26*P26</f>
        <v>112860</v>
      </c>
    </row>
    <row r="27" spans="1:18" ht="13.5" customHeight="1" thickBot="1">
      <c r="A27" s="1021"/>
      <c r="B27" s="225"/>
      <c r="C27" s="226"/>
      <c r="D27" s="227"/>
      <c r="E27" s="235"/>
      <c r="F27" s="241"/>
      <c r="G27" s="242"/>
      <c r="H27" s="243" t="s">
        <v>763</v>
      </c>
      <c r="I27" s="1019"/>
      <c r="J27" s="224">
        <f>+'28'!J27</f>
        <v>0</v>
      </c>
      <c r="K27" s="249"/>
      <c r="L27" s="249"/>
      <c r="M27" s="126">
        <f>+K27+'28'!M27+L27</f>
        <v>0</v>
      </c>
      <c r="N27" s="158">
        <v>1650</v>
      </c>
      <c r="O27" s="158">
        <f>+N27-N27*0.16</f>
        <v>1386</v>
      </c>
      <c r="P27" s="158">
        <f>480-P26</f>
        <v>390</v>
      </c>
      <c r="Q27" s="158">
        <f>+N27*P27</f>
        <v>643500</v>
      </c>
      <c r="R27" s="158">
        <f>+O27*P27</f>
        <v>540540</v>
      </c>
    </row>
    <row r="28" spans="1:18" ht="13.5" thickBot="1">
      <c r="A28" s="1021"/>
      <c r="B28" s="225"/>
      <c r="C28" s="226"/>
      <c r="D28" s="227"/>
      <c r="E28" s="235"/>
      <c r="F28" s="241">
        <v>8</v>
      </c>
      <c r="G28" s="242" t="s">
        <v>12</v>
      </c>
      <c r="H28" s="243" t="s">
        <v>776</v>
      </c>
      <c r="I28" s="1019"/>
      <c r="J28" s="224">
        <f>+'28'!J28</f>
        <v>0</v>
      </c>
      <c r="K28" s="249"/>
      <c r="L28" s="249"/>
      <c r="M28" s="126">
        <f>+K28+'28'!M28+L28</f>
        <v>0</v>
      </c>
      <c r="P28" s="158">
        <f>SUM(P26:P27)</f>
        <v>480</v>
      </c>
      <c r="Q28" s="158">
        <f t="shared" ref="Q28:R28" si="0">SUM(Q26:Q27)</f>
        <v>792000</v>
      </c>
      <c r="R28" s="158">
        <f t="shared" si="0"/>
        <v>653400</v>
      </c>
    </row>
    <row r="29" spans="1:18" ht="13.5" customHeight="1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+'28'!J29</f>
        <v>0</v>
      </c>
      <c r="K29" s="249"/>
      <c r="L29" s="249"/>
      <c r="M29" s="126">
        <f>+K29+'28'!M29+L29</f>
        <v>0</v>
      </c>
      <c r="Q29" s="158">
        <f>+Q28/P28</f>
        <v>1650</v>
      </c>
      <c r="R29" s="158">
        <f>+R28/P28</f>
        <v>1361.25</v>
      </c>
    </row>
    <row r="30" spans="1:18" ht="13.5" customHeight="1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+'28'!J30</f>
        <v>0</v>
      </c>
      <c r="K30" s="249"/>
      <c r="L30" s="249"/>
      <c r="M30" s="126">
        <f>+K30+'28'!M30+L30</f>
        <v>0</v>
      </c>
      <c r="N30" s="164"/>
    </row>
    <row r="31" spans="1:18" ht="13.5" customHeight="1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+'28'!J31</f>
        <v>0</v>
      </c>
      <c r="K31" s="249"/>
      <c r="L31" s="249"/>
      <c r="M31" s="126">
        <f>+K31+'28'!M31+L31</f>
        <v>0</v>
      </c>
    </row>
    <row r="32" spans="1:18" ht="13.5" customHeight="1" thickBot="1">
      <c r="A32" s="1022"/>
      <c r="B32" s="175" t="s">
        <v>2</v>
      </c>
      <c r="C32" s="108">
        <f>SUM(C25:C31)</f>
        <v>36053</v>
      </c>
      <c r="D32" s="109">
        <f>SUM(D25:D31)</f>
        <v>0</v>
      </c>
      <c r="E32" s="110">
        <f>SUM(E25:E31)</f>
        <v>0</v>
      </c>
      <c r="F32" s="111">
        <f>SUM(F24:F31)</f>
        <v>18</v>
      </c>
      <c r="G32" s="181"/>
      <c r="H32" s="182"/>
      <c r="I32" s="179"/>
      <c r="J32" s="224">
        <f>+'28'!J32</f>
        <v>0</v>
      </c>
      <c r="K32" s="251"/>
      <c r="L32" s="253"/>
      <c r="M32" s="126">
        <f>+K32+'28'!M32+L32</f>
        <v>0</v>
      </c>
    </row>
    <row r="33" spans="1:14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77828</v>
      </c>
      <c r="D34" s="116">
        <f>D14+D23+D32</f>
        <v>1417</v>
      </c>
      <c r="E34" s="116">
        <f>E14+E23+E32</f>
        <v>0</v>
      </c>
      <c r="F34" s="117">
        <f>F14+F23+F32</f>
        <v>59</v>
      </c>
      <c r="H34" s="188"/>
      <c r="I34" s="188"/>
      <c r="J34" s="132" t="s">
        <v>28</v>
      </c>
      <c r="K34" s="133">
        <f>SUM(K7:K32)</f>
        <v>77828</v>
      </c>
      <c r="L34" s="222">
        <f>SUM(L7:L32)</f>
        <v>0</v>
      </c>
      <c r="M34" s="129">
        <f>SUM(M7:M32)</f>
        <v>1755988</v>
      </c>
      <c r="N34" s="164"/>
    </row>
    <row r="35" spans="1:14" ht="13.5" thickBot="1">
      <c r="A35" s="189"/>
      <c r="B35" s="190"/>
      <c r="C35" s="113">
        <f>C34/($C$34+$D$34+$E$34)</f>
        <v>0.98211874566218693</v>
      </c>
      <c r="D35" s="113">
        <f>D34/($C$34+$D$34+$E$34)</f>
        <v>1.788125433781311E-2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(12.5*1050+10.3*390)/1440*G42*2.77*1440/1000000</f>
        <v>61.241637765</v>
      </c>
      <c r="J37" s="134">
        <f>+I37+'28'!J37</f>
        <v>1930.0553461939112</v>
      </c>
      <c r="K37" s="135" t="s">
        <v>63</v>
      </c>
      <c r="L37" s="585">
        <f>+I38-L38</f>
        <v>41.887999999999998</v>
      </c>
    </row>
    <row r="38" spans="1:14" ht="17.45" customHeight="1">
      <c r="A38" s="1013" t="s">
        <v>12</v>
      </c>
      <c r="B38" s="1014"/>
      <c r="C38" s="173">
        <f>SUMIF($G$7:$G$31,"Process",$F$7:$F$31)</f>
        <v>59</v>
      </c>
      <c r="D38" s="127">
        <f>+C38+'28'!D38</f>
        <v>1497</v>
      </c>
      <c r="E38" s="152">
        <f t="shared" ref="E38:E51" si="1">D38/60</f>
        <v>24.95</v>
      </c>
      <c r="F38" s="338">
        <v>1650</v>
      </c>
      <c r="G38" s="338">
        <f t="shared" ref="G38:G39" si="2">+F38-F38*0.24</f>
        <v>1254</v>
      </c>
      <c r="H38" s="197" t="s">
        <v>64</v>
      </c>
      <c r="I38" s="554">
        <f>18.104+18.75+18.939</f>
        <v>55.792999999999999</v>
      </c>
      <c r="J38" s="136">
        <f>+I38+'28'!J38</f>
        <v>1807.8600000000001</v>
      </c>
      <c r="K38" s="137" t="s">
        <v>63</v>
      </c>
      <c r="L38" s="566">
        <f>18.939-2.412-2.622</f>
        <v>13.905000000000001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+C39+'28'!D39</f>
        <v>0</v>
      </c>
      <c r="E39" s="152">
        <f t="shared" si="1"/>
        <v>0</v>
      </c>
      <c r="F39" s="338">
        <v>1650</v>
      </c>
      <c r="G39" s="338">
        <f t="shared" si="2"/>
        <v>1254</v>
      </c>
      <c r="H39" s="197" t="s">
        <v>65</v>
      </c>
      <c r="I39" s="151"/>
      <c r="J39" s="138">
        <f>J37/G4</f>
        <v>66.553632627376246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+C40+'28'!D40</f>
        <v>95</v>
      </c>
      <c r="E40" s="152">
        <f t="shared" si="1"/>
        <v>1.5833333333333333</v>
      </c>
      <c r="F40" s="338">
        <v>1650</v>
      </c>
      <c r="G40" s="338">
        <v>1361.25</v>
      </c>
      <c r="H40" s="197" t="s">
        <v>67</v>
      </c>
      <c r="I40" s="127">
        <f>(K34+L34)/1000</f>
        <v>77.828000000000003</v>
      </c>
      <c r="J40" s="140">
        <f>+I40+'28'!J40</f>
        <v>1755.9880000000001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+C41+'28'!D41</f>
        <v>246</v>
      </c>
      <c r="E41" s="152">
        <f t="shared" si="1"/>
        <v>4.0999999999999996</v>
      </c>
      <c r="F41" s="338"/>
      <c r="G41" s="338"/>
      <c r="H41" s="197" t="s">
        <v>69</v>
      </c>
      <c r="I41" s="151"/>
      <c r="J41" s="138">
        <f>J40/G4</f>
        <v>60.551310344827591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+C42+'28'!D42</f>
        <v>0</v>
      </c>
      <c r="E42" s="152">
        <f t="shared" si="1"/>
        <v>0</v>
      </c>
      <c r="F42" s="338">
        <f>+(F38*480+F39*480+F40*480)/1440</f>
        <v>1650</v>
      </c>
      <c r="G42" s="338">
        <f>+(G38*480+G39*480+G40*480)/1440</f>
        <v>1289.75</v>
      </c>
      <c r="H42" s="197" t="s">
        <v>70</v>
      </c>
      <c r="I42" s="256" t="s">
        <v>778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+C43+'28'!D43</f>
        <v>0</v>
      </c>
      <c r="E43" s="152">
        <f t="shared" si="1"/>
        <v>0</v>
      </c>
      <c r="F43" s="338"/>
      <c r="G43" s="339"/>
      <c r="H43" s="198" t="s">
        <v>73</v>
      </c>
      <c r="I43" s="127">
        <f>+Report1!T37</f>
        <v>122.16300000000001</v>
      </c>
      <c r="J43" s="142">
        <f>+I43+'28'!J43</f>
        <v>4044.7819999999997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+C44+'28'!D44</f>
        <v>0</v>
      </c>
      <c r="E44" s="152">
        <f t="shared" si="1"/>
        <v>0</v>
      </c>
      <c r="F44" s="338"/>
      <c r="G44" s="339"/>
      <c r="H44" s="198" t="s">
        <v>74</v>
      </c>
      <c r="I44" s="127">
        <f>I43/I38</f>
        <v>2.1895757532306921</v>
      </c>
      <c r="J44" s="143">
        <f>J43/J38</f>
        <v>2.2373314305311247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+C45+'28'!D45</f>
        <v>0</v>
      </c>
      <c r="E45" s="152">
        <f t="shared" si="1"/>
        <v>0</v>
      </c>
      <c r="F45" s="338"/>
      <c r="G45" s="341"/>
      <c r="H45" s="198" t="s">
        <v>75</v>
      </c>
      <c r="I45" s="127">
        <f>I43/I40</f>
        <v>1.5696535951071595</v>
      </c>
      <c r="J45" s="143">
        <f>J43/J40</f>
        <v>2.3034223468497506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+C46+'28'!D46</f>
        <v>0</v>
      </c>
      <c r="E46" s="152">
        <f t="shared" si="1"/>
        <v>0</v>
      </c>
      <c r="F46" s="338"/>
      <c r="G46" s="339"/>
      <c r="H46" s="198" t="s">
        <v>77</v>
      </c>
      <c r="I46" s="149">
        <f>+SUMIF(Listrik!AR36,"&gt;0")</f>
        <v>60530.679999999818</v>
      </c>
      <c r="J46" s="144">
        <f>+I46+'28'!J46</f>
        <v>1580410.3399999989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+C47+'28'!D47</f>
        <v>0</v>
      </c>
      <c r="E47" s="152">
        <f t="shared" si="1"/>
        <v>0</v>
      </c>
      <c r="F47" s="338"/>
      <c r="G47" s="339"/>
      <c r="H47" s="198" t="s">
        <v>80</v>
      </c>
      <c r="I47" s="127">
        <f>I46/I38</f>
        <v>1084.9153119566938</v>
      </c>
      <c r="J47" s="144">
        <f>J46/J38</f>
        <v>874.18845485822953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+C48+'28'!D48</f>
        <v>0</v>
      </c>
      <c r="E48" s="152">
        <f t="shared" si="1"/>
        <v>0</v>
      </c>
      <c r="F48" s="338"/>
      <c r="G48" s="339"/>
      <c r="H48" s="198" t="s">
        <v>81</v>
      </c>
      <c r="I48" s="127">
        <f>I46/I40</f>
        <v>777.74939610422746</v>
      </c>
      <c r="J48" s="144">
        <f>J46/J40</f>
        <v>900.01203880664264</v>
      </c>
      <c r="K48" s="139" t="s">
        <v>24</v>
      </c>
    </row>
    <row r="49" spans="1:11" ht="17.45" customHeight="1">
      <c r="A49" s="1027" t="s">
        <v>20</v>
      </c>
      <c r="B49" s="1010"/>
      <c r="C49" s="173">
        <f>SUMIF($G$7:$G$31,"Others",$F$7:$F$31)</f>
        <v>0</v>
      </c>
      <c r="D49" s="127">
        <f>+C49+'28'!D49</f>
        <v>0</v>
      </c>
      <c r="E49" s="152">
        <f t="shared" si="1"/>
        <v>0</v>
      </c>
      <c r="F49" s="195"/>
      <c r="H49" s="198" t="s">
        <v>82</v>
      </c>
      <c r="I49" s="127">
        <v>0</v>
      </c>
      <c r="J49" s="144">
        <f>+I49+'28'!J49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+C50+'28'!D50</f>
        <v>0</v>
      </c>
      <c r="E50" s="152">
        <f t="shared" si="1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+C51+'28'!D51</f>
        <v>1090</v>
      </c>
      <c r="E51" s="152">
        <f t="shared" si="1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59</v>
      </c>
      <c r="D52" s="153">
        <f>SUM(D38:D51)</f>
        <v>2928</v>
      </c>
      <c r="E52" s="154">
        <f>SUM(E38:E51)</f>
        <v>48.8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4.0972222222222222E-2</v>
      </c>
      <c r="D53" s="155">
        <f>D52/(24*60*G4)</f>
        <v>7.0114942528735638E-2</v>
      </c>
      <c r="E53" s="156">
        <f>E52/(G4*24)</f>
        <v>7.0114942528735624E-2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+D34+'28'!J56</f>
        <v>32811</v>
      </c>
      <c r="K56" s="211">
        <f>J56/(J40+J56/1000)/1000</f>
        <v>1.8342474475891365E-2</v>
      </c>
    </row>
    <row r="57" spans="1:11">
      <c r="A57" s="186"/>
      <c r="I57" s="209" t="s">
        <v>89</v>
      </c>
      <c r="J57" s="210">
        <f>+E34+'28'!J57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5.42578125" style="158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30</v>
      </c>
      <c r="G4" s="163">
        <v>28</v>
      </c>
      <c r="H4" s="163" t="str">
        <f>+'1'!H4</f>
        <v>.06.24</v>
      </c>
    </row>
    <row r="5" spans="1:15" ht="13.5" thickBot="1">
      <c r="C5" s="164"/>
      <c r="D5" s="164"/>
    </row>
    <row r="6" spans="1:15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187+193+210</f>
        <v>590</v>
      </c>
    </row>
    <row r="7" spans="1:15" ht="13.5" customHeight="1" thickBot="1">
      <c r="A7" s="1015" t="s">
        <v>693</v>
      </c>
      <c r="B7" s="225" t="s">
        <v>748</v>
      </c>
      <c r="C7" s="226">
        <v>18948</v>
      </c>
      <c r="D7" s="227">
        <v>261</v>
      </c>
      <c r="E7" s="228"/>
      <c r="F7" s="238"/>
      <c r="G7" s="239" t="s">
        <v>12</v>
      </c>
      <c r="H7" s="240" t="s">
        <v>277</v>
      </c>
      <c r="I7" s="1018" t="s">
        <v>743</v>
      </c>
      <c r="J7" s="224" t="str">
        <f>+'27'!J7</f>
        <v>F 13,5 VP OW</v>
      </c>
      <c r="K7" s="248"/>
      <c r="L7" s="252"/>
      <c r="M7" s="126">
        <f>+K7+'27'!M7+L7</f>
        <v>97821</v>
      </c>
    </row>
    <row r="8" spans="1:15" ht="13.5" thickBot="1">
      <c r="A8" s="1016"/>
      <c r="B8" s="225"/>
      <c r="C8" s="226"/>
      <c r="D8" s="227"/>
      <c r="E8" s="229"/>
      <c r="F8" s="241">
        <v>3</v>
      </c>
      <c r="G8" s="242" t="s">
        <v>12</v>
      </c>
      <c r="H8" s="240" t="s">
        <v>482</v>
      </c>
      <c r="I8" s="1019"/>
      <c r="J8" s="224" t="str">
        <f>+'27'!J8</f>
        <v>F 13 VP OW</v>
      </c>
      <c r="K8" s="249"/>
      <c r="L8" s="249"/>
      <c r="M8" s="126">
        <f>+K8+'27'!M8+L8</f>
        <v>71398</v>
      </c>
      <c r="N8" s="158">
        <v>1300</v>
      </c>
      <c r="O8" s="158">
        <f>+N8-N8*0.2</f>
        <v>1040</v>
      </c>
    </row>
    <row r="9" spans="1:15" ht="13.5" thickBot="1">
      <c r="A9" s="1016"/>
      <c r="B9" s="225"/>
      <c r="C9" s="226"/>
      <c r="D9" s="227"/>
      <c r="E9" s="230"/>
      <c r="F9" s="238">
        <v>5</v>
      </c>
      <c r="G9" s="242" t="s">
        <v>12</v>
      </c>
      <c r="H9" s="243" t="s">
        <v>682</v>
      </c>
      <c r="I9" s="1019"/>
      <c r="J9" s="224" t="str">
        <f>+'27'!J9</f>
        <v>MG 17 VP OW</v>
      </c>
      <c r="K9" s="249"/>
      <c r="L9" s="249"/>
      <c r="M9" s="126">
        <f>+K9+'27'!M9+L9</f>
        <v>43925</v>
      </c>
    </row>
    <row r="10" spans="1:15" ht="13.5" thickBot="1">
      <c r="A10" s="1016"/>
      <c r="B10" s="225"/>
      <c r="C10" s="226"/>
      <c r="D10" s="227"/>
      <c r="E10" s="229"/>
      <c r="F10" s="238"/>
      <c r="G10" s="242"/>
      <c r="H10" s="243" t="s">
        <v>747</v>
      </c>
      <c r="I10" s="1019"/>
      <c r="J10" s="224" t="str">
        <f>+'27'!J10</f>
        <v>MG 16,5 VP OW</v>
      </c>
      <c r="K10" s="249"/>
      <c r="L10" s="249"/>
      <c r="M10" s="126">
        <f>+K10+'27'!M10+L10</f>
        <v>226263</v>
      </c>
    </row>
    <row r="11" spans="1:15" ht="13.5" thickBot="1">
      <c r="A11" s="1016"/>
      <c r="B11" s="225"/>
      <c r="C11" s="226"/>
      <c r="D11" s="227"/>
      <c r="E11" s="229"/>
      <c r="F11" s="238"/>
      <c r="G11" s="242"/>
      <c r="H11" s="243"/>
      <c r="I11" s="1019"/>
      <c r="J11" s="224" t="str">
        <f>+'27'!J11</f>
        <v>MG 14 VP HW</v>
      </c>
      <c r="K11" s="249"/>
      <c r="L11" s="249"/>
      <c r="M11" s="126">
        <f>+K11+'27'!M11+L11</f>
        <v>160355</v>
      </c>
    </row>
    <row r="12" spans="1:15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+'27'!J12</f>
        <v>MG 17 VP HW</v>
      </c>
      <c r="K12" s="249"/>
      <c r="L12" s="249"/>
      <c r="M12" s="126">
        <f>+K12+'27'!M12+L12</f>
        <v>173331</v>
      </c>
    </row>
    <row r="13" spans="1:15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+'27'!J13</f>
        <v>MG 21 VP OW</v>
      </c>
      <c r="K13" s="249"/>
      <c r="L13" s="249"/>
      <c r="M13" s="126">
        <f>+K13+'27'!M13+L13</f>
        <v>117118</v>
      </c>
    </row>
    <row r="14" spans="1:15" ht="13.5" thickBot="1">
      <c r="A14" s="1017"/>
      <c r="B14" s="175" t="s">
        <v>2</v>
      </c>
      <c r="C14" s="108">
        <f>SUM(C7:C13)</f>
        <v>18948</v>
      </c>
      <c r="D14" s="120">
        <f>SUM(D7:D13)</f>
        <v>261</v>
      </c>
      <c r="E14" s="121">
        <f>SUM(E5:E13)</f>
        <v>0</v>
      </c>
      <c r="F14" s="125">
        <f>SUM(F7:F13)</f>
        <v>8</v>
      </c>
      <c r="G14" s="168"/>
      <c r="H14" s="176"/>
      <c r="I14" s="177"/>
      <c r="J14" s="224" t="str">
        <f>+'27'!J14</f>
        <v>MG 22 VP HW</v>
      </c>
      <c r="K14" s="249"/>
      <c r="L14" s="249"/>
      <c r="M14" s="126">
        <f>+K14+'27'!M14+L14</f>
        <v>13084</v>
      </c>
    </row>
    <row r="15" spans="1:15" ht="13.5" customHeight="1" thickBot="1">
      <c r="A15" s="1015" t="s">
        <v>450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761</v>
      </c>
      <c r="J15" s="224" t="str">
        <f>+'27'!J15</f>
        <v>MG 16 VP HW</v>
      </c>
      <c r="K15" s="249"/>
      <c r="L15" s="249"/>
      <c r="M15" s="126">
        <f>+K15+'27'!M15+L15</f>
        <v>181308</v>
      </c>
    </row>
    <row r="16" spans="1:15" ht="13.5" thickBot="1">
      <c r="A16" s="1021"/>
      <c r="B16" s="225" t="s">
        <v>748</v>
      </c>
      <c r="C16" s="232">
        <v>19306</v>
      </c>
      <c r="D16" s="233">
        <v>710</v>
      </c>
      <c r="E16" s="234"/>
      <c r="F16" s="238">
        <v>6</v>
      </c>
      <c r="G16" s="242" t="s">
        <v>12</v>
      </c>
      <c r="H16" s="240" t="s">
        <v>482</v>
      </c>
      <c r="I16" s="1019"/>
      <c r="J16" s="224" t="str">
        <f>+'27'!J16</f>
        <v>MG 16,5 VP HW</v>
      </c>
      <c r="K16" s="239"/>
      <c r="L16" s="239"/>
      <c r="M16" s="126">
        <f>+K16+'27'!M16+L16</f>
        <v>11812</v>
      </c>
    </row>
    <row r="17" spans="1:18" ht="13.5" thickBot="1">
      <c r="A17" s="1021"/>
      <c r="B17" s="225"/>
      <c r="C17" s="226"/>
      <c r="D17" s="227"/>
      <c r="E17" s="235"/>
      <c r="F17" s="238">
        <v>7</v>
      </c>
      <c r="G17" s="242" t="s">
        <v>12</v>
      </c>
      <c r="H17" s="243" t="s">
        <v>445</v>
      </c>
      <c r="I17" s="1019"/>
      <c r="J17" s="224" t="str">
        <f>+'27'!J17</f>
        <v>F 10,3 VP OW</v>
      </c>
      <c r="K17" s="239"/>
      <c r="L17" s="239"/>
      <c r="M17" s="126">
        <f>+K17+'27'!M17+L17</f>
        <v>299828</v>
      </c>
      <c r="N17" s="158">
        <v>1300</v>
      </c>
      <c r="O17" s="158">
        <f>+N17-N17*0.2</f>
        <v>1040</v>
      </c>
      <c r="P17" s="158">
        <f>60+28</f>
        <v>88</v>
      </c>
      <c r="Q17" s="158">
        <f>+N17*P17</f>
        <v>114400</v>
      </c>
      <c r="R17" s="158">
        <f>+O17*P17</f>
        <v>91520</v>
      </c>
    </row>
    <row r="18" spans="1:18" ht="13.5" thickBot="1">
      <c r="A18" s="1021"/>
      <c r="B18" s="225"/>
      <c r="C18" s="226"/>
      <c r="D18" s="227"/>
      <c r="E18" s="235"/>
      <c r="F18" s="238"/>
      <c r="G18" s="242"/>
      <c r="H18" s="243" t="s">
        <v>747</v>
      </c>
      <c r="I18" s="1019"/>
      <c r="J18" s="224" t="str">
        <f>+'27'!J18</f>
        <v>SN 13 VP OW</v>
      </c>
      <c r="K18" s="249"/>
      <c r="L18" s="249"/>
      <c r="M18" s="126">
        <f>+K18+'27'!M18+L18</f>
        <v>118843</v>
      </c>
      <c r="N18" s="158">
        <v>1300</v>
      </c>
      <c r="O18" s="158">
        <f>+N18-N18*0.2</f>
        <v>1040</v>
      </c>
      <c r="P18" s="158">
        <f>60-28+120+21</f>
        <v>173</v>
      </c>
      <c r="Q18" s="158">
        <f>+N18*P18</f>
        <v>224900</v>
      </c>
      <c r="R18" s="158">
        <f>+O18*P18</f>
        <v>179920</v>
      </c>
    </row>
    <row r="19" spans="1:18" ht="13.5" thickBot="1">
      <c r="A19" s="1021"/>
      <c r="B19" s="225"/>
      <c r="C19" s="226"/>
      <c r="D19" s="227"/>
      <c r="E19" s="235"/>
      <c r="F19" s="245"/>
      <c r="G19" s="242"/>
      <c r="H19" s="243" t="s">
        <v>759</v>
      </c>
      <c r="I19" s="1019"/>
      <c r="J19" s="224" t="str">
        <f>+'27'!J19</f>
        <v>SN 14 VP OW</v>
      </c>
      <c r="K19" s="249"/>
      <c r="L19" s="249"/>
      <c r="M19" s="126">
        <f>+K19+'27'!M19+L19</f>
        <v>51472</v>
      </c>
      <c r="N19" s="158">
        <v>1650</v>
      </c>
      <c r="O19" s="158">
        <f>+N19-N19*0.24</f>
        <v>1254</v>
      </c>
      <c r="P19" s="158">
        <f>60-21+180</f>
        <v>219</v>
      </c>
      <c r="Q19" s="158">
        <f>+N19*P19</f>
        <v>361350</v>
      </c>
      <c r="R19" s="158">
        <f>+O19*P19</f>
        <v>274626</v>
      </c>
    </row>
    <row r="20" spans="1:18" ht="13.5" thickBot="1">
      <c r="A20" s="1021"/>
      <c r="B20" s="225"/>
      <c r="C20" s="226"/>
      <c r="D20" s="227"/>
      <c r="E20" s="235"/>
      <c r="F20" s="238"/>
      <c r="G20" s="242"/>
      <c r="H20" s="243" t="s">
        <v>760</v>
      </c>
      <c r="I20" s="1019"/>
      <c r="J20" s="224" t="str">
        <f>+'27'!J20</f>
        <v>SN 15 VP OW</v>
      </c>
      <c r="K20" s="250">
        <f>+C7+C16+C25</f>
        <v>46872</v>
      </c>
      <c r="L20" s="250"/>
      <c r="M20" s="126">
        <f>+K20+'27'!M20+L20</f>
        <v>101122</v>
      </c>
      <c r="P20" s="158">
        <f>SUM(P17:P19)</f>
        <v>480</v>
      </c>
      <c r="Q20" s="158">
        <f>SUM(Q17:Q19)</f>
        <v>700650</v>
      </c>
      <c r="R20" s="158">
        <f>SUM(R17:R19)</f>
        <v>546066</v>
      </c>
    </row>
    <row r="21" spans="1:18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 t="s">
        <v>775</v>
      </c>
      <c r="K21" s="249">
        <v>0</v>
      </c>
      <c r="L21" s="249"/>
      <c r="M21" s="126">
        <f>+K21+'27'!M21+L21</f>
        <v>0</v>
      </c>
      <c r="Q21" s="158">
        <f>+Q20/P20</f>
        <v>1459.6875</v>
      </c>
      <c r="R21" s="158">
        <f>+R20/P20</f>
        <v>1137.6375</v>
      </c>
    </row>
    <row r="22" spans="1:18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 t="s">
        <v>774</v>
      </c>
      <c r="K22" s="249">
        <f>+C26</f>
        <v>10480</v>
      </c>
      <c r="L22" s="249"/>
      <c r="M22" s="126">
        <f>+K22+'27'!M22+L22</f>
        <v>10480</v>
      </c>
    </row>
    <row r="23" spans="1:18" ht="13.5" thickBot="1">
      <c r="A23" s="1022"/>
      <c r="B23" s="178" t="s">
        <v>2</v>
      </c>
      <c r="C23" s="109">
        <f>SUM(C16:C22)</f>
        <v>19306</v>
      </c>
      <c r="D23" s="120">
        <f>SUM(D16:D22)</f>
        <v>710</v>
      </c>
      <c r="E23" s="121">
        <f>SUM(E18:E22)</f>
        <v>0</v>
      </c>
      <c r="F23" s="125">
        <f>SUM(F15:F22)</f>
        <v>13</v>
      </c>
      <c r="G23" s="168"/>
      <c r="H23" s="176" t="s">
        <v>234</v>
      </c>
      <c r="I23" s="179"/>
      <c r="J23" s="224">
        <f>+'27'!J23</f>
        <v>0</v>
      </c>
      <c r="K23" s="249"/>
      <c r="L23" s="249"/>
      <c r="M23" s="126">
        <f>+K23+'27'!M23+L23</f>
        <v>0</v>
      </c>
    </row>
    <row r="24" spans="1:18" ht="13.5" customHeight="1" thickBot="1">
      <c r="A24" s="1015" t="s">
        <v>451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762</v>
      </c>
      <c r="J24" s="224">
        <f>+'27'!J24</f>
        <v>0</v>
      </c>
      <c r="K24" s="249"/>
      <c r="L24" s="249"/>
      <c r="M24" s="126">
        <f>+K24+'27'!M24+L24</f>
        <v>0</v>
      </c>
    </row>
    <row r="25" spans="1:18" ht="13.5" customHeight="1" thickBot="1">
      <c r="A25" s="1021"/>
      <c r="B25" s="225" t="s">
        <v>748</v>
      </c>
      <c r="C25" s="236">
        <v>8618</v>
      </c>
      <c r="D25" s="227">
        <f>100+174</f>
        <v>274</v>
      </c>
      <c r="E25" s="235"/>
      <c r="F25" s="241">
        <v>4</v>
      </c>
      <c r="G25" s="242" t="s">
        <v>12</v>
      </c>
      <c r="H25" s="240" t="s">
        <v>481</v>
      </c>
      <c r="I25" s="1019"/>
      <c r="J25" s="224">
        <f>+'27'!J25</f>
        <v>0</v>
      </c>
      <c r="K25" s="249"/>
      <c r="L25" s="249"/>
      <c r="M25" s="126">
        <f>+K25+'27'!M25+L25</f>
        <v>0</v>
      </c>
    </row>
    <row r="26" spans="1:18" ht="13.5" customHeight="1" thickBot="1">
      <c r="A26" s="1021"/>
      <c r="B26" s="225" t="s">
        <v>774</v>
      </c>
      <c r="C26" s="236">
        <f>4849+5631</f>
        <v>10480</v>
      </c>
      <c r="D26" s="227">
        <v>550</v>
      </c>
      <c r="E26" s="237"/>
      <c r="F26" s="241">
        <v>10</v>
      </c>
      <c r="G26" s="242" t="s">
        <v>12</v>
      </c>
      <c r="H26" s="243" t="s">
        <v>539</v>
      </c>
      <c r="I26" s="1019"/>
      <c r="J26" s="224">
        <f>+'27'!J26</f>
        <v>0</v>
      </c>
      <c r="K26" s="249"/>
      <c r="L26" s="249"/>
      <c r="M26" s="126">
        <f>+K26+'27'!M26+L26</f>
        <v>0</v>
      </c>
    </row>
    <row r="27" spans="1:18" ht="13.5" customHeight="1" thickBot="1">
      <c r="A27" s="1021"/>
      <c r="B27" s="225"/>
      <c r="C27" s="226"/>
      <c r="D27" s="227"/>
      <c r="E27" s="235"/>
      <c r="F27" s="241"/>
      <c r="G27" s="242"/>
      <c r="H27" s="243" t="s">
        <v>763</v>
      </c>
      <c r="I27" s="1019"/>
      <c r="J27" s="224">
        <f>+'27'!J27</f>
        <v>0</v>
      </c>
      <c r="K27" s="249"/>
      <c r="L27" s="249"/>
      <c r="M27" s="126">
        <f>+K27+'27'!M27+L27</f>
        <v>0</v>
      </c>
    </row>
    <row r="28" spans="1:18" ht="13.5" customHeight="1" thickBot="1">
      <c r="A28" s="1021"/>
      <c r="B28" s="225"/>
      <c r="C28" s="226"/>
      <c r="D28" s="227"/>
      <c r="E28" s="235"/>
      <c r="F28" s="241"/>
      <c r="G28" s="242"/>
      <c r="H28" s="243"/>
      <c r="I28" s="1019"/>
      <c r="J28" s="224">
        <f>+'27'!J28</f>
        <v>0</v>
      </c>
      <c r="K28" s="249"/>
      <c r="L28" s="249"/>
      <c r="M28" s="126">
        <f>+K28+'27'!M28+L28</f>
        <v>0</v>
      </c>
    </row>
    <row r="29" spans="1:18" ht="13.5" customHeight="1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+'27'!J29</f>
        <v>0</v>
      </c>
      <c r="K29" s="249"/>
      <c r="L29" s="249"/>
      <c r="M29" s="126">
        <f>+K29+'27'!M29+L29</f>
        <v>0</v>
      </c>
    </row>
    <row r="30" spans="1:18" ht="13.5" customHeight="1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+'27'!J30</f>
        <v>0</v>
      </c>
      <c r="K30" s="249"/>
      <c r="L30" s="249"/>
      <c r="M30" s="126">
        <f>+K30+'27'!M30+L30</f>
        <v>0</v>
      </c>
      <c r="N30" s="164"/>
    </row>
    <row r="31" spans="1:18" ht="13.5" customHeight="1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+'27'!J31</f>
        <v>0</v>
      </c>
      <c r="K31" s="249"/>
      <c r="L31" s="249"/>
      <c r="M31" s="126">
        <f>+K31+'27'!M31+L31</f>
        <v>0</v>
      </c>
    </row>
    <row r="32" spans="1:18" ht="13.5" customHeight="1" thickBot="1">
      <c r="A32" s="1022"/>
      <c r="B32" s="175" t="s">
        <v>2</v>
      </c>
      <c r="C32" s="108">
        <f>SUM(C25:C31)</f>
        <v>19098</v>
      </c>
      <c r="D32" s="109">
        <f>SUM(D25:D31)</f>
        <v>824</v>
      </c>
      <c r="E32" s="110">
        <f>SUM(E25:E31)</f>
        <v>0</v>
      </c>
      <c r="F32" s="111">
        <f>SUM(F24:F31)</f>
        <v>14</v>
      </c>
      <c r="G32" s="181"/>
      <c r="H32" s="182"/>
      <c r="I32" s="179"/>
      <c r="J32" s="224">
        <f>+'27'!J32</f>
        <v>0</v>
      </c>
      <c r="K32" s="251"/>
      <c r="L32" s="253"/>
      <c r="M32" s="126">
        <f>+K32+'27'!M32+L32</f>
        <v>0</v>
      </c>
    </row>
    <row r="33" spans="1:14" ht="13.5" thickBot="1">
      <c r="A33" s="183"/>
      <c r="B33" s="184"/>
      <c r="C33" s="112">
        <f>C32/($C$32+$D$32+$E$32)</f>
        <v>0.9586386908944885</v>
      </c>
      <c r="D33" s="113">
        <f>D32/($C$32+$D$32+$E$32)</f>
        <v>4.1361309105511494E-2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57352</v>
      </c>
      <c r="D34" s="116">
        <f>D14+D23+D32</f>
        <v>1795</v>
      </c>
      <c r="E34" s="116">
        <f>E14+E23+E32</f>
        <v>0</v>
      </c>
      <c r="F34" s="117">
        <f>F14+F23+F32</f>
        <v>35</v>
      </c>
      <c r="H34" s="188"/>
      <c r="I34" s="188"/>
      <c r="J34" s="132" t="s">
        <v>28</v>
      </c>
      <c r="K34" s="133">
        <f>SUM(K7:K32)</f>
        <v>57352</v>
      </c>
      <c r="L34" s="222">
        <f>SUM(L7:L32)</f>
        <v>0</v>
      </c>
      <c r="M34" s="129">
        <f>SUM(M7:M32)</f>
        <v>1678160</v>
      </c>
      <c r="N34" s="164"/>
    </row>
    <row r="35" spans="1:14" ht="13.5" thickBot="1">
      <c r="A35" s="189"/>
      <c r="B35" s="190"/>
      <c r="C35" s="113">
        <f>C34/($C$34+$D$34+$E$34)</f>
        <v>0.96965188428829863</v>
      </c>
      <c r="D35" s="113">
        <f>D34/($C$34+$D$34+$E$34)</f>
        <v>3.0348115711701353E-2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(15*568+16*173+12.5*699)/1440*G42*2.77*1440/1000000</f>
        <v>63.451703738270837</v>
      </c>
      <c r="J37" s="134">
        <f>+I37+'27'!J37</f>
        <v>1868.8137084289112</v>
      </c>
      <c r="K37" s="135" t="s">
        <v>63</v>
      </c>
      <c r="L37" s="158">
        <f>3.726+3.888+19.46</f>
        <v>27.074000000000002</v>
      </c>
    </row>
    <row r="38" spans="1:14" ht="17.45" customHeight="1">
      <c r="A38" s="1013" t="s">
        <v>12</v>
      </c>
      <c r="B38" s="1014"/>
      <c r="C38" s="173">
        <f>SUMIF($G$7:$G$31,"Process",$F$7:$F$31)</f>
        <v>35</v>
      </c>
      <c r="D38" s="127">
        <f>+C38+'27'!D38</f>
        <v>1438</v>
      </c>
      <c r="E38" s="152">
        <f t="shared" ref="E38:E51" si="0">D38/60</f>
        <v>23.966666666666665</v>
      </c>
      <c r="F38" s="338">
        <v>1300</v>
      </c>
      <c r="G38" s="338">
        <v>1040</v>
      </c>
      <c r="H38" s="197" t="s">
        <v>64</v>
      </c>
      <c r="I38" s="554">
        <f>19.46+22.632+20.732</f>
        <v>62.823999999999998</v>
      </c>
      <c r="J38" s="136">
        <f>+I38+'27'!J38</f>
        <v>1752.0670000000002</v>
      </c>
      <c r="K38" s="137" t="s">
        <v>63</v>
      </c>
      <c r="L38" s="566">
        <f>3.888+3.888</f>
        <v>7.7759999999999998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+C39+'27'!D39</f>
        <v>0</v>
      </c>
      <c r="E39" s="152">
        <f t="shared" si="0"/>
        <v>0</v>
      </c>
      <c r="F39" s="338">
        <v>1459.6875</v>
      </c>
      <c r="G39" s="338">
        <v>1137.6375</v>
      </c>
      <c r="H39" s="197" t="s">
        <v>65</v>
      </c>
      <c r="I39" s="151"/>
      <c r="J39" s="138">
        <f>J37/G4</f>
        <v>66.743346729603971</v>
      </c>
      <c r="K39" s="139" t="s">
        <v>63</v>
      </c>
      <c r="L39" s="613">
        <f>7.242+20.732</f>
        <v>27.974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+C40+'27'!D40</f>
        <v>95</v>
      </c>
      <c r="E40" s="152">
        <f t="shared" si="0"/>
        <v>1.5833333333333333</v>
      </c>
      <c r="F40" s="338">
        <v>1650</v>
      </c>
      <c r="G40" s="338">
        <v>1254</v>
      </c>
      <c r="H40" s="197" t="s">
        <v>67</v>
      </c>
      <c r="I40" s="127">
        <f>(K34+L34)/1000</f>
        <v>57.351999999999997</v>
      </c>
      <c r="J40" s="140">
        <f>+I40+'27'!J40</f>
        <v>1678.16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+C41+'27'!D41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59.934285714285714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+C42+'27'!D42</f>
        <v>0</v>
      </c>
      <c r="E42" s="152">
        <f t="shared" si="0"/>
        <v>0</v>
      </c>
      <c r="F42" s="338">
        <f>+(F38*480+F39*480+F40*480)/1440</f>
        <v>1469.8958333333333</v>
      </c>
      <c r="G42" s="338">
        <f>+(G38*480+G39*480+G40*480)/1440</f>
        <v>1143.8791666666666</v>
      </c>
      <c r="H42" s="197" t="s">
        <v>70</v>
      </c>
      <c r="I42" s="256" t="s">
        <v>764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+C43+'27'!D43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+Report1!T36</f>
        <v>129.11500000000001</v>
      </c>
      <c r="J43" s="142">
        <f>+I43+'27'!J43</f>
        <v>3922.6189999999997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+C44+'27'!D44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2.0551859162103656</v>
      </c>
      <c r="J44" s="143">
        <f>J43/J38</f>
        <v>2.2388521671831039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+C45+'27'!D45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2.2512728414004743</v>
      </c>
      <c r="J45" s="143">
        <f>J43/J40</f>
        <v>2.3374523287410018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+C46+'27'!D46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+SUMIF(Listrik!AR35,"&gt;0")</f>
        <v>56814.600000000108</v>
      </c>
      <c r="J46" s="144">
        <f>+I46+'27'!J46</f>
        <v>1519879.6599999992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+C47+'27'!D47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904.3454730676192</v>
      </c>
      <c r="J47" s="144">
        <f>J46/J38</f>
        <v>867.47804735777743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+C48+'27'!D48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990.62979495048319</v>
      </c>
      <c r="J48" s="144">
        <f>J46/J40</f>
        <v>905.68221146970438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+C49+'27'!D49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+I49+'27'!J49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+C50+'27'!D50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+C51+'27'!D51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35</v>
      </c>
      <c r="D52" s="153">
        <f>SUM(D38:D51)</f>
        <v>2869</v>
      </c>
      <c r="E52" s="154">
        <f>SUM(E38:E51)</f>
        <v>47.816666666666663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2.4305555555555556E-2</v>
      </c>
      <c r="D53" s="155">
        <f>D52/(24*60*G4)</f>
        <v>7.1155753968253965E-2</v>
      </c>
      <c r="E53" s="156">
        <f>E52/(G4*24)</f>
        <v>7.1155753968253965E-2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+D34+'27'!J56</f>
        <v>31394</v>
      </c>
      <c r="K56" s="211">
        <f>J56/(J40+J56/1000)/1000</f>
        <v>1.8363853964250325E-2</v>
      </c>
    </row>
    <row r="57" spans="1:11">
      <c r="A57" s="186"/>
      <c r="I57" s="209" t="s">
        <v>89</v>
      </c>
      <c r="J57" s="210">
        <f>+E34+'27'!J57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topLeftCell="A7" zoomScale="80" zoomScaleNormal="80" workbookViewId="0">
      <selection activeCell="D26" sqref="D26"/>
    </sheetView>
  </sheetViews>
  <sheetFormatPr defaultColWidth="9.140625" defaultRowHeight="12.75"/>
  <cols>
    <col min="1" max="1" width="8" style="158" customWidth="1"/>
    <col min="2" max="2" width="10.7109375" style="158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8.42578125" style="158" customWidth="1"/>
    <col min="11" max="11" width="12.5703125" style="158" bestFit="1" customWidth="1"/>
    <col min="12" max="12" width="8.28515625" style="158" customWidth="1"/>
    <col min="13" max="13" width="14.28515625" style="158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30</v>
      </c>
      <c r="G4" s="163">
        <v>27</v>
      </c>
      <c r="H4" s="163" t="str">
        <f>+'1'!H4</f>
        <v>.06.24</v>
      </c>
    </row>
    <row r="5" spans="1:18" ht="13.5" thickBot="1">
      <c r="C5" s="164"/>
      <c r="D5" s="164"/>
    </row>
    <row r="6" spans="1:18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211+199+225</f>
        <v>635</v>
      </c>
    </row>
    <row r="7" spans="1:18" ht="13.5" customHeight="1" thickBot="1">
      <c r="A7" s="1015" t="s">
        <v>693</v>
      </c>
      <c r="B7" s="225" t="s">
        <v>748</v>
      </c>
      <c r="C7" s="226">
        <f>18004-C8</f>
        <v>10265</v>
      </c>
      <c r="D7" s="227">
        <v>118</v>
      </c>
      <c r="E7" s="228"/>
      <c r="F7" s="238"/>
      <c r="G7" s="239" t="s">
        <v>12</v>
      </c>
      <c r="H7" s="240" t="s">
        <v>277</v>
      </c>
      <c r="I7" s="1018" t="s">
        <v>743</v>
      </c>
      <c r="J7" s="224" t="str">
        <f>+'26'!J7</f>
        <v>F 13,5 VP OW</v>
      </c>
      <c r="K7" s="248"/>
      <c r="L7" s="252"/>
      <c r="M7" s="126">
        <f>+K7+'26'!M7+L7</f>
        <v>97821</v>
      </c>
    </row>
    <row r="8" spans="1:18" ht="13.5" thickBot="1">
      <c r="A8" s="1016"/>
      <c r="B8" s="225" t="s">
        <v>731</v>
      </c>
      <c r="C8" s="226">
        <v>7739</v>
      </c>
      <c r="D8" s="227">
        <v>173</v>
      </c>
      <c r="E8" s="229"/>
      <c r="F8" s="241">
        <v>5</v>
      </c>
      <c r="G8" s="242" t="s">
        <v>12</v>
      </c>
      <c r="H8" s="240" t="s">
        <v>482</v>
      </c>
      <c r="I8" s="1019"/>
      <c r="J8" s="224" t="str">
        <f>+'26'!J8</f>
        <v>F 13 VP OW</v>
      </c>
      <c r="K8" s="249"/>
      <c r="L8" s="249"/>
      <c r="M8" s="126">
        <f>+K8+'26'!M8+L8</f>
        <v>71398</v>
      </c>
      <c r="N8" s="158">
        <v>1300</v>
      </c>
      <c r="O8" s="158">
        <f>+N8-N8*0.2</f>
        <v>1040</v>
      </c>
      <c r="Q8" s="158">
        <f>+N8*P8</f>
        <v>0</v>
      </c>
      <c r="R8" s="158">
        <f>+O8*P8</f>
        <v>0</v>
      </c>
    </row>
    <row r="9" spans="1:18" ht="13.5" thickBot="1">
      <c r="A9" s="1016"/>
      <c r="B9" s="225"/>
      <c r="C9" s="226"/>
      <c r="D9" s="227"/>
      <c r="E9" s="230"/>
      <c r="F9" s="238">
        <v>5</v>
      </c>
      <c r="G9" s="242" t="s">
        <v>12</v>
      </c>
      <c r="H9" s="243" t="s">
        <v>682</v>
      </c>
      <c r="I9" s="1019"/>
      <c r="J9" s="224" t="str">
        <f>+'26'!J9</f>
        <v>MG 17 VP OW</v>
      </c>
      <c r="K9" s="249"/>
      <c r="L9" s="249"/>
      <c r="M9" s="126">
        <f>+K9+'26'!M9+L9</f>
        <v>43925</v>
      </c>
      <c r="Q9" s="158">
        <f>+N9*P9</f>
        <v>0</v>
      </c>
      <c r="R9" s="158">
        <f>+O9*P9</f>
        <v>0</v>
      </c>
    </row>
    <row r="10" spans="1:18" ht="13.5" thickBot="1">
      <c r="A10" s="1016"/>
      <c r="B10" s="225"/>
      <c r="C10" s="226"/>
      <c r="D10" s="227"/>
      <c r="E10" s="229"/>
      <c r="F10" s="238"/>
      <c r="G10" s="242"/>
      <c r="H10" s="243" t="s">
        <v>747</v>
      </c>
      <c r="I10" s="1019"/>
      <c r="J10" s="224" t="str">
        <f>+'26'!J10</f>
        <v>MG 16,5 VP OW</v>
      </c>
      <c r="K10" s="249"/>
      <c r="L10" s="249"/>
      <c r="M10" s="126">
        <f>+K10+'26'!M10+L10</f>
        <v>226263</v>
      </c>
      <c r="Q10" s="158">
        <f>+Q8+Q9</f>
        <v>0</v>
      </c>
      <c r="R10" s="158">
        <f>+R8+R9</f>
        <v>0</v>
      </c>
    </row>
    <row r="11" spans="1:18" ht="13.5" thickBot="1">
      <c r="A11" s="1016"/>
      <c r="B11" s="225"/>
      <c r="C11" s="226"/>
      <c r="D11" s="227"/>
      <c r="E11" s="229"/>
      <c r="F11" s="238"/>
      <c r="G11" s="242"/>
      <c r="H11" s="243"/>
      <c r="I11" s="1019"/>
      <c r="J11" s="224" t="str">
        <f>+'26'!J11</f>
        <v>MG 14 VP HW</v>
      </c>
      <c r="K11" s="249"/>
      <c r="L11" s="249"/>
      <c r="M11" s="126">
        <f>+K11+'26'!M11+L11</f>
        <v>160355</v>
      </c>
      <c r="Q11" s="158" t="e">
        <f>+Q10/P10</f>
        <v>#DIV/0!</v>
      </c>
      <c r="R11" s="158" t="e">
        <f>+R10/P10</f>
        <v>#DIV/0!</v>
      </c>
    </row>
    <row r="12" spans="1:18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+'26'!J12</f>
        <v>MG 17 VP HW</v>
      </c>
      <c r="K12" s="249"/>
      <c r="L12" s="249"/>
      <c r="M12" s="126">
        <f>+K12+'26'!M12+L12</f>
        <v>173331</v>
      </c>
    </row>
    <row r="13" spans="1:18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+'26'!J13</f>
        <v>MG 21 VP OW</v>
      </c>
      <c r="K13" s="249"/>
      <c r="L13" s="249"/>
      <c r="M13" s="126">
        <f>+K13+'26'!M13+L13</f>
        <v>117118</v>
      </c>
    </row>
    <row r="14" spans="1:18" ht="13.5" thickBot="1">
      <c r="A14" s="1017"/>
      <c r="B14" s="175" t="s">
        <v>2</v>
      </c>
      <c r="C14" s="108">
        <f>SUM(C7:C13)</f>
        <v>18004</v>
      </c>
      <c r="D14" s="120">
        <f>SUM(D7:D13)</f>
        <v>291</v>
      </c>
      <c r="E14" s="121">
        <f>SUM(E5:E13)</f>
        <v>0</v>
      </c>
      <c r="F14" s="125">
        <f>SUM(F7:F13)</f>
        <v>10</v>
      </c>
      <c r="G14" s="168"/>
      <c r="H14" s="176"/>
      <c r="I14" s="177"/>
      <c r="J14" s="224" t="str">
        <f>+'26'!J14</f>
        <v>MG 22 VP HW</v>
      </c>
      <c r="K14" s="249"/>
      <c r="L14" s="249"/>
      <c r="M14" s="126">
        <f>+K14+'26'!M14+L14</f>
        <v>13084</v>
      </c>
    </row>
    <row r="15" spans="1:18" ht="13.5" customHeight="1" thickBot="1">
      <c r="A15" s="1015" t="s">
        <v>450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743</v>
      </c>
      <c r="J15" s="224" t="str">
        <f>+'26'!J15</f>
        <v>MG 16 VP HW</v>
      </c>
      <c r="K15" s="249"/>
      <c r="L15" s="249"/>
      <c r="M15" s="126">
        <f>+K15+'26'!M15+L15</f>
        <v>181308</v>
      </c>
    </row>
    <row r="16" spans="1:18" ht="13.5" thickBot="1">
      <c r="A16" s="1021"/>
      <c r="B16" s="225" t="s">
        <v>748</v>
      </c>
      <c r="C16" s="232">
        <v>19338</v>
      </c>
      <c r="D16" s="233">
        <v>622</v>
      </c>
      <c r="E16" s="234"/>
      <c r="F16" s="238">
        <v>5</v>
      </c>
      <c r="G16" s="242" t="s">
        <v>12</v>
      </c>
      <c r="H16" s="240" t="s">
        <v>483</v>
      </c>
      <c r="I16" s="1019"/>
      <c r="J16" s="224" t="str">
        <f>+'26'!J16</f>
        <v>MG 16,5 VP HW</v>
      </c>
      <c r="K16" s="249"/>
      <c r="L16" s="239"/>
      <c r="M16" s="126">
        <f>+K16+'26'!M16+L16</f>
        <v>11812</v>
      </c>
    </row>
    <row r="17" spans="1:14" ht="13.5" thickBot="1">
      <c r="A17" s="1021"/>
      <c r="B17" s="225"/>
      <c r="C17" s="226"/>
      <c r="D17" s="227"/>
      <c r="E17" s="235"/>
      <c r="F17" s="238">
        <v>5</v>
      </c>
      <c r="G17" s="242" t="s">
        <v>12</v>
      </c>
      <c r="H17" s="243" t="s">
        <v>730</v>
      </c>
      <c r="I17" s="1019"/>
      <c r="J17" s="224" t="str">
        <f>+'26'!J17</f>
        <v>F 10,3 VP OW</v>
      </c>
      <c r="K17" s="249"/>
      <c r="L17" s="239"/>
      <c r="M17" s="126">
        <f>+K17+'26'!M17+L17</f>
        <v>299828</v>
      </c>
    </row>
    <row r="18" spans="1:14" ht="13.5" thickBot="1">
      <c r="A18" s="1021"/>
      <c r="B18" s="225"/>
      <c r="C18" s="226"/>
      <c r="D18" s="227"/>
      <c r="E18" s="235"/>
      <c r="F18" s="238"/>
      <c r="G18" s="242"/>
      <c r="H18" s="243" t="s">
        <v>747</v>
      </c>
      <c r="I18" s="1019"/>
      <c r="J18" s="224" t="str">
        <f>+'26'!J18</f>
        <v>SN 13 VP OW</v>
      </c>
      <c r="K18" s="249"/>
      <c r="L18" s="249"/>
      <c r="M18" s="126">
        <f>+K18+'26'!M18+L18</f>
        <v>118843</v>
      </c>
    </row>
    <row r="19" spans="1:14" ht="13.5" thickBot="1">
      <c r="A19" s="1021"/>
      <c r="B19" s="225"/>
      <c r="C19" s="226"/>
      <c r="D19" s="227"/>
      <c r="E19" s="235"/>
      <c r="F19" s="245"/>
      <c r="G19" s="242"/>
      <c r="H19" s="243"/>
      <c r="I19" s="1019"/>
      <c r="J19" s="224" t="str">
        <f>+'26'!J19</f>
        <v>SN 14 VP OW</v>
      </c>
      <c r="K19" s="249">
        <f>+C8</f>
        <v>7739</v>
      </c>
      <c r="L19" s="249"/>
      <c r="M19" s="126">
        <f>+K19+'26'!M19+L19</f>
        <v>51472</v>
      </c>
    </row>
    <row r="20" spans="1:14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 t="str">
        <f>+'26'!J20</f>
        <v>SN 15 VP OW</v>
      </c>
      <c r="K20" s="249">
        <f>+C7+C16+C25</f>
        <v>49134</v>
      </c>
      <c r="L20" s="250"/>
      <c r="M20" s="126">
        <f>+K20+'26'!M20+L20</f>
        <v>54250</v>
      </c>
    </row>
    <row r="21" spans="1:14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+'26'!J21</f>
        <v>0</v>
      </c>
      <c r="K21" s="249"/>
      <c r="L21" s="249"/>
      <c r="M21" s="126">
        <f>+K21+'26'!M21+L21</f>
        <v>0</v>
      </c>
    </row>
    <row r="22" spans="1:1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+'26'!J22</f>
        <v>0</v>
      </c>
      <c r="K22" s="249"/>
      <c r="L22" s="249"/>
      <c r="M22" s="126">
        <f>+K22+'26'!M22+L22</f>
        <v>0</v>
      </c>
    </row>
    <row r="23" spans="1:14" ht="13.5" thickBot="1">
      <c r="A23" s="1022"/>
      <c r="B23" s="178" t="s">
        <v>2</v>
      </c>
      <c r="C23" s="109">
        <f>SUM(C16:C22)</f>
        <v>19338</v>
      </c>
      <c r="D23" s="120">
        <f>SUM(D16:D22)</f>
        <v>622</v>
      </c>
      <c r="E23" s="121">
        <f>SUM(E18:E22)</f>
        <v>0</v>
      </c>
      <c r="F23" s="125">
        <f>SUM(F15:F22)</f>
        <v>10</v>
      </c>
      <c r="G23" s="168"/>
      <c r="H23" s="176" t="s">
        <v>234</v>
      </c>
      <c r="I23" s="179"/>
      <c r="J23" s="224">
        <f>+'26'!J23</f>
        <v>0</v>
      </c>
      <c r="K23" s="249"/>
      <c r="L23" s="249"/>
      <c r="M23" s="126">
        <f>+K23+'26'!M23+L23</f>
        <v>0</v>
      </c>
    </row>
    <row r="24" spans="1:14" ht="13.5" customHeight="1" thickBot="1">
      <c r="A24" s="1015" t="s">
        <v>451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743</v>
      </c>
      <c r="J24" s="224">
        <f>+'26'!J24</f>
        <v>0</v>
      </c>
      <c r="K24" s="249"/>
      <c r="L24" s="249"/>
      <c r="M24" s="126">
        <f>+K24+'26'!M24+L24</f>
        <v>0</v>
      </c>
    </row>
    <row r="25" spans="1:14" ht="13.5" thickBot="1">
      <c r="A25" s="1021"/>
      <c r="B25" s="225" t="s">
        <v>748</v>
      </c>
      <c r="C25" s="236">
        <v>19531</v>
      </c>
      <c r="D25" s="227">
        <v>417</v>
      </c>
      <c r="E25" s="235"/>
      <c r="F25" s="241">
        <v>4</v>
      </c>
      <c r="G25" s="242" t="s">
        <v>12</v>
      </c>
      <c r="H25" s="240" t="s">
        <v>483</v>
      </c>
      <c r="I25" s="1019"/>
      <c r="J25" s="224">
        <f>+'26'!J25</f>
        <v>0</v>
      </c>
      <c r="K25" s="249"/>
      <c r="L25" s="249"/>
      <c r="M25" s="126">
        <f>+K25+'26'!M25+L25</f>
        <v>0</v>
      </c>
    </row>
    <row r="26" spans="1:14" ht="13.5" thickBot="1">
      <c r="A26" s="1021"/>
      <c r="B26" s="225"/>
      <c r="C26" s="236"/>
      <c r="D26" s="227"/>
      <c r="E26" s="237"/>
      <c r="F26" s="241">
        <v>10</v>
      </c>
      <c r="G26" s="242" t="s">
        <v>12</v>
      </c>
      <c r="H26" s="243" t="s">
        <v>682</v>
      </c>
      <c r="I26" s="1019"/>
      <c r="J26" s="224">
        <f>+'26'!J26</f>
        <v>0</v>
      </c>
      <c r="K26" s="249"/>
      <c r="L26" s="249"/>
      <c r="M26" s="126">
        <f>+K26+'26'!M26+L26</f>
        <v>0</v>
      </c>
    </row>
    <row r="27" spans="1:14" ht="13.5" thickBot="1">
      <c r="A27" s="1021"/>
      <c r="B27" s="225"/>
      <c r="C27" s="226"/>
      <c r="D27" s="227"/>
      <c r="E27" s="235"/>
      <c r="F27" s="241"/>
      <c r="G27" s="242"/>
      <c r="H27" s="243" t="s">
        <v>747</v>
      </c>
      <c r="I27" s="1019"/>
      <c r="J27" s="224">
        <f>+'26'!J27</f>
        <v>0</v>
      </c>
      <c r="K27" s="249"/>
      <c r="L27" s="249"/>
      <c r="M27" s="126">
        <f>+K27+'26'!M27+L27</f>
        <v>0</v>
      </c>
    </row>
    <row r="28" spans="1:14" ht="13.5" thickBot="1">
      <c r="A28" s="1021"/>
      <c r="B28" s="225"/>
      <c r="C28" s="226"/>
      <c r="D28" s="227"/>
      <c r="E28" s="235"/>
      <c r="F28" s="241"/>
      <c r="G28" s="242"/>
      <c r="H28" s="243"/>
      <c r="I28" s="1019"/>
      <c r="J28" s="224">
        <f>+'26'!J28</f>
        <v>0</v>
      </c>
      <c r="K28" s="249"/>
      <c r="L28" s="249"/>
      <c r="M28" s="126">
        <f>+K28+'26'!M28+L28</f>
        <v>0</v>
      </c>
    </row>
    <row r="29" spans="1:14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+'26'!J29</f>
        <v>0</v>
      </c>
      <c r="K29" s="249"/>
      <c r="L29" s="249"/>
      <c r="M29" s="126">
        <f>+K29+'26'!M29+L29</f>
        <v>0</v>
      </c>
    </row>
    <row r="30" spans="1:1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+'26'!J30</f>
        <v>0</v>
      </c>
      <c r="K30" s="249"/>
      <c r="L30" s="249"/>
      <c r="M30" s="126">
        <f>+K30+'26'!M30+L30</f>
        <v>0</v>
      </c>
      <c r="N30" s="164"/>
    </row>
    <row r="31" spans="1:14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+'26'!J31</f>
        <v>0</v>
      </c>
      <c r="K31" s="249"/>
      <c r="L31" s="249"/>
      <c r="M31" s="126">
        <f>+K31+'26'!M31+L31</f>
        <v>0</v>
      </c>
    </row>
    <row r="32" spans="1:14" ht="13.5" thickBot="1">
      <c r="A32" s="1022"/>
      <c r="B32" s="175" t="s">
        <v>2</v>
      </c>
      <c r="C32" s="108">
        <f>SUM(C25:C31)</f>
        <v>19531</v>
      </c>
      <c r="D32" s="109">
        <f>SUM(D25:D31)</f>
        <v>417</v>
      </c>
      <c r="E32" s="110">
        <f>SUM(E25:E31)</f>
        <v>0</v>
      </c>
      <c r="F32" s="111">
        <f>SUM(F24:F31)</f>
        <v>14</v>
      </c>
      <c r="G32" s="181"/>
      <c r="H32" s="182"/>
      <c r="I32" s="179"/>
      <c r="J32" s="224">
        <f>+'26'!J32</f>
        <v>0</v>
      </c>
      <c r="K32" s="251"/>
      <c r="L32" s="253"/>
      <c r="M32" s="126">
        <f>+K32+'26'!M32+L32</f>
        <v>0</v>
      </c>
    </row>
    <row r="33" spans="1:14" ht="13.5" thickBot="1">
      <c r="A33" s="183"/>
      <c r="B33" s="184"/>
      <c r="C33" s="112">
        <f>C32/($C$32+$D$32+$E$32)</f>
        <v>0.97909564868658516</v>
      </c>
      <c r="D33" s="113">
        <f>D32/($C$32+$D$32+$E$32)</f>
        <v>2.0904351313414879E-2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56873</v>
      </c>
      <c r="D34" s="116">
        <f>D14+D23+D32</f>
        <v>1330</v>
      </c>
      <c r="E34" s="116">
        <f>E14+E23+E32</f>
        <v>0</v>
      </c>
      <c r="F34" s="117">
        <f>F14+F23+F32</f>
        <v>34</v>
      </c>
      <c r="H34" s="188"/>
      <c r="I34" s="188"/>
      <c r="J34" s="132" t="s">
        <v>28</v>
      </c>
      <c r="K34" s="133">
        <f>SUM(K7:K32)</f>
        <v>56873</v>
      </c>
      <c r="L34" s="222">
        <f>SUM(L7:L32)</f>
        <v>0</v>
      </c>
      <c r="M34" s="129">
        <f>SUM(M7:M32)</f>
        <v>1620808</v>
      </c>
      <c r="N34" s="164"/>
    </row>
    <row r="35" spans="1:14" ht="13.5" thickBot="1">
      <c r="A35" s="189"/>
      <c r="B35" s="190"/>
      <c r="C35" s="113">
        <f>C34/($C$34+$D$34+$E$34)</f>
        <v>0.97714894421249765</v>
      </c>
      <c r="D35" s="113">
        <f>D34/($C$34+$D$34+$E$34)</f>
        <v>2.2851055787502364E-2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47"/>
      <c r="G37" s="340"/>
      <c r="H37" s="196" t="s">
        <v>62</v>
      </c>
      <c r="I37" s="254">
        <f>(15*1440)/1440*G42*2.77*1440/1000000</f>
        <v>62.225279999999998</v>
      </c>
      <c r="J37" s="134">
        <f>+I37+'26'!J37</f>
        <v>1805.3620046906403</v>
      </c>
      <c r="K37" s="135" t="s">
        <v>63</v>
      </c>
    </row>
    <row r="38" spans="1:14" ht="17.45" customHeight="1">
      <c r="A38" s="1013" t="s">
        <v>12</v>
      </c>
      <c r="B38" s="1014"/>
      <c r="C38" s="173">
        <f>SUMIF($G$7:$G$31,"Process",$F$7:$F$31)</f>
        <v>34</v>
      </c>
      <c r="D38" s="127">
        <f>+C38+'26'!D38</f>
        <v>1403</v>
      </c>
      <c r="E38" s="152">
        <f t="shared" ref="E38:E51" si="0">D38/60</f>
        <v>23.383333333333333</v>
      </c>
      <c r="F38" s="338">
        <v>1300</v>
      </c>
      <c r="G38" s="338">
        <f>+F38-F38*0.2</f>
        <v>1040</v>
      </c>
      <c r="H38" s="197" t="s">
        <v>64</v>
      </c>
      <c r="I38" s="554">
        <f>21.24+18.473+19.904</f>
        <v>59.61699999999999</v>
      </c>
      <c r="J38" s="136">
        <f>+I38+'26'!J38</f>
        <v>1689.2430000000002</v>
      </c>
      <c r="K38" s="137" t="s">
        <v>63</v>
      </c>
      <c r="L38" s="566"/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+C39+'26'!D39</f>
        <v>0</v>
      </c>
      <c r="E39" s="152">
        <f t="shared" si="0"/>
        <v>0</v>
      </c>
      <c r="F39" s="338">
        <v>1300</v>
      </c>
      <c r="G39" s="338">
        <f>+F39-F39*0.2</f>
        <v>1040</v>
      </c>
      <c r="H39" s="197" t="s">
        <v>65</v>
      </c>
      <c r="I39" s="151"/>
      <c r="J39" s="138">
        <f>J37/G4</f>
        <v>66.865259432986676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+C40+'26'!D40</f>
        <v>95</v>
      </c>
      <c r="E40" s="152">
        <f t="shared" si="0"/>
        <v>1.5833333333333333</v>
      </c>
      <c r="F40" s="338">
        <v>1300</v>
      </c>
      <c r="G40" s="338">
        <f>+F40-F40*0.2</f>
        <v>1040</v>
      </c>
      <c r="H40" s="197" t="s">
        <v>67</v>
      </c>
      <c r="I40" s="127">
        <f>(K34+L34)/1000</f>
        <v>56.872999999999998</v>
      </c>
      <c r="J40" s="140">
        <f>+I40+'26'!J40</f>
        <v>1620.808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+C41+'26'!D41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60.029925925925923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+C42+'26'!D42</f>
        <v>0</v>
      </c>
      <c r="E42" s="152">
        <f t="shared" si="0"/>
        <v>0</v>
      </c>
      <c r="F42" s="338">
        <f>+(F38*480+F39*480+F40*480)/1440</f>
        <v>1300</v>
      </c>
      <c r="G42" s="338">
        <f>+(G38*480+G39*480+G40*480)/1440</f>
        <v>1040</v>
      </c>
      <c r="H42" s="197" t="s">
        <v>70</v>
      </c>
      <c r="I42" s="256" t="s">
        <v>743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+C43+'26'!D43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+Report1!T35</f>
        <v>137.05000000000001</v>
      </c>
      <c r="J43" s="142">
        <f>+I43+'26'!J43</f>
        <v>3793.5039999999995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+C44+'26'!D44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2.2988409346327394</v>
      </c>
      <c r="J44" s="143">
        <f>J43/J38</f>
        <v>2.245682829527782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+C45+'26'!D45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2.4097550683100946</v>
      </c>
      <c r="J45" s="143">
        <f>J43/J40</f>
        <v>2.3405017744236205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+C46+'26'!D46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+SUMIF(Listrik!AR34,"&gt;0")</f>
        <v>54980.620000001312</v>
      </c>
      <c r="J46" s="144">
        <f>+I46+'26'!J46</f>
        <v>1463065.0599999991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+C47+'26'!D47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922.23057181678587</v>
      </c>
      <c r="J47" s="144">
        <f>J46/J38</f>
        <v>866.10692481780245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+C48+'26'!D48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966.72621454822706</v>
      </c>
      <c r="J48" s="144">
        <f>J46/J40</f>
        <v>902.67635648392604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+C49+'26'!D49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+I49+'26'!J49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+C50+'26'!D50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+C51+'26'!D51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34</v>
      </c>
      <c r="D52" s="153">
        <f>SUM(D38:D51)</f>
        <v>2834</v>
      </c>
      <c r="E52" s="154">
        <f>SUM(E38:E51)</f>
        <v>47.233333333333334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2.361111111111111E-2</v>
      </c>
      <c r="D53" s="155">
        <f>D52/(24*60*G4)</f>
        <v>7.2890946502057616E-2</v>
      </c>
      <c r="E53" s="156">
        <f>E52/(G4*24)</f>
        <v>7.2890946502057616E-2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+D34+'26'!J56</f>
        <v>29599</v>
      </c>
      <c r="K56" s="211">
        <f>J56/(J40+J56/1000)/1000</f>
        <v>1.7934364068984198E-2</v>
      </c>
    </row>
    <row r="57" spans="1:11">
      <c r="A57" s="186"/>
      <c r="I57" s="209" t="s">
        <v>89</v>
      </c>
      <c r="J57" s="210">
        <f>+E34+'26'!J57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="80" zoomScaleNormal="80" workbookViewId="0">
      <selection activeCell="C26" sqref="C26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5.140625" style="158" bestFit="1" customWidth="1"/>
    <col min="8" max="8" width="64.85546875" style="158" customWidth="1"/>
    <col min="9" max="9" width="14.7109375" style="158" bestFit="1" customWidth="1"/>
    <col min="10" max="10" width="18.42578125" style="158" customWidth="1"/>
    <col min="11" max="11" width="14" style="158" bestFit="1" customWidth="1"/>
    <col min="12" max="12" width="8.28515625" style="158" customWidth="1"/>
    <col min="13" max="13" width="17.140625" style="158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30</v>
      </c>
      <c r="G4" s="163">
        <v>26</v>
      </c>
      <c r="H4" s="163" t="str">
        <f>+'1'!H4</f>
        <v>.06.24</v>
      </c>
    </row>
    <row r="5" spans="1:18" ht="13.5" thickBot="1">
      <c r="C5" s="164"/>
      <c r="D5" s="164"/>
    </row>
    <row r="6" spans="1:18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195+205+184</f>
        <v>584</v>
      </c>
    </row>
    <row r="7" spans="1:18" ht="13.5" customHeight="1" thickBot="1">
      <c r="A7" s="1015" t="s">
        <v>449</v>
      </c>
      <c r="B7" s="225" t="s">
        <v>731</v>
      </c>
      <c r="C7" s="226">
        <f>2263+7820</f>
        <v>10083</v>
      </c>
      <c r="D7" s="227">
        <f>30+369</f>
        <v>399</v>
      </c>
      <c r="E7" s="228"/>
      <c r="F7" s="238"/>
      <c r="G7" s="239" t="s">
        <v>12</v>
      </c>
      <c r="H7" s="240" t="s">
        <v>277</v>
      </c>
      <c r="I7" s="1018" t="s">
        <v>743</v>
      </c>
      <c r="J7" s="224" t="str">
        <f>+'25'!J7</f>
        <v>F 13,5 VP OW</v>
      </c>
      <c r="K7" s="248"/>
      <c r="L7" s="252"/>
      <c r="M7" s="126">
        <f>+K7+'25'!M7+L7</f>
        <v>97821</v>
      </c>
    </row>
    <row r="8" spans="1:18" ht="13.5" thickBot="1">
      <c r="A8" s="1016"/>
      <c r="B8" s="225" t="s">
        <v>729</v>
      </c>
      <c r="C8" s="226">
        <f>3557+1391</f>
        <v>4948</v>
      </c>
      <c r="D8" s="227">
        <f>534+82</f>
        <v>616</v>
      </c>
      <c r="E8" s="229"/>
      <c r="F8" s="241">
        <v>3</v>
      </c>
      <c r="G8" s="242" t="s">
        <v>12</v>
      </c>
      <c r="H8" s="240" t="s">
        <v>481</v>
      </c>
      <c r="I8" s="1019"/>
      <c r="J8" s="224" t="str">
        <f>+'25'!J8</f>
        <v>F 13 VP OW</v>
      </c>
      <c r="K8" s="249"/>
      <c r="L8" s="249"/>
      <c r="M8" s="126">
        <f>+K8+'25'!M8+L8</f>
        <v>71398</v>
      </c>
      <c r="N8" s="158">
        <v>1300</v>
      </c>
      <c r="O8" s="158">
        <f>+N8-N8*0.2</f>
        <v>1040</v>
      </c>
      <c r="P8" s="158">
        <f>480+180+58</f>
        <v>718</v>
      </c>
      <c r="Q8" s="158">
        <f>+N8*P8</f>
        <v>933400</v>
      </c>
      <c r="R8" s="158">
        <f>+O8*P8</f>
        <v>746720</v>
      </c>
    </row>
    <row r="9" spans="1:18" ht="13.5" thickBot="1">
      <c r="A9" s="1016"/>
      <c r="B9" s="225"/>
      <c r="C9" s="226"/>
      <c r="D9" s="227"/>
      <c r="E9" s="230"/>
      <c r="F9" s="238">
        <v>8</v>
      </c>
      <c r="G9" s="242" t="s">
        <v>12</v>
      </c>
      <c r="H9" s="243" t="s">
        <v>682</v>
      </c>
      <c r="I9" s="1019"/>
      <c r="J9" s="224" t="str">
        <f>+'25'!J9</f>
        <v>MG 17 VP OW</v>
      </c>
      <c r="K9" s="249"/>
      <c r="L9" s="249"/>
      <c r="M9" s="126">
        <f>+K9+'25'!M9+L9</f>
        <v>43925</v>
      </c>
      <c r="N9" s="158">
        <v>1300</v>
      </c>
      <c r="O9" s="158">
        <f>+N9-N9*0.2</f>
        <v>1040</v>
      </c>
      <c r="P9" s="158">
        <f>2+240+480</f>
        <v>722</v>
      </c>
      <c r="Q9" s="158">
        <f>+N9*P9</f>
        <v>938600</v>
      </c>
      <c r="R9" s="158">
        <f>+O9*P9</f>
        <v>750880</v>
      </c>
    </row>
    <row r="10" spans="1:18" ht="13.5" thickBot="1">
      <c r="A10" s="1016"/>
      <c r="B10" s="225"/>
      <c r="C10" s="226"/>
      <c r="D10" s="227"/>
      <c r="E10" s="229"/>
      <c r="F10" s="238"/>
      <c r="G10" s="242"/>
      <c r="H10" s="243" t="s">
        <v>745</v>
      </c>
      <c r="I10" s="1019"/>
      <c r="J10" s="224" t="str">
        <f>+'25'!J10</f>
        <v>MG 16,5 VP OW</v>
      </c>
      <c r="K10" s="249"/>
      <c r="L10" s="249"/>
      <c r="M10" s="126">
        <f>+K10+'25'!M10+L10</f>
        <v>226263</v>
      </c>
      <c r="P10" s="158">
        <f>SUM(P8:P9)</f>
        <v>1440</v>
      </c>
      <c r="Q10" s="158">
        <f>SUM(Q8:Q9)</f>
        <v>1872000</v>
      </c>
      <c r="R10" s="158">
        <f>SUM(R8:R9)</f>
        <v>1497600</v>
      </c>
    </row>
    <row r="11" spans="1:18" ht="13.5" thickBot="1">
      <c r="A11" s="1016"/>
      <c r="B11" s="225"/>
      <c r="C11" s="226"/>
      <c r="D11" s="227"/>
      <c r="E11" s="229"/>
      <c r="F11" s="238"/>
      <c r="G11" s="242"/>
      <c r="H11" s="243"/>
      <c r="I11" s="1019"/>
      <c r="J11" s="224" t="str">
        <f>+'25'!J11</f>
        <v>MG 14 VP HW</v>
      </c>
      <c r="K11" s="249"/>
      <c r="L11" s="249"/>
      <c r="M11" s="126">
        <f>+K11+'25'!M11+L11</f>
        <v>160355</v>
      </c>
      <c r="Q11" s="158">
        <f>+Q10/P10</f>
        <v>1300</v>
      </c>
      <c r="R11" s="158">
        <f>+R10/P10</f>
        <v>1040</v>
      </c>
    </row>
    <row r="12" spans="1:18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+'25'!J12</f>
        <v>MG 17 VP HW</v>
      </c>
      <c r="K12" s="249"/>
      <c r="L12" s="249"/>
      <c r="M12" s="126">
        <f>+K12+'25'!M12+L12</f>
        <v>173331</v>
      </c>
    </row>
    <row r="13" spans="1:18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+'25'!J13</f>
        <v>MG 21 VP OW</v>
      </c>
      <c r="K13" s="249"/>
      <c r="L13" s="249"/>
      <c r="M13" s="126">
        <f>+K13+'25'!M13+L13</f>
        <v>117118</v>
      </c>
    </row>
    <row r="14" spans="1:18" ht="13.5" thickBot="1">
      <c r="A14" s="1017"/>
      <c r="B14" s="175" t="s">
        <v>2</v>
      </c>
      <c r="C14" s="108">
        <f>SUM(C7:C13)</f>
        <v>15031</v>
      </c>
      <c r="D14" s="120">
        <f>SUM(D7:D13)</f>
        <v>1015</v>
      </c>
      <c r="E14" s="121">
        <f>SUM(E5:E13)</f>
        <v>0</v>
      </c>
      <c r="F14" s="125">
        <f>SUM(F7:F13)</f>
        <v>11</v>
      </c>
      <c r="G14" s="168"/>
      <c r="H14" s="176"/>
      <c r="I14" s="177"/>
      <c r="J14" s="224" t="str">
        <f>+'25'!J14</f>
        <v>MG 22 VP HW</v>
      </c>
      <c r="K14" s="249"/>
      <c r="L14" s="249"/>
      <c r="M14" s="126">
        <f>+K14+'25'!M14+L14</f>
        <v>13084</v>
      </c>
    </row>
    <row r="15" spans="1:18" ht="13.5" customHeight="1" thickBot="1">
      <c r="A15" s="1015" t="s">
        <v>450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743</v>
      </c>
      <c r="J15" s="224" t="str">
        <f>+'25'!J15</f>
        <v>MG 16 VP HW</v>
      </c>
      <c r="K15" s="249"/>
      <c r="L15" s="249"/>
      <c r="M15" s="126">
        <f>+K15+'25'!M15+L15</f>
        <v>181308</v>
      </c>
    </row>
    <row r="16" spans="1:18" ht="13.5" thickBot="1">
      <c r="A16" s="1021"/>
      <c r="B16" s="225" t="s">
        <v>731</v>
      </c>
      <c r="C16" s="232">
        <v>16756</v>
      </c>
      <c r="D16" s="233">
        <v>461</v>
      </c>
      <c r="E16" s="234"/>
      <c r="F16" s="238">
        <v>6</v>
      </c>
      <c r="G16" s="242" t="s">
        <v>12</v>
      </c>
      <c r="H16" s="240" t="s">
        <v>482</v>
      </c>
      <c r="I16" s="1019"/>
      <c r="J16" s="224" t="str">
        <f>+'25'!J16</f>
        <v>MG 16,5 VP HW</v>
      </c>
      <c r="K16" s="249"/>
      <c r="L16" s="239"/>
      <c r="M16" s="126">
        <f>+K16+'25'!M16+L16</f>
        <v>11812</v>
      </c>
    </row>
    <row r="17" spans="1:14" ht="13.5" thickBot="1">
      <c r="A17" s="1021"/>
      <c r="B17" s="225"/>
      <c r="C17" s="226"/>
      <c r="D17" s="227"/>
      <c r="E17" s="235"/>
      <c r="F17" s="238">
        <v>6</v>
      </c>
      <c r="G17" s="242" t="s">
        <v>12</v>
      </c>
      <c r="H17" s="243" t="s">
        <v>445</v>
      </c>
      <c r="I17" s="1019"/>
      <c r="J17" s="224" t="str">
        <f>+'25'!J17</f>
        <v>F 10,3 VP OW</v>
      </c>
      <c r="K17" s="249"/>
      <c r="L17" s="239"/>
      <c r="M17" s="126">
        <f>+K17+'25'!M17+L17</f>
        <v>299828</v>
      </c>
    </row>
    <row r="18" spans="1:14" ht="13.5" thickBot="1">
      <c r="A18" s="1021"/>
      <c r="B18" s="225"/>
      <c r="C18" s="226"/>
      <c r="D18" s="227"/>
      <c r="E18" s="235"/>
      <c r="F18" s="238"/>
      <c r="G18" s="242"/>
      <c r="H18" s="243" t="s">
        <v>745</v>
      </c>
      <c r="I18" s="1019"/>
      <c r="J18" s="224" t="str">
        <f>+'25'!J18</f>
        <v>SN 13 VP OW</v>
      </c>
      <c r="K18" s="249">
        <f>+C8</f>
        <v>4948</v>
      </c>
      <c r="L18" s="249"/>
      <c r="M18" s="126">
        <f>+K18+'25'!M18+L18</f>
        <v>118843</v>
      </c>
    </row>
    <row r="19" spans="1:14" ht="13.5" thickBot="1">
      <c r="A19" s="1021"/>
      <c r="B19" s="225"/>
      <c r="C19" s="226"/>
      <c r="D19" s="227"/>
      <c r="E19" s="235"/>
      <c r="F19" s="245"/>
      <c r="G19" s="242"/>
      <c r="H19" s="243" t="s">
        <v>746</v>
      </c>
      <c r="I19" s="1019"/>
      <c r="J19" s="224" t="str">
        <f>+'25'!J19</f>
        <v>SN 14 VP OW</v>
      </c>
      <c r="K19" s="249">
        <f>+C7+C16+C25</f>
        <v>39264</v>
      </c>
      <c r="L19" s="249"/>
      <c r="M19" s="126">
        <f>+K19+'25'!M19+L19</f>
        <v>43733</v>
      </c>
    </row>
    <row r="20" spans="1:14" ht="13.5" customHeight="1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 t="s">
        <v>748</v>
      </c>
      <c r="K20" s="249">
        <f>+C26</f>
        <v>5116</v>
      </c>
      <c r="L20" s="250"/>
      <c r="M20" s="126">
        <f>+K20+'25'!M20+L20</f>
        <v>5116</v>
      </c>
    </row>
    <row r="21" spans="1:14" ht="13.5" customHeight="1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+'25'!J21</f>
        <v>0</v>
      </c>
      <c r="K21" s="249"/>
      <c r="L21" s="249"/>
      <c r="M21" s="126">
        <f>+K21+'25'!M21+L21</f>
        <v>0</v>
      </c>
    </row>
    <row r="22" spans="1:1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+'25'!J22</f>
        <v>0</v>
      </c>
      <c r="K22" s="249"/>
      <c r="L22" s="249"/>
      <c r="M22" s="126">
        <f>+K22+'25'!M22+L22</f>
        <v>0</v>
      </c>
    </row>
    <row r="23" spans="1:14" ht="13.5" thickBot="1">
      <c r="A23" s="1022"/>
      <c r="B23" s="178" t="s">
        <v>2</v>
      </c>
      <c r="C23" s="109">
        <f>SUM(C16:C22)</f>
        <v>16756</v>
      </c>
      <c r="D23" s="120">
        <f>SUM(D16:D22)</f>
        <v>461</v>
      </c>
      <c r="E23" s="121">
        <f>SUM(E18:E22)</f>
        <v>0</v>
      </c>
      <c r="F23" s="125">
        <f>SUM(F15:F22)</f>
        <v>12</v>
      </c>
      <c r="G23" s="168"/>
      <c r="H23" s="176" t="s">
        <v>234</v>
      </c>
      <c r="I23" s="179"/>
      <c r="J23" s="224">
        <f>+'25'!J23</f>
        <v>0</v>
      </c>
      <c r="K23" s="249"/>
      <c r="L23" s="249"/>
      <c r="M23" s="126">
        <f>+K23+'25'!M23+L23</f>
        <v>0</v>
      </c>
    </row>
    <row r="24" spans="1:14" ht="13.5" customHeight="1" thickBot="1">
      <c r="A24" s="1015" t="s">
        <v>451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743</v>
      </c>
      <c r="J24" s="224">
        <f>+'25'!J24</f>
        <v>0</v>
      </c>
      <c r="K24" s="249"/>
      <c r="L24" s="249"/>
      <c r="M24" s="126">
        <f>+K24+'25'!M24+L24</f>
        <v>0</v>
      </c>
    </row>
    <row r="25" spans="1:14" ht="13.5" thickBot="1">
      <c r="A25" s="1021"/>
      <c r="B25" s="225" t="s">
        <v>731</v>
      </c>
      <c r="C25" s="236">
        <v>12425</v>
      </c>
      <c r="D25" s="227"/>
      <c r="E25" s="235"/>
      <c r="F25" s="241">
        <v>3</v>
      </c>
      <c r="G25" s="242" t="s">
        <v>12</v>
      </c>
      <c r="H25" s="240" t="s">
        <v>482</v>
      </c>
      <c r="I25" s="1019"/>
      <c r="J25" s="224">
        <f>+'25'!J25</f>
        <v>0</v>
      </c>
      <c r="K25" s="249"/>
      <c r="L25" s="249"/>
      <c r="M25" s="126">
        <f>+K25+'25'!M25+L25</f>
        <v>0</v>
      </c>
    </row>
    <row r="26" spans="1:14" ht="13.5" thickBot="1">
      <c r="A26" s="1021"/>
      <c r="B26" s="225" t="s">
        <v>748</v>
      </c>
      <c r="C26" s="236">
        <f>490+1594+3032</f>
        <v>5116</v>
      </c>
      <c r="D26" s="227">
        <v>114</v>
      </c>
      <c r="E26" s="237"/>
      <c r="F26" s="241">
        <v>4</v>
      </c>
      <c r="G26" s="242" t="s">
        <v>12</v>
      </c>
      <c r="H26" s="243" t="s">
        <v>682</v>
      </c>
      <c r="I26" s="1019"/>
      <c r="J26" s="224">
        <f>+'25'!J26</f>
        <v>0</v>
      </c>
      <c r="K26" s="249"/>
      <c r="L26" s="249"/>
      <c r="M26" s="126">
        <f>+K26+'25'!M26+L26</f>
        <v>0</v>
      </c>
    </row>
    <row r="27" spans="1:14" ht="13.5" thickBot="1">
      <c r="A27" s="1021"/>
      <c r="B27" s="225"/>
      <c r="C27" s="226"/>
      <c r="D27" s="227"/>
      <c r="E27" s="235"/>
      <c r="F27" s="241"/>
      <c r="G27" s="242"/>
      <c r="H27" s="243" t="s">
        <v>747</v>
      </c>
      <c r="I27" s="1019"/>
      <c r="J27" s="224">
        <f>+'25'!J27</f>
        <v>0</v>
      </c>
      <c r="K27" s="249"/>
      <c r="L27" s="249"/>
      <c r="M27" s="126">
        <f>+K27+'25'!M27+L27</f>
        <v>0</v>
      </c>
    </row>
    <row r="28" spans="1:14" ht="13.5" thickBot="1">
      <c r="A28" s="1021"/>
      <c r="B28" s="225"/>
      <c r="C28" s="226"/>
      <c r="D28" s="227"/>
      <c r="E28" s="235"/>
      <c r="F28" s="241"/>
      <c r="G28" s="242"/>
      <c r="H28" s="243"/>
      <c r="I28" s="1019"/>
      <c r="J28" s="224">
        <f>+'25'!J28</f>
        <v>0</v>
      </c>
      <c r="K28" s="249"/>
      <c r="L28" s="249"/>
      <c r="M28" s="126">
        <f>+K28+'25'!M28+L28</f>
        <v>0</v>
      </c>
    </row>
    <row r="29" spans="1:14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+'25'!J29</f>
        <v>0</v>
      </c>
      <c r="K29" s="249"/>
      <c r="L29" s="249"/>
      <c r="M29" s="126">
        <f>+K29+'25'!M29+L29</f>
        <v>0</v>
      </c>
    </row>
    <row r="30" spans="1:1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+'25'!J30</f>
        <v>0</v>
      </c>
      <c r="K30" s="249"/>
      <c r="L30" s="249"/>
      <c r="M30" s="126">
        <f>+K30+'25'!M30+L30</f>
        <v>0</v>
      </c>
      <c r="N30" s="164"/>
    </row>
    <row r="31" spans="1:14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+'25'!J31</f>
        <v>0</v>
      </c>
      <c r="K31" s="249"/>
      <c r="L31" s="249"/>
      <c r="M31" s="126">
        <f>+K31+'25'!M31+L31</f>
        <v>0</v>
      </c>
    </row>
    <row r="32" spans="1:14" ht="13.5" thickBot="1">
      <c r="A32" s="1022"/>
      <c r="B32" s="175" t="s">
        <v>2</v>
      </c>
      <c r="C32" s="108">
        <f>SUM(C25:C31)</f>
        <v>17541</v>
      </c>
      <c r="D32" s="109">
        <f>SUM(D25:D31)</f>
        <v>114</v>
      </c>
      <c r="E32" s="110">
        <f>SUM(E25:E31)</f>
        <v>0</v>
      </c>
      <c r="F32" s="111">
        <f>SUM(F24:F31)</f>
        <v>7</v>
      </c>
      <c r="G32" s="181"/>
      <c r="H32" s="182"/>
      <c r="I32" s="179"/>
      <c r="J32" s="224">
        <f>+'25'!J32</f>
        <v>0</v>
      </c>
      <c r="K32" s="251"/>
      <c r="L32" s="253"/>
      <c r="M32" s="126">
        <f>+K32+'25'!M32+L32</f>
        <v>0</v>
      </c>
    </row>
    <row r="33" spans="1:14" ht="13.5" thickBot="1">
      <c r="A33" s="183"/>
      <c r="B33" s="184"/>
      <c r="C33" s="112">
        <f>C32/($C$32+$D$32+$E$32)</f>
        <v>0.99354290569243842</v>
      </c>
      <c r="D33" s="113">
        <f>D32/($C$32+$D$32+$E$32)</f>
        <v>6.4570943075615969E-3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49328</v>
      </c>
      <c r="D34" s="116">
        <f>D14+D23+D32</f>
        <v>1590</v>
      </c>
      <c r="E34" s="116">
        <f>E14+E23+E32</f>
        <v>0</v>
      </c>
      <c r="F34" s="117">
        <f>F14+F23+F32</f>
        <v>30</v>
      </c>
      <c r="H34" s="188"/>
      <c r="I34" s="188"/>
      <c r="J34" s="132" t="s">
        <v>28</v>
      </c>
      <c r="K34" s="133">
        <f>SUM(K7:K32)</f>
        <v>49328</v>
      </c>
      <c r="L34" s="222">
        <f>SUM(L7:L32)</f>
        <v>0</v>
      </c>
      <c r="M34" s="129">
        <f>SUM(M7:M32)</f>
        <v>1563935</v>
      </c>
      <c r="N34" s="164"/>
    </row>
    <row r="35" spans="1:14" ht="13.5" thickBot="1">
      <c r="A35" s="189"/>
      <c r="B35" s="190"/>
      <c r="C35" s="113">
        <f>C34/($C$34+$D$34+$E$34)</f>
        <v>0.96877332181154008</v>
      </c>
      <c r="D35" s="113">
        <f>D34/($C$34+$D$34+$E$34)</f>
        <v>3.1226678188459877E-2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(14*1440)/1440*G42*2.77*1440/1000000</f>
        <v>58.076927999999995</v>
      </c>
      <c r="J37" s="134">
        <f>+I37+'25'!J37</f>
        <v>1743.1367246906404</v>
      </c>
      <c r="K37" s="135" t="s">
        <v>63</v>
      </c>
      <c r="L37" s="566">
        <f>+I38-L38</f>
        <v>30.599999999999994</v>
      </c>
    </row>
    <row r="38" spans="1:14" ht="17.45" customHeight="1">
      <c r="A38" s="1013" t="s">
        <v>12</v>
      </c>
      <c r="B38" s="1014"/>
      <c r="C38" s="173">
        <f>SUMIF($G$7:$G$31,"Process",$F$7:$F$31)</f>
        <v>30</v>
      </c>
      <c r="D38" s="127">
        <f>+C38+'25'!D38</f>
        <v>1369</v>
      </c>
      <c r="E38" s="152">
        <f t="shared" ref="E38:E51" si="0">D38/60</f>
        <v>22.816666666666666</v>
      </c>
      <c r="F38" s="338">
        <v>1300</v>
      </c>
      <c r="G38" s="338">
        <f>+F38-F38*0.2</f>
        <v>1040</v>
      </c>
      <c r="H38" s="197" t="s">
        <v>64</v>
      </c>
      <c r="I38" s="554">
        <f>18.953+18.288+20.77</f>
        <v>58.010999999999996</v>
      </c>
      <c r="J38" s="136">
        <f>+I38+'25'!J38</f>
        <v>1629.6260000000002</v>
      </c>
      <c r="K38" s="137" t="s">
        <v>63</v>
      </c>
      <c r="L38" s="158">
        <f>3.199+3.442+20.77</f>
        <v>27.411000000000001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+C39+'25'!D39</f>
        <v>0</v>
      </c>
      <c r="E39" s="152">
        <f t="shared" si="0"/>
        <v>0</v>
      </c>
      <c r="F39" s="338">
        <v>1300</v>
      </c>
      <c r="G39" s="338">
        <f>+F39-F39*0.2</f>
        <v>1040</v>
      </c>
      <c r="H39" s="197" t="s">
        <v>65</v>
      </c>
      <c r="I39" s="151"/>
      <c r="J39" s="138">
        <f>J37/G4</f>
        <v>67.043720180409252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+C40+'25'!D40</f>
        <v>95</v>
      </c>
      <c r="E40" s="152">
        <f t="shared" si="0"/>
        <v>1.5833333333333333</v>
      </c>
      <c r="F40" s="338">
        <v>1300</v>
      </c>
      <c r="G40" s="338">
        <f>+F40-F40*0.2</f>
        <v>1040</v>
      </c>
      <c r="H40" s="197" t="s">
        <v>67</v>
      </c>
      <c r="I40" s="127">
        <f>(K34+L34)/1000</f>
        <v>49.328000000000003</v>
      </c>
      <c r="J40" s="140">
        <f>+I40+'25'!J40</f>
        <v>1563.9349999999999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+C41+'25'!D41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60.151346153846148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+C42+'25'!D42</f>
        <v>0</v>
      </c>
      <c r="E42" s="152">
        <f t="shared" si="0"/>
        <v>0</v>
      </c>
      <c r="F42" s="338">
        <f>+(F38*480+F39*480+F40*480)/1440</f>
        <v>1300</v>
      </c>
      <c r="G42" s="338">
        <f>+(G38*480+G39*480+G40*480)/1440</f>
        <v>1040</v>
      </c>
      <c r="H42" s="197" t="s">
        <v>70</v>
      </c>
      <c r="I42" s="256" t="s">
        <v>743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+C43+'25'!D43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+Report1!T34</f>
        <v>134.86799999999999</v>
      </c>
      <c r="J43" s="142">
        <f>+I43+'25'!J43</f>
        <v>3656.4539999999993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+C44+'25'!D44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2.324869421316647</v>
      </c>
      <c r="J44" s="143">
        <f>J43/J38</f>
        <v>2.2437381337803881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+C45+'25'!D45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2.7341063898799867</v>
      </c>
      <c r="J45" s="143">
        <f>J43/J40</f>
        <v>2.3379833560857706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+C46+'25'!D46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+SUMIF(Listrik!AR33,"&gt;0")</f>
        <v>58973.059999998324</v>
      </c>
      <c r="J46" s="144">
        <f>+I46+'25'!J46</f>
        <v>1408084.4399999978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+C47+'25'!D47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1016.5840961196726</v>
      </c>
      <c r="J47" s="144">
        <f>J46/J38</f>
        <v>864.05373993787384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+C48+'25'!D48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1195.5291112552368</v>
      </c>
      <c r="J48" s="144">
        <f>J46/J40</f>
        <v>900.34716276571464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+C49+'25'!D49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+I49+'25'!J49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+C50+'25'!D50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+C51+'25'!D51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30</v>
      </c>
      <c r="D52" s="153">
        <f>SUM(D38:D51)</f>
        <v>2800</v>
      </c>
      <c r="E52" s="154">
        <f>SUM(E38:E51)</f>
        <v>46.666666666666671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2.0833333333333332E-2</v>
      </c>
      <c r="D53" s="155">
        <f>D52/(24*60*G4)</f>
        <v>7.4786324786324784E-2</v>
      </c>
      <c r="E53" s="156">
        <f>E52/(G4*24)</f>
        <v>7.4786324786324798E-2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+D34+'25'!J56</f>
        <v>28269</v>
      </c>
      <c r="K56" s="211">
        <f>J56/(J40+J56/1000)/1000</f>
        <v>1.7754634456388755E-2</v>
      </c>
    </row>
    <row r="57" spans="1:11">
      <c r="A57" s="186"/>
      <c r="I57" s="209" t="s">
        <v>89</v>
      </c>
      <c r="J57" s="210">
        <f>+E34+'25'!J57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zoomScale="80" zoomScaleNormal="80" workbookViewId="0">
      <selection activeCell="I24" sqref="I24:I31"/>
    </sheetView>
  </sheetViews>
  <sheetFormatPr defaultColWidth="9.140625" defaultRowHeight="12.75"/>
  <cols>
    <col min="1" max="1" width="8" style="158" customWidth="1"/>
    <col min="2" max="2" width="8.28515625" style="158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4.42578125" style="158" bestFit="1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30</v>
      </c>
      <c r="G4" s="163">
        <v>25</v>
      </c>
      <c r="H4" s="163" t="str">
        <f>+'1'!H4</f>
        <v>.06.24</v>
      </c>
    </row>
    <row r="5" spans="1:15" ht="13.5" thickBot="1">
      <c r="C5" s="164"/>
      <c r="D5" s="164"/>
    </row>
    <row r="6" spans="1:15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180+258+225</f>
        <v>663</v>
      </c>
    </row>
    <row r="7" spans="1:15" ht="13.5" customHeight="1" thickBot="1">
      <c r="A7" s="1015" t="s">
        <v>449</v>
      </c>
      <c r="B7" s="225" t="s">
        <v>729</v>
      </c>
      <c r="C7" s="226">
        <v>14601</v>
      </c>
      <c r="D7" s="227">
        <v>1100</v>
      </c>
      <c r="E7" s="228"/>
      <c r="F7" s="238"/>
      <c r="G7" s="239" t="s">
        <v>12</v>
      </c>
      <c r="H7" s="240" t="s">
        <v>277</v>
      </c>
      <c r="I7" s="1018" t="s">
        <v>743</v>
      </c>
      <c r="J7" s="224" t="str">
        <f>+'24'!J7</f>
        <v>F 13,5 VP OW</v>
      </c>
      <c r="K7" s="248"/>
      <c r="L7" s="252"/>
      <c r="M7" s="126">
        <f>+K7+'24'!M7+L7</f>
        <v>97821</v>
      </c>
    </row>
    <row r="8" spans="1:15" ht="13.5" thickBot="1">
      <c r="A8" s="1016"/>
      <c r="B8" s="225"/>
      <c r="C8" s="226"/>
      <c r="D8" s="227"/>
      <c r="E8" s="229"/>
      <c r="F8" s="241">
        <v>2</v>
      </c>
      <c r="G8" s="242" t="s">
        <v>12</v>
      </c>
      <c r="H8" s="240" t="s">
        <v>521</v>
      </c>
      <c r="I8" s="1019"/>
      <c r="J8" s="224" t="str">
        <f>+'24'!J8</f>
        <v>F 13 VP OW</v>
      </c>
      <c r="K8" s="249"/>
      <c r="L8" s="249"/>
      <c r="M8" s="126">
        <f>+K8+'24'!M8+L8</f>
        <v>71398</v>
      </c>
    </row>
    <row r="9" spans="1:15" ht="13.5" thickBot="1">
      <c r="A9" s="1016"/>
      <c r="B9" s="225"/>
      <c r="C9" s="226"/>
      <c r="D9" s="227"/>
      <c r="E9" s="230"/>
      <c r="F9" s="238">
        <v>6</v>
      </c>
      <c r="G9" s="242" t="s">
        <v>12</v>
      </c>
      <c r="H9" s="243" t="s">
        <v>682</v>
      </c>
      <c r="I9" s="1019"/>
      <c r="J9" s="224" t="str">
        <f>+'24'!J9</f>
        <v>MG 17 VP OW</v>
      </c>
      <c r="K9" s="249"/>
      <c r="L9" s="249"/>
      <c r="M9" s="126">
        <f>+K9+'24'!M9+L9</f>
        <v>43925</v>
      </c>
      <c r="N9" s="158">
        <v>1300</v>
      </c>
      <c r="O9" s="158">
        <f>+N9-N9*0.2</f>
        <v>1040</v>
      </c>
    </row>
    <row r="10" spans="1:15" ht="13.5" thickBot="1">
      <c r="A10" s="1016"/>
      <c r="B10" s="225"/>
      <c r="C10" s="226"/>
      <c r="D10" s="227"/>
      <c r="E10" s="229"/>
      <c r="F10" s="238"/>
      <c r="G10" s="242"/>
      <c r="H10" s="243" t="s">
        <v>740</v>
      </c>
      <c r="I10" s="1019"/>
      <c r="J10" s="224" t="str">
        <f>+'24'!J10</f>
        <v>MG 16,5 VP OW</v>
      </c>
      <c r="K10" s="249"/>
      <c r="L10" s="249"/>
      <c r="M10" s="126">
        <f>+K10+'24'!M10+L10</f>
        <v>226263</v>
      </c>
    </row>
    <row r="11" spans="1:15" ht="13.5" thickBot="1">
      <c r="A11" s="1016"/>
      <c r="B11" s="225"/>
      <c r="C11" s="226"/>
      <c r="D11" s="227"/>
      <c r="E11" s="229"/>
      <c r="F11" s="238"/>
      <c r="G11" s="242"/>
      <c r="H11" s="243"/>
      <c r="I11" s="1019"/>
      <c r="J11" s="224" t="str">
        <f>+'24'!J11</f>
        <v>MG 14 VP HW</v>
      </c>
      <c r="K11" s="249"/>
      <c r="L11" s="249"/>
      <c r="M11" s="126">
        <f>+K11+'24'!M11+L11</f>
        <v>160355</v>
      </c>
    </row>
    <row r="12" spans="1:15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+'24'!J12</f>
        <v>MG 17 VP HW</v>
      </c>
      <c r="K12" s="249"/>
      <c r="L12" s="249"/>
      <c r="M12" s="126">
        <f>+K12+'24'!M12+L12</f>
        <v>173331</v>
      </c>
    </row>
    <row r="13" spans="1:15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+'24'!J13</f>
        <v>MG 21 VP OW</v>
      </c>
      <c r="K13" s="249"/>
      <c r="L13" s="249"/>
      <c r="M13" s="126">
        <f>+K13+'24'!M13+L13</f>
        <v>117118</v>
      </c>
    </row>
    <row r="14" spans="1:15" ht="13.5" thickBot="1">
      <c r="A14" s="1017"/>
      <c r="B14" s="175" t="s">
        <v>2</v>
      </c>
      <c r="C14" s="108">
        <f>SUM(C7:C13)</f>
        <v>14601</v>
      </c>
      <c r="D14" s="120">
        <f>SUM(D7:D13)</f>
        <v>1100</v>
      </c>
      <c r="E14" s="121">
        <f>SUM(E5:E13)</f>
        <v>0</v>
      </c>
      <c r="F14" s="125">
        <f>SUM(F7:F13)</f>
        <v>8</v>
      </c>
      <c r="G14" s="168"/>
      <c r="H14" s="176"/>
      <c r="I14" s="177"/>
      <c r="J14" s="224" t="str">
        <f>+'24'!J14</f>
        <v>MG 22 VP HW</v>
      </c>
      <c r="K14" s="249"/>
      <c r="L14" s="249"/>
      <c r="M14" s="126">
        <f>+K14+'24'!M14+L14</f>
        <v>13084</v>
      </c>
    </row>
    <row r="15" spans="1:15" ht="13.5" customHeight="1" thickBot="1">
      <c r="A15" s="1015" t="s">
        <v>450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743</v>
      </c>
      <c r="J15" s="224" t="str">
        <f>+'24'!J15</f>
        <v>MG 16 VP HW</v>
      </c>
      <c r="K15" s="249"/>
      <c r="L15" s="249"/>
      <c r="M15" s="126">
        <f>+K15+'24'!M15+L15</f>
        <v>181308</v>
      </c>
    </row>
    <row r="16" spans="1:15" ht="13.5" thickBot="1">
      <c r="A16" s="1021"/>
      <c r="B16" s="225" t="s">
        <v>729</v>
      </c>
      <c r="C16" s="232">
        <v>11929</v>
      </c>
      <c r="D16" s="233">
        <v>1938</v>
      </c>
      <c r="E16" s="234"/>
      <c r="F16" s="238">
        <v>3</v>
      </c>
      <c r="G16" s="242" t="s">
        <v>12</v>
      </c>
      <c r="H16" s="240" t="s">
        <v>720</v>
      </c>
      <c r="I16" s="1019"/>
      <c r="J16" s="224" t="str">
        <f>+'24'!J16</f>
        <v>MG 16,5 VP HW</v>
      </c>
      <c r="K16" s="239"/>
      <c r="L16" s="239"/>
      <c r="M16" s="126">
        <f>+K16+'24'!M16+L16</f>
        <v>11812</v>
      </c>
    </row>
    <row r="17" spans="1:14" ht="13.5" thickBot="1">
      <c r="A17" s="1021"/>
      <c r="B17" s="225"/>
      <c r="C17" s="226"/>
      <c r="D17" s="227"/>
      <c r="E17" s="235"/>
      <c r="F17" s="238">
        <v>5</v>
      </c>
      <c r="G17" s="242" t="s">
        <v>12</v>
      </c>
      <c r="H17" s="243" t="s">
        <v>682</v>
      </c>
      <c r="I17" s="1019"/>
      <c r="J17" s="224" t="str">
        <f>+'24'!J17</f>
        <v>F 10,3 VP OW</v>
      </c>
      <c r="K17" s="239"/>
      <c r="L17" s="239"/>
      <c r="M17" s="126">
        <f>+K17+'24'!M17+L17</f>
        <v>299828</v>
      </c>
    </row>
    <row r="18" spans="1:14" ht="13.5" thickBot="1">
      <c r="A18" s="1021"/>
      <c r="B18" s="225"/>
      <c r="C18" s="226"/>
      <c r="D18" s="227"/>
      <c r="E18" s="235"/>
      <c r="F18" s="238"/>
      <c r="G18" s="242"/>
      <c r="H18" s="243" t="s">
        <v>740</v>
      </c>
      <c r="I18" s="1019"/>
      <c r="J18" s="224" t="str">
        <f>+'24'!J18</f>
        <v>SN 13 VP OW</v>
      </c>
      <c r="K18" s="249">
        <f>+C7+C16+C25</f>
        <v>35593</v>
      </c>
      <c r="L18" s="249"/>
      <c r="M18" s="126">
        <f>+K18+'24'!M18+L18</f>
        <v>113895</v>
      </c>
    </row>
    <row r="19" spans="1:14" ht="13.5" thickBot="1">
      <c r="A19" s="1021"/>
      <c r="B19" s="225"/>
      <c r="C19" s="226"/>
      <c r="D19" s="227"/>
      <c r="E19" s="235"/>
      <c r="F19" s="245"/>
      <c r="G19" s="242"/>
      <c r="H19" s="243"/>
      <c r="I19" s="1019"/>
      <c r="J19" s="224" t="s">
        <v>731</v>
      </c>
      <c r="K19" s="249">
        <f>+C26</f>
        <v>4469</v>
      </c>
      <c r="L19" s="249"/>
      <c r="M19" s="126">
        <f>+K19+'24'!M19+L19</f>
        <v>4469</v>
      </c>
    </row>
    <row r="20" spans="1:14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+'24'!J20</f>
        <v>0</v>
      </c>
      <c r="K20" s="250"/>
      <c r="L20" s="250"/>
      <c r="M20" s="126">
        <f>+K20+'24'!M20+L20</f>
        <v>0</v>
      </c>
    </row>
    <row r="21" spans="1:14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+'24'!J21</f>
        <v>0</v>
      </c>
      <c r="K21" s="249"/>
      <c r="L21" s="249"/>
      <c r="M21" s="126">
        <f>+K21+'24'!M21+L21</f>
        <v>0</v>
      </c>
    </row>
    <row r="22" spans="1:1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+'24'!J22</f>
        <v>0</v>
      </c>
      <c r="K22" s="249"/>
      <c r="L22" s="249"/>
      <c r="M22" s="126">
        <f>+K22+'24'!M22+L22</f>
        <v>0</v>
      </c>
    </row>
    <row r="23" spans="1:14" ht="13.5" thickBot="1">
      <c r="A23" s="1022"/>
      <c r="B23" s="178" t="s">
        <v>2</v>
      </c>
      <c r="C23" s="109">
        <f>SUM(C16:C22)</f>
        <v>11929</v>
      </c>
      <c r="D23" s="120">
        <f>SUM(D16:D22)</f>
        <v>1938</v>
      </c>
      <c r="E23" s="121">
        <f>SUM(E18:E22)</f>
        <v>0</v>
      </c>
      <c r="F23" s="125">
        <f>SUM(F15:F22)</f>
        <v>8</v>
      </c>
      <c r="G23" s="168"/>
      <c r="H23" s="176" t="s">
        <v>234</v>
      </c>
      <c r="I23" s="179"/>
      <c r="J23" s="224">
        <f>+'24'!J23</f>
        <v>0</v>
      </c>
      <c r="K23" s="249"/>
      <c r="L23" s="249"/>
      <c r="M23" s="126">
        <f>+K23+'24'!M23+L23</f>
        <v>0</v>
      </c>
    </row>
    <row r="24" spans="1:14" ht="13.5" customHeight="1" thickBot="1">
      <c r="A24" s="1015" t="s">
        <v>451</v>
      </c>
      <c r="B24" s="180"/>
      <c r="C24" s="122"/>
      <c r="D24" s="123"/>
      <c r="E24" s="124"/>
      <c r="F24" s="246">
        <v>10</v>
      </c>
      <c r="G24" s="239" t="s">
        <v>12</v>
      </c>
      <c r="H24" s="240" t="s">
        <v>522</v>
      </c>
      <c r="I24" s="1018" t="s">
        <v>743</v>
      </c>
      <c r="J24" s="224">
        <f>+'24'!J24</f>
        <v>0</v>
      </c>
      <c r="K24" s="249"/>
      <c r="L24" s="249"/>
      <c r="M24" s="126">
        <f>+K24+'24'!M24+L24</f>
        <v>0</v>
      </c>
    </row>
    <row r="25" spans="1:14" ht="13.5" thickBot="1">
      <c r="A25" s="1021"/>
      <c r="B25" s="225" t="s">
        <v>729</v>
      </c>
      <c r="C25" s="236">
        <f>229+6850+723+1261</f>
        <v>9063</v>
      </c>
      <c r="D25" s="227">
        <v>489</v>
      </c>
      <c r="E25" s="235"/>
      <c r="F25" s="241">
        <v>5</v>
      </c>
      <c r="G25" s="242" t="s">
        <v>12</v>
      </c>
      <c r="H25" s="240" t="s">
        <v>521</v>
      </c>
      <c r="I25" s="1019"/>
      <c r="J25" s="224">
        <f>+'24'!J25</f>
        <v>0</v>
      </c>
      <c r="K25" s="249"/>
      <c r="L25" s="249"/>
      <c r="M25" s="126">
        <f>+K25+'24'!M25+L25</f>
        <v>0</v>
      </c>
    </row>
    <row r="26" spans="1:14" ht="13.5" thickBot="1">
      <c r="A26" s="1021"/>
      <c r="B26" s="225" t="s">
        <v>731</v>
      </c>
      <c r="C26" s="236">
        <f>445+4024</f>
        <v>4469</v>
      </c>
      <c r="D26" s="227"/>
      <c r="E26" s="237"/>
      <c r="F26" s="241">
        <v>10</v>
      </c>
      <c r="G26" s="242" t="s">
        <v>12</v>
      </c>
      <c r="H26" s="243" t="s">
        <v>730</v>
      </c>
      <c r="I26" s="1019"/>
      <c r="J26" s="224">
        <f>+'24'!J26</f>
        <v>0</v>
      </c>
      <c r="K26" s="249"/>
      <c r="L26" s="249"/>
      <c r="M26" s="126">
        <f>+K26+'24'!M26+L26</f>
        <v>0</v>
      </c>
    </row>
    <row r="27" spans="1:14" ht="13.5" thickBot="1">
      <c r="A27" s="1021"/>
      <c r="B27" s="225"/>
      <c r="C27" s="226"/>
      <c r="D27" s="227"/>
      <c r="E27" s="235"/>
      <c r="F27" s="241"/>
      <c r="G27" s="242"/>
      <c r="H27" s="243" t="s">
        <v>740</v>
      </c>
      <c r="I27" s="1019"/>
      <c r="J27" s="224">
        <f>+'24'!J27</f>
        <v>0</v>
      </c>
      <c r="K27" s="249"/>
      <c r="L27" s="249"/>
      <c r="M27" s="126">
        <f>+K27+'24'!M27+L27</f>
        <v>0</v>
      </c>
    </row>
    <row r="28" spans="1:14" ht="13.5" thickBot="1">
      <c r="A28" s="1021"/>
      <c r="B28" s="225"/>
      <c r="C28" s="226"/>
      <c r="D28" s="227"/>
      <c r="E28" s="235"/>
      <c r="F28" s="241"/>
      <c r="G28" s="242"/>
      <c r="H28" s="243" t="s">
        <v>744</v>
      </c>
      <c r="I28" s="1019"/>
      <c r="J28" s="224">
        <f>+'24'!J28</f>
        <v>0</v>
      </c>
      <c r="K28" s="249"/>
      <c r="L28" s="249"/>
      <c r="M28" s="126">
        <f>+K28+'24'!M28+L28</f>
        <v>0</v>
      </c>
    </row>
    <row r="29" spans="1:14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+'24'!J29</f>
        <v>0</v>
      </c>
      <c r="K29" s="249"/>
      <c r="L29" s="249"/>
      <c r="M29" s="126">
        <f>+K29+'24'!M29+L29</f>
        <v>0</v>
      </c>
    </row>
    <row r="30" spans="1:1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+'24'!J30</f>
        <v>0</v>
      </c>
      <c r="K30" s="249"/>
      <c r="L30" s="249"/>
      <c r="M30" s="126">
        <f>+K30+'24'!M30+L30</f>
        <v>0</v>
      </c>
      <c r="N30" s="164"/>
    </row>
    <row r="31" spans="1:14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+'24'!J31</f>
        <v>0</v>
      </c>
      <c r="K31" s="249"/>
      <c r="L31" s="249"/>
      <c r="M31" s="126">
        <f>+K31+'24'!M31+L31</f>
        <v>0</v>
      </c>
    </row>
    <row r="32" spans="1:14" ht="13.5" thickBot="1">
      <c r="A32" s="1022"/>
      <c r="B32" s="175" t="s">
        <v>2</v>
      </c>
      <c r="C32" s="108">
        <f>SUM(C25:C31)</f>
        <v>13532</v>
      </c>
      <c r="D32" s="109">
        <f>SUM(D25:D31)</f>
        <v>489</v>
      </c>
      <c r="E32" s="110">
        <f>SUM(E25:E31)</f>
        <v>0</v>
      </c>
      <c r="F32" s="111">
        <f>SUM(F24:F31)</f>
        <v>25</v>
      </c>
      <c r="G32" s="181"/>
      <c r="H32" s="182"/>
      <c r="I32" s="179"/>
      <c r="J32" s="224">
        <f>+'24'!J32</f>
        <v>0</v>
      </c>
      <c r="K32" s="251"/>
      <c r="L32" s="253"/>
      <c r="M32" s="126">
        <f>+K32+'24'!M32+L32</f>
        <v>0</v>
      </c>
    </row>
    <row r="33" spans="1:14" ht="13.5" thickBot="1">
      <c r="A33" s="183"/>
      <c r="B33" s="184"/>
      <c r="C33" s="112">
        <f>C32/($C$32+$D$32+$E$32)</f>
        <v>0.9651237429569931</v>
      </c>
      <c r="D33" s="113">
        <f>D32/($C$32+$D$32+$E$32)</f>
        <v>3.4876257043006918E-2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40062</v>
      </c>
      <c r="D34" s="116">
        <f>D14+D23+D32</f>
        <v>3527</v>
      </c>
      <c r="E34" s="116">
        <f>E14+E23+E32</f>
        <v>0</v>
      </c>
      <c r="F34" s="117">
        <f>F14+F23+F32</f>
        <v>41</v>
      </c>
      <c r="H34" s="188"/>
      <c r="I34" s="188"/>
      <c r="J34" s="132" t="s">
        <v>28</v>
      </c>
      <c r="K34" s="133">
        <f>SUM(K7:K32)</f>
        <v>40062</v>
      </c>
      <c r="L34" s="222">
        <f>SUM(L7:L32)</f>
        <v>0</v>
      </c>
      <c r="M34" s="129">
        <f>SUM(M7:M32)</f>
        <v>1514607</v>
      </c>
      <c r="N34" s="164"/>
    </row>
    <row r="35" spans="1:14" ht="13.5" thickBot="1">
      <c r="A35" s="189"/>
      <c r="B35" s="190"/>
      <c r="C35" s="113">
        <f>C34/($C$34+$D$34+$E$34)</f>
        <v>0.91908509027506935</v>
      </c>
      <c r="D35" s="113">
        <f>D34/($C$34+$D$34+$E$34)</f>
        <v>8.0914909724930595E-2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(13*1020+14*420)/1440*G42*2.77*1440/1000000</f>
        <v>55.138511999999999</v>
      </c>
      <c r="J37" s="134">
        <f>+I37+'24'!J37</f>
        <v>1685.0597966906405</v>
      </c>
      <c r="K37" s="135" t="s">
        <v>63</v>
      </c>
      <c r="L37" s="158">
        <f>18.728+17.302+2.748+3.239</f>
        <v>42.016999999999996</v>
      </c>
    </row>
    <row r="38" spans="1:14" ht="17.45" customHeight="1">
      <c r="A38" s="1013" t="s">
        <v>12</v>
      </c>
      <c r="B38" s="1014"/>
      <c r="C38" s="173">
        <f>SUMIF($G$7:$G$31,"Process",$F$7:$F$31)</f>
        <v>41</v>
      </c>
      <c r="D38" s="127">
        <f>+C38+'24'!D38</f>
        <v>1339</v>
      </c>
      <c r="E38" s="152">
        <f t="shared" ref="E38:E51" si="0">D38/60</f>
        <v>22.316666666666666</v>
      </c>
      <c r="F38" s="338">
        <v>1300</v>
      </c>
      <c r="G38" s="338">
        <f>+F38-F38*0.2</f>
        <v>1040</v>
      </c>
      <c r="H38" s="197" t="s">
        <v>64</v>
      </c>
      <c r="I38" s="554">
        <f>18.728+17.302+15.992</f>
        <v>52.022000000000006</v>
      </c>
      <c r="J38" s="136">
        <f>+I38+'24'!J38</f>
        <v>1571.6150000000002</v>
      </c>
      <c r="K38" s="137" t="s">
        <v>63</v>
      </c>
      <c r="L38" s="566">
        <f>+I38-L37</f>
        <v>10.00500000000001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+C39+'24'!D39</f>
        <v>0</v>
      </c>
      <c r="E39" s="152">
        <f t="shared" si="0"/>
        <v>0</v>
      </c>
      <c r="F39" s="338">
        <v>1300</v>
      </c>
      <c r="G39" s="338">
        <f>+F39-F39*0.2</f>
        <v>1040</v>
      </c>
      <c r="H39" s="197" t="s">
        <v>65</v>
      </c>
      <c r="I39" s="151"/>
      <c r="J39" s="138">
        <f>J37/G4</f>
        <v>67.402391867625624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+C40+'24'!D40</f>
        <v>95</v>
      </c>
      <c r="E40" s="152">
        <f t="shared" si="0"/>
        <v>1.5833333333333333</v>
      </c>
      <c r="F40" s="338">
        <v>1300</v>
      </c>
      <c r="G40" s="338">
        <f>+F40-F40*0.2</f>
        <v>1040</v>
      </c>
      <c r="H40" s="197" t="s">
        <v>67</v>
      </c>
      <c r="I40" s="127">
        <f>(K34+L34)/1000</f>
        <v>40.061999999999998</v>
      </c>
      <c r="J40" s="140">
        <f>+I40+'24'!J40</f>
        <v>1514.607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+C41+'24'!D41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60.58428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+C42+'24'!D42</f>
        <v>0</v>
      </c>
      <c r="E42" s="152">
        <f t="shared" si="0"/>
        <v>0</v>
      </c>
      <c r="F42" s="338">
        <f>+(F38*480+F39*480+F40*480)/1440</f>
        <v>1300</v>
      </c>
      <c r="G42" s="338">
        <f>+(G38*480+G39*480+G40*480)/1440</f>
        <v>1040</v>
      </c>
      <c r="H42" s="197" t="s">
        <v>70</v>
      </c>
      <c r="I42" s="256" t="s">
        <v>743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+C43+'24'!D43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+Report1!T33</f>
        <v>129.56200000000001</v>
      </c>
      <c r="J43" s="142">
        <f>+I43+'24'!J43</f>
        <v>3521.5859999999993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+C44+'24'!D44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2.4905232401676214</v>
      </c>
      <c r="J44" s="143">
        <f>J43/J38</f>
        <v>2.2407434390738183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+C45+'24'!D45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3.234037242274475</v>
      </c>
      <c r="J45" s="143">
        <f>J43/J40</f>
        <v>2.3250823480942575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+C46+'24'!D46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+SUMIF(Listrik!AR32,"&gt;0")</f>
        <v>56189.180000002219</v>
      </c>
      <c r="J46" s="144">
        <f>+I46+'24'!J46</f>
        <v>1349111.3799999994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+C47+'24'!D47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1080.104186690289</v>
      </c>
      <c r="J47" s="144">
        <f>J46/J38</f>
        <v>858.42358338397082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+C48+'24'!D48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1402.5555389147378</v>
      </c>
      <c r="J48" s="144">
        <f>J46/J40</f>
        <v>890.73362264930734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+C49+'24'!D49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+I49+'24'!J49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+C50+'24'!D50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+C51+'24'!D51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41</v>
      </c>
      <c r="D52" s="153">
        <f>SUM(D38:D51)</f>
        <v>2770</v>
      </c>
      <c r="E52" s="154">
        <f>SUM(E38:E51)</f>
        <v>46.166666666666671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2.8472222222222222E-2</v>
      </c>
      <c r="D53" s="155">
        <f>D52/(24*60*G4)</f>
        <v>7.694444444444444E-2</v>
      </c>
      <c r="E53" s="156">
        <f>E52/(G4*24)</f>
        <v>7.6944444444444454E-2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+D34+'24'!J56</f>
        <v>26679</v>
      </c>
      <c r="K56" s="211">
        <f>J56/(J40+J56/1000)/1000</f>
        <v>1.7309571357943948E-2</v>
      </c>
    </row>
    <row r="57" spans="1:11">
      <c r="A57" s="186"/>
      <c r="I57" s="209" t="s">
        <v>89</v>
      </c>
      <c r="J57" s="210">
        <f>+E34+'24'!J57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topLeftCell="A10" zoomScale="80" zoomScaleNormal="80" workbookViewId="0">
      <selection activeCell="D26" sqref="D26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3.5703125" style="158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30</v>
      </c>
      <c r="G4" s="163">
        <v>24</v>
      </c>
      <c r="H4" s="163" t="str">
        <f>+'1'!H4</f>
        <v>.06.24</v>
      </c>
    </row>
    <row r="5" spans="1:15" ht="13.5" thickBot="1">
      <c r="C5" s="164"/>
      <c r="D5" s="164"/>
    </row>
    <row r="6" spans="1:15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170+233+197</f>
        <v>600</v>
      </c>
    </row>
    <row r="7" spans="1:15" ht="13.5" customHeight="1" thickBot="1">
      <c r="A7" s="1015" t="s">
        <v>449</v>
      </c>
      <c r="B7" s="225" t="s">
        <v>729</v>
      </c>
      <c r="C7" s="226">
        <v>12981</v>
      </c>
      <c r="D7" s="227">
        <v>699</v>
      </c>
      <c r="E7" s="228"/>
      <c r="F7" s="238"/>
      <c r="G7" s="239" t="s">
        <v>12</v>
      </c>
      <c r="H7" s="240" t="s">
        <v>277</v>
      </c>
      <c r="I7" s="1018" t="s">
        <v>743</v>
      </c>
      <c r="J7" s="224" t="str">
        <f>+'23'!J7</f>
        <v>F 13,5 VP OW</v>
      </c>
      <c r="K7" s="248"/>
      <c r="L7" s="252"/>
      <c r="M7" s="126">
        <f>+K7+'23'!M7+L7</f>
        <v>97821</v>
      </c>
    </row>
    <row r="8" spans="1:15" ht="13.5" thickBot="1">
      <c r="A8" s="1016"/>
      <c r="B8" s="225"/>
      <c r="C8" s="226"/>
      <c r="D8" s="227"/>
      <c r="E8" s="229"/>
      <c r="F8" s="241">
        <v>1</v>
      </c>
      <c r="G8" s="242" t="s">
        <v>12</v>
      </c>
      <c r="H8" s="240" t="s">
        <v>521</v>
      </c>
      <c r="I8" s="1019"/>
      <c r="J8" s="224" t="str">
        <f>+'23'!J8</f>
        <v>F 13 VP OW</v>
      </c>
      <c r="K8" s="249"/>
      <c r="L8" s="249"/>
      <c r="M8" s="126">
        <f>+K8+'23'!M8+L8</f>
        <v>71398</v>
      </c>
      <c r="N8" s="158">
        <v>1300</v>
      </c>
      <c r="O8" s="158">
        <f>+N8-N8*0.2</f>
        <v>1040</v>
      </c>
    </row>
    <row r="9" spans="1:15" ht="13.5" thickBot="1">
      <c r="A9" s="1016"/>
      <c r="B9" s="225"/>
      <c r="C9" s="226"/>
      <c r="D9" s="227"/>
      <c r="E9" s="230"/>
      <c r="F9" s="238">
        <v>3</v>
      </c>
      <c r="G9" s="242" t="s">
        <v>12</v>
      </c>
      <c r="H9" s="243" t="s">
        <v>682</v>
      </c>
      <c r="I9" s="1019"/>
      <c r="J9" s="224" t="str">
        <f>+'23'!J9</f>
        <v>MG 17 VP OW</v>
      </c>
      <c r="K9" s="249"/>
      <c r="L9" s="249"/>
      <c r="M9" s="126">
        <f>+K9+'23'!M9+L9</f>
        <v>43925</v>
      </c>
    </row>
    <row r="10" spans="1:15" ht="13.5" thickBot="1">
      <c r="A10" s="1016"/>
      <c r="B10" s="225"/>
      <c r="C10" s="226"/>
      <c r="D10" s="227"/>
      <c r="E10" s="229"/>
      <c r="F10" s="238"/>
      <c r="G10" s="242"/>
      <c r="H10" s="243" t="s">
        <v>740</v>
      </c>
      <c r="I10" s="1019"/>
      <c r="J10" s="224" t="str">
        <f>+'23'!J10</f>
        <v>MG 16,5 VP OW</v>
      </c>
      <c r="K10" s="249"/>
      <c r="L10" s="249"/>
      <c r="M10" s="126">
        <f>+K10+'23'!M10+L10</f>
        <v>226263</v>
      </c>
    </row>
    <row r="11" spans="1:15" ht="13.5" thickBot="1">
      <c r="A11" s="1016"/>
      <c r="B11" s="225"/>
      <c r="C11" s="226"/>
      <c r="D11" s="227"/>
      <c r="E11" s="229"/>
      <c r="F11" s="238"/>
      <c r="G11" s="242"/>
      <c r="H11" s="243"/>
      <c r="I11" s="1019"/>
      <c r="J11" s="224" t="str">
        <f>+'23'!J11</f>
        <v>MG 14 VP HW</v>
      </c>
      <c r="K11" s="249"/>
      <c r="L11" s="249"/>
      <c r="M11" s="126">
        <f>+K11+'23'!M11+L11</f>
        <v>160355</v>
      </c>
    </row>
    <row r="12" spans="1:15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+'23'!J12</f>
        <v>MG 17 VP HW</v>
      </c>
      <c r="K12" s="249"/>
      <c r="L12" s="249"/>
      <c r="M12" s="126">
        <f>+K12+'23'!M12+L12</f>
        <v>173331</v>
      </c>
    </row>
    <row r="13" spans="1:15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+'23'!J13</f>
        <v>MG 21 VP OW</v>
      </c>
      <c r="K13" s="249"/>
      <c r="L13" s="249"/>
      <c r="M13" s="126">
        <f>+K13+'23'!M13+L13</f>
        <v>117118</v>
      </c>
    </row>
    <row r="14" spans="1:15" ht="13.5" thickBot="1">
      <c r="A14" s="1017"/>
      <c r="B14" s="175" t="s">
        <v>2</v>
      </c>
      <c r="C14" s="108">
        <f>SUM(C7:C13)</f>
        <v>12981</v>
      </c>
      <c r="D14" s="120">
        <f>SUM(D7:D13)</f>
        <v>699</v>
      </c>
      <c r="E14" s="121">
        <f>SUM(E5:E13)</f>
        <v>0</v>
      </c>
      <c r="F14" s="125">
        <f>SUM(F7:F13)</f>
        <v>4</v>
      </c>
      <c r="G14" s="168"/>
      <c r="H14" s="176"/>
      <c r="I14" s="177"/>
      <c r="J14" s="224" t="str">
        <f>+'23'!J14</f>
        <v>MG 22 VP HW</v>
      </c>
      <c r="K14" s="249"/>
      <c r="L14" s="249"/>
      <c r="M14" s="126">
        <f>+K14+'23'!M14+L14</f>
        <v>13084</v>
      </c>
    </row>
    <row r="15" spans="1:15" ht="13.5" customHeight="1" thickBot="1">
      <c r="A15" s="1015" t="s">
        <v>693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743</v>
      </c>
      <c r="J15" s="224" t="str">
        <f>+'23'!J15</f>
        <v>MG 16 VP HW</v>
      </c>
      <c r="K15" s="249"/>
      <c r="L15" s="249"/>
      <c r="M15" s="126">
        <f>+K15+'23'!M15+L15</f>
        <v>181308</v>
      </c>
    </row>
    <row r="16" spans="1:15" ht="13.5" thickBot="1">
      <c r="A16" s="1021"/>
      <c r="B16" s="225" t="s">
        <v>729</v>
      </c>
      <c r="C16" s="232">
        <v>15369</v>
      </c>
      <c r="D16" s="233">
        <v>236</v>
      </c>
      <c r="E16" s="234"/>
      <c r="F16" s="238">
        <v>1</v>
      </c>
      <c r="G16" s="242" t="s">
        <v>12</v>
      </c>
      <c r="H16" s="240" t="s">
        <v>521</v>
      </c>
      <c r="I16" s="1019"/>
      <c r="J16" s="224" t="str">
        <f>+'23'!J16</f>
        <v>MG 16,5 VP HW</v>
      </c>
      <c r="K16" s="249"/>
      <c r="L16" s="249"/>
      <c r="M16" s="126">
        <f>+K16+'23'!M16+L16</f>
        <v>11812</v>
      </c>
    </row>
    <row r="17" spans="1:14" ht="13.5" thickBot="1">
      <c r="A17" s="1021"/>
      <c r="B17" s="225"/>
      <c r="C17" s="226"/>
      <c r="D17" s="227"/>
      <c r="E17" s="235"/>
      <c r="F17" s="238">
        <v>10</v>
      </c>
      <c r="G17" s="242" t="s">
        <v>12</v>
      </c>
      <c r="H17" s="243" t="s">
        <v>682</v>
      </c>
      <c r="I17" s="1019"/>
      <c r="J17" s="224" t="str">
        <f>+'23'!J17</f>
        <v>F 10,3 VP OW</v>
      </c>
      <c r="K17" s="249"/>
      <c r="L17" s="249"/>
      <c r="M17" s="126">
        <f>+K17+'23'!M17+L17</f>
        <v>299828</v>
      </c>
    </row>
    <row r="18" spans="1:14" ht="13.5" thickBot="1">
      <c r="A18" s="1021"/>
      <c r="B18" s="225"/>
      <c r="C18" s="226"/>
      <c r="D18" s="227"/>
      <c r="E18" s="235"/>
      <c r="F18" s="238"/>
      <c r="G18" s="242"/>
      <c r="H18" s="243" t="s">
        <v>740</v>
      </c>
      <c r="I18" s="1019"/>
      <c r="J18" s="224" t="str">
        <f>+'23'!J18</f>
        <v>SN 13 VP OW</v>
      </c>
      <c r="K18" s="249">
        <f>+C34</f>
        <v>44899</v>
      </c>
      <c r="L18" s="249"/>
      <c r="M18" s="126">
        <f>+K18+'23'!M18+L18</f>
        <v>78302</v>
      </c>
    </row>
    <row r="19" spans="1:14" ht="13.5" thickBot="1">
      <c r="A19" s="1021"/>
      <c r="B19" s="225"/>
      <c r="C19" s="226"/>
      <c r="D19" s="227"/>
      <c r="E19" s="235"/>
      <c r="F19" s="245"/>
      <c r="G19" s="242"/>
      <c r="H19" s="243"/>
      <c r="I19" s="1019"/>
      <c r="J19" s="224">
        <f>+'23'!J19</f>
        <v>0</v>
      </c>
      <c r="K19" s="249"/>
      <c r="L19" s="249"/>
      <c r="M19" s="126">
        <f>+K19+'23'!M19+L19</f>
        <v>0</v>
      </c>
    </row>
    <row r="20" spans="1:14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+'23'!J20</f>
        <v>0</v>
      </c>
      <c r="K20" s="249"/>
      <c r="L20" s="249"/>
      <c r="M20" s="126">
        <f>+K20+'23'!M20+L20</f>
        <v>0</v>
      </c>
    </row>
    <row r="21" spans="1:14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+'23'!J21</f>
        <v>0</v>
      </c>
      <c r="K21" s="249"/>
      <c r="L21" s="249"/>
      <c r="M21" s="126">
        <f>+K21+'23'!M21+L21</f>
        <v>0</v>
      </c>
    </row>
    <row r="22" spans="1:1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+'23'!J22</f>
        <v>0</v>
      </c>
      <c r="K22" s="249"/>
      <c r="L22" s="249"/>
      <c r="M22" s="126">
        <f>+K22+'23'!M22+L22</f>
        <v>0</v>
      </c>
    </row>
    <row r="23" spans="1:14" ht="13.5" thickBot="1">
      <c r="A23" s="1022"/>
      <c r="B23" s="178" t="s">
        <v>2</v>
      </c>
      <c r="C23" s="109">
        <f>SUM(C16:C22)</f>
        <v>15369</v>
      </c>
      <c r="D23" s="120">
        <f>SUM(D16:D22)</f>
        <v>236</v>
      </c>
      <c r="E23" s="121">
        <f>SUM(E18:E22)</f>
        <v>0</v>
      </c>
      <c r="F23" s="125">
        <f>SUM(F15:F22)</f>
        <v>11</v>
      </c>
      <c r="G23" s="168"/>
      <c r="H23" s="176" t="s">
        <v>234</v>
      </c>
      <c r="I23" s="179"/>
      <c r="J23" s="224">
        <f>+'23'!J23</f>
        <v>0</v>
      </c>
      <c r="K23" s="249"/>
      <c r="L23" s="249"/>
      <c r="M23" s="126">
        <f>+K23+'23'!M23+L23</f>
        <v>0</v>
      </c>
    </row>
    <row r="24" spans="1:14" ht="13.5" customHeight="1" thickBot="1">
      <c r="A24" s="1015" t="s">
        <v>451</v>
      </c>
      <c r="B24" s="180"/>
      <c r="C24" s="122"/>
      <c r="D24" s="123"/>
      <c r="E24" s="124"/>
      <c r="F24" s="246">
        <v>15</v>
      </c>
      <c r="G24" s="239" t="s">
        <v>12</v>
      </c>
      <c r="H24" s="240" t="s">
        <v>492</v>
      </c>
      <c r="I24" s="1018" t="s">
        <v>743</v>
      </c>
      <c r="J24" s="224">
        <f>+'23'!J24</f>
        <v>0</v>
      </c>
      <c r="K24" s="249"/>
      <c r="L24" s="249"/>
      <c r="M24" s="126">
        <f>+K24+'23'!M24+L24</f>
        <v>0</v>
      </c>
    </row>
    <row r="25" spans="1:14" ht="13.5" thickBot="1">
      <c r="A25" s="1021"/>
      <c r="B25" s="225" t="s">
        <v>729</v>
      </c>
      <c r="C25" s="236">
        <v>16549</v>
      </c>
      <c r="D25" s="227">
        <v>119</v>
      </c>
      <c r="E25" s="235"/>
      <c r="F25" s="241">
        <v>4</v>
      </c>
      <c r="G25" s="242" t="s">
        <v>12</v>
      </c>
      <c r="H25" s="240" t="s">
        <v>521</v>
      </c>
      <c r="I25" s="1019"/>
      <c r="J25" s="224">
        <f>+'23'!J25</f>
        <v>0</v>
      </c>
      <c r="K25" s="249"/>
      <c r="L25" s="249"/>
      <c r="M25" s="126">
        <f>+K25+'23'!M25+L25</f>
        <v>0</v>
      </c>
    </row>
    <row r="26" spans="1:14" ht="13.5" thickBot="1">
      <c r="A26" s="1021"/>
      <c r="B26" s="225"/>
      <c r="C26" s="236"/>
      <c r="D26" s="227"/>
      <c r="E26" s="237"/>
      <c r="F26" s="241">
        <v>5</v>
      </c>
      <c r="G26" s="242" t="s">
        <v>12</v>
      </c>
      <c r="H26" s="243" t="s">
        <v>682</v>
      </c>
      <c r="I26" s="1019"/>
      <c r="J26" s="224">
        <f>+'23'!J26</f>
        <v>0</v>
      </c>
      <c r="K26" s="249"/>
      <c r="L26" s="249"/>
      <c r="M26" s="126">
        <f>+K26+'23'!M26+L26</f>
        <v>0</v>
      </c>
    </row>
    <row r="27" spans="1:14" ht="13.5" thickBot="1">
      <c r="A27" s="1021"/>
      <c r="B27" s="225"/>
      <c r="C27" s="226"/>
      <c r="D27" s="227"/>
      <c r="E27" s="235"/>
      <c r="F27" s="241"/>
      <c r="G27" s="242"/>
      <c r="H27" s="243" t="s">
        <v>740</v>
      </c>
      <c r="I27" s="1019"/>
      <c r="J27" s="224">
        <f>+'23'!J27</f>
        <v>0</v>
      </c>
      <c r="K27" s="249"/>
      <c r="L27" s="249"/>
      <c r="M27" s="126">
        <f>+K27+'23'!M27+L27</f>
        <v>0</v>
      </c>
    </row>
    <row r="28" spans="1:14" ht="13.5" thickBot="1">
      <c r="A28" s="1021"/>
      <c r="B28" s="225"/>
      <c r="C28" s="226"/>
      <c r="D28" s="227"/>
      <c r="E28" s="235"/>
      <c r="F28" s="241"/>
      <c r="G28" s="242"/>
      <c r="H28" s="243"/>
      <c r="I28" s="1019"/>
      <c r="J28" s="224">
        <f>+'23'!J28</f>
        <v>0</v>
      </c>
      <c r="K28" s="249"/>
      <c r="L28" s="249"/>
      <c r="M28" s="126">
        <f>+K28+'23'!M28+L28</f>
        <v>0</v>
      </c>
    </row>
    <row r="29" spans="1:14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+'23'!J29</f>
        <v>0</v>
      </c>
      <c r="K29" s="249"/>
      <c r="L29" s="249"/>
      <c r="M29" s="126">
        <f>+K29+'23'!M29+L29</f>
        <v>0</v>
      </c>
    </row>
    <row r="30" spans="1:1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+'23'!J30</f>
        <v>0</v>
      </c>
      <c r="K30" s="249"/>
      <c r="L30" s="249"/>
      <c r="M30" s="126">
        <f>+K30+'23'!M30+L30</f>
        <v>0</v>
      </c>
      <c r="N30" s="164"/>
    </row>
    <row r="31" spans="1:14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+'23'!J31</f>
        <v>0</v>
      </c>
      <c r="K31" s="249"/>
      <c r="L31" s="249"/>
      <c r="M31" s="126">
        <f>+K31+'23'!M31+L31</f>
        <v>0</v>
      </c>
    </row>
    <row r="32" spans="1:14" ht="13.5" thickBot="1">
      <c r="A32" s="1022"/>
      <c r="B32" s="175" t="s">
        <v>2</v>
      </c>
      <c r="C32" s="108">
        <f>SUM(C25:C31)</f>
        <v>16549</v>
      </c>
      <c r="D32" s="109">
        <f>SUM(D25:D31)</f>
        <v>119</v>
      </c>
      <c r="E32" s="110">
        <f>SUM(E25:E31)</f>
        <v>0</v>
      </c>
      <c r="F32" s="111">
        <f>SUM(F24:F31)</f>
        <v>24</v>
      </c>
      <c r="G32" s="181"/>
      <c r="H32" s="182"/>
      <c r="I32" s="179"/>
      <c r="J32" s="224">
        <f>+'23'!J32</f>
        <v>0</v>
      </c>
      <c r="K32" s="251"/>
      <c r="L32" s="253"/>
      <c r="M32" s="126">
        <f>+K32+'23'!M32+L32</f>
        <v>0</v>
      </c>
    </row>
    <row r="33" spans="1:14" ht="13.5" thickBot="1">
      <c r="A33" s="183"/>
      <c r="B33" s="184"/>
      <c r="C33" s="112">
        <f>C32/($C$32+$D$32+$E$32)</f>
        <v>0.9928605711543077</v>
      </c>
      <c r="D33" s="113">
        <f>D32/($C$32+$D$32+$E$32)</f>
        <v>7.1394288456923449E-3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44899</v>
      </c>
      <c r="D34" s="116">
        <f>D14+D23+D32</f>
        <v>1054</v>
      </c>
      <c r="E34" s="116">
        <f>E14+E23+E32</f>
        <v>0</v>
      </c>
      <c r="F34" s="117">
        <f>F14+F23+F32</f>
        <v>39</v>
      </c>
      <c r="H34" s="188"/>
      <c r="I34" s="188"/>
      <c r="J34" s="132" t="s">
        <v>28</v>
      </c>
      <c r="K34" s="133">
        <f>SUM(K7:K32)</f>
        <v>44899</v>
      </c>
      <c r="L34" s="222">
        <f>SUM(L7:L32)</f>
        <v>0</v>
      </c>
      <c r="M34" s="129">
        <f>SUM(M7:M32)</f>
        <v>1474545</v>
      </c>
      <c r="N34" s="164"/>
    </row>
    <row r="35" spans="1:14" ht="13.5" thickBot="1">
      <c r="A35" s="189"/>
      <c r="B35" s="190"/>
      <c r="C35" s="113">
        <f>C34/($C$34+$D$34+$E$34)</f>
        <v>0.97706352142406372</v>
      </c>
      <c r="D35" s="113">
        <f>D34/($C$34+$D$34+$E$34)</f>
        <v>2.2936478575936281E-2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(17*1440)/1440*G42*2.77*1440/1000000</f>
        <v>70.521984000000003</v>
      </c>
      <c r="J37" s="134">
        <f>+I37+'23'!J37</f>
        <v>1629.9212846906405</v>
      </c>
      <c r="K37" s="135" t="s">
        <v>63</v>
      </c>
    </row>
    <row r="38" spans="1:14" ht="17.45" customHeight="1">
      <c r="A38" s="1013" t="s">
        <v>12</v>
      </c>
      <c r="B38" s="1014"/>
      <c r="C38" s="173">
        <f>SUMIF($G$7:$G$31,"Process",$F$7:$F$31)</f>
        <v>39</v>
      </c>
      <c r="D38" s="127">
        <f>+C38+'23'!D38</f>
        <v>1298</v>
      </c>
      <c r="E38" s="152">
        <f t="shared" ref="E38:E51" si="0">D38/60</f>
        <v>21.633333333333333</v>
      </c>
      <c r="F38" s="338">
        <v>1300</v>
      </c>
      <c r="G38" s="338">
        <f>+F38-F38*0.2</f>
        <v>1040</v>
      </c>
      <c r="H38" s="197" t="s">
        <v>64</v>
      </c>
      <c r="I38" s="554">
        <f>18.223+16.273+15.519</f>
        <v>50.014999999999993</v>
      </c>
      <c r="J38" s="136">
        <f>+I38+'23'!J38</f>
        <v>1519.5930000000003</v>
      </c>
      <c r="K38" s="137" t="s">
        <v>63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+C39+'23'!D39</f>
        <v>0</v>
      </c>
      <c r="E39" s="152">
        <f t="shared" si="0"/>
        <v>0</v>
      </c>
      <c r="F39" s="338">
        <v>1300</v>
      </c>
      <c r="G39" s="338">
        <f>+F39-F39*0.2</f>
        <v>1040</v>
      </c>
      <c r="H39" s="197" t="s">
        <v>65</v>
      </c>
      <c r="I39" s="151"/>
      <c r="J39" s="138">
        <f>J37/G4</f>
        <v>67.913386862110016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+C40+'23'!D40</f>
        <v>95</v>
      </c>
      <c r="E40" s="152">
        <f t="shared" si="0"/>
        <v>1.5833333333333333</v>
      </c>
      <c r="F40" s="338">
        <v>1300</v>
      </c>
      <c r="G40" s="338">
        <f>+F40-F40*0.2</f>
        <v>1040</v>
      </c>
      <c r="H40" s="197" t="s">
        <v>67</v>
      </c>
      <c r="I40" s="127">
        <f>(K34+L34)/1000</f>
        <v>44.899000000000001</v>
      </c>
      <c r="J40" s="140">
        <f>+I40+'23'!J40</f>
        <v>1474.5450000000001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+C41+'23'!D41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61.439375000000005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+C42+'23'!D42</f>
        <v>0</v>
      </c>
      <c r="E42" s="152">
        <f t="shared" si="0"/>
        <v>0</v>
      </c>
      <c r="F42" s="338">
        <f>+(F38*480+F39*480+F40*480)/1440</f>
        <v>1300</v>
      </c>
      <c r="G42" s="338">
        <f>+(G38*480+G39*480+G40*480)/1440</f>
        <v>1040</v>
      </c>
      <c r="H42" s="197" t="s">
        <v>70</v>
      </c>
      <c r="I42" s="256" t="s">
        <v>743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+C43+'23'!D43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+Report1!T32</f>
        <v>123.596</v>
      </c>
      <c r="J43" s="142">
        <f>+I43+'23'!J43</f>
        <v>3392.0239999999994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+C44+'23'!D44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2.4711786464060785</v>
      </c>
      <c r="J44" s="143">
        <f>J43/J38</f>
        <v>2.2321924357377263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+C45+'23'!D45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2.7527561861065948</v>
      </c>
      <c r="J45" s="143">
        <f>J43/J40</f>
        <v>2.3003868990095246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+C46+'23'!D46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+SUMIF(Listrik!AR31,"&gt;0")</f>
        <v>56153.11999999758</v>
      </c>
      <c r="J46" s="144">
        <f>+I46+'23'!J46</f>
        <v>1292922.1999999972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+C47+'23'!D47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1122.7255823252542</v>
      </c>
      <c r="J47" s="144">
        <f>J46/J38</f>
        <v>850.83453266762672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+C48+'23'!D48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1250.6541348359112</v>
      </c>
      <c r="J48" s="144">
        <f>J46/J40</f>
        <v>876.8279028446043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+C49+'23'!D49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+I49+'23'!J49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+C50+'23'!D50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+C51+'23'!D51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39</v>
      </c>
      <c r="D52" s="153">
        <f>SUM(D38:D51)</f>
        <v>2729</v>
      </c>
      <c r="E52" s="154">
        <f>SUM(E38:E51)</f>
        <v>45.483333333333334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2.7083333333333334E-2</v>
      </c>
      <c r="D53" s="155">
        <f>D52/(24*60*G4)</f>
        <v>7.8964120370370372E-2</v>
      </c>
      <c r="E53" s="156">
        <f>E52/(G4*24)</f>
        <v>7.8964120370370372E-2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+D34+'23'!J56</f>
        <v>23152</v>
      </c>
      <c r="K56" s="211">
        <f>J56/(J40+J56/1000)/1000</f>
        <v>1.5458400464179336E-2</v>
      </c>
    </row>
    <row r="57" spans="1:11">
      <c r="A57" s="186"/>
      <c r="I57" s="209" t="s">
        <v>89</v>
      </c>
      <c r="J57" s="210">
        <f>+E34+'23'!J57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A10" zoomScale="80" zoomScaleNormal="80" workbookViewId="0">
      <selection activeCell="D26" sqref="D26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3.7109375" style="158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30</v>
      </c>
      <c r="G4" s="163">
        <v>23</v>
      </c>
      <c r="H4" s="163" t="str">
        <f>+'1'!H4</f>
        <v>.06.24</v>
      </c>
    </row>
    <row r="5" spans="1:18" ht="13.5" thickBot="1">
      <c r="C5" s="164"/>
      <c r="D5" s="164"/>
    </row>
    <row r="6" spans="1:18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200+244+215</f>
        <v>659</v>
      </c>
    </row>
    <row r="7" spans="1:18" ht="13.5" customHeight="1" thickBot="1">
      <c r="A7" s="1015" t="s">
        <v>449</v>
      </c>
      <c r="B7" s="225" t="s">
        <v>669</v>
      </c>
      <c r="C7" s="226">
        <f>7445+889</f>
        <v>8334</v>
      </c>
      <c r="D7" s="227"/>
      <c r="E7" s="228"/>
      <c r="F7" s="238"/>
      <c r="G7" s="239" t="s">
        <v>12</v>
      </c>
      <c r="H7" s="240" t="s">
        <v>277</v>
      </c>
      <c r="I7" s="1018" t="s">
        <v>742</v>
      </c>
      <c r="J7" s="224" t="str">
        <f>+'22'!J7</f>
        <v>F 13,5 VP OW</v>
      </c>
      <c r="K7" s="248"/>
      <c r="L7" s="252"/>
      <c r="M7" s="126">
        <f>+K7+'22'!M7+L7</f>
        <v>97821</v>
      </c>
    </row>
    <row r="8" spans="1:18" ht="13.5" thickBot="1">
      <c r="A8" s="1016"/>
      <c r="B8" s="225" t="s">
        <v>729</v>
      </c>
      <c r="C8" s="226">
        <f>436+4835+705</f>
        <v>5976</v>
      </c>
      <c r="D8" s="227">
        <v>412</v>
      </c>
      <c r="E8" s="229"/>
      <c r="F8" s="241">
        <v>2</v>
      </c>
      <c r="G8" s="242" t="s">
        <v>12</v>
      </c>
      <c r="H8" s="240" t="s">
        <v>482</v>
      </c>
      <c r="I8" s="1019"/>
      <c r="J8" s="224" t="str">
        <f>+'22'!J8</f>
        <v>F 13 VP OW</v>
      </c>
      <c r="K8" s="249"/>
      <c r="L8" s="249"/>
      <c r="M8" s="126">
        <f>+K8+'22'!M8+L8</f>
        <v>71398</v>
      </c>
      <c r="N8" s="158">
        <v>1700</v>
      </c>
      <c r="O8" s="158">
        <f>+N8-N8*0.2</f>
        <v>1360</v>
      </c>
      <c r="P8" s="158">
        <f>60+35</f>
        <v>95</v>
      </c>
      <c r="Q8" s="158">
        <f>+N8*P8</f>
        <v>161500</v>
      </c>
      <c r="R8" s="158">
        <f>+O8*P8</f>
        <v>129200</v>
      </c>
    </row>
    <row r="9" spans="1:18" ht="13.5" thickBot="1">
      <c r="A9" s="1016"/>
      <c r="B9" s="225"/>
      <c r="C9" s="226"/>
      <c r="D9" s="227"/>
      <c r="E9" s="230"/>
      <c r="F9" s="238">
        <v>5</v>
      </c>
      <c r="G9" s="242" t="s">
        <v>12</v>
      </c>
      <c r="H9" s="243" t="s">
        <v>538</v>
      </c>
      <c r="I9" s="1019"/>
      <c r="J9" s="224" t="str">
        <f>+'22'!J9</f>
        <v>MG 17 VP OW</v>
      </c>
      <c r="K9" s="249"/>
      <c r="L9" s="249"/>
      <c r="M9" s="126">
        <f>+K9+'22'!M9+L9</f>
        <v>43925</v>
      </c>
      <c r="N9" s="158">
        <v>1300</v>
      </c>
      <c r="O9" s="158">
        <f>+N9-N9*0.2</f>
        <v>1040</v>
      </c>
      <c r="P9" s="158">
        <f>480-P8</f>
        <v>385</v>
      </c>
      <c r="Q9" s="158">
        <f>+N9*P9</f>
        <v>500500</v>
      </c>
      <c r="R9" s="158">
        <f>+O9*P9</f>
        <v>400400</v>
      </c>
    </row>
    <row r="10" spans="1:18" ht="13.5" thickBot="1">
      <c r="A10" s="1016"/>
      <c r="B10" s="225"/>
      <c r="C10" s="226"/>
      <c r="D10" s="227"/>
      <c r="E10" s="229"/>
      <c r="F10" s="238"/>
      <c r="G10" s="242"/>
      <c r="H10" s="243" t="s">
        <v>710</v>
      </c>
      <c r="I10" s="1019"/>
      <c r="J10" s="224" t="str">
        <f>+'22'!J10</f>
        <v>MG 16,5 VP OW</v>
      </c>
      <c r="K10" s="249"/>
      <c r="L10" s="249"/>
      <c r="M10" s="126">
        <f>+K10+'22'!M10+L10</f>
        <v>226263</v>
      </c>
      <c r="P10" s="158">
        <f>+P8+P9</f>
        <v>480</v>
      </c>
      <c r="Q10" s="158">
        <f>+Q8+Q9</f>
        <v>662000</v>
      </c>
      <c r="R10" s="158">
        <f>+R8+R9</f>
        <v>529600</v>
      </c>
    </row>
    <row r="11" spans="1:18" ht="13.5" thickBot="1">
      <c r="A11" s="1016"/>
      <c r="B11" s="225"/>
      <c r="C11" s="226"/>
      <c r="D11" s="227"/>
      <c r="E11" s="229"/>
      <c r="F11" s="238">
        <v>10</v>
      </c>
      <c r="G11" s="242" t="s">
        <v>12</v>
      </c>
      <c r="H11" s="243" t="s">
        <v>739</v>
      </c>
      <c r="I11" s="1019"/>
      <c r="J11" s="224" t="str">
        <f>+'22'!J11</f>
        <v>MG 14 VP HW</v>
      </c>
      <c r="K11" s="249"/>
      <c r="L11" s="249"/>
      <c r="M11" s="126">
        <f>+K11+'22'!M11+L11</f>
        <v>160355</v>
      </c>
      <c r="Q11" s="158">
        <f>+Q10/P10</f>
        <v>1379.1666666666667</v>
      </c>
      <c r="R11" s="158">
        <f>+R10/P10</f>
        <v>1103.3333333333333</v>
      </c>
    </row>
    <row r="12" spans="1:18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+'22'!J12</f>
        <v>MG 17 VP HW</v>
      </c>
      <c r="K12" s="249"/>
      <c r="L12" s="249"/>
      <c r="M12" s="126">
        <f>+K12+'22'!M12+L12</f>
        <v>173331</v>
      </c>
    </row>
    <row r="13" spans="1:18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+'22'!J13</f>
        <v>MG 21 VP OW</v>
      </c>
      <c r="K13" s="249"/>
      <c r="L13" s="249"/>
      <c r="M13" s="126">
        <f>+K13+'22'!M13+L13</f>
        <v>117118</v>
      </c>
    </row>
    <row r="14" spans="1:18" ht="13.5" thickBot="1">
      <c r="A14" s="1017"/>
      <c r="B14" s="175" t="s">
        <v>2</v>
      </c>
      <c r="C14" s="108">
        <f>SUM(C7:C13)</f>
        <v>14310</v>
      </c>
      <c r="D14" s="120">
        <f>SUM(D7:D13)</f>
        <v>412</v>
      </c>
      <c r="E14" s="121">
        <f>SUM(E5:E13)</f>
        <v>0</v>
      </c>
      <c r="F14" s="125">
        <f>SUM(F7:F13)</f>
        <v>17</v>
      </c>
      <c r="G14" s="168"/>
      <c r="H14" s="176"/>
      <c r="I14" s="177"/>
      <c r="J14" s="224" t="str">
        <f>+'22'!J14</f>
        <v>MG 22 VP HW</v>
      </c>
      <c r="K14" s="249"/>
      <c r="L14" s="249"/>
      <c r="M14" s="126">
        <f>+K14+'22'!M14+L14</f>
        <v>13084</v>
      </c>
    </row>
    <row r="15" spans="1:18" ht="13.5" customHeight="1" thickBot="1">
      <c r="A15" s="1015" t="s">
        <v>693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743</v>
      </c>
      <c r="J15" s="224" t="str">
        <f>+'22'!J15</f>
        <v>MG 16 VP HW</v>
      </c>
      <c r="K15" s="249"/>
      <c r="L15" s="249"/>
      <c r="M15" s="126">
        <f>+K15+'22'!M15+L15</f>
        <v>181308</v>
      </c>
    </row>
    <row r="16" spans="1:18" ht="13.5" thickBot="1">
      <c r="A16" s="1021"/>
      <c r="B16" s="225" t="s">
        <v>729</v>
      </c>
      <c r="C16" s="232">
        <v>14959</v>
      </c>
      <c r="D16" s="233">
        <v>902</v>
      </c>
      <c r="E16" s="234"/>
      <c r="F16" s="238">
        <v>4</v>
      </c>
      <c r="G16" s="242" t="s">
        <v>12</v>
      </c>
      <c r="H16" s="240" t="s">
        <v>720</v>
      </c>
      <c r="I16" s="1019"/>
      <c r="J16" s="224" t="str">
        <f>+'22'!J16</f>
        <v>MG 16,5 VP HW</v>
      </c>
      <c r="K16" s="249"/>
      <c r="L16" s="239"/>
      <c r="M16" s="126">
        <f>+K16+'22'!M16+L16</f>
        <v>11812</v>
      </c>
    </row>
    <row r="17" spans="1:14" ht="13.5" thickBot="1">
      <c r="A17" s="1021"/>
      <c r="B17" s="225"/>
      <c r="C17" s="226"/>
      <c r="D17" s="227"/>
      <c r="E17" s="235"/>
      <c r="F17" s="238">
        <v>7</v>
      </c>
      <c r="G17" s="242" t="s">
        <v>12</v>
      </c>
      <c r="H17" s="243" t="s">
        <v>539</v>
      </c>
      <c r="I17" s="1019"/>
      <c r="J17" s="224" t="str">
        <f>+'22'!J17</f>
        <v>F 10,3 VP OW</v>
      </c>
      <c r="K17" s="249">
        <f>+C7</f>
        <v>8334</v>
      </c>
      <c r="L17" s="239"/>
      <c r="M17" s="126">
        <f>+K17+'22'!M17+L17</f>
        <v>299828</v>
      </c>
    </row>
    <row r="18" spans="1:14" ht="13.5" thickBot="1">
      <c r="A18" s="1021"/>
      <c r="B18" s="225"/>
      <c r="C18" s="226"/>
      <c r="D18" s="227"/>
      <c r="E18" s="235"/>
      <c r="F18" s="238"/>
      <c r="G18" s="242"/>
      <c r="H18" s="243" t="s">
        <v>740</v>
      </c>
      <c r="I18" s="1019"/>
      <c r="J18" s="224" t="s">
        <v>729</v>
      </c>
      <c r="K18" s="249">
        <f>+C8+C16+C25</f>
        <v>33403</v>
      </c>
      <c r="L18" s="249"/>
      <c r="M18" s="126">
        <f>+K18+'22'!M18+L18</f>
        <v>33403</v>
      </c>
    </row>
    <row r="19" spans="1:14" ht="13.5" thickBot="1">
      <c r="A19" s="1021"/>
      <c r="B19" s="225"/>
      <c r="C19" s="226"/>
      <c r="D19" s="227"/>
      <c r="E19" s="235"/>
      <c r="F19" s="245"/>
      <c r="G19" s="242"/>
      <c r="H19" s="243"/>
      <c r="I19" s="1019"/>
      <c r="J19" s="224">
        <f>+'22'!J19</f>
        <v>0</v>
      </c>
      <c r="K19" s="249"/>
      <c r="L19" s="249"/>
      <c r="M19" s="126">
        <f>+K19+'22'!M19+L19</f>
        <v>0</v>
      </c>
    </row>
    <row r="20" spans="1:14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+'22'!J20</f>
        <v>0</v>
      </c>
      <c r="K20" s="249"/>
      <c r="L20" s="250"/>
      <c r="M20" s="126">
        <f>+K20+'22'!M20+L20</f>
        <v>0</v>
      </c>
    </row>
    <row r="21" spans="1:14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+'22'!J21</f>
        <v>0</v>
      </c>
      <c r="K21" s="249"/>
      <c r="L21" s="249"/>
      <c r="M21" s="126">
        <f>+K21+'22'!M21+L21</f>
        <v>0</v>
      </c>
    </row>
    <row r="22" spans="1:1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+'22'!J22</f>
        <v>0</v>
      </c>
      <c r="K22" s="249"/>
      <c r="L22" s="249"/>
      <c r="M22" s="126">
        <f>+K22+'22'!M22+L22</f>
        <v>0</v>
      </c>
    </row>
    <row r="23" spans="1:14" ht="13.5" thickBot="1">
      <c r="A23" s="1022"/>
      <c r="B23" s="178" t="s">
        <v>2</v>
      </c>
      <c r="C23" s="109">
        <f>SUM(C16:C22)</f>
        <v>14959</v>
      </c>
      <c r="D23" s="120">
        <f>SUM(D16:D22)</f>
        <v>902</v>
      </c>
      <c r="E23" s="121">
        <f>SUM(E18:E22)</f>
        <v>0</v>
      </c>
      <c r="F23" s="125">
        <f>SUM(F15:F22)</f>
        <v>11</v>
      </c>
      <c r="G23" s="168"/>
      <c r="H23" s="176" t="s">
        <v>234</v>
      </c>
      <c r="I23" s="179"/>
      <c r="J23" s="224">
        <f>+'22'!J23</f>
        <v>0</v>
      </c>
      <c r="K23" s="249"/>
      <c r="L23" s="249"/>
      <c r="M23" s="126">
        <f>+K23+'22'!M23+L23</f>
        <v>0</v>
      </c>
    </row>
    <row r="24" spans="1:14" ht="13.5" customHeight="1" thickBot="1">
      <c r="A24" s="1015" t="s">
        <v>451</v>
      </c>
      <c r="B24" s="180"/>
      <c r="C24" s="122"/>
      <c r="D24" s="123"/>
      <c r="E24" s="124"/>
      <c r="F24" s="246">
        <v>10</v>
      </c>
      <c r="G24" s="239" t="s">
        <v>12</v>
      </c>
      <c r="H24" s="240" t="s">
        <v>522</v>
      </c>
      <c r="I24" s="1018" t="s">
        <v>743</v>
      </c>
      <c r="J24" s="224">
        <f>+'22'!J24</f>
        <v>0</v>
      </c>
      <c r="K24" s="249"/>
      <c r="L24" s="249"/>
      <c r="M24" s="126">
        <f>+K24+'22'!M24+L24</f>
        <v>0</v>
      </c>
    </row>
    <row r="25" spans="1:14" ht="13.5" thickBot="1">
      <c r="A25" s="1021"/>
      <c r="B25" s="225" t="s">
        <v>729</v>
      </c>
      <c r="C25" s="236">
        <v>12468</v>
      </c>
      <c r="D25" s="227">
        <v>967</v>
      </c>
      <c r="E25" s="235"/>
      <c r="F25" s="241">
        <v>3</v>
      </c>
      <c r="G25" s="242" t="s">
        <v>12</v>
      </c>
      <c r="H25" s="240" t="s">
        <v>481</v>
      </c>
      <c r="I25" s="1019"/>
      <c r="J25" s="224">
        <f>+'22'!J25</f>
        <v>0</v>
      </c>
      <c r="K25" s="249"/>
      <c r="L25" s="249"/>
      <c r="M25" s="126">
        <f>+K25+'22'!M25+L25</f>
        <v>0</v>
      </c>
    </row>
    <row r="26" spans="1:14" ht="13.5" thickBot="1">
      <c r="A26" s="1021"/>
      <c r="B26" s="225"/>
      <c r="C26" s="236"/>
      <c r="D26" s="227"/>
      <c r="E26" s="237"/>
      <c r="F26" s="241">
        <v>10</v>
      </c>
      <c r="G26" s="242" t="s">
        <v>12</v>
      </c>
      <c r="H26" s="243" t="s">
        <v>539</v>
      </c>
      <c r="I26" s="1019"/>
      <c r="J26" s="224">
        <f>+'22'!J26</f>
        <v>0</v>
      </c>
      <c r="K26" s="249"/>
      <c r="L26" s="249"/>
      <c r="M26" s="126">
        <f>+K26+'22'!M26+L26</f>
        <v>0</v>
      </c>
    </row>
    <row r="27" spans="1:14" ht="13.5" thickBot="1">
      <c r="A27" s="1021"/>
      <c r="B27" s="225"/>
      <c r="C27" s="226"/>
      <c r="D27" s="227"/>
      <c r="E27" s="235"/>
      <c r="F27" s="241"/>
      <c r="G27" s="242"/>
      <c r="H27" s="243" t="s">
        <v>740</v>
      </c>
      <c r="I27" s="1019"/>
      <c r="J27" s="224">
        <f>+'22'!J27</f>
        <v>0</v>
      </c>
      <c r="K27" s="249"/>
      <c r="L27" s="249"/>
      <c r="M27" s="126">
        <f>+K27+'22'!M27+L27</f>
        <v>0</v>
      </c>
    </row>
    <row r="28" spans="1:14" ht="13.5" thickBot="1">
      <c r="A28" s="1021"/>
      <c r="B28" s="225"/>
      <c r="C28" s="226"/>
      <c r="D28" s="227"/>
      <c r="E28" s="235"/>
      <c r="F28" s="241"/>
      <c r="G28" s="242"/>
      <c r="H28" s="243" t="s">
        <v>718</v>
      </c>
      <c r="I28" s="1019"/>
      <c r="J28" s="224">
        <f>+'22'!J28</f>
        <v>0</v>
      </c>
      <c r="K28" s="249"/>
      <c r="L28" s="249"/>
      <c r="M28" s="126">
        <f>+K28+'22'!M28+L28</f>
        <v>0</v>
      </c>
    </row>
    <row r="29" spans="1:14" ht="26.25" thickBot="1">
      <c r="A29" s="1021"/>
      <c r="B29" s="225"/>
      <c r="C29" s="226"/>
      <c r="D29" s="227"/>
      <c r="E29" s="235"/>
      <c r="F29" s="246"/>
      <c r="G29" s="242"/>
      <c r="H29" s="243" t="s">
        <v>719</v>
      </c>
      <c r="I29" s="1019"/>
      <c r="J29" s="224">
        <f>+'22'!J29</f>
        <v>0</v>
      </c>
      <c r="K29" s="249"/>
      <c r="L29" s="249"/>
      <c r="M29" s="126">
        <f>+K29+'22'!M29+L29</f>
        <v>0</v>
      </c>
    </row>
    <row r="30" spans="1:1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+'22'!J30</f>
        <v>0</v>
      </c>
      <c r="K30" s="249"/>
      <c r="L30" s="249"/>
      <c r="M30" s="126">
        <f>+K30+'22'!M30+L30</f>
        <v>0</v>
      </c>
      <c r="N30" s="164"/>
    </row>
    <row r="31" spans="1:14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+'22'!J31</f>
        <v>0</v>
      </c>
      <c r="K31" s="249"/>
      <c r="L31" s="249"/>
      <c r="M31" s="126">
        <f>+K31+'22'!M31+L31</f>
        <v>0</v>
      </c>
    </row>
    <row r="32" spans="1:14" ht="13.5" thickBot="1">
      <c r="A32" s="1022"/>
      <c r="B32" s="175" t="s">
        <v>2</v>
      </c>
      <c r="C32" s="108">
        <f>SUM(C25:C31)</f>
        <v>12468</v>
      </c>
      <c r="D32" s="109">
        <f>SUM(D25:D31)</f>
        <v>967</v>
      </c>
      <c r="E32" s="110">
        <f>SUM(E25:E31)</f>
        <v>0</v>
      </c>
      <c r="F32" s="111">
        <f>SUM(F24:F31)</f>
        <v>23</v>
      </c>
      <c r="G32" s="181"/>
      <c r="H32" s="182"/>
      <c r="I32" s="179"/>
      <c r="J32" s="224">
        <f>+'22'!J32</f>
        <v>0</v>
      </c>
      <c r="K32" s="251"/>
      <c r="L32" s="253"/>
      <c r="M32" s="126">
        <f>+K32+'22'!M32+L32</f>
        <v>0</v>
      </c>
    </row>
    <row r="33" spans="1:14" ht="13.5" thickBot="1">
      <c r="A33" s="183"/>
      <c r="B33" s="184"/>
      <c r="C33" s="112">
        <f>C32/($C$32+$D$32+$E$32)</f>
        <v>0.92802381838481574</v>
      </c>
      <c r="D33" s="113">
        <f>D32/($C$32+$D$32+$E$32)</f>
        <v>7.1976181615184223E-2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41737</v>
      </c>
      <c r="D34" s="116">
        <f>D14+D23+D32</f>
        <v>2281</v>
      </c>
      <c r="E34" s="116">
        <f>E14+E23+E32</f>
        <v>0</v>
      </c>
      <c r="F34" s="117">
        <f>F14+F23+F32</f>
        <v>51</v>
      </c>
      <c r="H34" s="188"/>
      <c r="I34" s="188"/>
      <c r="J34" s="132" t="s">
        <v>28</v>
      </c>
      <c r="K34" s="133">
        <f>SUM(K7:K32)</f>
        <v>41737</v>
      </c>
      <c r="L34" s="222">
        <f>SUM(L7:L32)</f>
        <v>0</v>
      </c>
      <c r="M34" s="129">
        <f>SUM(M7:M32)</f>
        <v>1429646</v>
      </c>
      <c r="N34" s="164"/>
    </row>
    <row r="35" spans="1:14" ht="13.5" thickBot="1">
      <c r="A35" s="189"/>
      <c r="B35" s="190"/>
      <c r="C35" s="113">
        <f>C34/($C$34+$D$34+$E$34)</f>
        <v>0.94818028988141212</v>
      </c>
      <c r="D35" s="113">
        <f>D34/($C$34+$D$34+$E$34)</f>
        <v>5.1819710118587853E-2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(10.3*95+13*1345)/1440*G42*2.77*1440/1000000</f>
        <v>54.269355249999997</v>
      </c>
      <c r="J37" s="134">
        <f>+I37+'22'!J37</f>
        <v>1559.3993006906405</v>
      </c>
      <c r="K37" s="135" t="s">
        <v>63</v>
      </c>
      <c r="L37" s="158">
        <f>1.875+1.861+1.877+1.824</f>
        <v>7.4369999999999994</v>
      </c>
    </row>
    <row r="38" spans="1:14" ht="17.45" customHeight="1">
      <c r="A38" s="1013" t="s">
        <v>12</v>
      </c>
      <c r="B38" s="1014"/>
      <c r="C38" s="173">
        <f>SUMIF($G$7:$G$31,"Process",$F$7:$F$31)</f>
        <v>51</v>
      </c>
      <c r="D38" s="127">
        <f>+C38+'22'!D38</f>
        <v>1259</v>
      </c>
      <c r="E38" s="152">
        <f t="shared" ref="E38:E51" si="0">D38/60</f>
        <v>20.983333333333334</v>
      </c>
      <c r="F38" s="338">
        <v>1419.2708333333333</v>
      </c>
      <c r="G38" s="338">
        <v>1103.3333333333333</v>
      </c>
      <c r="H38" s="197" t="s">
        <v>64</v>
      </c>
      <c r="I38" s="554">
        <f>20.76+16.69+18.127</f>
        <v>55.576999999999998</v>
      </c>
      <c r="J38" s="136">
        <f>+I38+'22'!J38</f>
        <v>1469.5780000000002</v>
      </c>
      <c r="K38" s="137" t="s">
        <v>63</v>
      </c>
      <c r="L38" s="566">
        <f>+I38-L37</f>
        <v>48.14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+C39+'22'!D39</f>
        <v>0</v>
      </c>
      <c r="E39" s="152">
        <f t="shared" si="0"/>
        <v>0</v>
      </c>
      <c r="F39" s="338">
        <v>1300</v>
      </c>
      <c r="G39" s="338">
        <v>1040</v>
      </c>
      <c r="H39" s="197" t="s">
        <v>65</v>
      </c>
      <c r="I39" s="151"/>
      <c r="J39" s="138">
        <f>J37/G4</f>
        <v>67.799969595245244</v>
      </c>
      <c r="K39" s="139" t="s">
        <v>63</v>
      </c>
      <c r="L39" s="566"/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+C40+'22'!D40</f>
        <v>95</v>
      </c>
      <c r="E40" s="152">
        <f t="shared" si="0"/>
        <v>1.5833333333333333</v>
      </c>
      <c r="F40" s="338">
        <v>1300</v>
      </c>
      <c r="G40" s="338">
        <v>1040</v>
      </c>
      <c r="H40" s="197" t="s">
        <v>67</v>
      </c>
      <c r="I40" s="127">
        <f>(K34+L34)/1000</f>
        <v>41.737000000000002</v>
      </c>
      <c r="J40" s="140">
        <f>+I40+'22'!J40</f>
        <v>1429.646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+C41+'22'!D41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62.158521739130435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+C42+'22'!D42</f>
        <v>0</v>
      </c>
      <c r="E42" s="152">
        <f t="shared" si="0"/>
        <v>0</v>
      </c>
      <c r="F42" s="338">
        <f>+(F38*480+F39*480+F40*480)/1440</f>
        <v>1339.7569444444443</v>
      </c>
      <c r="G42" s="338">
        <f>+(G38*480+G39*480+G40*480)/1440</f>
        <v>1061.1111111111111</v>
      </c>
      <c r="H42" s="197" t="s">
        <v>70</v>
      </c>
      <c r="I42" s="256" t="s">
        <v>741</v>
      </c>
      <c r="J42" s="141"/>
      <c r="K42" s="139" t="s">
        <v>71</v>
      </c>
    </row>
    <row r="43" spans="1:14" ht="17.45" customHeight="1">
      <c r="A43" s="1009" t="s">
        <v>202</v>
      </c>
      <c r="B43" s="1010"/>
      <c r="C43" s="173">
        <f>SUMIF($G$7:$G$31,"Change Grade",$F$7:$F$31)</f>
        <v>0</v>
      </c>
      <c r="D43" s="127">
        <f>+C43+'22'!D43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+Report1!T31</f>
        <v>125.736</v>
      </c>
      <c r="J43" s="142">
        <f>+I43+'22'!J43</f>
        <v>3268.4279999999994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+C44+'22'!D44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2.2623747233567846</v>
      </c>
      <c r="J44" s="143">
        <f>J43/J38</f>
        <v>2.2240588794878522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+C45+'22'!D45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3.0125787670412345</v>
      </c>
      <c r="J45" s="143">
        <f>J43/J40</f>
        <v>2.286179935452552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+C46+'22'!D46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+SUMIF(Listrik!AR30,"&gt;0")</f>
        <v>53109.539999999906</v>
      </c>
      <c r="J46" s="144">
        <f>+I46+'22'!J46</f>
        <v>1236769.0799999996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+C47+'22'!D47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955.60285729708164</v>
      </c>
      <c r="J47" s="144">
        <f>J46/J38</f>
        <v>841.58110695723497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+C48+'22'!D48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1272.4810120516545</v>
      </c>
      <c r="J48" s="144">
        <f>J46/J40</f>
        <v>865.08763707938863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+C49+'22'!D49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+I49+'22'!J49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+C50+'22'!D50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+C51+'22'!D51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51</v>
      </c>
      <c r="D52" s="153">
        <f>SUM(D38:D51)</f>
        <v>2690</v>
      </c>
      <c r="E52" s="154">
        <f>SUM(E38:E51)</f>
        <v>44.833333333333329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3.5416666666666666E-2</v>
      </c>
      <c r="D53" s="155">
        <f>D52/(24*60*G4)</f>
        <v>8.1219806763285024E-2</v>
      </c>
      <c r="E53" s="156">
        <f>E52/(G4*24)</f>
        <v>8.121980676328501E-2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+D34+'22'!J56</f>
        <v>22098</v>
      </c>
      <c r="K56" s="211">
        <f>J56/(J40+J56/1000)/1000</f>
        <v>1.5221691978751074E-2</v>
      </c>
    </row>
    <row r="57" spans="1:11">
      <c r="A57" s="186"/>
      <c r="I57" s="209" t="s">
        <v>89</v>
      </c>
      <c r="J57" s="210">
        <f>+E34+'22'!J57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7109375" style="158" bestFit="1" customWidth="1"/>
    <col min="12" max="12" width="8.28515625" style="158" customWidth="1"/>
    <col min="13" max="13" width="15.28515625" style="158" customWidth="1"/>
    <col min="14" max="16384" width="9.140625" style="158"/>
  </cols>
  <sheetData>
    <row r="1" spans="1:18" ht="15.75">
      <c r="A1" s="157"/>
    </row>
    <row r="2" spans="1:18" ht="15.75">
      <c r="A2" s="345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30</v>
      </c>
      <c r="G4" s="163">
        <v>22</v>
      </c>
      <c r="H4" s="163" t="str">
        <f>+'1'!H4</f>
        <v>.06.24</v>
      </c>
    </row>
    <row r="5" spans="1:18" ht="13.5" thickBot="1">
      <c r="C5" s="164"/>
      <c r="D5" s="164"/>
    </row>
    <row r="6" spans="1:18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220+205+220</f>
        <v>645</v>
      </c>
    </row>
    <row r="7" spans="1:18" ht="13.5" customHeight="1" thickBot="1">
      <c r="A7" s="1015" t="s">
        <v>449</v>
      </c>
      <c r="B7" s="225" t="s">
        <v>669</v>
      </c>
      <c r="C7" s="226">
        <v>15567</v>
      </c>
      <c r="D7" s="227"/>
      <c r="E7" s="228"/>
      <c r="F7" s="238">
        <v>40</v>
      </c>
      <c r="G7" s="239" t="s">
        <v>12</v>
      </c>
      <c r="H7" s="240" t="s">
        <v>714</v>
      </c>
      <c r="I7" s="1018" t="s">
        <v>711</v>
      </c>
      <c r="J7" s="224" t="str">
        <f>+'21'!J7</f>
        <v>F 13,5 VP OW</v>
      </c>
      <c r="K7" s="248"/>
      <c r="L7" s="252"/>
      <c r="M7" s="126">
        <f>+K7+'21'!M7+L7</f>
        <v>97821</v>
      </c>
    </row>
    <row r="8" spans="1:18" ht="13.5" thickBot="1">
      <c r="A8" s="1016"/>
      <c r="B8" s="225"/>
      <c r="C8" s="226"/>
      <c r="D8" s="227"/>
      <c r="E8" s="229"/>
      <c r="F8" s="241">
        <v>6</v>
      </c>
      <c r="G8" s="242" t="s">
        <v>12</v>
      </c>
      <c r="H8" s="240" t="s">
        <v>482</v>
      </c>
      <c r="I8" s="1019"/>
      <c r="J8" s="224" t="str">
        <f>+'21'!J8</f>
        <v>F 13 VP OW</v>
      </c>
      <c r="K8" s="249"/>
      <c r="L8" s="249"/>
      <c r="M8" s="126">
        <f>+K8+'21'!M8+L8</f>
        <v>71398</v>
      </c>
      <c r="N8" s="158">
        <v>1710</v>
      </c>
      <c r="O8" s="158">
        <f>+N8-N8*0.2</f>
        <v>1368</v>
      </c>
      <c r="P8" s="158">
        <v>250</v>
      </c>
      <c r="Q8" s="158">
        <f>+N8*P8</f>
        <v>427500</v>
      </c>
      <c r="R8" s="158">
        <f>+O8*P8</f>
        <v>342000</v>
      </c>
    </row>
    <row r="9" spans="1:18" ht="13.5" thickBot="1">
      <c r="A9" s="1016"/>
      <c r="B9" s="225"/>
      <c r="C9" s="226"/>
      <c r="D9" s="227"/>
      <c r="E9" s="230"/>
      <c r="F9" s="238">
        <v>15</v>
      </c>
      <c r="G9" s="242" t="s">
        <v>12</v>
      </c>
      <c r="H9" s="243" t="s">
        <v>520</v>
      </c>
      <c r="I9" s="1019"/>
      <c r="J9" s="224" t="str">
        <f>+'21'!J9</f>
        <v>MG 17 VP OW</v>
      </c>
      <c r="K9" s="249"/>
      <c r="L9" s="249"/>
      <c r="M9" s="126">
        <f>+K9+'21'!M9+L9</f>
        <v>43925</v>
      </c>
      <c r="N9" s="158">
        <v>1670</v>
      </c>
      <c r="O9" s="158">
        <f>+N9-N9*0.2</f>
        <v>1336</v>
      </c>
      <c r="P9" s="158">
        <f>50+180</f>
        <v>230</v>
      </c>
      <c r="Q9" s="158">
        <f>+N9*P9</f>
        <v>384100</v>
      </c>
      <c r="R9" s="158">
        <f>+O9*P9</f>
        <v>307280</v>
      </c>
    </row>
    <row r="10" spans="1:18" ht="13.5" thickBot="1">
      <c r="A10" s="1016"/>
      <c r="B10" s="225"/>
      <c r="C10" s="226"/>
      <c r="D10" s="227"/>
      <c r="E10" s="229"/>
      <c r="F10" s="238"/>
      <c r="G10" s="242"/>
      <c r="H10" s="243" t="s">
        <v>697</v>
      </c>
      <c r="I10" s="1019"/>
      <c r="J10" s="224" t="str">
        <f>+'21'!J10</f>
        <v>MG 16,5 VP OW</v>
      </c>
      <c r="K10" s="249"/>
      <c r="L10" s="249"/>
      <c r="M10" s="126">
        <f>+K10+'21'!M10+L10</f>
        <v>226263</v>
      </c>
      <c r="P10" s="158">
        <f>SUM(P8:P9)</f>
        <v>480</v>
      </c>
      <c r="Q10" s="158">
        <f>SUM(Q8:Q9)</f>
        <v>811600</v>
      </c>
      <c r="R10" s="158">
        <f>SUM(R8:R9)</f>
        <v>649280</v>
      </c>
    </row>
    <row r="11" spans="1:18" ht="13.5" customHeight="1" thickBot="1">
      <c r="A11" s="1016"/>
      <c r="B11" s="225"/>
      <c r="C11" s="226"/>
      <c r="D11" s="227"/>
      <c r="E11" s="229"/>
      <c r="F11" s="238">
        <v>31</v>
      </c>
      <c r="G11" s="242" t="s">
        <v>66</v>
      </c>
      <c r="H11" s="243" t="s">
        <v>706</v>
      </c>
      <c r="I11" s="1019"/>
      <c r="J11" s="224" t="str">
        <f>+'21'!J11</f>
        <v>MG 14 VP HW</v>
      </c>
      <c r="K11" s="249"/>
      <c r="L11" s="249"/>
      <c r="M11" s="126">
        <f>+K11+'21'!M11+L11</f>
        <v>160355</v>
      </c>
      <c r="Q11" s="158">
        <f>+Q10/P10</f>
        <v>1690.8333333333333</v>
      </c>
      <c r="R11" s="158">
        <f>+R10/P10</f>
        <v>1352.6666666666667</v>
      </c>
    </row>
    <row r="12" spans="1:18" ht="39" thickBot="1">
      <c r="A12" s="1016"/>
      <c r="B12" s="225"/>
      <c r="C12" s="226"/>
      <c r="D12" s="227"/>
      <c r="E12" s="229"/>
      <c r="F12" s="238"/>
      <c r="G12" s="242"/>
      <c r="H12" s="243" t="s">
        <v>707</v>
      </c>
      <c r="I12" s="1019"/>
      <c r="J12" s="224" t="str">
        <f>+'21'!J12</f>
        <v>MG 17 VP HW</v>
      </c>
      <c r="K12" s="249"/>
      <c r="L12" s="249"/>
      <c r="M12" s="126">
        <f>+K12+'21'!M12+L12</f>
        <v>173331</v>
      </c>
    </row>
    <row r="13" spans="1:18" ht="26.25" thickBot="1">
      <c r="A13" s="1016"/>
      <c r="B13" s="225"/>
      <c r="C13" s="226"/>
      <c r="D13" s="226"/>
      <c r="E13" s="229"/>
      <c r="F13" s="238"/>
      <c r="G13" s="242"/>
      <c r="H13" s="243" t="s">
        <v>708</v>
      </c>
      <c r="I13" s="1020"/>
      <c r="J13" s="224" t="str">
        <f>+'21'!J13</f>
        <v>MG 21 VP OW</v>
      </c>
      <c r="K13" s="249"/>
      <c r="L13" s="249"/>
      <c r="M13" s="126">
        <f>+K13+'21'!M13+L13</f>
        <v>117118</v>
      </c>
    </row>
    <row r="14" spans="1:18" ht="13.5" thickBot="1">
      <c r="A14" s="1017"/>
      <c r="B14" s="175" t="s">
        <v>2</v>
      </c>
      <c r="C14" s="108">
        <f>SUM(C7:C13)</f>
        <v>15567</v>
      </c>
      <c r="D14" s="120">
        <f>SUM(D7:D13)</f>
        <v>0</v>
      </c>
      <c r="E14" s="121">
        <f>SUM(E5:E13)</f>
        <v>0</v>
      </c>
      <c r="F14" s="125">
        <f>SUM(F7:F13)</f>
        <v>92</v>
      </c>
      <c r="G14" s="168"/>
      <c r="H14" s="176"/>
      <c r="I14" s="177"/>
      <c r="J14" s="224" t="str">
        <f>+'21'!J14</f>
        <v>MG 22 VP HW</v>
      </c>
      <c r="K14" s="249"/>
      <c r="L14" s="249"/>
      <c r="M14" s="126">
        <f>+K14+'21'!M14+L14</f>
        <v>13084</v>
      </c>
    </row>
    <row r="15" spans="1:18" ht="13.5" customHeight="1" thickBot="1">
      <c r="A15" s="1015" t="s">
        <v>693</v>
      </c>
      <c r="B15" s="175"/>
      <c r="C15" s="122"/>
      <c r="D15" s="123"/>
      <c r="E15" s="124"/>
      <c r="F15" s="238">
        <v>6</v>
      </c>
      <c r="G15" s="239" t="s">
        <v>12</v>
      </c>
      <c r="H15" s="240" t="s">
        <v>648</v>
      </c>
      <c r="I15" s="1018" t="s">
        <v>711</v>
      </c>
      <c r="J15" s="224" t="str">
        <f>+'21'!J15</f>
        <v>MG 16 VP HW</v>
      </c>
      <c r="K15" s="249"/>
      <c r="L15" s="249"/>
      <c r="M15" s="126">
        <f>+K15+'21'!M15+L15</f>
        <v>181308</v>
      </c>
    </row>
    <row r="16" spans="1:18" ht="13.5" thickBot="1">
      <c r="A16" s="1021"/>
      <c r="B16" s="225" t="s">
        <v>669</v>
      </c>
      <c r="C16" s="232">
        <v>21306</v>
      </c>
      <c r="D16" s="233"/>
      <c r="E16" s="234"/>
      <c r="F16" s="238">
        <v>7</v>
      </c>
      <c r="G16" s="242" t="s">
        <v>12</v>
      </c>
      <c r="H16" s="240" t="s">
        <v>491</v>
      </c>
      <c r="I16" s="1019"/>
      <c r="J16" s="224" t="str">
        <f>+'21'!J16</f>
        <v>MG 16,5 VP HW</v>
      </c>
      <c r="K16" s="249"/>
      <c r="L16" s="239"/>
      <c r="M16" s="126">
        <f>+K16+'21'!M16+L16</f>
        <v>11812</v>
      </c>
      <c r="N16" s="158">
        <v>1690</v>
      </c>
      <c r="O16" s="158">
        <f>+N16-N16*0.2</f>
        <v>1352</v>
      </c>
      <c r="P16" s="158">
        <v>480</v>
      </c>
    </row>
    <row r="17" spans="1:16" ht="13.5" thickBot="1">
      <c r="A17" s="1021"/>
      <c r="B17" s="225"/>
      <c r="C17" s="226"/>
      <c r="D17" s="227"/>
      <c r="E17" s="235"/>
      <c r="F17" s="238">
        <v>10</v>
      </c>
      <c r="G17" s="242" t="s">
        <v>12</v>
      </c>
      <c r="H17" s="243" t="s">
        <v>420</v>
      </c>
      <c r="I17" s="1019"/>
      <c r="J17" s="224" t="str">
        <f>+'21'!J17</f>
        <v>F 10,3 VP OW</v>
      </c>
      <c r="K17" s="249">
        <f>+C34</f>
        <v>55460</v>
      </c>
      <c r="L17" s="239"/>
      <c r="M17" s="126">
        <f>+K17+'21'!M17+L17</f>
        <v>291494</v>
      </c>
      <c r="N17" s="158">
        <v>1700</v>
      </c>
      <c r="O17" s="158">
        <f>+N17-N17*0.2</f>
        <v>1360</v>
      </c>
      <c r="P17" s="158">
        <v>480</v>
      </c>
    </row>
    <row r="18" spans="1:16" ht="13.5" thickBot="1">
      <c r="A18" s="1021"/>
      <c r="B18" s="225"/>
      <c r="C18" s="226"/>
      <c r="D18" s="227"/>
      <c r="E18" s="235"/>
      <c r="F18" s="238"/>
      <c r="G18" s="242"/>
      <c r="H18" s="243" t="s">
        <v>709</v>
      </c>
      <c r="I18" s="1019"/>
      <c r="J18" s="224">
        <f>+'21'!J18</f>
        <v>0</v>
      </c>
      <c r="K18" s="249"/>
      <c r="L18" s="249"/>
      <c r="M18" s="126">
        <f>+K18+'21'!M18+L18</f>
        <v>0</v>
      </c>
    </row>
    <row r="19" spans="1:16" ht="13.5" thickBot="1">
      <c r="A19" s="1021"/>
      <c r="B19" s="225"/>
      <c r="C19" s="226"/>
      <c r="D19" s="227"/>
      <c r="E19" s="235"/>
      <c r="F19" s="245"/>
      <c r="G19" s="242"/>
      <c r="H19" s="243"/>
      <c r="I19" s="1019"/>
      <c r="J19" s="224">
        <f>+'21'!J19</f>
        <v>0</v>
      </c>
      <c r="K19" s="239"/>
      <c r="L19" s="249"/>
      <c r="M19" s="126">
        <f>+K19+'21'!M19+L19</f>
        <v>0</v>
      </c>
    </row>
    <row r="20" spans="1:16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+'21'!J20</f>
        <v>0</v>
      </c>
      <c r="K20" s="239"/>
      <c r="L20" s="250"/>
      <c r="M20" s="126">
        <f>+K20+'21'!M20+L20</f>
        <v>0</v>
      </c>
    </row>
    <row r="21" spans="1:16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+'21'!J21</f>
        <v>0</v>
      </c>
      <c r="K21" s="239"/>
      <c r="L21" s="249"/>
      <c r="M21" s="126">
        <f>+K21+'21'!M21+L21</f>
        <v>0</v>
      </c>
    </row>
    <row r="22" spans="1:16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+'21'!J22</f>
        <v>0</v>
      </c>
      <c r="K22" s="239"/>
      <c r="L22" s="249"/>
      <c r="M22" s="126">
        <f>+K22+'21'!M22+L22</f>
        <v>0</v>
      </c>
    </row>
    <row r="23" spans="1:16" ht="13.5" thickBot="1">
      <c r="A23" s="1022"/>
      <c r="B23" s="178" t="s">
        <v>2</v>
      </c>
      <c r="C23" s="109">
        <f>SUM(C16:C22)</f>
        <v>21306</v>
      </c>
      <c r="D23" s="120">
        <f>SUM(D16:D22)</f>
        <v>0</v>
      </c>
      <c r="E23" s="121">
        <f>SUM(E18:E22)</f>
        <v>0</v>
      </c>
      <c r="F23" s="125">
        <f>SUM(F15:F22)</f>
        <v>23</v>
      </c>
      <c r="G23" s="168"/>
      <c r="H23" s="176" t="s">
        <v>234</v>
      </c>
      <c r="I23" s="179"/>
      <c r="J23" s="224">
        <f>+'21'!J23</f>
        <v>0</v>
      </c>
      <c r="K23" s="239"/>
      <c r="L23" s="249"/>
      <c r="M23" s="126">
        <f>+K23+'21'!M23+L23</f>
        <v>0</v>
      </c>
    </row>
    <row r="24" spans="1:16" ht="13.5" customHeight="1" thickBot="1">
      <c r="A24" s="1015" t="s">
        <v>620</v>
      </c>
      <c r="B24" s="180"/>
      <c r="C24" s="122"/>
      <c r="D24" s="123"/>
      <c r="E24" s="124"/>
      <c r="F24" s="246">
        <v>5</v>
      </c>
      <c r="G24" s="239" t="s">
        <v>12</v>
      </c>
      <c r="H24" s="240" t="s">
        <v>648</v>
      </c>
      <c r="I24" s="1018" t="s">
        <v>712</v>
      </c>
      <c r="J24" s="224">
        <f>+'21'!J24</f>
        <v>0</v>
      </c>
      <c r="K24" s="239"/>
      <c r="L24" s="249"/>
      <c r="M24" s="126">
        <f>+K24+'21'!M24+L24</f>
        <v>0</v>
      </c>
    </row>
    <row r="25" spans="1:16" ht="13.5" thickBot="1">
      <c r="A25" s="1021"/>
      <c r="B25" s="225" t="s">
        <v>669</v>
      </c>
      <c r="C25" s="236">
        <v>18587</v>
      </c>
      <c r="D25" s="227"/>
      <c r="E25" s="235"/>
      <c r="F25" s="241">
        <v>6</v>
      </c>
      <c r="G25" s="242" t="s">
        <v>12</v>
      </c>
      <c r="H25" s="240" t="s">
        <v>482</v>
      </c>
      <c r="I25" s="1019"/>
      <c r="J25" s="224">
        <f>+'21'!J25</f>
        <v>0</v>
      </c>
      <c r="K25" s="239"/>
      <c r="L25" s="249"/>
      <c r="M25" s="126">
        <f>+K25+'21'!M25+L25</f>
        <v>0</v>
      </c>
    </row>
    <row r="26" spans="1:16" ht="13.5" thickBot="1">
      <c r="A26" s="1021"/>
      <c r="B26" s="225"/>
      <c r="C26" s="236"/>
      <c r="D26" s="227"/>
      <c r="E26" s="237"/>
      <c r="F26" s="241">
        <v>11</v>
      </c>
      <c r="G26" s="242" t="s">
        <v>12</v>
      </c>
      <c r="H26" s="243" t="s">
        <v>538</v>
      </c>
      <c r="I26" s="1019"/>
      <c r="J26" s="224">
        <f>+'21'!J26</f>
        <v>0</v>
      </c>
      <c r="K26" s="239"/>
      <c r="L26" s="249"/>
      <c r="M26" s="126">
        <f>+K26+'21'!M26+L26</f>
        <v>0</v>
      </c>
    </row>
    <row r="27" spans="1:16" ht="13.5" thickBot="1">
      <c r="A27" s="1021"/>
      <c r="B27" s="225"/>
      <c r="C27" s="226"/>
      <c r="D27" s="227"/>
      <c r="E27" s="235"/>
      <c r="F27" s="241"/>
      <c r="G27" s="242"/>
      <c r="H27" s="243" t="s">
        <v>710</v>
      </c>
      <c r="I27" s="1019"/>
      <c r="J27" s="224">
        <f>+'21'!J27</f>
        <v>0</v>
      </c>
      <c r="K27" s="239"/>
      <c r="L27" s="249"/>
      <c r="M27" s="126">
        <f>+K27+'21'!M27+L27</f>
        <v>0</v>
      </c>
    </row>
    <row r="28" spans="1:16" ht="13.5" thickBot="1">
      <c r="A28" s="1021"/>
      <c r="B28" s="225"/>
      <c r="C28" s="226"/>
      <c r="D28" s="227"/>
      <c r="E28" s="235"/>
      <c r="F28" s="241"/>
      <c r="G28" s="242"/>
      <c r="H28" s="243"/>
      <c r="I28" s="1019"/>
      <c r="J28" s="224">
        <f>+'21'!J28</f>
        <v>0</v>
      </c>
      <c r="K28" s="239"/>
      <c r="L28" s="249"/>
      <c r="M28" s="126">
        <f>+K28+'21'!M28+L28</f>
        <v>0</v>
      </c>
    </row>
    <row r="29" spans="1:16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+'21'!J29</f>
        <v>0</v>
      </c>
      <c r="K29" s="239"/>
      <c r="L29" s="249"/>
      <c r="M29" s="126">
        <f>+K29+'21'!M29+L29</f>
        <v>0</v>
      </c>
    </row>
    <row r="30" spans="1:16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+'21'!J30</f>
        <v>0</v>
      </c>
      <c r="K30" s="249"/>
      <c r="L30" s="249"/>
      <c r="M30" s="126">
        <f>+K30+'21'!M30+L30</f>
        <v>0</v>
      </c>
      <c r="N30" s="164"/>
    </row>
    <row r="31" spans="1:16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+'21'!J31</f>
        <v>0</v>
      </c>
      <c r="K31" s="249"/>
      <c r="L31" s="249"/>
      <c r="M31" s="126">
        <f>+K31+'21'!M31+L31</f>
        <v>0</v>
      </c>
    </row>
    <row r="32" spans="1:16" ht="13.5" thickBot="1">
      <c r="A32" s="1022"/>
      <c r="B32" s="175" t="s">
        <v>2</v>
      </c>
      <c r="C32" s="108">
        <f>SUM(C25:C31)</f>
        <v>18587</v>
      </c>
      <c r="D32" s="109">
        <f>SUM(D25:D31)</f>
        <v>0</v>
      </c>
      <c r="E32" s="110">
        <f>SUM(E25:E31)</f>
        <v>0</v>
      </c>
      <c r="F32" s="111">
        <f>SUM(F24:F31)</f>
        <v>22</v>
      </c>
      <c r="G32" s="181"/>
      <c r="H32" s="182"/>
      <c r="I32" s="179"/>
      <c r="J32" s="224">
        <f>+'21'!J32</f>
        <v>0</v>
      </c>
      <c r="K32" s="251"/>
      <c r="L32" s="253"/>
      <c r="M32" s="126">
        <f>+K32+'21'!M32+L32</f>
        <v>0</v>
      </c>
    </row>
    <row r="33" spans="1:14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55460</v>
      </c>
      <c r="D34" s="116">
        <f>D14+D23+D32</f>
        <v>0</v>
      </c>
      <c r="E34" s="116">
        <f>E14+E23+E32</f>
        <v>0</v>
      </c>
      <c r="F34" s="117">
        <f>F14+F23+F32</f>
        <v>137</v>
      </c>
      <c r="H34" s="188"/>
      <c r="I34" s="188"/>
      <c r="J34" s="132" t="s">
        <v>28</v>
      </c>
      <c r="K34" s="133">
        <f>SUM(K7:K32)</f>
        <v>55460</v>
      </c>
      <c r="L34" s="222">
        <f>SUM(L7:L32)</f>
        <v>0</v>
      </c>
      <c r="M34" s="129">
        <f>SUM(M7:M32)</f>
        <v>1387909</v>
      </c>
      <c r="N34" s="164"/>
    </row>
    <row r="35" spans="1:14" ht="13.5" thickBot="1">
      <c r="A35" s="189"/>
      <c r="B35" s="190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(10.3*1440)/1440*G42*2.77*1440/1000000</f>
        <v>55.665122240000009</v>
      </c>
      <c r="J37" s="134">
        <f>+I37+'21'!J37</f>
        <v>1505.1299454406405</v>
      </c>
      <c r="K37" s="135" t="s">
        <v>63</v>
      </c>
    </row>
    <row r="38" spans="1:14" ht="17.45" customHeight="1">
      <c r="A38" s="1013" t="s">
        <v>12</v>
      </c>
      <c r="B38" s="1014"/>
      <c r="C38" s="173">
        <f>SUMIF($G$7:$G$31,"Process",$F$7:$F$31)</f>
        <v>106</v>
      </c>
      <c r="D38" s="127">
        <f>+C38+'21'!D38</f>
        <v>1208</v>
      </c>
      <c r="E38" s="152">
        <f t="shared" ref="E38:E51" si="0">D38/60</f>
        <v>20.133333333333333</v>
      </c>
      <c r="F38" s="338">
        <v>1690.8333333333333</v>
      </c>
      <c r="G38" s="338">
        <v>1352.6666666666667</v>
      </c>
      <c r="H38" s="197" t="s">
        <v>64</v>
      </c>
      <c r="I38" s="554">
        <f>17.662+18.85+18.306</f>
        <v>54.817999999999998</v>
      </c>
      <c r="J38" s="136">
        <f>+I38+'21'!J38</f>
        <v>1414.0010000000002</v>
      </c>
      <c r="K38" s="137" t="s">
        <v>63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+C39+'21'!D39</f>
        <v>0</v>
      </c>
      <c r="E39" s="152">
        <f t="shared" si="0"/>
        <v>0</v>
      </c>
      <c r="F39" s="338">
        <v>1690</v>
      </c>
      <c r="G39" s="338">
        <v>1352</v>
      </c>
      <c r="H39" s="197" t="s">
        <v>65</v>
      </c>
      <c r="I39" s="151"/>
      <c r="J39" s="138">
        <f>J37/G4</f>
        <v>68.414997520029118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31</v>
      </c>
      <c r="D40" s="127">
        <f>+C40+'21'!D40</f>
        <v>95</v>
      </c>
      <c r="E40" s="152">
        <f t="shared" si="0"/>
        <v>1.5833333333333333</v>
      </c>
      <c r="F40" s="338">
        <v>1700</v>
      </c>
      <c r="G40" s="338">
        <v>1360</v>
      </c>
      <c r="H40" s="197" t="s">
        <v>67</v>
      </c>
      <c r="I40" s="127">
        <f>(K34+L34)/1000</f>
        <v>55.46</v>
      </c>
      <c r="J40" s="140">
        <f>+I40+'21'!J40</f>
        <v>1387.9089999999999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+C41+'21'!D41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63.086772727272724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+C42+'21'!D42</f>
        <v>0</v>
      </c>
      <c r="E42" s="152">
        <f t="shared" si="0"/>
        <v>0</v>
      </c>
      <c r="F42" s="338">
        <f>+(F38*480+F39*480+F40*480)/1440</f>
        <v>1693.6111111111111</v>
      </c>
      <c r="G42" s="338">
        <f>+(G38*480+G39*480+G40*480)/1440</f>
        <v>1354.8888888888889</v>
      </c>
      <c r="H42" s="197" t="s">
        <v>70</v>
      </c>
      <c r="I42" s="256" t="s">
        <v>713</v>
      </c>
      <c r="J42" s="141"/>
      <c r="K42" s="139" t="s">
        <v>71</v>
      </c>
    </row>
    <row r="43" spans="1:14" ht="17.45" customHeight="1">
      <c r="A43" s="1009" t="s">
        <v>202</v>
      </c>
      <c r="B43" s="1010"/>
      <c r="C43" s="173">
        <f>SUMIF($G$7:$G$31,"Change Grade",$F$7:$F$31)</f>
        <v>0</v>
      </c>
      <c r="D43" s="127">
        <f>+C43+'21'!D43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+Report1!T30</f>
        <v>129.59800000000001</v>
      </c>
      <c r="J43" s="142">
        <f>+I43+'21'!J43</f>
        <v>3142.6919999999996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+C44+'21'!D44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2.364150461527236</v>
      </c>
      <c r="J44" s="143">
        <f>J43/J38</f>
        <v>2.2225528836259656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+C45+'21'!D45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2.336783267219618</v>
      </c>
      <c r="J45" s="143">
        <f>J43/J40</f>
        <v>2.2643357741753962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+C46+'21'!D46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+SUMIF(Listrik!AR29,"&gt;0")</f>
        <v>55355.120000000061</v>
      </c>
      <c r="J46" s="144">
        <f>+I46+'21'!J46</f>
        <v>1183659.5399999998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+C47+'21'!D47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1009.7982414535383</v>
      </c>
      <c r="J47" s="144">
        <f>J46/J38</f>
        <v>837.09950700176284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+C48+'21'!D48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998.10890732059249</v>
      </c>
      <c r="J48" s="144">
        <f>J46/J40</f>
        <v>852.83656205125828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+C49+'21'!D49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+I49+'21'!J49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+C50+'21'!D50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+C51+'21'!D51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137</v>
      </c>
      <c r="D52" s="153">
        <f>SUM(D38:D51)</f>
        <v>2639</v>
      </c>
      <c r="E52" s="154">
        <f>SUM(E38:E51)</f>
        <v>43.983333333333334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9.5138888888888884E-2</v>
      </c>
      <c r="D53" s="155">
        <f>D52/(24*60*G4)</f>
        <v>8.3301767676767682E-2</v>
      </c>
      <c r="E53" s="156">
        <f>E52/(G4*24)</f>
        <v>8.3301767676767682E-2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+D34+'21'!J56</f>
        <v>19817</v>
      </c>
      <c r="K56" s="211">
        <f>J56/(J40+J56/1000)/1000</f>
        <v>1.4077313340806379E-2</v>
      </c>
    </row>
    <row r="57" spans="1:11">
      <c r="A57" s="186"/>
      <c r="I57" s="209" t="s">
        <v>89</v>
      </c>
      <c r="J57" s="210">
        <f>+E34+'21'!J57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710937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4.7109375" style="158" customWidth="1"/>
    <col min="14" max="16384" width="9.140625" style="158"/>
  </cols>
  <sheetData>
    <row r="1" spans="1:15" ht="15.75">
      <c r="A1" s="157"/>
    </row>
    <row r="2" spans="1:15" ht="15.75">
      <c r="A2" s="345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30</v>
      </c>
      <c r="G4" s="163">
        <v>21</v>
      </c>
      <c r="H4" s="163" t="str">
        <f>+'1'!H4</f>
        <v>.06.24</v>
      </c>
    </row>
    <row r="5" spans="1:15" ht="13.5" thickBot="1">
      <c r="C5" s="164"/>
      <c r="D5" s="164"/>
    </row>
    <row r="6" spans="1:15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199+202+199</f>
        <v>600</v>
      </c>
    </row>
    <row r="7" spans="1:15" ht="13.5" customHeight="1" thickBot="1">
      <c r="A7" s="1015" t="s">
        <v>449</v>
      </c>
      <c r="B7" s="225" t="s">
        <v>669</v>
      </c>
      <c r="C7" s="226">
        <v>19071</v>
      </c>
      <c r="D7" s="227"/>
      <c r="E7" s="228"/>
      <c r="F7" s="238"/>
      <c r="G7" s="239" t="s">
        <v>12</v>
      </c>
      <c r="H7" s="240" t="s">
        <v>277</v>
      </c>
      <c r="I7" s="1018" t="s">
        <v>699</v>
      </c>
      <c r="J7" s="343" t="str">
        <f>+'20'!J7</f>
        <v>F 13,5 VP OW</v>
      </c>
      <c r="K7" s="248"/>
      <c r="L7" s="252"/>
      <c r="M7" s="126">
        <f>+K7+'20'!M7+L7</f>
        <v>97821</v>
      </c>
    </row>
    <row r="8" spans="1:15" ht="13.5" thickBot="1">
      <c r="A8" s="1016"/>
      <c r="B8" s="225"/>
      <c r="C8" s="226"/>
      <c r="D8" s="227"/>
      <c r="E8" s="229"/>
      <c r="F8" s="241">
        <v>6</v>
      </c>
      <c r="G8" s="242" t="s">
        <v>12</v>
      </c>
      <c r="H8" s="240" t="s">
        <v>482</v>
      </c>
      <c r="I8" s="1019"/>
      <c r="J8" s="224" t="str">
        <f>+'20'!J8</f>
        <v>F 13 VP OW</v>
      </c>
      <c r="K8" s="249"/>
      <c r="L8" s="249"/>
      <c r="M8" s="126">
        <f>+K8+'20'!M8+L8</f>
        <v>71398</v>
      </c>
      <c r="N8" s="158">
        <v>1710</v>
      </c>
      <c r="O8" s="158">
        <f>+N8-N8*0.2</f>
        <v>1368</v>
      </c>
    </row>
    <row r="9" spans="1:15" ht="13.5" thickBot="1">
      <c r="A9" s="1016"/>
      <c r="B9" s="225"/>
      <c r="C9" s="226"/>
      <c r="D9" s="227"/>
      <c r="E9" s="230"/>
      <c r="F9" s="238">
        <v>12</v>
      </c>
      <c r="G9" s="242" t="s">
        <v>12</v>
      </c>
      <c r="H9" s="243" t="s">
        <v>538</v>
      </c>
      <c r="I9" s="1019"/>
      <c r="J9" s="224" t="str">
        <f>+'20'!J9</f>
        <v>MG 17 VP OW</v>
      </c>
      <c r="K9" s="249"/>
      <c r="L9" s="249"/>
      <c r="M9" s="126">
        <f>+K9+'20'!M9+L9</f>
        <v>43925</v>
      </c>
    </row>
    <row r="10" spans="1:15" ht="13.5" thickBot="1">
      <c r="A10" s="1016"/>
      <c r="B10" s="225"/>
      <c r="C10" s="226"/>
      <c r="D10" s="227"/>
      <c r="E10" s="229"/>
      <c r="F10" s="238"/>
      <c r="G10" s="242"/>
      <c r="H10" s="243" t="s">
        <v>697</v>
      </c>
      <c r="I10" s="1019"/>
      <c r="J10" s="224" t="str">
        <f>+'20'!J10</f>
        <v>MG 16,5 VP OW</v>
      </c>
      <c r="K10" s="249"/>
      <c r="L10" s="249"/>
      <c r="M10" s="126">
        <f>+K10+'20'!M10+L10</f>
        <v>226263</v>
      </c>
    </row>
    <row r="11" spans="1:15" ht="13.5" thickBot="1">
      <c r="A11" s="1016"/>
      <c r="B11" s="225"/>
      <c r="C11" s="226"/>
      <c r="D11" s="227"/>
      <c r="E11" s="229"/>
      <c r="F11" s="238"/>
      <c r="G11" s="242"/>
      <c r="H11" s="243"/>
      <c r="I11" s="1019"/>
      <c r="J11" s="224" t="str">
        <f>+'20'!J11</f>
        <v>MG 14 VP HW</v>
      </c>
      <c r="K11" s="249"/>
      <c r="L11" s="249"/>
      <c r="M11" s="126">
        <f>+K11+'20'!M11+L11</f>
        <v>160355</v>
      </c>
    </row>
    <row r="12" spans="1:15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+'20'!J12</f>
        <v>MG 17 VP HW</v>
      </c>
      <c r="K12" s="249"/>
      <c r="L12" s="249"/>
      <c r="M12" s="126">
        <f>+K12+'20'!M12+L12</f>
        <v>173331</v>
      </c>
    </row>
    <row r="13" spans="1:15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+'20'!J13</f>
        <v>MG 21 VP OW</v>
      </c>
      <c r="K13" s="249"/>
      <c r="L13" s="249"/>
      <c r="M13" s="126">
        <f>+K13+'20'!M13+L13</f>
        <v>117118</v>
      </c>
    </row>
    <row r="14" spans="1:15" ht="13.5" thickBot="1">
      <c r="A14" s="1017"/>
      <c r="B14" s="175" t="s">
        <v>2</v>
      </c>
      <c r="C14" s="108">
        <f>SUM(C7:C13)</f>
        <v>19071</v>
      </c>
      <c r="D14" s="120">
        <f>SUM(D7:D13)</f>
        <v>0</v>
      </c>
      <c r="E14" s="121">
        <f>SUM(E5:E13)</f>
        <v>0</v>
      </c>
      <c r="F14" s="125">
        <f>SUM(F7:F13)</f>
        <v>18</v>
      </c>
      <c r="G14" s="168"/>
      <c r="H14" s="176"/>
      <c r="I14" s="177"/>
      <c r="J14" s="224" t="str">
        <f>+'20'!J14</f>
        <v>MG 22 VP HW</v>
      </c>
      <c r="K14" s="249"/>
      <c r="L14" s="249"/>
      <c r="M14" s="126">
        <f>+K14+'20'!M14+L14</f>
        <v>13084</v>
      </c>
    </row>
    <row r="15" spans="1:15" ht="13.5" customHeight="1" thickBot="1">
      <c r="A15" s="1015" t="s">
        <v>693</v>
      </c>
      <c r="B15" s="175"/>
      <c r="C15" s="122"/>
      <c r="D15" s="123"/>
      <c r="E15" s="124"/>
      <c r="F15" s="238">
        <v>20</v>
      </c>
      <c r="G15" s="239" t="s">
        <v>12</v>
      </c>
      <c r="H15" s="240" t="s">
        <v>447</v>
      </c>
      <c r="I15" s="1018" t="s">
        <v>699</v>
      </c>
      <c r="J15" s="224" t="str">
        <f>+'20'!J15</f>
        <v>MG 16 VP HW</v>
      </c>
      <c r="K15" s="249"/>
      <c r="L15" s="249"/>
      <c r="M15" s="126">
        <f>+K15+'20'!M15+L15</f>
        <v>181308</v>
      </c>
    </row>
    <row r="16" spans="1:15" ht="13.5" thickBot="1">
      <c r="A16" s="1021"/>
      <c r="B16" s="225" t="s">
        <v>669</v>
      </c>
      <c r="C16" s="232">
        <v>18884</v>
      </c>
      <c r="D16" s="233"/>
      <c r="E16" s="234"/>
      <c r="F16" s="238">
        <v>7</v>
      </c>
      <c r="G16" s="242" t="s">
        <v>12</v>
      </c>
      <c r="H16" s="240" t="s">
        <v>482</v>
      </c>
      <c r="I16" s="1019"/>
      <c r="J16" s="224" t="str">
        <f>+'20'!J16</f>
        <v>MG 16,5 VP HW</v>
      </c>
      <c r="K16" s="249"/>
      <c r="L16" s="239"/>
      <c r="M16" s="126">
        <f>+K16+'20'!M16+L16</f>
        <v>11812</v>
      </c>
    </row>
    <row r="17" spans="1:14" ht="13.5" thickBot="1">
      <c r="A17" s="1021"/>
      <c r="B17" s="225"/>
      <c r="C17" s="226"/>
      <c r="D17" s="227"/>
      <c r="E17" s="235"/>
      <c r="F17" s="238">
        <v>10</v>
      </c>
      <c r="G17" s="242" t="s">
        <v>12</v>
      </c>
      <c r="H17" s="243" t="s">
        <v>420</v>
      </c>
      <c r="I17" s="1019"/>
      <c r="J17" s="224" t="str">
        <f>+'20'!J17</f>
        <v>F 10,3 VP OW</v>
      </c>
      <c r="K17" s="249">
        <f>+C34</f>
        <v>56616</v>
      </c>
      <c r="L17" s="239"/>
      <c r="M17" s="126">
        <f>+K17+'20'!M17+L17</f>
        <v>236034</v>
      </c>
    </row>
    <row r="18" spans="1:14" ht="13.5" thickBot="1">
      <c r="A18" s="1021"/>
      <c r="B18" s="225"/>
      <c r="C18" s="226"/>
      <c r="D18" s="227"/>
      <c r="E18" s="235"/>
      <c r="F18" s="238"/>
      <c r="G18" s="242"/>
      <c r="H18" s="243" t="s">
        <v>697</v>
      </c>
      <c r="I18" s="1019"/>
      <c r="J18" s="224">
        <f>+'20'!J18</f>
        <v>0</v>
      </c>
      <c r="K18" s="249"/>
      <c r="L18" s="249"/>
      <c r="M18" s="126">
        <f>+K18+'20'!M18+L18</f>
        <v>0</v>
      </c>
    </row>
    <row r="19" spans="1:14" ht="13.5" thickBot="1">
      <c r="A19" s="1021"/>
      <c r="B19" s="225"/>
      <c r="C19" s="226"/>
      <c r="D19" s="227"/>
      <c r="E19" s="235"/>
      <c r="F19" s="245"/>
      <c r="G19" s="242"/>
      <c r="H19" s="243"/>
      <c r="I19" s="1019"/>
      <c r="J19" s="224">
        <f>+'20'!J19</f>
        <v>0</v>
      </c>
      <c r="K19" s="249"/>
      <c r="L19" s="249"/>
      <c r="M19" s="126">
        <f>+K19+'20'!M19+L19</f>
        <v>0</v>
      </c>
    </row>
    <row r="20" spans="1:14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+'20'!J20</f>
        <v>0</v>
      </c>
      <c r="K20" s="249"/>
      <c r="L20" s="250"/>
      <c r="M20" s="126">
        <f>+K20+'20'!M20+L20</f>
        <v>0</v>
      </c>
    </row>
    <row r="21" spans="1:14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+'20'!J21</f>
        <v>0</v>
      </c>
      <c r="K21" s="249"/>
      <c r="L21" s="249"/>
      <c r="M21" s="126">
        <f>+K21+'20'!M21+L21</f>
        <v>0</v>
      </c>
    </row>
    <row r="22" spans="1:1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+'20'!J22</f>
        <v>0</v>
      </c>
      <c r="K22" s="249"/>
      <c r="L22" s="249"/>
      <c r="M22" s="126">
        <f>+K22+'20'!M22+L22</f>
        <v>0</v>
      </c>
    </row>
    <row r="23" spans="1:14" ht="13.5" thickBot="1">
      <c r="A23" s="1022"/>
      <c r="B23" s="178" t="s">
        <v>2</v>
      </c>
      <c r="C23" s="109">
        <f>SUM(C16:C22)</f>
        <v>18884</v>
      </c>
      <c r="D23" s="120">
        <f>SUM(D16:D22)</f>
        <v>0</v>
      </c>
      <c r="E23" s="121">
        <f>SUM(E18:E22)</f>
        <v>0</v>
      </c>
      <c r="F23" s="125">
        <f>SUM(F15:F22)</f>
        <v>37</v>
      </c>
      <c r="G23" s="168"/>
      <c r="H23" s="176" t="s">
        <v>234</v>
      </c>
      <c r="I23" s="179"/>
      <c r="J23" s="224">
        <f>+'20'!J23</f>
        <v>0</v>
      </c>
      <c r="K23" s="249"/>
      <c r="L23" s="249"/>
      <c r="M23" s="126">
        <f>+K23+'20'!M23+L23</f>
        <v>0</v>
      </c>
    </row>
    <row r="24" spans="1:14" ht="13.5" customHeight="1" thickBot="1">
      <c r="A24" s="1015" t="s">
        <v>620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699</v>
      </c>
      <c r="J24" s="224">
        <f>+'20'!J24</f>
        <v>0</v>
      </c>
      <c r="K24" s="249"/>
      <c r="L24" s="249"/>
      <c r="M24" s="126">
        <f>+K24+'20'!M24+L24</f>
        <v>0</v>
      </c>
    </row>
    <row r="25" spans="1:14" ht="13.5" thickBot="1">
      <c r="A25" s="1021"/>
      <c r="B25" s="225" t="s">
        <v>669</v>
      </c>
      <c r="C25" s="236">
        <v>18661</v>
      </c>
      <c r="D25" s="227"/>
      <c r="E25" s="235"/>
      <c r="F25" s="241">
        <v>8</v>
      </c>
      <c r="G25" s="242" t="s">
        <v>12</v>
      </c>
      <c r="H25" s="240" t="s">
        <v>482</v>
      </c>
      <c r="I25" s="1019"/>
      <c r="J25" s="224">
        <f>+'20'!J25</f>
        <v>0</v>
      </c>
      <c r="K25" s="249"/>
      <c r="L25" s="249"/>
      <c r="M25" s="126">
        <f>+K25+'20'!M25+L25</f>
        <v>0</v>
      </c>
    </row>
    <row r="26" spans="1:14" ht="13.5" thickBot="1">
      <c r="A26" s="1021"/>
      <c r="B26" s="225"/>
      <c r="C26" s="236"/>
      <c r="D26" s="227"/>
      <c r="E26" s="237"/>
      <c r="F26" s="241">
        <v>10</v>
      </c>
      <c r="G26" s="242" t="s">
        <v>12</v>
      </c>
      <c r="H26" s="243" t="s">
        <v>420</v>
      </c>
      <c r="I26" s="1019"/>
      <c r="J26" s="224">
        <f>+'20'!J26</f>
        <v>0</v>
      </c>
      <c r="K26" s="249"/>
      <c r="L26" s="249"/>
      <c r="M26" s="126">
        <f>+K26+'20'!M26+L26</f>
        <v>0</v>
      </c>
    </row>
    <row r="27" spans="1:14" ht="13.5" thickBot="1">
      <c r="A27" s="1021"/>
      <c r="B27" s="225"/>
      <c r="C27" s="226"/>
      <c r="D27" s="227"/>
      <c r="E27" s="235"/>
      <c r="F27" s="241"/>
      <c r="G27" s="242"/>
      <c r="H27" s="243" t="s">
        <v>697</v>
      </c>
      <c r="I27" s="1019"/>
      <c r="J27" s="224">
        <f>+'20'!J27</f>
        <v>0</v>
      </c>
      <c r="K27" s="249"/>
      <c r="L27" s="249"/>
      <c r="M27" s="126">
        <f>+K27+'20'!M27+L27</f>
        <v>0</v>
      </c>
    </row>
    <row r="28" spans="1:14" ht="13.5" thickBot="1">
      <c r="A28" s="1021"/>
      <c r="B28" s="225"/>
      <c r="C28" s="226"/>
      <c r="D28" s="227"/>
      <c r="E28" s="235"/>
      <c r="F28" s="241"/>
      <c r="G28" s="242"/>
      <c r="H28" s="243"/>
      <c r="I28" s="1019"/>
      <c r="J28" s="224">
        <f>+'20'!J28</f>
        <v>0</v>
      </c>
      <c r="K28" s="249"/>
      <c r="L28" s="249"/>
      <c r="M28" s="126">
        <f>+K28+'20'!M28+L28</f>
        <v>0</v>
      </c>
    </row>
    <row r="29" spans="1:14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+'20'!J29</f>
        <v>0</v>
      </c>
      <c r="K29" s="249"/>
      <c r="L29" s="249"/>
      <c r="M29" s="126">
        <f>+K29+'20'!M29+L29</f>
        <v>0</v>
      </c>
    </row>
    <row r="30" spans="1:1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+'20'!J30</f>
        <v>0</v>
      </c>
      <c r="K30" s="249"/>
      <c r="L30" s="249"/>
      <c r="M30" s="126">
        <f>+K30+'20'!M30+L30</f>
        <v>0</v>
      </c>
      <c r="N30" s="164"/>
    </row>
    <row r="31" spans="1:14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+'20'!J31</f>
        <v>0</v>
      </c>
      <c r="K31" s="249"/>
      <c r="L31" s="249"/>
      <c r="M31" s="126">
        <f>+K31+'20'!M31+L31</f>
        <v>0</v>
      </c>
    </row>
    <row r="32" spans="1:14" ht="13.5" thickBot="1">
      <c r="A32" s="1022"/>
      <c r="B32" s="175" t="s">
        <v>2</v>
      </c>
      <c r="C32" s="108">
        <f>SUM(C25:C31)</f>
        <v>18661</v>
      </c>
      <c r="D32" s="109">
        <f>SUM(D25:D31)</f>
        <v>0</v>
      </c>
      <c r="E32" s="110">
        <f>SUM(E25:E31)</f>
        <v>0</v>
      </c>
      <c r="F32" s="111">
        <f>SUM(F24:F31)</f>
        <v>18</v>
      </c>
      <c r="G32" s="181"/>
      <c r="H32" s="182"/>
      <c r="I32" s="179"/>
      <c r="J32" s="224">
        <f>+'20'!J32</f>
        <v>0</v>
      </c>
      <c r="K32" s="251"/>
      <c r="L32" s="253"/>
      <c r="M32" s="126">
        <f>+K32+'20'!M32+L32</f>
        <v>0</v>
      </c>
    </row>
    <row r="33" spans="1:14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56616</v>
      </c>
      <c r="D34" s="116">
        <f>D14+D23+D32</f>
        <v>0</v>
      </c>
      <c r="E34" s="116">
        <f>E14+E23+E32</f>
        <v>0</v>
      </c>
      <c r="F34" s="117">
        <f>F14+F23+F32</f>
        <v>73</v>
      </c>
      <c r="H34" s="188"/>
      <c r="I34" s="188"/>
      <c r="J34" s="132" t="s">
        <v>28</v>
      </c>
      <c r="K34" s="133">
        <f>SUM(K7:K32)</f>
        <v>56616</v>
      </c>
      <c r="L34" s="222">
        <f>SUM(L7:L32)</f>
        <v>0</v>
      </c>
      <c r="M34" s="129">
        <f>SUM(M7:M32)</f>
        <v>1332449</v>
      </c>
      <c r="N34" s="164"/>
    </row>
    <row r="35" spans="1:14" ht="13.5" thickBot="1">
      <c r="A35" s="189"/>
      <c r="B35" s="190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(10.3*1440)/1440*G42*2.77*1440/1000000</f>
        <v>56.203787520000006</v>
      </c>
      <c r="J37" s="134">
        <f>+I37+'20'!J37</f>
        <v>1449.4648232006405</v>
      </c>
      <c r="K37" s="135" t="s">
        <v>63</v>
      </c>
      <c r="L37" s="566"/>
    </row>
    <row r="38" spans="1:14" ht="17.45" customHeight="1">
      <c r="A38" s="1013" t="s">
        <v>12</v>
      </c>
      <c r="B38" s="1014"/>
      <c r="C38" s="173">
        <f>SUMIF($G$7:$G$31,"Process",$F$7:$F$31)</f>
        <v>73</v>
      </c>
      <c r="D38" s="127">
        <f>+C38+'20'!D38</f>
        <v>1102</v>
      </c>
      <c r="E38" s="152">
        <f t="shared" ref="E38:E51" si="0">D38/60</f>
        <v>18.366666666666667</v>
      </c>
      <c r="F38" s="338">
        <v>1710</v>
      </c>
      <c r="G38" s="338">
        <f>+F38-F38*0.2</f>
        <v>1368</v>
      </c>
      <c r="H38" s="197" t="s">
        <v>64</v>
      </c>
      <c r="I38" s="255">
        <f>19.091+18.581+18.616</f>
        <v>56.287999999999997</v>
      </c>
      <c r="J38" s="136">
        <f>+I38+'20'!J38</f>
        <v>1359.1830000000002</v>
      </c>
      <c r="K38" s="137" t="s">
        <v>63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+C39+'20'!D39</f>
        <v>0</v>
      </c>
      <c r="E39" s="152">
        <f t="shared" si="0"/>
        <v>0</v>
      </c>
      <c r="F39" s="338">
        <v>1710</v>
      </c>
      <c r="G39" s="338">
        <f>+F39-F39*0.2</f>
        <v>1368</v>
      </c>
      <c r="H39" s="197" t="s">
        <v>65</v>
      </c>
      <c r="I39" s="151"/>
      <c r="J39" s="138">
        <f>J37/G4</f>
        <v>69.022134438125732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+C40+'20'!D40</f>
        <v>64</v>
      </c>
      <c r="E40" s="152">
        <f t="shared" si="0"/>
        <v>1.0666666666666667</v>
      </c>
      <c r="F40" s="338">
        <v>1710</v>
      </c>
      <c r="G40" s="338">
        <f>+F40-F40*0.2</f>
        <v>1368</v>
      </c>
      <c r="H40" s="197" t="s">
        <v>67</v>
      </c>
      <c r="I40" s="127">
        <f>(K34+L34)/1000</f>
        <v>56.616</v>
      </c>
      <c r="J40" s="140">
        <f>+I40+'20'!J40</f>
        <v>1332.4489999999998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+C41+'20'!D41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63.449952380952375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+C42+'20'!D42</f>
        <v>0</v>
      </c>
      <c r="E42" s="152">
        <f t="shared" si="0"/>
        <v>0</v>
      </c>
      <c r="F42" s="338">
        <f>+(F38*480+F39*480+F40*480)/1440</f>
        <v>1710</v>
      </c>
      <c r="G42" s="338">
        <f>+(G38*480+G39*480+G40*480)/1440</f>
        <v>1368</v>
      </c>
      <c r="H42" s="197" t="s">
        <v>70</v>
      </c>
      <c r="I42" s="256" t="s">
        <v>699</v>
      </c>
      <c r="J42" s="141"/>
      <c r="K42" s="139" t="s">
        <v>71</v>
      </c>
    </row>
    <row r="43" spans="1:14" ht="17.45" customHeight="1">
      <c r="A43" s="1009" t="s">
        <v>202</v>
      </c>
      <c r="B43" s="1010"/>
      <c r="C43" s="173">
        <f>SUMIF($G$7:$G$31,"Change Grade",$F$7:$F$31)</f>
        <v>0</v>
      </c>
      <c r="D43" s="127">
        <f>+C43+'20'!D43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+Report1!T29</f>
        <v>128.596</v>
      </c>
      <c r="J43" s="142">
        <f>+I43+'20'!J43</f>
        <v>3013.0939999999996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+C44+'20'!D44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2.2846077316657194</v>
      </c>
      <c r="J44" s="143">
        <f>J43/J38</f>
        <v>2.2168420293661701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+C45+'20'!D45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2.2713720503038011</v>
      </c>
      <c r="J45" s="143">
        <f>J43/J40</f>
        <v>2.2613203207027062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+C46+'20'!D46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+SUMIF(Listrik!AR28,"&gt;0")</f>
        <v>55241.899999999565</v>
      </c>
      <c r="J46" s="144">
        <f>+I46+'20'!J46</f>
        <v>1128304.4199999997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+C47+'20'!D47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981.41522171687689</v>
      </c>
      <c r="J47" s="144">
        <f>J46/J38</f>
        <v>830.13429391038551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+C48+'20'!D48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975.72947576656009</v>
      </c>
      <c r="J48" s="144">
        <f>J46/J40</f>
        <v>846.78994843329826</v>
      </c>
      <c r="K48" s="139" t="s">
        <v>24</v>
      </c>
    </row>
    <row r="49" spans="1:11" ht="17.45" customHeight="1">
      <c r="A49" s="1027" t="s">
        <v>20</v>
      </c>
      <c r="B49" s="1010"/>
      <c r="C49" s="173">
        <f>SUMIF($G$7:$G$31,"Others",$F$7:$F$31)</f>
        <v>0</v>
      </c>
      <c r="D49" s="127">
        <f>+C49+'20'!D49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+I49+'20'!J49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+C50+'20'!D50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+C51+'20'!D51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73</v>
      </c>
      <c r="D52" s="153">
        <f>SUM(D38:D51)</f>
        <v>2502</v>
      </c>
      <c r="E52" s="154">
        <f>SUM(E38:E51)</f>
        <v>41.7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5.0694444444444445E-2</v>
      </c>
      <c r="D53" s="155">
        <f>D52/(24*60*G4)</f>
        <v>8.2738095238095236E-2</v>
      </c>
      <c r="E53" s="156">
        <f>E52/(G4*24)</f>
        <v>8.2738095238095249E-2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+D34+'20'!J56</f>
        <v>19817</v>
      </c>
      <c r="K56" s="211">
        <f>J56/(J40+J56/1000)/1000</f>
        <v>1.4654661139154576E-2</v>
      </c>
    </row>
    <row r="57" spans="1:11">
      <c r="A57" s="186"/>
      <c r="I57" s="209" t="s">
        <v>89</v>
      </c>
      <c r="J57" s="210">
        <f>+E34+'20'!J57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topLeftCell="A13" zoomScale="80" zoomScaleNormal="80" workbookViewId="0">
      <selection activeCell="F42" sqref="F42:G4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5.42578125" style="158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30</v>
      </c>
      <c r="G4" s="163">
        <v>20</v>
      </c>
      <c r="H4" s="163" t="str">
        <f>+'1'!H4</f>
        <v>.06.24</v>
      </c>
    </row>
    <row r="5" spans="1:15" ht="13.5" thickBot="1">
      <c r="C5" s="164"/>
      <c r="D5" s="164"/>
    </row>
    <row r="6" spans="1:15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210+195+195</f>
        <v>600</v>
      </c>
    </row>
    <row r="7" spans="1:15" ht="13.5" customHeight="1" thickBot="1">
      <c r="A7" s="1015" t="s">
        <v>657</v>
      </c>
      <c r="B7" s="225" t="s">
        <v>669</v>
      </c>
      <c r="C7" s="226">
        <v>17941</v>
      </c>
      <c r="D7" s="227">
        <v>1280</v>
      </c>
      <c r="E7" s="228"/>
      <c r="F7" s="238">
        <v>15</v>
      </c>
      <c r="G7" s="239" t="s">
        <v>12</v>
      </c>
      <c r="H7" s="240" t="s">
        <v>492</v>
      </c>
      <c r="I7" s="1018" t="s">
        <v>698</v>
      </c>
      <c r="J7" s="224" t="str">
        <f>+'19'!J7</f>
        <v>F 13,5 VP OW</v>
      </c>
      <c r="K7" s="248"/>
      <c r="L7" s="252"/>
      <c r="M7" s="126">
        <f>+K7+'19'!M7+L7</f>
        <v>97821</v>
      </c>
    </row>
    <row r="8" spans="1:15" ht="13.5" thickBot="1">
      <c r="A8" s="1016"/>
      <c r="B8" s="225"/>
      <c r="C8" s="226"/>
      <c r="D8" s="227"/>
      <c r="E8" s="229"/>
      <c r="F8" s="241">
        <v>5</v>
      </c>
      <c r="G8" s="242" t="s">
        <v>12</v>
      </c>
      <c r="H8" s="240" t="s">
        <v>483</v>
      </c>
      <c r="I8" s="1019"/>
      <c r="J8" s="224" t="str">
        <f>+'19'!J8</f>
        <v>F 13 VP OW</v>
      </c>
      <c r="K8" s="249"/>
      <c r="L8" s="249"/>
      <c r="M8" s="126">
        <f>+K8+'19'!M8+L8</f>
        <v>71398</v>
      </c>
    </row>
    <row r="9" spans="1:15" ht="13.5" thickBot="1">
      <c r="A9" s="1016"/>
      <c r="B9" s="225"/>
      <c r="C9" s="226"/>
      <c r="D9" s="227"/>
      <c r="E9" s="230"/>
      <c r="F9" s="238">
        <v>10</v>
      </c>
      <c r="G9" s="242" t="s">
        <v>12</v>
      </c>
      <c r="H9" s="243" t="s">
        <v>420</v>
      </c>
      <c r="I9" s="1019"/>
      <c r="J9" s="224" t="str">
        <f>+'19'!J9</f>
        <v>MG 17 VP OW</v>
      </c>
      <c r="K9" s="249"/>
      <c r="L9" s="249"/>
      <c r="M9" s="126">
        <f>+K9+'19'!M9+L9</f>
        <v>43925</v>
      </c>
      <c r="N9" s="158">
        <v>1730</v>
      </c>
      <c r="O9" s="158">
        <f>+N9-N9*0.2</f>
        <v>1384</v>
      </c>
    </row>
    <row r="10" spans="1:15" ht="13.5" thickBot="1">
      <c r="A10" s="1016"/>
      <c r="B10" s="225"/>
      <c r="C10" s="226"/>
      <c r="D10" s="227"/>
      <c r="E10" s="229"/>
      <c r="F10" s="238"/>
      <c r="G10" s="242"/>
      <c r="H10" s="243" t="s">
        <v>695</v>
      </c>
      <c r="I10" s="1019"/>
      <c r="J10" s="224" t="str">
        <f>+'19'!J10</f>
        <v>MG 16,5 VP OW</v>
      </c>
      <c r="K10" s="249"/>
      <c r="L10" s="249"/>
      <c r="M10" s="126">
        <f>+K10+'19'!M10+L10</f>
        <v>226263</v>
      </c>
      <c r="N10" s="158">
        <v>1710</v>
      </c>
      <c r="O10" s="158">
        <f>+N10-N10*0.2</f>
        <v>1368</v>
      </c>
    </row>
    <row r="11" spans="1:15" ht="26.25" thickBot="1">
      <c r="A11" s="1016"/>
      <c r="B11" s="225"/>
      <c r="C11" s="226"/>
      <c r="D11" s="227"/>
      <c r="E11" s="229"/>
      <c r="F11" s="238"/>
      <c r="G11" s="242"/>
      <c r="H11" s="243" t="s">
        <v>696</v>
      </c>
      <c r="I11" s="1019"/>
      <c r="J11" s="224" t="str">
        <f>+'19'!J11</f>
        <v>MG 14 VP HW</v>
      </c>
      <c r="K11" s="249"/>
      <c r="L11" s="249"/>
      <c r="M11" s="126">
        <f>+K11+'19'!M11+L11</f>
        <v>160355</v>
      </c>
      <c r="N11" s="158">
        <v>1710</v>
      </c>
      <c r="O11" s="158">
        <f>+N11-N11*0.2</f>
        <v>1368</v>
      </c>
    </row>
    <row r="12" spans="1:15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+'19'!J12</f>
        <v>MG 17 VP HW</v>
      </c>
      <c r="K12" s="249"/>
      <c r="L12" s="249"/>
      <c r="M12" s="126">
        <f>+K12+'19'!M12+L12</f>
        <v>173331</v>
      </c>
    </row>
    <row r="13" spans="1:15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+'19'!J13</f>
        <v>MG 21 VP OW</v>
      </c>
      <c r="K13" s="249"/>
      <c r="L13" s="249"/>
      <c r="M13" s="126">
        <f>+K13+'19'!M13+L13</f>
        <v>117118</v>
      </c>
    </row>
    <row r="14" spans="1:15" ht="13.5" thickBot="1">
      <c r="A14" s="1017"/>
      <c r="B14" s="175" t="s">
        <v>2</v>
      </c>
      <c r="C14" s="108">
        <f>SUM(C7:C13)</f>
        <v>17941</v>
      </c>
      <c r="D14" s="120">
        <f>SUM(D7:D13)</f>
        <v>1280</v>
      </c>
      <c r="E14" s="121">
        <f>SUM(E5:E13)</f>
        <v>0</v>
      </c>
      <c r="F14" s="125">
        <f>SUM(F7:F13)</f>
        <v>30</v>
      </c>
      <c r="G14" s="168"/>
      <c r="H14" s="176"/>
      <c r="I14" s="177"/>
      <c r="J14" s="224" t="str">
        <f>+'19'!J14</f>
        <v>MG 22 VP HW</v>
      </c>
      <c r="K14" s="249"/>
      <c r="L14" s="249"/>
      <c r="M14" s="126">
        <f>+K14+'19'!M14+L14</f>
        <v>13084</v>
      </c>
    </row>
    <row r="15" spans="1:15" ht="13.5" customHeight="1" thickBot="1">
      <c r="A15" s="1015" t="s">
        <v>693</v>
      </c>
      <c r="B15" s="175"/>
      <c r="C15" s="122"/>
      <c r="D15" s="123"/>
      <c r="E15" s="124"/>
      <c r="F15" s="238">
        <v>10</v>
      </c>
      <c r="G15" s="239" t="s">
        <v>12</v>
      </c>
      <c r="H15" s="240" t="s">
        <v>522</v>
      </c>
      <c r="I15" s="1018" t="s">
        <v>699</v>
      </c>
      <c r="J15" s="224" t="str">
        <f>+'19'!J15</f>
        <v>MG 16 VP HW</v>
      </c>
      <c r="K15" s="249"/>
      <c r="L15" s="249"/>
      <c r="M15" s="126">
        <f>+K15+'19'!M15+L15</f>
        <v>181308</v>
      </c>
    </row>
    <row r="16" spans="1:15" ht="13.5" thickBot="1">
      <c r="A16" s="1021"/>
      <c r="B16" s="225" t="s">
        <v>669</v>
      </c>
      <c r="C16" s="232">
        <v>18747</v>
      </c>
      <c r="D16" s="233"/>
      <c r="E16" s="234"/>
      <c r="F16" s="238">
        <v>4</v>
      </c>
      <c r="G16" s="242" t="s">
        <v>12</v>
      </c>
      <c r="H16" s="240" t="s">
        <v>482</v>
      </c>
      <c r="I16" s="1019"/>
      <c r="J16" s="224" t="str">
        <f>+'19'!J16</f>
        <v>MG 16,5 VP HW</v>
      </c>
      <c r="K16" s="249"/>
      <c r="L16" s="239"/>
      <c r="M16" s="126">
        <f>+K16+'19'!M16+L16</f>
        <v>11812</v>
      </c>
    </row>
    <row r="17" spans="1:14" ht="13.5" thickBot="1">
      <c r="A17" s="1021"/>
      <c r="B17" s="225"/>
      <c r="C17" s="226"/>
      <c r="D17" s="227"/>
      <c r="E17" s="235"/>
      <c r="F17" s="238">
        <v>10</v>
      </c>
      <c r="G17" s="242" t="s">
        <v>12</v>
      </c>
      <c r="H17" s="243" t="s">
        <v>493</v>
      </c>
      <c r="I17" s="1019"/>
      <c r="J17" s="224" t="str">
        <f>+'19'!J17</f>
        <v>F 10,3 VP OW</v>
      </c>
      <c r="K17" s="249">
        <f>+C34</f>
        <v>55423</v>
      </c>
      <c r="L17" s="239"/>
      <c r="M17" s="126">
        <f>+K17+'19'!M17+L17</f>
        <v>179418</v>
      </c>
    </row>
    <row r="18" spans="1:14" ht="13.5" thickBot="1">
      <c r="A18" s="1021"/>
      <c r="B18" s="225"/>
      <c r="C18" s="226"/>
      <c r="D18" s="227"/>
      <c r="E18" s="235"/>
      <c r="F18" s="238"/>
      <c r="G18" s="242"/>
      <c r="H18" s="243" t="s">
        <v>697</v>
      </c>
      <c r="I18" s="1019"/>
      <c r="J18" s="224">
        <f>+'19'!J18</f>
        <v>0</v>
      </c>
      <c r="K18" s="249"/>
      <c r="L18" s="249"/>
      <c r="M18" s="126">
        <f>+K18+'19'!M18+L18</f>
        <v>0</v>
      </c>
    </row>
    <row r="19" spans="1:14" ht="13.5" thickBot="1">
      <c r="A19" s="1021"/>
      <c r="B19" s="225"/>
      <c r="C19" s="226"/>
      <c r="D19" s="227"/>
      <c r="E19" s="235"/>
      <c r="F19" s="245"/>
      <c r="G19" s="242"/>
      <c r="H19" s="243"/>
      <c r="I19" s="1019"/>
      <c r="J19" s="224">
        <f>+'19'!J19</f>
        <v>0</v>
      </c>
      <c r="K19" s="249"/>
      <c r="L19" s="249"/>
      <c r="M19" s="126">
        <f>+K19+'19'!M19+L19</f>
        <v>0</v>
      </c>
    </row>
    <row r="20" spans="1:14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+'19'!J20</f>
        <v>0</v>
      </c>
      <c r="K20" s="250"/>
      <c r="L20" s="250"/>
      <c r="M20" s="126">
        <f>+K20+'19'!M20+L20</f>
        <v>0</v>
      </c>
    </row>
    <row r="21" spans="1:14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+'19'!J21</f>
        <v>0</v>
      </c>
      <c r="K21" s="250"/>
      <c r="L21" s="249"/>
      <c r="M21" s="126">
        <f>+K21+'19'!M21+L21</f>
        <v>0</v>
      </c>
    </row>
    <row r="22" spans="1:1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+'19'!J22</f>
        <v>0</v>
      </c>
      <c r="K22" s="250"/>
      <c r="L22" s="249"/>
      <c r="M22" s="126">
        <f>+K22+'19'!M22+L22</f>
        <v>0</v>
      </c>
    </row>
    <row r="23" spans="1:14" ht="13.5" thickBot="1">
      <c r="A23" s="1022"/>
      <c r="B23" s="178" t="s">
        <v>2</v>
      </c>
      <c r="C23" s="109">
        <f>SUM(C16:C22)</f>
        <v>18747</v>
      </c>
      <c r="D23" s="120">
        <f>SUM(D16:D22)</f>
        <v>0</v>
      </c>
      <c r="E23" s="121">
        <f>SUM(E18:E22)</f>
        <v>0</v>
      </c>
      <c r="F23" s="125">
        <f>SUM(F15:F22)</f>
        <v>24</v>
      </c>
      <c r="G23" s="168"/>
      <c r="H23" s="176" t="s">
        <v>234</v>
      </c>
      <c r="I23" s="179"/>
      <c r="J23" s="224">
        <f>+'19'!J23</f>
        <v>0</v>
      </c>
      <c r="K23" s="250"/>
      <c r="L23" s="249"/>
      <c r="M23" s="126">
        <f>+K23+'19'!M23+L23</f>
        <v>0</v>
      </c>
    </row>
    <row r="24" spans="1:14" ht="13.5" customHeight="1" thickBot="1">
      <c r="A24" s="1015" t="s">
        <v>620</v>
      </c>
      <c r="B24" s="180"/>
      <c r="C24" s="122"/>
      <c r="D24" s="123"/>
      <c r="E24" s="124"/>
      <c r="F24" s="246">
        <v>25</v>
      </c>
      <c r="G24" s="239" t="s">
        <v>12</v>
      </c>
      <c r="H24" s="240" t="s">
        <v>484</v>
      </c>
      <c r="I24" s="1018" t="s">
        <v>699</v>
      </c>
      <c r="J24" s="224">
        <f>+'19'!J24</f>
        <v>0</v>
      </c>
      <c r="K24" s="250"/>
      <c r="L24" s="249"/>
      <c r="M24" s="126">
        <f>+K24+'19'!M24+L24</f>
        <v>0</v>
      </c>
    </row>
    <row r="25" spans="1:14" ht="13.5" thickBot="1">
      <c r="A25" s="1021"/>
      <c r="B25" s="225" t="s">
        <v>669</v>
      </c>
      <c r="C25" s="236">
        <v>18735</v>
      </c>
      <c r="D25" s="227"/>
      <c r="E25" s="235"/>
      <c r="F25" s="241">
        <v>9</v>
      </c>
      <c r="G25" s="242" t="s">
        <v>12</v>
      </c>
      <c r="H25" s="240" t="s">
        <v>491</v>
      </c>
      <c r="I25" s="1019"/>
      <c r="J25" s="224">
        <f>+'19'!J25</f>
        <v>0</v>
      </c>
      <c r="K25" s="250"/>
      <c r="L25" s="249"/>
      <c r="M25" s="126">
        <f>+K25+'19'!M25+L25</f>
        <v>0</v>
      </c>
    </row>
    <row r="26" spans="1:14" ht="13.5" thickBot="1">
      <c r="A26" s="1021"/>
      <c r="B26" s="225"/>
      <c r="C26" s="236"/>
      <c r="D26" s="227"/>
      <c r="E26" s="237"/>
      <c r="F26" s="241">
        <v>10</v>
      </c>
      <c r="G26" s="242" t="s">
        <v>12</v>
      </c>
      <c r="H26" s="243" t="s">
        <v>420</v>
      </c>
      <c r="I26" s="1019"/>
      <c r="J26" s="224">
        <f>+'19'!J26</f>
        <v>0</v>
      </c>
      <c r="K26" s="250"/>
      <c r="L26" s="249"/>
      <c r="M26" s="126">
        <f>+K26+'19'!M26+L26</f>
        <v>0</v>
      </c>
    </row>
    <row r="27" spans="1:14" ht="13.5" thickBot="1">
      <c r="A27" s="1021"/>
      <c r="B27" s="225"/>
      <c r="C27" s="226"/>
      <c r="D27" s="227"/>
      <c r="E27" s="235"/>
      <c r="F27" s="241"/>
      <c r="G27" s="242"/>
      <c r="H27" s="243" t="s">
        <v>697</v>
      </c>
      <c r="I27" s="1019"/>
      <c r="J27" s="224">
        <f>+'19'!J27</f>
        <v>0</v>
      </c>
      <c r="K27" s="249"/>
      <c r="L27" s="249"/>
      <c r="M27" s="126">
        <f>+K27+'19'!M27+L27</f>
        <v>0</v>
      </c>
    </row>
    <row r="28" spans="1:14" ht="13.5" thickBot="1">
      <c r="A28" s="1021"/>
      <c r="B28" s="225"/>
      <c r="C28" s="226"/>
      <c r="D28" s="227"/>
      <c r="E28" s="235"/>
      <c r="F28" s="241"/>
      <c r="G28" s="242"/>
      <c r="H28" s="243"/>
      <c r="I28" s="1019"/>
      <c r="J28" s="224">
        <f>+'19'!J28</f>
        <v>0</v>
      </c>
      <c r="K28" s="249"/>
      <c r="L28" s="249"/>
      <c r="M28" s="126">
        <f>+K28+'19'!M28+L28</f>
        <v>0</v>
      </c>
    </row>
    <row r="29" spans="1:14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+'19'!J29</f>
        <v>0</v>
      </c>
      <c r="K29" s="249"/>
      <c r="L29" s="249"/>
      <c r="M29" s="126">
        <f>+K29+'19'!M29+L29</f>
        <v>0</v>
      </c>
    </row>
    <row r="30" spans="1:1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+'19'!J30</f>
        <v>0</v>
      </c>
      <c r="K30" s="249"/>
      <c r="L30" s="249"/>
      <c r="M30" s="126">
        <f>+K30+'19'!M30+L30</f>
        <v>0</v>
      </c>
      <c r="N30" s="164"/>
    </row>
    <row r="31" spans="1:14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+'19'!J31</f>
        <v>0</v>
      </c>
      <c r="K31" s="249"/>
      <c r="L31" s="249"/>
      <c r="M31" s="126">
        <f>+K31+'19'!M31+L31</f>
        <v>0</v>
      </c>
    </row>
    <row r="32" spans="1:14" ht="13.5" thickBot="1">
      <c r="A32" s="1022"/>
      <c r="B32" s="175" t="s">
        <v>2</v>
      </c>
      <c r="C32" s="108">
        <f>SUM(C25:C31)</f>
        <v>18735</v>
      </c>
      <c r="D32" s="109">
        <f>SUM(D25:D31)</f>
        <v>0</v>
      </c>
      <c r="E32" s="110">
        <f>SUM(E25:E31)</f>
        <v>0</v>
      </c>
      <c r="F32" s="111">
        <f>SUM(F24:F31)</f>
        <v>44</v>
      </c>
      <c r="G32" s="181"/>
      <c r="H32" s="182"/>
      <c r="I32" s="179"/>
      <c r="J32" s="224">
        <f>+'19'!J32</f>
        <v>0</v>
      </c>
      <c r="K32" s="251"/>
      <c r="L32" s="253"/>
      <c r="M32" s="126">
        <f>+K32+'19'!M32+L32</f>
        <v>0</v>
      </c>
    </row>
    <row r="33" spans="1:14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55423</v>
      </c>
      <c r="D34" s="116">
        <f>D14+D23+D32</f>
        <v>1280</v>
      </c>
      <c r="E34" s="116">
        <f>E14+E23+E32</f>
        <v>0</v>
      </c>
      <c r="F34" s="117">
        <f>F14+F23+F32</f>
        <v>98</v>
      </c>
      <c r="H34" s="188"/>
      <c r="I34" s="188"/>
      <c r="J34" s="132" t="s">
        <v>28</v>
      </c>
      <c r="K34" s="133">
        <f>SUM(K7:K32)</f>
        <v>55423</v>
      </c>
      <c r="L34" s="222">
        <f>SUM(L7:L32)</f>
        <v>0</v>
      </c>
      <c r="M34" s="129">
        <f>SUM(M7:M32)</f>
        <v>1275833</v>
      </c>
      <c r="N34" s="164"/>
    </row>
    <row r="35" spans="1:14" ht="13.5" thickBot="1">
      <c r="A35" s="189"/>
      <c r="B35" s="190"/>
      <c r="C35" s="113">
        <f>C34/($C$34+$D$34+$E$34)</f>
        <v>0.97742623847062771</v>
      </c>
      <c r="D35" s="113">
        <f>D34/($C$34+$D$34+$E$34)</f>
        <v>2.2573761529372342E-2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(10.3*1440)/1440*G42*2.77*1440/1000000</f>
        <v>56.4229056</v>
      </c>
      <c r="J37" s="134">
        <f>+I37+'19'!J37</f>
        <v>1393.2610356806404</v>
      </c>
      <c r="K37" s="135" t="s">
        <v>63</v>
      </c>
    </row>
    <row r="38" spans="1:14" ht="17.45" customHeight="1">
      <c r="A38" s="1013" t="s">
        <v>12</v>
      </c>
      <c r="B38" s="1014"/>
      <c r="C38" s="173">
        <f>SUMIF($G$7:$G$31,"Process",$F$7:$F$31)</f>
        <v>98</v>
      </c>
      <c r="D38" s="127">
        <f>+C38+'19'!D38</f>
        <v>1029</v>
      </c>
      <c r="E38" s="152">
        <f t="shared" ref="E38:E51" si="0">D38/60</f>
        <v>17.149999999999999</v>
      </c>
      <c r="F38" s="338">
        <v>1730</v>
      </c>
      <c r="G38" s="338">
        <f>+F38-F38*0.2</f>
        <v>1384</v>
      </c>
      <c r="H38" s="197" t="s">
        <v>64</v>
      </c>
      <c r="I38" s="554">
        <f>16.402+18.418+18.715</f>
        <v>53.534999999999997</v>
      </c>
      <c r="J38" s="136">
        <f>+I38+'19'!J38</f>
        <v>1302.8950000000002</v>
      </c>
      <c r="K38" s="137" t="s">
        <v>63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+C39+'19'!D39</f>
        <v>0</v>
      </c>
      <c r="E39" s="152">
        <f t="shared" si="0"/>
        <v>0</v>
      </c>
      <c r="F39" s="338">
        <v>1710</v>
      </c>
      <c r="G39" s="338">
        <f>+F39-F39*0.2</f>
        <v>1368</v>
      </c>
      <c r="H39" s="197" t="s">
        <v>65</v>
      </c>
      <c r="I39" s="151"/>
      <c r="J39" s="138">
        <f>J37/G4</f>
        <v>69.663051784032021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+C40+'19'!D40</f>
        <v>64</v>
      </c>
      <c r="E40" s="152">
        <f t="shared" si="0"/>
        <v>1.0666666666666667</v>
      </c>
      <c r="F40" s="338">
        <v>1710</v>
      </c>
      <c r="G40" s="338">
        <f>+F40-F40*0.2</f>
        <v>1368</v>
      </c>
      <c r="H40" s="197" t="s">
        <v>67</v>
      </c>
      <c r="I40" s="127">
        <f>(K34+L34)/1000</f>
        <v>55.423000000000002</v>
      </c>
      <c r="J40" s="140">
        <f>+I40+'19'!J40</f>
        <v>1275.8329999999999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+C41+'19'!D41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63.79164999999999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+C42+'19'!D42</f>
        <v>0</v>
      </c>
      <c r="E42" s="152">
        <f t="shared" si="0"/>
        <v>0</v>
      </c>
      <c r="F42" s="338">
        <f>+(F38*480+F39*480+F40*480)/1440</f>
        <v>1716.6666666666667</v>
      </c>
      <c r="G42" s="338">
        <f>+(G38*480+G39*480+G40*480)/1440</f>
        <v>1373.3333333333333</v>
      </c>
      <c r="H42" s="197" t="s">
        <v>70</v>
      </c>
      <c r="I42" s="256" t="s">
        <v>700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+C43+'19'!D43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+Report1!T28</f>
        <v>122.39699999999999</v>
      </c>
      <c r="J43" s="142">
        <f>+I43+'19'!J43</f>
        <v>2884.4979999999996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+C44+'19'!D44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2.2862986831045111</v>
      </c>
      <c r="J44" s="143">
        <f>J43/J38</f>
        <v>2.2139143983206622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+C45+'19'!D45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2.2084152788553486</v>
      </c>
      <c r="J45" s="143">
        <f>J43/J40</f>
        <v>2.2608742680272416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+C46+'19'!D46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+SUMIF(Listrik!AR27,"&gt;0")</f>
        <v>58276.800000003423</v>
      </c>
      <c r="J46" s="144">
        <f>+I46+'19'!J46</f>
        <v>1073062.52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+C47+'19'!D47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1088.5738302046032</v>
      </c>
      <c r="J47" s="144">
        <f>J46/J38</f>
        <v>823.59861692615277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+C48+'19'!D48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1051.4912581419883</v>
      </c>
      <c r="J48" s="144">
        <f>J46/J40</f>
        <v>841.06816487737831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+C49+'19'!D49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+I49+'19'!J49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+C50+'19'!D50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+C51+'19'!D51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98</v>
      </c>
      <c r="D52" s="153">
        <f>SUM(D38:D51)</f>
        <v>2429</v>
      </c>
      <c r="E52" s="154">
        <f>SUM(E38:E51)</f>
        <v>40.483333333333334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6.805555555555555E-2</v>
      </c>
      <c r="D53" s="155">
        <f>D52/(24*60*G4)</f>
        <v>8.4340277777777778E-2</v>
      </c>
      <c r="E53" s="156">
        <f>E52/(G4*24)</f>
        <v>8.4340277777777778E-2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+D34+'19'!J56</f>
        <v>19817</v>
      </c>
      <c r="K56" s="211">
        <f>J56/(J40+J56/1000)/1000</f>
        <v>1.5295025662794738E-2</v>
      </c>
    </row>
    <row r="57" spans="1:11">
      <c r="A57" s="186"/>
      <c r="I57" s="209" t="s">
        <v>89</v>
      </c>
      <c r="J57" s="210">
        <f>+E34+'19'!J57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39027777777777778" bottom="0.59027777777777779" header="0" footer="0"/>
  <pageSetup paperSize="9" scale="61" firstPageNumber="4294963191" orientation="landscape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8" customWidth="1"/>
    <col min="2" max="2" width="8.7109375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9.42578125" style="158" bestFit="1" customWidth="1"/>
    <col min="11" max="11" width="12.5703125" style="158" bestFit="1" customWidth="1"/>
    <col min="12" max="12" width="8.28515625" style="158" customWidth="1"/>
    <col min="13" max="13" width="14.140625" style="158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30</v>
      </c>
      <c r="G4" s="163">
        <v>19</v>
      </c>
      <c r="H4" s="163" t="str">
        <f>+'1'!H4</f>
        <v>.06.24</v>
      </c>
    </row>
    <row r="5" spans="1:15" ht="13.5" thickBot="1">
      <c r="C5" s="164"/>
      <c r="D5" s="164"/>
    </row>
    <row r="6" spans="1:15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230+195+210</f>
        <v>635</v>
      </c>
    </row>
    <row r="7" spans="1:15" ht="13.5" customHeight="1" thickBot="1">
      <c r="A7" s="1015" t="s">
        <v>657</v>
      </c>
      <c r="B7" s="225" t="s">
        <v>669</v>
      </c>
      <c r="C7" s="226">
        <v>18480</v>
      </c>
      <c r="D7" s="227"/>
      <c r="E7" s="228"/>
      <c r="F7" s="238"/>
      <c r="G7" s="239" t="s">
        <v>12</v>
      </c>
      <c r="H7" s="240" t="s">
        <v>277</v>
      </c>
      <c r="I7" s="1018" t="s">
        <v>681</v>
      </c>
      <c r="J7" s="224" t="str">
        <f>+'18'!J7</f>
        <v>F 13,5 VP OW</v>
      </c>
      <c r="K7" s="248"/>
      <c r="L7" s="252"/>
      <c r="M7" s="126">
        <f>+K7+'18'!M7+L7</f>
        <v>97821</v>
      </c>
    </row>
    <row r="8" spans="1:15" ht="13.5" thickBot="1">
      <c r="A8" s="1016"/>
      <c r="B8" s="225"/>
      <c r="C8" s="226"/>
      <c r="D8" s="227"/>
      <c r="E8" s="229"/>
      <c r="F8" s="241">
        <v>7</v>
      </c>
      <c r="G8" s="242" t="s">
        <v>12</v>
      </c>
      <c r="H8" s="240" t="s">
        <v>491</v>
      </c>
      <c r="I8" s="1019"/>
      <c r="J8" s="224" t="str">
        <f>+'18'!J8</f>
        <v>F 13 VP OW</v>
      </c>
      <c r="K8" s="249"/>
      <c r="L8" s="249"/>
      <c r="M8" s="126">
        <f>+K8+'18'!M8+L8</f>
        <v>71398</v>
      </c>
      <c r="N8" s="158">
        <v>1730</v>
      </c>
      <c r="O8" s="158">
        <f>+N8-N8*0.16</f>
        <v>1453.2</v>
      </c>
    </row>
    <row r="9" spans="1:15" ht="13.5" thickBot="1">
      <c r="A9" s="1016"/>
      <c r="B9" s="225"/>
      <c r="C9" s="226"/>
      <c r="D9" s="227"/>
      <c r="E9" s="230"/>
      <c r="F9" s="238">
        <v>9</v>
      </c>
      <c r="G9" s="242" t="s">
        <v>12</v>
      </c>
      <c r="H9" s="243" t="s">
        <v>539</v>
      </c>
      <c r="I9" s="1019"/>
      <c r="J9" s="224" t="str">
        <f>+'18'!J9</f>
        <v>MG 17 VP OW</v>
      </c>
      <c r="K9" s="249"/>
      <c r="L9" s="249"/>
      <c r="M9" s="126">
        <f>+K9+'18'!M9+L9</f>
        <v>43925</v>
      </c>
    </row>
    <row r="10" spans="1:15" ht="13.5" thickBot="1">
      <c r="A10" s="1016"/>
      <c r="B10" s="225"/>
      <c r="C10" s="226"/>
      <c r="D10" s="227"/>
      <c r="E10" s="229"/>
      <c r="F10" s="238"/>
      <c r="G10" s="242"/>
      <c r="H10" s="243" t="s">
        <v>678</v>
      </c>
      <c r="I10" s="1019"/>
      <c r="J10" s="224" t="str">
        <f>+'18'!J10</f>
        <v>MG 16,5 VP OW</v>
      </c>
      <c r="K10" s="249"/>
      <c r="L10" s="249"/>
      <c r="M10" s="126">
        <f>+K10+'18'!M10+L10</f>
        <v>226263</v>
      </c>
    </row>
    <row r="11" spans="1:15" ht="13.5" thickBot="1">
      <c r="A11" s="1016"/>
      <c r="B11" s="225"/>
      <c r="C11" s="226"/>
      <c r="D11" s="227"/>
      <c r="E11" s="229"/>
      <c r="F11" s="238">
        <v>25</v>
      </c>
      <c r="G11" s="242" t="s">
        <v>66</v>
      </c>
      <c r="H11" s="243" t="s">
        <v>688</v>
      </c>
      <c r="I11" s="1019"/>
      <c r="J11" s="224" t="str">
        <f>+'18'!J11</f>
        <v>MG 14 VP HW</v>
      </c>
      <c r="K11" s="249"/>
      <c r="L11" s="249"/>
      <c r="M11" s="126">
        <f>+K11+'18'!M11+L11</f>
        <v>160355</v>
      </c>
    </row>
    <row r="12" spans="1:15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+'18'!J12</f>
        <v>MG 17 VP HW</v>
      </c>
      <c r="K12" s="249"/>
      <c r="L12" s="249"/>
      <c r="M12" s="126">
        <f>+K12+'18'!M12+L12</f>
        <v>173331</v>
      </c>
    </row>
    <row r="13" spans="1:15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+'18'!J13</f>
        <v>MG 21 VP OW</v>
      </c>
      <c r="K13" s="249"/>
      <c r="L13" s="249"/>
      <c r="M13" s="126">
        <f>+K13+'18'!M13+L13</f>
        <v>117118</v>
      </c>
    </row>
    <row r="14" spans="1:15" ht="13.5" thickBot="1">
      <c r="A14" s="1017"/>
      <c r="B14" s="175" t="s">
        <v>2</v>
      </c>
      <c r="C14" s="108">
        <f>SUM(C7:C13)</f>
        <v>18480</v>
      </c>
      <c r="D14" s="120">
        <f>SUM(D7:D13)</f>
        <v>0</v>
      </c>
      <c r="E14" s="121">
        <f>SUM(E5:E13)</f>
        <v>0</v>
      </c>
      <c r="F14" s="125">
        <f>SUM(F7:F13)</f>
        <v>41</v>
      </c>
      <c r="G14" s="168"/>
      <c r="H14" s="176"/>
      <c r="I14" s="177"/>
      <c r="J14" s="224" t="str">
        <f>+'18'!J14</f>
        <v>MG 22 VP HW</v>
      </c>
      <c r="K14" s="249"/>
      <c r="L14" s="249"/>
      <c r="M14" s="126">
        <f>+K14+'18'!M14+L14</f>
        <v>13084</v>
      </c>
    </row>
    <row r="15" spans="1:15" ht="13.5" customHeight="1" thickBot="1">
      <c r="A15" s="1015" t="s">
        <v>693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681</v>
      </c>
      <c r="J15" s="224" t="str">
        <f>+'18'!J15</f>
        <v>MG 16 VP HW</v>
      </c>
      <c r="K15" s="249"/>
      <c r="L15" s="249"/>
      <c r="M15" s="126">
        <f>+K15+'18'!M15+L15</f>
        <v>181308</v>
      </c>
    </row>
    <row r="16" spans="1:15" ht="13.5" thickBot="1">
      <c r="A16" s="1021"/>
      <c r="B16" s="225" t="s">
        <v>669</v>
      </c>
      <c r="C16" s="232">
        <v>18908</v>
      </c>
      <c r="D16" s="233">
        <v>450</v>
      </c>
      <c r="E16" s="234"/>
      <c r="F16" s="238">
        <v>10</v>
      </c>
      <c r="G16" s="242" t="s">
        <v>12</v>
      </c>
      <c r="H16" s="240" t="s">
        <v>491</v>
      </c>
      <c r="I16" s="1019"/>
      <c r="J16" s="224" t="str">
        <f>+'18'!J16</f>
        <v>MG 16,5 VP HW</v>
      </c>
      <c r="K16" s="249"/>
      <c r="L16" s="239"/>
      <c r="M16" s="126">
        <f>+K16+'18'!M16+L16</f>
        <v>11812</v>
      </c>
    </row>
    <row r="17" spans="1:18" ht="13.5" thickBot="1">
      <c r="A17" s="1021"/>
      <c r="B17" s="225"/>
      <c r="C17" s="226"/>
      <c r="D17" s="227"/>
      <c r="E17" s="235"/>
      <c r="F17" s="238">
        <v>11</v>
      </c>
      <c r="G17" s="242" t="s">
        <v>12</v>
      </c>
      <c r="H17" s="243" t="s">
        <v>493</v>
      </c>
      <c r="I17" s="1019"/>
      <c r="J17" s="224" t="str">
        <f>+'18'!J17</f>
        <v>F 10,3 VP OW</v>
      </c>
      <c r="K17" s="249">
        <f>+C34</f>
        <v>55168</v>
      </c>
      <c r="L17" s="239"/>
      <c r="M17" s="126">
        <f>+K17+'18'!M17+L17</f>
        <v>123995</v>
      </c>
    </row>
    <row r="18" spans="1:18" ht="13.5" thickBot="1">
      <c r="A18" s="1021"/>
      <c r="B18" s="225"/>
      <c r="C18" s="226"/>
      <c r="D18" s="227"/>
      <c r="E18" s="235"/>
      <c r="F18" s="238"/>
      <c r="G18" s="242"/>
      <c r="H18" s="243" t="s">
        <v>678</v>
      </c>
      <c r="I18" s="1019"/>
      <c r="J18" s="224">
        <f>+'18'!J18</f>
        <v>0</v>
      </c>
      <c r="K18" s="249"/>
      <c r="L18" s="249"/>
      <c r="M18" s="126">
        <f>+K18+'18'!M18+L18</f>
        <v>0</v>
      </c>
    </row>
    <row r="19" spans="1:18" ht="13.5" thickBot="1">
      <c r="A19" s="1021"/>
      <c r="B19" s="225"/>
      <c r="C19" s="226"/>
      <c r="D19" s="227"/>
      <c r="E19" s="235"/>
      <c r="F19" s="245"/>
      <c r="G19" s="242"/>
      <c r="H19" s="243"/>
      <c r="I19" s="1019"/>
      <c r="J19" s="224">
        <f>+'18'!J19</f>
        <v>0</v>
      </c>
      <c r="K19" s="249"/>
      <c r="L19" s="249"/>
      <c r="M19" s="126">
        <f>+K19+'18'!M19+L19</f>
        <v>0</v>
      </c>
    </row>
    <row r="20" spans="1:18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+'18'!J20</f>
        <v>0</v>
      </c>
      <c r="K20" s="249"/>
      <c r="L20" s="250"/>
      <c r="M20" s="126">
        <f>+K20+'18'!M20+L20</f>
        <v>0</v>
      </c>
    </row>
    <row r="21" spans="1:18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+'18'!J21</f>
        <v>0</v>
      </c>
      <c r="K21" s="249"/>
      <c r="L21" s="249"/>
      <c r="M21" s="126">
        <f>+K21+'18'!M21+L21</f>
        <v>0</v>
      </c>
    </row>
    <row r="22" spans="1:18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+'18'!J22</f>
        <v>0</v>
      </c>
      <c r="K22" s="249"/>
      <c r="L22" s="249"/>
      <c r="M22" s="126">
        <f>+K22+'18'!M22+L22</f>
        <v>0</v>
      </c>
    </row>
    <row r="23" spans="1:18" ht="13.5" thickBot="1">
      <c r="A23" s="1022"/>
      <c r="B23" s="178" t="s">
        <v>2</v>
      </c>
      <c r="C23" s="109">
        <f>SUM(C16:C22)</f>
        <v>18908</v>
      </c>
      <c r="D23" s="120">
        <f>SUM(D16:D22)</f>
        <v>450</v>
      </c>
      <c r="E23" s="121">
        <f>SUM(E18:E22)</f>
        <v>0</v>
      </c>
      <c r="F23" s="125">
        <f>SUM(F15:F22)</f>
        <v>21</v>
      </c>
      <c r="G23" s="168"/>
      <c r="H23" s="176" t="s">
        <v>234</v>
      </c>
      <c r="I23" s="179"/>
      <c r="J23" s="224">
        <f>+'18'!J23</f>
        <v>0</v>
      </c>
      <c r="K23" s="249"/>
      <c r="L23" s="249"/>
      <c r="M23" s="126">
        <f>+K23+'18'!M23+L23</f>
        <v>0</v>
      </c>
    </row>
    <row r="24" spans="1:18" ht="13.5" customHeight="1" thickBot="1">
      <c r="A24" s="1015" t="s">
        <v>620</v>
      </c>
      <c r="B24" s="180"/>
      <c r="C24" s="122"/>
      <c r="D24" s="123"/>
      <c r="E24" s="124"/>
      <c r="F24" s="246">
        <v>20</v>
      </c>
      <c r="G24" s="239" t="s">
        <v>12</v>
      </c>
      <c r="H24" s="240" t="s">
        <v>447</v>
      </c>
      <c r="I24" s="1018" t="s">
        <v>690</v>
      </c>
      <c r="J24" s="224">
        <f>+'18'!J24</f>
        <v>0</v>
      </c>
      <c r="K24" s="249"/>
      <c r="L24" s="249"/>
      <c r="M24" s="126">
        <f>+K24+'18'!M24+L24</f>
        <v>0</v>
      </c>
      <c r="N24" s="158">
        <v>1730</v>
      </c>
      <c r="O24" s="158">
        <f>+N24-N24*0.16</f>
        <v>1453.2</v>
      </c>
      <c r="P24" s="158">
        <f>480-P25</f>
        <v>393</v>
      </c>
      <c r="Q24" s="158">
        <f>+N24*P24</f>
        <v>679890</v>
      </c>
      <c r="R24" s="158">
        <f>+O24*P24</f>
        <v>571107.6</v>
      </c>
    </row>
    <row r="25" spans="1:18" ht="13.5" thickBot="1">
      <c r="A25" s="1021"/>
      <c r="B25" s="225" t="s">
        <v>669</v>
      </c>
      <c r="C25" s="236">
        <v>17780</v>
      </c>
      <c r="D25" s="227">
        <v>910</v>
      </c>
      <c r="E25" s="235"/>
      <c r="F25" s="241">
        <v>9</v>
      </c>
      <c r="G25" s="242" t="s">
        <v>12</v>
      </c>
      <c r="H25" s="240" t="s">
        <v>692</v>
      </c>
      <c r="I25" s="1019"/>
      <c r="J25" s="224">
        <f>+'18'!J25</f>
        <v>0</v>
      </c>
      <c r="K25" s="249"/>
      <c r="L25" s="249"/>
      <c r="M25" s="126">
        <f>+K25+'18'!M25+L25</f>
        <v>0</v>
      </c>
      <c r="N25" s="158">
        <v>1730</v>
      </c>
      <c r="O25" s="158">
        <f>+N25-N25*0.2</f>
        <v>1384</v>
      </c>
      <c r="P25" s="158">
        <f>60-33+60</f>
        <v>87</v>
      </c>
      <c r="Q25" s="158">
        <f>+N25*P25</f>
        <v>150510</v>
      </c>
      <c r="R25" s="158">
        <f>+O25*P25</f>
        <v>120408</v>
      </c>
    </row>
    <row r="26" spans="1:18" ht="13.5" thickBot="1">
      <c r="A26" s="1021"/>
      <c r="B26" s="225"/>
      <c r="C26" s="236"/>
      <c r="D26" s="227"/>
      <c r="E26" s="237"/>
      <c r="F26" s="241">
        <v>10</v>
      </c>
      <c r="G26" s="242" t="s">
        <v>12</v>
      </c>
      <c r="H26" s="243" t="s">
        <v>420</v>
      </c>
      <c r="I26" s="1019"/>
      <c r="J26" s="224">
        <f>+'18'!J26</f>
        <v>0</v>
      </c>
      <c r="K26" s="249"/>
      <c r="L26" s="249"/>
      <c r="M26" s="126">
        <f>+K26+'18'!M26+L26</f>
        <v>0</v>
      </c>
      <c r="P26" s="158">
        <f>SUM(P24:P25)</f>
        <v>480</v>
      </c>
      <c r="Q26" s="158">
        <f>SUM(Q24:Q25)</f>
        <v>830400</v>
      </c>
      <c r="R26" s="158">
        <f>SUM(R24:R25)</f>
        <v>691515.6</v>
      </c>
    </row>
    <row r="27" spans="1:18" ht="13.5" thickBot="1">
      <c r="A27" s="1021"/>
      <c r="B27" s="225"/>
      <c r="C27" s="226"/>
      <c r="D27" s="227"/>
      <c r="E27" s="235"/>
      <c r="F27" s="241"/>
      <c r="G27" s="242"/>
      <c r="H27" s="243" t="s">
        <v>678</v>
      </c>
      <c r="I27" s="1019"/>
      <c r="J27" s="224">
        <f>+'18'!J27</f>
        <v>0</v>
      </c>
      <c r="K27" s="249"/>
      <c r="L27" s="249"/>
      <c r="M27" s="126">
        <f>+K27+'18'!M27+L27</f>
        <v>0</v>
      </c>
      <c r="Q27" s="158">
        <f>+Q26/P26</f>
        <v>1730</v>
      </c>
      <c r="R27" s="158">
        <f>+R26/P26</f>
        <v>1440.6575</v>
      </c>
    </row>
    <row r="28" spans="1:18" ht="13.5" thickBot="1">
      <c r="A28" s="1021"/>
      <c r="B28" s="225"/>
      <c r="C28" s="226"/>
      <c r="D28" s="227"/>
      <c r="E28" s="235"/>
      <c r="F28" s="241"/>
      <c r="G28" s="242"/>
      <c r="H28" s="243" t="s">
        <v>689</v>
      </c>
      <c r="I28" s="1019"/>
      <c r="J28" s="224">
        <f>+'18'!J28</f>
        <v>0</v>
      </c>
      <c r="K28" s="249"/>
      <c r="L28" s="249"/>
      <c r="M28" s="126">
        <f>+K28+'18'!M28+L28</f>
        <v>0</v>
      </c>
    </row>
    <row r="29" spans="1:18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+'18'!J29</f>
        <v>0</v>
      </c>
      <c r="K29" s="249"/>
      <c r="L29" s="249"/>
      <c r="M29" s="126">
        <f>+K29+'18'!M29+L29</f>
        <v>0</v>
      </c>
    </row>
    <row r="30" spans="1:18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+'18'!J30</f>
        <v>0</v>
      </c>
      <c r="K30" s="249"/>
      <c r="L30" s="249"/>
      <c r="M30" s="126">
        <f>+K30+'18'!M30+L30</f>
        <v>0</v>
      </c>
    </row>
    <row r="31" spans="1:18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+'18'!J31</f>
        <v>0</v>
      </c>
      <c r="K31" s="249"/>
      <c r="L31" s="249"/>
      <c r="M31" s="126">
        <f>+K31+'18'!M31+L31</f>
        <v>0</v>
      </c>
      <c r="N31" s="164"/>
    </row>
    <row r="32" spans="1:18" ht="13.5" thickBot="1">
      <c r="A32" s="1022"/>
      <c r="B32" s="175" t="s">
        <v>2</v>
      </c>
      <c r="C32" s="108">
        <f>SUM(C25:C31)</f>
        <v>17780</v>
      </c>
      <c r="D32" s="109">
        <f>SUM(D25:D31)</f>
        <v>910</v>
      </c>
      <c r="E32" s="110">
        <f>SUM(E25:E31)</f>
        <v>0</v>
      </c>
      <c r="F32" s="111">
        <f>SUM(F24:F31)</f>
        <v>39</v>
      </c>
      <c r="G32" s="181"/>
      <c r="H32" s="182"/>
      <c r="I32" s="179"/>
      <c r="J32" s="224">
        <f>+'18'!J32</f>
        <v>0</v>
      </c>
      <c r="K32" s="251"/>
      <c r="L32" s="253"/>
      <c r="M32" s="126">
        <f>+K32+'18'!M32+L32</f>
        <v>0</v>
      </c>
    </row>
    <row r="33" spans="1:14" ht="13.5" thickBot="1">
      <c r="A33" s="183"/>
      <c r="B33" s="184"/>
      <c r="C33" s="112">
        <f>C32/($C$32+$D$32+$E$32)</f>
        <v>0.95131086142322097</v>
      </c>
      <c r="D33" s="113">
        <f>D32/($C$32+$D$32+$E$32)</f>
        <v>4.8689138576779027E-2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55168</v>
      </c>
      <c r="D34" s="116">
        <f>D14+D23+D32</f>
        <v>1360</v>
      </c>
      <c r="E34" s="116">
        <f>E14+E23+E32</f>
        <v>0</v>
      </c>
      <c r="F34" s="117">
        <f>F14+F23+F32</f>
        <v>101</v>
      </c>
      <c r="H34" s="188"/>
      <c r="I34" s="188"/>
      <c r="J34" s="132" t="s">
        <v>28</v>
      </c>
      <c r="K34" s="133">
        <f>SUM(K7:K32)</f>
        <v>55168</v>
      </c>
      <c r="L34" s="222">
        <f>SUM(L7:L32)</f>
        <v>0</v>
      </c>
      <c r="M34" s="129">
        <f>SUM(M7:M32)</f>
        <v>1220410</v>
      </c>
    </row>
    <row r="35" spans="1:14" ht="13.5" thickBot="1">
      <c r="A35" s="189"/>
      <c r="B35" s="190"/>
      <c r="C35" s="113">
        <f>C34/($C$34+$D$34+$E$34)</f>
        <v>0.97594112652136999</v>
      </c>
      <c r="D35" s="113">
        <f>D34/($C$34+$D$34+$E$34)</f>
        <v>2.4058873478630061E-2</v>
      </c>
      <c r="E35" s="118">
        <f>E34/($C$34+$D$34+$E$34)</f>
        <v>0</v>
      </c>
      <c r="K35" s="164"/>
      <c r="N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(10.3*1440)/1440*G42*2.77*1440/1000000</f>
        <v>59.532430815600001</v>
      </c>
      <c r="J37" s="134">
        <f>+I37+'18'!J37</f>
        <v>1336.8381300806404</v>
      </c>
      <c r="K37" s="135" t="s">
        <v>63</v>
      </c>
      <c r="L37" s="566"/>
    </row>
    <row r="38" spans="1:14" ht="17.45" customHeight="1">
      <c r="A38" s="1013" t="s">
        <v>12</v>
      </c>
      <c r="B38" s="1014"/>
      <c r="C38" s="173">
        <f>SUMIF($G$7:$G$31,"Process",$F$7:$F$31)</f>
        <v>76</v>
      </c>
      <c r="D38" s="127">
        <f>+C38+'18'!D38</f>
        <v>931</v>
      </c>
      <c r="E38" s="152">
        <f t="shared" ref="E38:E51" si="0">D38/60</f>
        <v>15.516666666666667</v>
      </c>
      <c r="F38" s="338">
        <v>1730</v>
      </c>
      <c r="G38" s="338">
        <v>1453.2</v>
      </c>
      <c r="H38" s="197" t="s">
        <v>64</v>
      </c>
      <c r="I38" s="554">
        <f>19.804+18.629+16.857</f>
        <v>55.29</v>
      </c>
      <c r="J38" s="136">
        <f>+I38+'18'!J38</f>
        <v>1249.3600000000001</v>
      </c>
      <c r="K38" s="137" t="s">
        <v>63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+C39+'18'!D39</f>
        <v>0</v>
      </c>
      <c r="E39" s="152">
        <f t="shared" si="0"/>
        <v>0</v>
      </c>
      <c r="F39" s="338">
        <v>1730</v>
      </c>
      <c r="G39" s="338">
        <v>1453.2</v>
      </c>
      <c r="H39" s="197" t="s">
        <v>65</v>
      </c>
      <c r="I39" s="151"/>
      <c r="J39" s="138">
        <f>J37/G4</f>
        <v>70.359901583191601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25</v>
      </c>
      <c r="D40" s="127">
        <f>+C40+'18'!D40</f>
        <v>64</v>
      </c>
      <c r="E40" s="152">
        <f t="shared" si="0"/>
        <v>1.0666666666666667</v>
      </c>
      <c r="F40" s="338">
        <v>1730</v>
      </c>
      <c r="G40" s="338">
        <v>1440.6575</v>
      </c>
      <c r="H40" s="197" t="s">
        <v>67</v>
      </c>
      <c r="I40" s="127">
        <f>(K34+L34)/1000</f>
        <v>55.167999999999999</v>
      </c>
      <c r="J40" s="140">
        <f>+I40+'18'!J40</f>
        <v>1220.4099999999999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+C41+'18'!D41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64.232105263157891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+C42+'18'!D42</f>
        <v>0</v>
      </c>
      <c r="E42" s="152">
        <f t="shared" si="0"/>
        <v>0</v>
      </c>
      <c r="F42" s="338">
        <f>+(F38*480+F39*480+F40*480)/1440</f>
        <v>1730</v>
      </c>
      <c r="G42" s="338">
        <f>+(G38*480+G39*480+G40*480)/1440</f>
        <v>1449.0191666666667</v>
      </c>
      <c r="H42" s="197" t="s">
        <v>70</v>
      </c>
      <c r="I42" s="256" t="s">
        <v>691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+C43+'18'!D43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+Report1!T27</f>
        <v>119.36</v>
      </c>
      <c r="J43" s="142">
        <f>+I43+'18'!J43</f>
        <v>2762.1009999999997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+C44+'18'!D44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2.1587990595044313</v>
      </c>
      <c r="J44" s="143">
        <f>J43/J38</f>
        <v>2.2108127361208934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+C45+'18'!D45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2.1635730858468678</v>
      </c>
      <c r="J45" s="143">
        <f>J43/J40</f>
        <v>2.2632566104833622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+C46+'18'!D46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+SUMIF(Listrik!AR26,"&gt;0")</f>
        <v>58806.459999997503</v>
      </c>
      <c r="J46" s="144">
        <f>+I46+'18'!J46</f>
        <v>1014785.7199999965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+C47+'18'!D47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1063.6002893832067</v>
      </c>
      <c r="J47" s="144">
        <f>J46/J38</f>
        <v>812.24444515591688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+C48+'18'!D48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1065.9523636890499</v>
      </c>
      <c r="J48" s="144">
        <f>J46/J40</f>
        <v>831.51213116903057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+C49+'18'!D49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+I49+'18'!J49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+C50+'18'!D50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+C51+'18'!D51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101</v>
      </c>
      <c r="D52" s="153">
        <f>SUM(D38:D51)</f>
        <v>2331</v>
      </c>
      <c r="E52" s="154">
        <f>SUM(E38:E51)</f>
        <v>38.850000000000009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7.013888888888889E-2</v>
      </c>
      <c r="D53" s="155">
        <f>D52/(24*60*G4)</f>
        <v>8.5197368421052633E-2</v>
      </c>
      <c r="E53" s="156">
        <f>E52/(G4*24)</f>
        <v>8.5197368421052647E-2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+D34+'18'!J56</f>
        <v>18537</v>
      </c>
      <c r="K56" s="211">
        <f>J56/(J40+J56/1000)/1000</f>
        <v>1.4961899096571524E-2</v>
      </c>
    </row>
    <row r="57" spans="1:11">
      <c r="A57" s="186"/>
      <c r="I57" s="209" t="s">
        <v>89</v>
      </c>
      <c r="J57" s="210">
        <f>+E34+'18'!J57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2.28515625" style="158" customWidth="1"/>
    <col min="8" max="8" width="64.85546875" style="158" customWidth="1"/>
    <col min="9" max="9" width="14.7109375" style="158" bestFit="1" customWidth="1"/>
    <col min="10" max="10" width="19.42578125" style="158" bestFit="1" customWidth="1"/>
    <col min="11" max="11" width="12.5703125" style="158" bestFit="1" customWidth="1"/>
    <col min="12" max="12" width="8.28515625" style="158" customWidth="1"/>
    <col min="13" max="13" width="15.140625" style="158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30</v>
      </c>
      <c r="G4" s="163">
        <v>18</v>
      </c>
      <c r="H4" s="163" t="str">
        <f>+'1'!H4</f>
        <v>.06.24</v>
      </c>
    </row>
    <row r="5" spans="1:15" ht="13.5" thickBot="1">
      <c r="C5" s="164"/>
      <c r="D5" s="164"/>
    </row>
    <row r="6" spans="1:15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235+200+273</f>
        <v>708</v>
      </c>
    </row>
    <row r="7" spans="1:15" ht="13.5" customHeight="1" thickBot="1">
      <c r="A7" s="1015" t="s">
        <v>657</v>
      </c>
      <c r="B7" s="225" t="s">
        <v>669</v>
      </c>
      <c r="C7" s="226">
        <v>18536</v>
      </c>
      <c r="D7" s="227"/>
      <c r="E7" s="228"/>
      <c r="F7" s="238"/>
      <c r="G7" s="239" t="s">
        <v>12</v>
      </c>
      <c r="H7" s="240" t="s">
        <v>277</v>
      </c>
      <c r="I7" s="1018" t="s">
        <v>680</v>
      </c>
      <c r="J7" s="224" t="str">
        <f>+'17'!J7</f>
        <v>F 13,5 VP OW</v>
      </c>
      <c r="K7" s="248"/>
      <c r="L7" s="252"/>
      <c r="M7" s="126">
        <f>+K7+'17'!M7+L7</f>
        <v>97821</v>
      </c>
    </row>
    <row r="8" spans="1:15" ht="13.5" thickBot="1">
      <c r="A8" s="1016"/>
      <c r="B8" s="225"/>
      <c r="C8" s="226"/>
      <c r="D8" s="227"/>
      <c r="E8" s="229"/>
      <c r="F8" s="241">
        <v>7</v>
      </c>
      <c r="G8" s="242" t="s">
        <v>12</v>
      </c>
      <c r="H8" s="240" t="s">
        <v>482</v>
      </c>
      <c r="I8" s="1019"/>
      <c r="J8" s="224" t="str">
        <f>+'17'!J8</f>
        <v>F 13 VP OW</v>
      </c>
      <c r="K8" s="249"/>
      <c r="L8" s="249"/>
      <c r="M8" s="126">
        <f>+K8+'17'!M8+L8</f>
        <v>71398</v>
      </c>
      <c r="N8" s="158">
        <v>1720</v>
      </c>
      <c r="O8" s="158">
        <f>+N8-N8*0.16</f>
        <v>1444.8</v>
      </c>
    </row>
    <row r="9" spans="1:15" ht="13.5" thickBot="1">
      <c r="A9" s="1016"/>
      <c r="B9" s="225"/>
      <c r="C9" s="226"/>
      <c r="D9" s="227"/>
      <c r="E9" s="230"/>
      <c r="F9" s="238">
        <v>10</v>
      </c>
      <c r="G9" s="242" t="s">
        <v>12</v>
      </c>
      <c r="H9" s="243" t="s">
        <v>682</v>
      </c>
      <c r="I9" s="1019"/>
      <c r="J9" s="224" t="str">
        <f>+'17'!J9</f>
        <v>MG 17 VP OW</v>
      </c>
      <c r="K9" s="249">
        <f>+C17</f>
        <v>1132</v>
      </c>
      <c r="L9" s="249"/>
      <c r="M9" s="126">
        <f>+K9+'17'!M9+L9</f>
        <v>43925</v>
      </c>
      <c r="N9" s="158">
        <v>1730</v>
      </c>
      <c r="O9" s="158">
        <f>+N9-N9*0.16</f>
        <v>1453.2</v>
      </c>
    </row>
    <row r="10" spans="1:15" ht="13.5" thickBot="1">
      <c r="A10" s="1016"/>
      <c r="B10" s="225"/>
      <c r="C10" s="226"/>
      <c r="D10" s="227"/>
      <c r="E10" s="229"/>
      <c r="F10" s="238"/>
      <c r="G10" s="242"/>
      <c r="H10" s="243" t="s">
        <v>679</v>
      </c>
      <c r="I10" s="1019"/>
      <c r="J10" s="224" t="str">
        <f>+'17'!J10</f>
        <v>MG 16,5 VP OW</v>
      </c>
      <c r="K10" s="249"/>
      <c r="L10" s="249"/>
      <c r="M10" s="126">
        <f>+K10+'17'!M10+L10</f>
        <v>226263</v>
      </c>
      <c r="N10" s="158">
        <v>1730</v>
      </c>
      <c r="O10" s="158">
        <f>+N10-N10*0.16</f>
        <v>1453.2</v>
      </c>
    </row>
    <row r="11" spans="1:15" ht="13.5" thickBot="1">
      <c r="A11" s="1016"/>
      <c r="B11" s="225"/>
      <c r="C11" s="226"/>
      <c r="D11" s="227"/>
      <c r="E11" s="229"/>
      <c r="F11" s="238"/>
      <c r="G11" s="242"/>
      <c r="H11" s="243"/>
      <c r="I11" s="1019"/>
      <c r="J11" s="224" t="str">
        <f>+'17'!J11</f>
        <v>MG 14 VP HW</v>
      </c>
      <c r="K11" s="249"/>
      <c r="L11" s="249"/>
      <c r="M11" s="126">
        <f>+K11+'17'!M11+L11</f>
        <v>160355</v>
      </c>
    </row>
    <row r="12" spans="1:15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+'17'!J12</f>
        <v>MG 17 VP HW</v>
      </c>
      <c r="K12" s="249"/>
      <c r="L12" s="249"/>
      <c r="M12" s="126">
        <f>+K12+'17'!M12+L12</f>
        <v>173331</v>
      </c>
    </row>
    <row r="13" spans="1:15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+'17'!J13</f>
        <v>MG 21 VP OW</v>
      </c>
      <c r="K13" s="249"/>
      <c r="L13" s="249"/>
      <c r="M13" s="126">
        <f>+K13+'17'!M13+L13</f>
        <v>117118</v>
      </c>
    </row>
    <row r="14" spans="1:15" ht="13.5" thickBot="1">
      <c r="A14" s="1017"/>
      <c r="B14" s="175" t="s">
        <v>2</v>
      </c>
      <c r="C14" s="108">
        <f>SUM(C7:C13)</f>
        <v>18536</v>
      </c>
      <c r="D14" s="120">
        <f>SUM(D7:D13)</f>
        <v>0</v>
      </c>
      <c r="E14" s="121">
        <f>SUM(E5:E13)</f>
        <v>0</v>
      </c>
      <c r="F14" s="125">
        <f>SUM(F7:F13)</f>
        <v>17</v>
      </c>
      <c r="G14" s="168"/>
      <c r="H14" s="176"/>
      <c r="I14" s="177"/>
      <c r="J14" s="224" t="str">
        <f>+'17'!J14</f>
        <v>MG 22 VP HW</v>
      </c>
      <c r="K14" s="249"/>
      <c r="L14" s="249"/>
      <c r="M14" s="126">
        <f>+K14+'17'!M14+L14</f>
        <v>13084</v>
      </c>
    </row>
    <row r="15" spans="1:15" ht="13.5" customHeight="1" thickBot="1">
      <c r="A15" s="1015" t="s">
        <v>449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681</v>
      </c>
      <c r="J15" s="224" t="str">
        <f>+'17'!J15</f>
        <v>MG 16 VP HW</v>
      </c>
      <c r="K15" s="249"/>
      <c r="L15" s="249"/>
      <c r="M15" s="126">
        <f>+K15+'17'!M15+L15</f>
        <v>181308</v>
      </c>
    </row>
    <row r="16" spans="1:15" ht="13.5" thickBot="1">
      <c r="A16" s="1021"/>
      <c r="B16" s="225" t="s">
        <v>669</v>
      </c>
      <c r="C16" s="232">
        <v>18205</v>
      </c>
      <c r="D16" s="233"/>
      <c r="E16" s="234"/>
      <c r="F16" s="238">
        <v>7</v>
      </c>
      <c r="G16" s="242" t="s">
        <v>12</v>
      </c>
      <c r="H16" s="240" t="s">
        <v>491</v>
      </c>
      <c r="I16" s="1019"/>
      <c r="J16" s="224" t="str">
        <f>+'17'!J16</f>
        <v>MG 16,5 VP HW</v>
      </c>
      <c r="K16" s="239"/>
      <c r="L16" s="239"/>
      <c r="M16" s="126">
        <f>+K16+'17'!M16+L16</f>
        <v>11812</v>
      </c>
    </row>
    <row r="17" spans="1:14" ht="13.5" thickBot="1">
      <c r="A17" s="1021"/>
      <c r="B17" s="225" t="s">
        <v>543</v>
      </c>
      <c r="C17" s="226">
        <f>94+1038</f>
        <v>1132</v>
      </c>
      <c r="D17" s="227"/>
      <c r="E17" s="235"/>
      <c r="F17" s="238">
        <v>9</v>
      </c>
      <c r="G17" s="242" t="s">
        <v>12</v>
      </c>
      <c r="H17" s="243" t="s">
        <v>445</v>
      </c>
      <c r="I17" s="1019"/>
      <c r="J17" s="224" t="str">
        <f>+'17'!J17</f>
        <v>F 10,3 VP OW</v>
      </c>
      <c r="K17" s="239">
        <f>+C7+C16+C25</f>
        <v>55437</v>
      </c>
      <c r="L17" s="239"/>
      <c r="M17" s="126">
        <f>+K17+'17'!M17+L17</f>
        <v>68827</v>
      </c>
    </row>
    <row r="18" spans="1:14" ht="13.5" thickBot="1">
      <c r="A18" s="1021"/>
      <c r="B18" s="225"/>
      <c r="C18" s="226"/>
      <c r="D18" s="227"/>
      <c r="E18" s="235"/>
      <c r="F18" s="238"/>
      <c r="G18" s="242"/>
      <c r="H18" s="243" t="s">
        <v>678</v>
      </c>
      <c r="I18" s="1019"/>
      <c r="J18" s="224">
        <f>+'17'!J18</f>
        <v>0</v>
      </c>
      <c r="K18" s="249"/>
      <c r="L18" s="249"/>
      <c r="M18" s="126">
        <f>+K18+'17'!M18+L18</f>
        <v>0</v>
      </c>
    </row>
    <row r="19" spans="1:14" ht="13.5" thickBot="1">
      <c r="A19" s="1021"/>
      <c r="B19" s="225"/>
      <c r="C19" s="226"/>
      <c r="D19" s="227"/>
      <c r="E19" s="235"/>
      <c r="F19" s="245"/>
      <c r="G19" s="242"/>
      <c r="H19" s="243"/>
      <c r="I19" s="1019"/>
      <c r="J19" s="224">
        <f>+'17'!J19</f>
        <v>0</v>
      </c>
      <c r="K19" s="249"/>
      <c r="L19" s="249"/>
      <c r="M19" s="126">
        <f>+K19+'17'!M19+L19</f>
        <v>0</v>
      </c>
    </row>
    <row r="20" spans="1:14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+'17'!J20</f>
        <v>0</v>
      </c>
      <c r="K20" s="250"/>
      <c r="L20" s="250"/>
      <c r="M20" s="126">
        <f>+K20+'17'!M20+L20</f>
        <v>0</v>
      </c>
    </row>
    <row r="21" spans="1:14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+'17'!J21</f>
        <v>0</v>
      </c>
      <c r="K21" s="249"/>
      <c r="L21" s="249"/>
      <c r="M21" s="126">
        <f>+K21+'17'!M21+L21</f>
        <v>0</v>
      </c>
    </row>
    <row r="22" spans="1:1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+'17'!J22</f>
        <v>0</v>
      </c>
      <c r="K22" s="249"/>
      <c r="L22" s="249"/>
      <c r="M22" s="126">
        <f>+K22+'17'!M22+L22</f>
        <v>0</v>
      </c>
    </row>
    <row r="23" spans="1:14" ht="13.5" thickBot="1">
      <c r="A23" s="1022"/>
      <c r="B23" s="178" t="s">
        <v>2</v>
      </c>
      <c r="C23" s="109">
        <f>SUM(C16:C22)</f>
        <v>19337</v>
      </c>
      <c r="D23" s="120">
        <f>SUM(D16:D22)</f>
        <v>0</v>
      </c>
      <c r="E23" s="121">
        <f>SUM(E18:E22)</f>
        <v>0</v>
      </c>
      <c r="F23" s="125">
        <f>SUM(F15:F22)</f>
        <v>16</v>
      </c>
      <c r="G23" s="168"/>
      <c r="H23" s="176" t="s">
        <v>234</v>
      </c>
      <c r="I23" s="179"/>
      <c r="J23" s="224">
        <f>+'17'!J23</f>
        <v>0</v>
      </c>
      <c r="K23" s="249"/>
      <c r="L23" s="249"/>
      <c r="M23" s="126">
        <f>+K23+'17'!M23+L23</f>
        <v>0</v>
      </c>
    </row>
    <row r="24" spans="1:14" ht="13.5" customHeight="1" thickBot="1">
      <c r="A24" s="1015" t="s">
        <v>620</v>
      </c>
      <c r="B24" s="180"/>
      <c r="C24" s="122"/>
      <c r="D24" s="123"/>
      <c r="E24" s="124"/>
      <c r="F24" s="246">
        <v>20</v>
      </c>
      <c r="G24" s="239" t="s">
        <v>12</v>
      </c>
      <c r="H24" s="240" t="s">
        <v>447</v>
      </c>
      <c r="I24" s="1018" t="s">
        <v>681</v>
      </c>
      <c r="J24" s="224">
        <f>+'17'!J24</f>
        <v>0</v>
      </c>
      <c r="K24" s="249"/>
      <c r="L24" s="249"/>
      <c r="M24" s="126">
        <f>+K24+'17'!M24+L24</f>
        <v>0</v>
      </c>
    </row>
    <row r="25" spans="1:14" ht="13.5" thickBot="1">
      <c r="A25" s="1021"/>
      <c r="B25" s="225" t="s">
        <v>669</v>
      </c>
      <c r="C25" s="236">
        <v>18696</v>
      </c>
      <c r="D25" s="227"/>
      <c r="E25" s="235"/>
      <c r="F25" s="241">
        <v>9</v>
      </c>
      <c r="G25" s="242" t="s">
        <v>12</v>
      </c>
      <c r="H25" s="240" t="s">
        <v>482</v>
      </c>
      <c r="I25" s="1019"/>
      <c r="J25" s="224">
        <f>+'17'!J25</f>
        <v>0</v>
      </c>
      <c r="K25" s="249"/>
      <c r="L25" s="249"/>
      <c r="M25" s="126">
        <f>+K25+'17'!M25+L25</f>
        <v>0</v>
      </c>
    </row>
    <row r="26" spans="1:14" ht="13.5" thickBot="1">
      <c r="A26" s="1021"/>
      <c r="B26" s="225"/>
      <c r="C26" s="236"/>
      <c r="D26" s="227"/>
      <c r="E26" s="237"/>
      <c r="F26" s="241">
        <v>10</v>
      </c>
      <c r="G26" s="242" t="s">
        <v>12</v>
      </c>
      <c r="H26" s="243" t="s">
        <v>445</v>
      </c>
      <c r="I26" s="1019"/>
      <c r="J26" s="224">
        <f>+'17'!J26</f>
        <v>0</v>
      </c>
      <c r="K26" s="249"/>
      <c r="L26" s="249"/>
      <c r="M26" s="126">
        <f>+K26+'17'!M26+L26</f>
        <v>0</v>
      </c>
    </row>
    <row r="27" spans="1:14" ht="13.5" thickBot="1">
      <c r="A27" s="1021"/>
      <c r="B27" s="225"/>
      <c r="C27" s="226"/>
      <c r="D27" s="227"/>
      <c r="E27" s="235"/>
      <c r="F27" s="241"/>
      <c r="G27" s="242"/>
      <c r="H27" s="243" t="s">
        <v>678</v>
      </c>
      <c r="I27" s="1019"/>
      <c r="J27" s="224">
        <f>+'17'!J27</f>
        <v>0</v>
      </c>
      <c r="K27" s="249"/>
      <c r="L27" s="249"/>
      <c r="M27" s="126">
        <f>+K27+'17'!M27+L27</f>
        <v>0</v>
      </c>
    </row>
    <row r="28" spans="1:14" ht="13.5" thickBot="1">
      <c r="A28" s="1021"/>
      <c r="B28" s="225"/>
      <c r="C28" s="226"/>
      <c r="D28" s="227"/>
      <c r="E28" s="235"/>
      <c r="F28" s="241"/>
      <c r="G28" s="242"/>
      <c r="H28" s="243"/>
      <c r="I28" s="1019"/>
      <c r="J28" s="224">
        <f>+'17'!J28</f>
        <v>0</v>
      </c>
      <c r="K28" s="249"/>
      <c r="L28" s="249"/>
      <c r="M28" s="126">
        <f>+K28+'17'!M28+L28</f>
        <v>0</v>
      </c>
    </row>
    <row r="29" spans="1:14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+'17'!J29</f>
        <v>0</v>
      </c>
      <c r="K29" s="249"/>
      <c r="L29" s="249"/>
      <c r="M29" s="126">
        <f>+K29+'17'!M29+L29</f>
        <v>0</v>
      </c>
    </row>
    <row r="30" spans="1:1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+'17'!J30</f>
        <v>0</v>
      </c>
      <c r="K30" s="249"/>
      <c r="L30" s="249"/>
      <c r="M30" s="126">
        <f>+K30+'17'!M30+L30</f>
        <v>0</v>
      </c>
      <c r="N30" s="164"/>
    </row>
    <row r="31" spans="1:14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+'17'!J31</f>
        <v>0</v>
      </c>
      <c r="K31" s="249"/>
      <c r="L31" s="249"/>
      <c r="M31" s="126">
        <f>+K31+'17'!M31+L31</f>
        <v>0</v>
      </c>
    </row>
    <row r="32" spans="1:14" ht="13.5" thickBot="1">
      <c r="A32" s="1022"/>
      <c r="B32" s="175" t="s">
        <v>2</v>
      </c>
      <c r="C32" s="108">
        <f>SUM(C25:C31)</f>
        <v>18696</v>
      </c>
      <c r="D32" s="109">
        <f>SUM(D25:D31)</f>
        <v>0</v>
      </c>
      <c r="E32" s="110">
        <f>SUM(E25:E31)</f>
        <v>0</v>
      </c>
      <c r="F32" s="111">
        <f>SUM(F24:F31)</f>
        <v>39</v>
      </c>
      <c r="G32" s="181"/>
      <c r="H32" s="182"/>
      <c r="I32" s="179"/>
      <c r="J32" s="224">
        <f>+'17'!J32</f>
        <v>0</v>
      </c>
      <c r="K32" s="251"/>
      <c r="L32" s="253"/>
      <c r="M32" s="126">
        <f>+K32+'17'!M32+L32</f>
        <v>0</v>
      </c>
    </row>
    <row r="33" spans="1:14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56569</v>
      </c>
      <c r="D34" s="116">
        <f>D14+D23+D32</f>
        <v>0</v>
      </c>
      <c r="E34" s="116">
        <f>E14+E23+E32</f>
        <v>0</v>
      </c>
      <c r="F34" s="117">
        <f>F14+F23+F32</f>
        <v>72</v>
      </c>
      <c r="H34" s="188"/>
      <c r="I34" s="188"/>
      <c r="J34" s="132" t="s">
        <v>28</v>
      </c>
      <c r="K34" s="133">
        <f>SUM(K7:K32)</f>
        <v>56569</v>
      </c>
      <c r="L34" s="222">
        <f>SUM(L7:L32)</f>
        <v>0</v>
      </c>
      <c r="M34" s="129">
        <f>SUM(M7:M32)</f>
        <v>1165242</v>
      </c>
      <c r="N34" s="164"/>
    </row>
    <row r="35" spans="1:14" ht="13.5" thickBot="1">
      <c r="A35" s="189"/>
      <c r="B35" s="190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(10.3*1440)/1440*G42*2.77*1440/1000000</f>
        <v>59.589161856000004</v>
      </c>
      <c r="J37" s="134">
        <f>+I37+'17'!J37</f>
        <v>1277.3056992650404</v>
      </c>
      <c r="K37" s="135" t="s">
        <v>63</v>
      </c>
    </row>
    <row r="38" spans="1:14" ht="17.45" customHeight="1">
      <c r="A38" s="1013" t="s">
        <v>12</v>
      </c>
      <c r="B38" s="1014"/>
      <c r="C38" s="173">
        <f>SUMIF($G$7:$G$31,"Process",$F$7:$F$31)</f>
        <v>72</v>
      </c>
      <c r="D38" s="127">
        <f>+C38+'17'!D38</f>
        <v>855</v>
      </c>
      <c r="E38" s="152">
        <f t="shared" ref="E38:E51" si="0">D38/60</f>
        <v>14.25</v>
      </c>
      <c r="F38" s="338">
        <v>1720</v>
      </c>
      <c r="G38" s="338">
        <v>1444.8</v>
      </c>
      <c r="H38" s="197" t="s">
        <v>64</v>
      </c>
      <c r="I38" s="554">
        <f>18.046+19.167+16.381</f>
        <v>53.594000000000001</v>
      </c>
      <c r="J38" s="136">
        <f>+I38+'17'!J38</f>
        <v>1194.0700000000002</v>
      </c>
      <c r="K38" s="137" t="s">
        <v>63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+C39+'17'!D39</f>
        <v>0</v>
      </c>
      <c r="E39" s="152">
        <f t="shared" si="0"/>
        <v>0</v>
      </c>
      <c r="F39" s="338">
        <v>1730</v>
      </c>
      <c r="G39" s="338">
        <v>1453.2</v>
      </c>
      <c r="H39" s="197" t="s">
        <v>65</v>
      </c>
      <c r="I39" s="151"/>
      <c r="J39" s="138">
        <f>J37/G4</f>
        <v>70.961427736946689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+C40+'17'!D40</f>
        <v>39</v>
      </c>
      <c r="E40" s="152">
        <f t="shared" si="0"/>
        <v>0.65</v>
      </c>
      <c r="F40" s="338">
        <v>1730</v>
      </c>
      <c r="G40" s="338">
        <v>1453.2</v>
      </c>
      <c r="H40" s="197" t="s">
        <v>67</v>
      </c>
      <c r="I40" s="127">
        <f>(K34+L34)/1000</f>
        <v>56.569000000000003</v>
      </c>
      <c r="J40" s="140">
        <f>+I40+'17'!J40</f>
        <v>1165.242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+C41+'17'!D41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64.73566666666666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+C42+'17'!D42</f>
        <v>0</v>
      </c>
      <c r="E42" s="152">
        <f t="shared" si="0"/>
        <v>0</v>
      </c>
      <c r="F42" s="338">
        <f>+(F38*480+F39*480+F40*480)/1440</f>
        <v>1726.6666666666667</v>
      </c>
      <c r="G42" s="338">
        <f>+(G38*480+G39*480+G40*480)/1440</f>
        <v>1450.4</v>
      </c>
      <c r="H42" s="197" t="s">
        <v>70</v>
      </c>
      <c r="I42" s="256" t="s">
        <v>683</v>
      </c>
      <c r="J42" s="141"/>
      <c r="K42" s="139" t="s">
        <v>71</v>
      </c>
    </row>
    <row r="43" spans="1:14" ht="17.45" customHeight="1">
      <c r="A43" s="1009" t="s">
        <v>202</v>
      </c>
      <c r="B43" s="1010"/>
      <c r="C43" s="173">
        <f>SUMIF($G$7:$G$31,"Change GRade",$F$7:$F$31)</f>
        <v>0</v>
      </c>
      <c r="D43" s="127">
        <f>+C43+'17'!D43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+Report1!T26</f>
        <v>127.57599999999999</v>
      </c>
      <c r="J43" s="142">
        <f>+I43+'17'!J43</f>
        <v>2642.7409999999995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+C44+'17'!D44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2.3804157181774079</v>
      </c>
      <c r="J44" s="143">
        <f>J43/J38</f>
        <v>2.2132211679382272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+C45+'17'!D45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2.2552281284802627</v>
      </c>
      <c r="J45" s="143">
        <f>J43/J40</f>
        <v>2.2679760942362184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+C46+'17'!D46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+SUMIF(Listrik!AR25,"&gt;0")</f>
        <v>60628.580000000635</v>
      </c>
      <c r="J46" s="144">
        <f>+I46+'17'!J46</f>
        <v>955979.25999999896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+C47+'17'!D47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1131.2568571108825</v>
      </c>
      <c r="J47" s="144">
        <f>J46/J38</f>
        <v>800.60570988300424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+C48+'17'!D48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1071.7633332744194</v>
      </c>
      <c r="J48" s="144">
        <f>J46/J40</f>
        <v>820.41263531523839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+C49+'17'!D49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+I49+'17'!J49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+C50+'17'!D50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+C51+'17'!D51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72</v>
      </c>
      <c r="D52" s="153">
        <f>SUM(D38:D51)</f>
        <v>2230</v>
      </c>
      <c r="E52" s="154">
        <f>SUM(E38:E51)</f>
        <v>37.166666666666671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0.05</v>
      </c>
      <c r="D53" s="155">
        <f>D52/(24*60*G4)</f>
        <v>8.6033950617283944E-2</v>
      </c>
      <c r="E53" s="156">
        <f>E52/(G4*24)</f>
        <v>8.6033950617283958E-2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+D34+'17'!J56</f>
        <v>17177</v>
      </c>
      <c r="K56" s="211">
        <f>J56/(J40+J56/1000)/1000</f>
        <v>1.4526999312426476E-2</v>
      </c>
    </row>
    <row r="57" spans="1:11">
      <c r="A57" s="186"/>
      <c r="I57" s="209" t="s">
        <v>89</v>
      </c>
      <c r="J57" s="210">
        <f>+E34+'17'!J57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3.85546875" style="158" bestFit="1" customWidth="1"/>
    <col min="14" max="16384" width="9.140625" style="158"/>
  </cols>
  <sheetData>
    <row r="1" spans="1:16" ht="15.75">
      <c r="A1" s="157"/>
    </row>
    <row r="2" spans="1:16" ht="15.75">
      <c r="A2" s="157" t="s">
        <v>147</v>
      </c>
    </row>
    <row r="3" spans="1:16" ht="15">
      <c r="A3" s="159"/>
    </row>
    <row r="4" spans="1:16" ht="20.25">
      <c r="A4" s="160" t="s">
        <v>3</v>
      </c>
      <c r="B4" s="161"/>
      <c r="F4" s="162" t="s">
        <v>30</v>
      </c>
      <c r="G4" s="163">
        <v>17</v>
      </c>
      <c r="H4" s="163" t="str">
        <f>+'1'!H4</f>
        <v>.06.24</v>
      </c>
    </row>
    <row r="5" spans="1:16" ht="13.5" thickBot="1">
      <c r="C5" s="164"/>
      <c r="D5" s="164"/>
    </row>
    <row r="6" spans="1:16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170+210+231</f>
        <v>611</v>
      </c>
    </row>
    <row r="7" spans="1:16" ht="13.5" customHeight="1" thickBot="1">
      <c r="A7" s="1015" t="s">
        <v>657</v>
      </c>
      <c r="B7" s="225" t="s">
        <v>600</v>
      </c>
      <c r="C7" s="226">
        <v>27790</v>
      </c>
      <c r="D7" s="227"/>
      <c r="E7" s="228"/>
      <c r="F7" s="238"/>
      <c r="G7" s="239" t="s">
        <v>12</v>
      </c>
      <c r="H7" s="240" t="s">
        <v>277</v>
      </c>
      <c r="I7" s="1018" t="s">
        <v>551</v>
      </c>
      <c r="J7" s="224" t="str">
        <f>+'16'!J7</f>
        <v>F 13,5 VP OW</v>
      </c>
      <c r="K7" s="248"/>
      <c r="L7" s="252"/>
      <c r="M7" s="126">
        <f>+K7+'16'!M7+L7</f>
        <v>97821</v>
      </c>
    </row>
    <row r="8" spans="1:16" ht="13.5" thickBot="1">
      <c r="A8" s="1016"/>
      <c r="B8" s="225"/>
      <c r="C8" s="226"/>
      <c r="D8" s="227"/>
      <c r="E8" s="229"/>
      <c r="F8" s="241"/>
      <c r="G8" s="242" t="s">
        <v>12</v>
      </c>
      <c r="H8" s="240" t="s">
        <v>446</v>
      </c>
      <c r="I8" s="1019"/>
      <c r="J8" s="224" t="str">
        <f>+'16'!J8</f>
        <v>F 13 VP OW</v>
      </c>
      <c r="K8" s="249"/>
      <c r="L8" s="249"/>
      <c r="M8" s="126">
        <f>+K8+'16'!M8+L8</f>
        <v>71398</v>
      </c>
    </row>
    <row r="9" spans="1:16" ht="13.5" thickBot="1">
      <c r="A9" s="1016"/>
      <c r="B9" s="225"/>
      <c r="C9" s="226"/>
      <c r="D9" s="227"/>
      <c r="E9" s="230"/>
      <c r="F9" s="238">
        <v>2</v>
      </c>
      <c r="G9" s="242" t="s">
        <v>12</v>
      </c>
      <c r="H9" s="243" t="s">
        <v>539</v>
      </c>
      <c r="I9" s="1019"/>
      <c r="J9" s="224" t="str">
        <f>+'16'!J9</f>
        <v>MG 17 VP OW</v>
      </c>
      <c r="K9" s="249">
        <f>+C26</f>
        <v>5438</v>
      </c>
      <c r="L9" s="249"/>
      <c r="M9" s="126">
        <f>+K9+'16'!M9+L9</f>
        <v>42793</v>
      </c>
      <c r="N9" s="158">
        <v>1260</v>
      </c>
      <c r="O9" s="158">
        <f>+N9-N9*0.0035</f>
        <v>1255.5899999999999</v>
      </c>
      <c r="P9" s="158">
        <f>120+37+480+116</f>
        <v>753</v>
      </c>
    </row>
    <row r="10" spans="1:16" ht="13.5" thickBot="1">
      <c r="A10" s="1016"/>
      <c r="B10" s="225"/>
      <c r="C10" s="226"/>
      <c r="D10" s="227"/>
      <c r="E10" s="229"/>
      <c r="F10" s="238"/>
      <c r="G10" s="242"/>
      <c r="H10" s="243" t="s">
        <v>661</v>
      </c>
      <c r="I10" s="1019"/>
      <c r="J10" s="224" t="str">
        <f>+'16'!J10</f>
        <v>MG 16,5 VP OW</v>
      </c>
      <c r="K10" s="249"/>
      <c r="L10" s="249"/>
      <c r="M10" s="126">
        <f>+K10+'16'!M10+L10</f>
        <v>226263</v>
      </c>
      <c r="N10" s="158">
        <v>1260</v>
      </c>
      <c r="O10" s="158">
        <f>+N10-N10*0.0035</f>
        <v>1255.5899999999999</v>
      </c>
      <c r="P10" s="158">
        <v>148</v>
      </c>
    </row>
    <row r="11" spans="1:16" ht="13.5" thickBot="1">
      <c r="A11" s="1016"/>
      <c r="B11" s="225"/>
      <c r="C11" s="226"/>
      <c r="D11" s="227"/>
      <c r="E11" s="229"/>
      <c r="F11" s="238"/>
      <c r="G11" s="242"/>
      <c r="H11" s="243"/>
      <c r="I11" s="1019"/>
      <c r="J11" s="224" t="str">
        <f>+'16'!J11</f>
        <v>MG 14 VP HW</v>
      </c>
      <c r="K11" s="249"/>
      <c r="L11" s="249"/>
      <c r="M11" s="126">
        <f>+K11+'16'!M11+L11</f>
        <v>160355</v>
      </c>
      <c r="N11" s="158">
        <v>1680</v>
      </c>
      <c r="O11" s="158">
        <f>+N11-N11*0.16</f>
        <v>1411.2</v>
      </c>
      <c r="P11" s="158">
        <v>539</v>
      </c>
    </row>
    <row r="12" spans="1:16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+'16'!J12</f>
        <v>MG 17 VP HW</v>
      </c>
      <c r="K12" s="249">
        <f>+C7+C16</f>
        <v>42543</v>
      </c>
      <c r="L12" s="249"/>
      <c r="M12" s="126">
        <f>+K12+'16'!M12+L12</f>
        <v>173331</v>
      </c>
      <c r="P12" s="158">
        <f>SUM(P9:P11)</f>
        <v>1440</v>
      </c>
    </row>
    <row r="13" spans="1:16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+'16'!J13</f>
        <v>MG 21 VP OW</v>
      </c>
      <c r="K13" s="249"/>
      <c r="L13" s="249"/>
      <c r="M13" s="126">
        <f>+K13+'16'!M13+L13</f>
        <v>117118</v>
      </c>
    </row>
    <row r="14" spans="1:16" ht="13.5" thickBot="1">
      <c r="A14" s="1017"/>
      <c r="B14" s="175" t="s">
        <v>2</v>
      </c>
      <c r="C14" s="108">
        <f>SUM(C7:C13)</f>
        <v>27790</v>
      </c>
      <c r="D14" s="120">
        <f>SUM(D7:D13)</f>
        <v>0</v>
      </c>
      <c r="E14" s="121">
        <f>SUM(E5:E13)</f>
        <v>0</v>
      </c>
      <c r="F14" s="125">
        <f>SUM(F7:F13)</f>
        <v>2</v>
      </c>
      <c r="G14" s="168"/>
      <c r="H14" s="176"/>
      <c r="I14" s="177"/>
      <c r="J14" s="224" t="str">
        <f>+'16'!J14</f>
        <v>MG 22 VP HW</v>
      </c>
      <c r="K14" s="249"/>
      <c r="L14" s="249"/>
      <c r="M14" s="126">
        <f>+K14+'16'!M14+L14</f>
        <v>13084</v>
      </c>
    </row>
    <row r="15" spans="1:16" ht="13.5" customHeight="1" thickBot="1">
      <c r="A15" s="1015" t="s">
        <v>449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665</v>
      </c>
      <c r="J15" s="224" t="str">
        <f>+'16'!J15</f>
        <v>MG 16 VP HW</v>
      </c>
      <c r="K15" s="249"/>
      <c r="L15" s="249"/>
      <c r="M15" s="126">
        <f>+K15+'16'!M15+L15</f>
        <v>181308</v>
      </c>
    </row>
    <row r="16" spans="1:16" ht="13.5" thickBot="1">
      <c r="A16" s="1021"/>
      <c r="B16" s="225" t="s">
        <v>600</v>
      </c>
      <c r="C16" s="232">
        <f>2970+2374+2048+4321+501+2539</f>
        <v>14753</v>
      </c>
      <c r="D16" s="233"/>
      <c r="E16" s="234"/>
      <c r="F16" s="238"/>
      <c r="G16" s="242" t="s">
        <v>12</v>
      </c>
      <c r="H16" s="240" t="s">
        <v>446</v>
      </c>
      <c r="I16" s="1019"/>
      <c r="J16" s="224" t="s">
        <v>552</v>
      </c>
      <c r="K16" s="249">
        <f>+C25+C17</f>
        <v>11812</v>
      </c>
      <c r="L16" s="239"/>
      <c r="M16" s="126">
        <f>+K16+'16'!M16+L16</f>
        <v>11812</v>
      </c>
    </row>
    <row r="17" spans="1:18" ht="13.5" thickBot="1">
      <c r="A17" s="1021"/>
      <c r="B17" s="225" t="s">
        <v>552</v>
      </c>
      <c r="C17" s="226">
        <f>2086+2517+6368</f>
        <v>10971</v>
      </c>
      <c r="D17" s="227"/>
      <c r="E17" s="235"/>
      <c r="F17" s="238">
        <v>6</v>
      </c>
      <c r="G17" s="242" t="s">
        <v>12</v>
      </c>
      <c r="H17" s="243" t="s">
        <v>420</v>
      </c>
      <c r="I17" s="1019"/>
      <c r="J17" s="224" t="s">
        <v>669</v>
      </c>
      <c r="K17" s="249">
        <f>+C27</f>
        <v>13390</v>
      </c>
      <c r="L17" s="239"/>
      <c r="M17" s="126">
        <f>+K17+'16'!M17+L17</f>
        <v>13390</v>
      </c>
      <c r="N17" s="158">
        <v>1260</v>
      </c>
      <c r="O17" s="158">
        <f>+N17-N17*0.0035</f>
        <v>1255.5899999999999</v>
      </c>
      <c r="P17" s="158">
        <f>120+37</f>
        <v>157</v>
      </c>
      <c r="Q17" s="158">
        <f>+N17*P17</f>
        <v>197820</v>
      </c>
      <c r="R17" s="158">
        <f>+O17*P17</f>
        <v>197127.62999999998</v>
      </c>
    </row>
    <row r="18" spans="1:18" ht="13.5" thickBot="1">
      <c r="A18" s="1021"/>
      <c r="B18" s="225"/>
      <c r="C18" s="226"/>
      <c r="D18" s="227"/>
      <c r="E18" s="235"/>
      <c r="F18" s="238"/>
      <c r="G18" s="242"/>
      <c r="H18" s="243" t="s">
        <v>661</v>
      </c>
      <c r="I18" s="1019"/>
      <c r="J18" s="224">
        <f>+'16'!J18</f>
        <v>0</v>
      </c>
      <c r="K18" s="249"/>
      <c r="L18" s="249"/>
      <c r="M18" s="126">
        <f>+K18+'16'!M18+L18</f>
        <v>0</v>
      </c>
      <c r="N18" s="158">
        <v>1260</v>
      </c>
      <c r="O18" s="158">
        <f>+N18-N18*0.0035</f>
        <v>1255.5899999999999</v>
      </c>
      <c r="P18" s="158">
        <f>23+120+5</f>
        <v>148</v>
      </c>
      <c r="Q18" s="158">
        <f>+N18*P18</f>
        <v>186480</v>
      </c>
      <c r="R18" s="158">
        <f>+O18*P18</f>
        <v>185827.31999999998</v>
      </c>
    </row>
    <row r="19" spans="1:18" ht="13.5" thickBot="1">
      <c r="A19" s="1021"/>
      <c r="B19" s="225"/>
      <c r="C19" s="226"/>
      <c r="D19" s="227"/>
      <c r="E19" s="235"/>
      <c r="F19" s="245">
        <v>5</v>
      </c>
      <c r="G19" s="242" t="s">
        <v>12</v>
      </c>
      <c r="H19" s="243" t="s">
        <v>662</v>
      </c>
      <c r="I19" s="1019"/>
      <c r="J19" s="224">
        <f>+'16'!J19</f>
        <v>0</v>
      </c>
      <c r="K19" s="249"/>
      <c r="L19" s="249"/>
      <c r="M19" s="126">
        <f>+K19+'16'!M19+L19</f>
        <v>0</v>
      </c>
      <c r="N19" s="158">
        <v>1260</v>
      </c>
      <c r="O19" s="158">
        <f>+N19-N19*0.0035</f>
        <v>1255.5899999999999</v>
      </c>
      <c r="P19" s="158">
        <f>55+60+1</f>
        <v>116</v>
      </c>
      <c r="Q19" s="158">
        <f>+N19*P19</f>
        <v>146160</v>
      </c>
      <c r="R19" s="158">
        <f>+O19*P19</f>
        <v>145648.44</v>
      </c>
    </row>
    <row r="20" spans="1:18" ht="13.5" thickBot="1">
      <c r="A20" s="1021"/>
      <c r="B20" s="225"/>
      <c r="C20" s="226"/>
      <c r="D20" s="227"/>
      <c r="E20" s="235"/>
      <c r="F20" s="238">
        <v>5</v>
      </c>
      <c r="G20" s="242" t="s">
        <v>12</v>
      </c>
      <c r="H20" s="243" t="s">
        <v>663</v>
      </c>
      <c r="I20" s="1019"/>
      <c r="J20" s="224">
        <f>+'16'!J20</f>
        <v>0</v>
      </c>
      <c r="K20" s="250"/>
      <c r="L20" s="250"/>
      <c r="M20" s="126">
        <f>+K20+'16'!M20+L20</f>
        <v>0</v>
      </c>
      <c r="N20" s="158">
        <v>1680</v>
      </c>
      <c r="O20" s="158">
        <f>+N20-N20*0.16</f>
        <v>1411.2</v>
      </c>
      <c r="P20" s="158">
        <v>59</v>
      </c>
      <c r="Q20" s="158">
        <f>+N20*P20</f>
        <v>99120</v>
      </c>
      <c r="R20" s="158">
        <f>+O20*P20</f>
        <v>83260.800000000003</v>
      </c>
    </row>
    <row r="21" spans="1:18" ht="13.5" thickBot="1">
      <c r="A21" s="1021"/>
      <c r="B21" s="225"/>
      <c r="C21" s="226"/>
      <c r="D21" s="227"/>
      <c r="E21" s="235"/>
      <c r="F21" s="241">
        <v>18</v>
      </c>
      <c r="G21" s="242" t="s">
        <v>12</v>
      </c>
      <c r="H21" s="502" t="s">
        <v>668</v>
      </c>
      <c r="I21" s="1019"/>
      <c r="J21" s="224">
        <f>+'16'!J21</f>
        <v>0</v>
      </c>
      <c r="K21" s="249"/>
      <c r="L21" s="249"/>
      <c r="M21" s="126">
        <f>+K21+'16'!M21+L21</f>
        <v>0</v>
      </c>
      <c r="P21" s="158">
        <f>SUM(P17:P20)</f>
        <v>480</v>
      </c>
      <c r="Q21" s="158">
        <f>SUM(Q17:Q20)</f>
        <v>629580</v>
      </c>
      <c r="R21" s="158">
        <f>SUM(R17:R20)</f>
        <v>611864.18999999994</v>
      </c>
    </row>
    <row r="22" spans="1:18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+'16'!J22</f>
        <v>0</v>
      </c>
      <c r="K22" s="249"/>
      <c r="L22" s="249"/>
      <c r="M22" s="126">
        <f>+K22+'16'!M22+L22</f>
        <v>0</v>
      </c>
      <c r="Q22" s="158">
        <f>+Q21/P21</f>
        <v>1311.625</v>
      </c>
      <c r="R22" s="158">
        <f>+R21/P21</f>
        <v>1274.7170624999999</v>
      </c>
    </row>
    <row r="23" spans="1:18" ht="13.5" thickBot="1">
      <c r="A23" s="1022"/>
      <c r="B23" s="178" t="s">
        <v>2</v>
      </c>
      <c r="C23" s="109">
        <f>SUM(C16:C22)</f>
        <v>25724</v>
      </c>
      <c r="D23" s="120">
        <f>SUM(D16:D22)</f>
        <v>0</v>
      </c>
      <c r="E23" s="121">
        <f>SUM(E18:E22)</f>
        <v>0</v>
      </c>
      <c r="F23" s="125">
        <f>SUM(F15:F22)</f>
        <v>34</v>
      </c>
      <c r="G23" s="168"/>
      <c r="H23" s="176" t="s">
        <v>234</v>
      </c>
      <c r="I23" s="179"/>
      <c r="J23" s="224">
        <f>+'16'!J23</f>
        <v>0</v>
      </c>
      <c r="K23" s="249"/>
      <c r="L23" s="249"/>
      <c r="M23" s="126">
        <f>+K23+'16'!M23+L23</f>
        <v>0</v>
      </c>
    </row>
    <row r="24" spans="1:18" ht="13.5" customHeight="1" thickBot="1">
      <c r="A24" s="1015" t="s">
        <v>620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666</v>
      </c>
      <c r="J24" s="224">
        <f>+'16'!J24</f>
        <v>0</v>
      </c>
      <c r="K24" s="249"/>
      <c r="L24" s="249"/>
      <c r="M24" s="126">
        <f>+K24+'16'!M24+L24</f>
        <v>0</v>
      </c>
    </row>
    <row r="25" spans="1:18" ht="13.5" thickBot="1">
      <c r="A25" s="1021"/>
      <c r="B25" s="225" t="s">
        <v>552</v>
      </c>
      <c r="C25" s="236">
        <f>159+193+489</f>
        <v>841</v>
      </c>
      <c r="D25" s="227"/>
      <c r="E25" s="235"/>
      <c r="F25" s="241">
        <v>8</v>
      </c>
      <c r="G25" s="242" t="s">
        <v>12</v>
      </c>
      <c r="H25" s="240" t="s">
        <v>491</v>
      </c>
      <c r="I25" s="1019"/>
      <c r="J25" s="224">
        <f>+'16'!J25</f>
        <v>0</v>
      </c>
      <c r="K25" s="249"/>
      <c r="L25" s="249"/>
      <c r="M25" s="126">
        <f>+K25+'16'!M25+L25</f>
        <v>0</v>
      </c>
    </row>
    <row r="26" spans="1:18" ht="13.5" thickBot="1">
      <c r="A26" s="1021"/>
      <c r="B26" s="225" t="s">
        <v>543</v>
      </c>
      <c r="C26" s="236">
        <f>458+4980</f>
        <v>5438</v>
      </c>
      <c r="D26" s="227"/>
      <c r="E26" s="237"/>
      <c r="F26" s="241">
        <v>10</v>
      </c>
      <c r="G26" s="242" t="s">
        <v>12</v>
      </c>
      <c r="H26" s="243" t="s">
        <v>539</v>
      </c>
      <c r="I26" s="1019"/>
      <c r="J26" s="224">
        <f>+'16'!J26</f>
        <v>0</v>
      </c>
      <c r="K26" s="249"/>
      <c r="L26" s="249"/>
      <c r="M26" s="126">
        <f>+K26+'16'!M26+L26</f>
        <v>0</v>
      </c>
    </row>
    <row r="27" spans="1:18" ht="13.5" thickBot="1">
      <c r="A27" s="1021"/>
      <c r="B27" s="225" t="s">
        <v>669</v>
      </c>
      <c r="C27" s="226">
        <v>13390</v>
      </c>
      <c r="D27" s="227"/>
      <c r="E27" s="235"/>
      <c r="F27" s="241"/>
      <c r="G27" s="242"/>
      <c r="H27" s="243" t="s">
        <v>664</v>
      </c>
      <c r="I27" s="1019"/>
      <c r="J27" s="224">
        <f>+'16'!J27</f>
        <v>0</v>
      </c>
      <c r="K27" s="249"/>
      <c r="L27" s="249"/>
      <c r="M27" s="126">
        <f>+K27+'16'!M27+L27</f>
        <v>0</v>
      </c>
    </row>
    <row r="28" spans="1:18" ht="13.5" thickBot="1">
      <c r="A28" s="1021"/>
      <c r="B28" s="225"/>
      <c r="C28" s="226"/>
      <c r="D28" s="227"/>
      <c r="E28" s="235"/>
      <c r="F28" s="241"/>
      <c r="G28" s="242"/>
      <c r="H28" s="243"/>
      <c r="I28" s="1019"/>
      <c r="J28" s="224">
        <f>+'16'!J28</f>
        <v>0</v>
      </c>
      <c r="K28" s="249"/>
      <c r="L28" s="249"/>
      <c r="M28" s="126">
        <f>+K28+'16'!M28+L28</f>
        <v>0</v>
      </c>
      <c r="N28" s="158">
        <v>1680</v>
      </c>
      <c r="O28" s="158">
        <f>+N28-N28*0.16</f>
        <v>1411.2</v>
      </c>
      <c r="P28" s="158">
        <f>480+59</f>
        <v>539</v>
      </c>
    </row>
    <row r="29" spans="1:18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+'16'!J29</f>
        <v>0</v>
      </c>
      <c r="K29" s="249"/>
      <c r="L29" s="249"/>
      <c r="M29" s="126">
        <f>+K29+'16'!M29+L29</f>
        <v>0</v>
      </c>
    </row>
    <row r="30" spans="1:18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+'16'!J30</f>
        <v>0</v>
      </c>
      <c r="K30" s="249"/>
      <c r="L30" s="249"/>
      <c r="M30" s="126">
        <f>+K30+'16'!M30+L30</f>
        <v>0</v>
      </c>
      <c r="N30" s="164"/>
    </row>
    <row r="31" spans="1:18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+'16'!J31</f>
        <v>0</v>
      </c>
      <c r="K31" s="249"/>
      <c r="L31" s="249"/>
      <c r="M31" s="126">
        <f>+K31+'16'!M31+L31</f>
        <v>0</v>
      </c>
    </row>
    <row r="32" spans="1:18" ht="13.5" thickBot="1">
      <c r="A32" s="1022"/>
      <c r="B32" s="175" t="s">
        <v>2</v>
      </c>
      <c r="C32" s="108">
        <f>SUM(C25:C31)</f>
        <v>19669</v>
      </c>
      <c r="D32" s="109">
        <f>SUM(D25:D31)</f>
        <v>0</v>
      </c>
      <c r="E32" s="110">
        <f>SUM(E25:E31)</f>
        <v>0</v>
      </c>
      <c r="F32" s="111">
        <f>SUM(F24:F31)</f>
        <v>18</v>
      </c>
      <c r="G32" s="181"/>
      <c r="H32" s="182"/>
      <c r="I32" s="179"/>
      <c r="J32" s="224">
        <f>+'16'!J32</f>
        <v>0</v>
      </c>
      <c r="K32" s="251"/>
      <c r="L32" s="253"/>
      <c r="M32" s="126">
        <f>+K32+'16'!M32+L32</f>
        <v>0</v>
      </c>
    </row>
    <row r="33" spans="1:14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73183</v>
      </c>
      <c r="D34" s="116">
        <f>D14+D23+D32</f>
        <v>0</v>
      </c>
      <c r="E34" s="116">
        <f>E14+E23+E32</f>
        <v>0</v>
      </c>
      <c r="F34" s="117">
        <f>F14+F23+F32</f>
        <v>54</v>
      </c>
      <c r="H34" s="188"/>
      <c r="I34" s="188"/>
      <c r="J34" s="132" t="s">
        <v>28</v>
      </c>
      <c r="K34" s="133">
        <f>SUM(K7:K32)</f>
        <v>73183</v>
      </c>
      <c r="L34" s="222">
        <f>SUM(L7:L32)</f>
        <v>0</v>
      </c>
      <c r="M34" s="129">
        <f>SUM(M7:M32)</f>
        <v>1108673</v>
      </c>
      <c r="N34" s="164"/>
    </row>
    <row r="35" spans="1:14" ht="13.5" thickBot="1">
      <c r="A35" s="189"/>
      <c r="B35" s="190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(17*753+16.5*148+10.3*539)/1440*G42*2.77*1440/1000000</f>
        <v>75.678668549271819</v>
      </c>
      <c r="J37" s="134">
        <f>+I37+'16'!J37</f>
        <v>1217.7165374090405</v>
      </c>
      <c r="K37" s="135" t="s">
        <v>63</v>
      </c>
      <c r="L37" s="566">
        <f>+I38-L38-L39</f>
        <v>46.748000000000019</v>
      </c>
    </row>
    <row r="38" spans="1:14" ht="17.45" customHeight="1">
      <c r="A38" s="1013" t="s">
        <v>12</v>
      </c>
      <c r="B38" s="1014"/>
      <c r="C38" s="173">
        <f>SUMIF($G$7:$G$31,"Process",$F$7:$F$31)</f>
        <v>54</v>
      </c>
      <c r="D38" s="127">
        <f>+C38+'16'!D38</f>
        <v>783</v>
      </c>
      <c r="E38" s="152">
        <f t="shared" ref="E38:E51" si="0">D38/60</f>
        <v>13.05</v>
      </c>
      <c r="F38" s="338">
        <v>1260</v>
      </c>
      <c r="G38" s="338">
        <v>1255.5899999999999</v>
      </c>
      <c r="H38" s="197" t="s">
        <v>64</v>
      </c>
      <c r="I38" s="554">
        <f>27.462+27.955+18.93</f>
        <v>74.347000000000008</v>
      </c>
      <c r="J38" s="136">
        <f>+I38+'16'!J38</f>
        <v>1140.4760000000001</v>
      </c>
      <c r="K38" s="137" t="s">
        <v>63</v>
      </c>
      <c r="L38" s="158">
        <f>2.966+3.154+1.623</f>
        <v>7.7430000000000003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+C39+'16'!D39</f>
        <v>0</v>
      </c>
      <c r="E39" s="152">
        <f t="shared" si="0"/>
        <v>0</v>
      </c>
      <c r="F39" s="338">
        <v>1311.625</v>
      </c>
      <c r="G39" s="338">
        <v>1274.7170624999999</v>
      </c>
      <c r="H39" s="197" t="s">
        <v>65</v>
      </c>
      <c r="I39" s="151"/>
      <c r="J39" s="138">
        <f>J37/G4</f>
        <v>71.630384553472965</v>
      </c>
      <c r="K39" s="139" t="s">
        <v>63</v>
      </c>
      <c r="L39" s="158">
        <f>0.926+18.93</f>
        <v>19.855999999999998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+C40+'16'!D40</f>
        <v>39</v>
      </c>
      <c r="E40" s="152">
        <f t="shared" si="0"/>
        <v>0.65</v>
      </c>
      <c r="F40" s="338">
        <v>1680</v>
      </c>
      <c r="G40" s="338">
        <v>1411.2</v>
      </c>
      <c r="H40" s="197" t="s">
        <v>67</v>
      </c>
      <c r="I40" s="127">
        <f>(K34+L34)/1000</f>
        <v>73.183000000000007</v>
      </c>
      <c r="J40" s="140">
        <f>+I40+'16'!J40</f>
        <v>1108.673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+C41+'16'!D41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65.216058823529409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+C42+'16'!D42</f>
        <v>0</v>
      </c>
      <c r="E42" s="152">
        <f t="shared" si="0"/>
        <v>0</v>
      </c>
      <c r="F42" s="338">
        <f>+(F38*480+F39*480+F40*480)/1440</f>
        <v>1417.2083333333333</v>
      </c>
      <c r="G42" s="338">
        <f>+(G38*480+G39*480+G40*480)/1440</f>
        <v>1313.8356874999999</v>
      </c>
      <c r="H42" s="197" t="s">
        <v>70</v>
      </c>
      <c r="I42" s="256" t="s">
        <v>667</v>
      </c>
      <c r="J42" s="141"/>
      <c r="K42" s="139" t="s">
        <v>71</v>
      </c>
    </row>
    <row r="43" spans="1:14" ht="17.45" customHeight="1">
      <c r="A43" s="1009" t="s">
        <v>202</v>
      </c>
      <c r="B43" s="1010"/>
      <c r="C43" s="173">
        <f>SUMIF($G$7:$G$31,"Change Grade",$F$7:$F$31)</f>
        <v>0</v>
      </c>
      <c r="D43" s="127">
        <f>+C43+'16'!D43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+Report1!T25</f>
        <v>148.76500000000001</v>
      </c>
      <c r="J43" s="142">
        <f>+I43+'16'!J43</f>
        <v>2515.1649999999995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+C44+'16'!D44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2.0009549813711378</v>
      </c>
      <c r="J44" s="143">
        <f>J43/J38</f>
        <v>2.2053642514178282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+C45+'16'!D45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2.0327808370796498</v>
      </c>
      <c r="J45" s="143">
        <f>J43/J40</f>
        <v>2.2686265472325919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+C46+'16'!D46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+SUMIF(Listrik!AR24,"&gt;0")</f>
        <v>57599.540000001376</v>
      </c>
      <c r="J46" s="144">
        <f>+I46+'16'!J46</f>
        <v>895350.6799999983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+C47+'16'!D47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774.73926318481404</v>
      </c>
      <c r="J47" s="144">
        <f>J46/J38</f>
        <v>785.06753320543191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+C48+'16'!D48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787.06174931338387</v>
      </c>
      <c r="J48" s="144">
        <f>J46/J40</f>
        <v>807.58770169382524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+C49+'16'!D49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+I49+'16'!J49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+C50+'16'!D50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+C51+'16'!D51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54</v>
      </c>
      <c r="D52" s="153">
        <f>SUM(D38:D51)</f>
        <v>2158</v>
      </c>
      <c r="E52" s="154">
        <f>SUM(E38:E51)</f>
        <v>35.966666666666669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3.7499999999999999E-2</v>
      </c>
      <c r="D53" s="155">
        <f>D52/(24*60*G4)</f>
        <v>8.8153594771241836E-2</v>
      </c>
      <c r="E53" s="156">
        <f>E52/(G4*24)</f>
        <v>8.8153594771241836E-2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+D34+'16'!J56</f>
        <v>17177</v>
      </c>
      <c r="K56" s="211">
        <f>J56/(J40+J56/1000)/1000</f>
        <v>1.5256916996047431E-2</v>
      </c>
    </row>
    <row r="57" spans="1:11">
      <c r="A57" s="186"/>
      <c r="I57" s="209" t="s">
        <v>89</v>
      </c>
      <c r="J57" s="210">
        <f>+E34+'16'!J57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41:B41"/>
    <mergeCell ref="A7:A14"/>
    <mergeCell ref="I7:I13"/>
    <mergeCell ref="A15:A23"/>
    <mergeCell ref="I15:I22"/>
    <mergeCell ref="A34:B34"/>
    <mergeCell ref="A37:B37"/>
    <mergeCell ref="A38:B38"/>
    <mergeCell ref="I24:I31"/>
    <mergeCell ref="A24:A32"/>
    <mergeCell ref="A39:B39"/>
    <mergeCell ref="A40:B40"/>
    <mergeCell ref="A42:B42"/>
    <mergeCell ref="A43:B43"/>
    <mergeCell ref="A44:B44"/>
    <mergeCell ref="A45:B45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topLeftCell="A4" zoomScale="80" zoomScaleNormal="80" workbookViewId="0">
      <selection activeCell="K13" sqref="K13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3.85546875" style="158" bestFit="1" customWidth="1"/>
    <col min="14" max="16384" width="9.140625" style="158"/>
  </cols>
  <sheetData>
    <row r="1" spans="1:16" ht="15.75">
      <c r="A1" s="157"/>
    </row>
    <row r="2" spans="1:16" ht="15.75">
      <c r="A2" s="157" t="s">
        <v>147</v>
      </c>
    </row>
    <row r="3" spans="1:16" ht="15">
      <c r="A3" s="159"/>
    </row>
    <row r="4" spans="1:16" ht="20.25">
      <c r="A4" s="160" t="s">
        <v>3</v>
      </c>
      <c r="B4" s="161"/>
      <c r="F4" s="162" t="s">
        <v>30</v>
      </c>
      <c r="G4" s="163">
        <v>16</v>
      </c>
      <c r="H4" s="163" t="str">
        <f>+'1'!H4</f>
        <v>.06.24</v>
      </c>
    </row>
    <row r="5" spans="1:16" ht="13.5" thickBot="1">
      <c r="C5" s="164"/>
      <c r="D5" s="164"/>
    </row>
    <row r="6" spans="1:16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145+200+218</f>
        <v>563</v>
      </c>
    </row>
    <row r="7" spans="1:16" ht="13.5" customHeight="1" thickBot="1">
      <c r="A7" s="1015" t="s">
        <v>657</v>
      </c>
      <c r="B7" s="225" t="s">
        <v>650</v>
      </c>
      <c r="C7" s="226">
        <v>26728</v>
      </c>
      <c r="D7" s="227"/>
      <c r="E7" s="228"/>
      <c r="F7" s="238"/>
      <c r="G7" s="239" t="s">
        <v>12</v>
      </c>
      <c r="H7" s="240" t="s">
        <v>277</v>
      </c>
      <c r="I7" s="1018" t="s">
        <v>551</v>
      </c>
      <c r="J7" s="224" t="str">
        <f>+'15'!J7</f>
        <v>F 13,5 VP OW</v>
      </c>
      <c r="K7" s="248"/>
      <c r="L7" s="252"/>
      <c r="M7" s="126">
        <f>+K7+'15'!M7+L7</f>
        <v>97821</v>
      </c>
    </row>
    <row r="8" spans="1:16" ht="13.5" thickBot="1">
      <c r="A8" s="1016"/>
      <c r="B8" s="225"/>
      <c r="C8" s="226"/>
      <c r="D8" s="227"/>
      <c r="E8" s="229"/>
      <c r="F8" s="241"/>
      <c r="G8" s="242" t="s">
        <v>12</v>
      </c>
      <c r="H8" s="240" t="s">
        <v>446</v>
      </c>
      <c r="I8" s="1019"/>
      <c r="J8" s="224" t="str">
        <f>+'15'!J8</f>
        <v>F 13 VP OW</v>
      </c>
      <c r="K8" s="249"/>
      <c r="L8" s="249"/>
      <c r="M8" s="126">
        <f>+K8+'15'!M8+L8</f>
        <v>71398</v>
      </c>
      <c r="N8" s="158">
        <v>1260</v>
      </c>
      <c r="O8" s="158">
        <f>+N8-N8*0.0035</f>
        <v>1255.5899999999999</v>
      </c>
      <c r="P8" s="158">
        <f>480+480+480-P9</f>
        <v>1080</v>
      </c>
    </row>
    <row r="9" spans="1:16" ht="13.5" thickBot="1">
      <c r="A9" s="1016"/>
      <c r="B9" s="225"/>
      <c r="C9" s="226"/>
      <c r="D9" s="227"/>
      <c r="E9" s="230"/>
      <c r="F9" s="238">
        <v>6</v>
      </c>
      <c r="G9" s="242" t="s">
        <v>12</v>
      </c>
      <c r="H9" s="243" t="s">
        <v>445</v>
      </c>
      <c r="I9" s="1019"/>
      <c r="J9" s="224" t="str">
        <f>+'15'!J9</f>
        <v>MG 17 VP OW</v>
      </c>
      <c r="K9" s="249"/>
      <c r="L9" s="249"/>
      <c r="M9" s="126">
        <f>+K9+'15'!M9+L9</f>
        <v>37355</v>
      </c>
      <c r="N9" s="158">
        <v>1260</v>
      </c>
      <c r="O9" s="158">
        <f>+N9-N9*0.0035</f>
        <v>1255.5899999999999</v>
      </c>
      <c r="P9" s="158">
        <v>360</v>
      </c>
    </row>
    <row r="10" spans="1:16" ht="13.5" thickBot="1">
      <c r="A10" s="1016"/>
      <c r="B10" s="225"/>
      <c r="C10" s="226"/>
      <c r="D10" s="227"/>
      <c r="E10" s="229"/>
      <c r="F10" s="238"/>
      <c r="G10" s="242"/>
      <c r="H10" s="243" t="s">
        <v>646</v>
      </c>
      <c r="I10" s="1019"/>
      <c r="J10" s="224" t="str">
        <f>+'15'!J10</f>
        <v>MG 16,5 VP OW</v>
      </c>
      <c r="K10" s="249"/>
      <c r="L10" s="249"/>
      <c r="M10" s="126">
        <f>+K10+'15'!M10+L10</f>
        <v>226263</v>
      </c>
      <c r="P10" s="158">
        <f>SUM(P8:P9)</f>
        <v>1440</v>
      </c>
    </row>
    <row r="11" spans="1:16" ht="13.5" thickBot="1">
      <c r="A11" s="1016"/>
      <c r="B11" s="225"/>
      <c r="C11" s="226"/>
      <c r="D11" s="227"/>
      <c r="E11" s="229"/>
      <c r="F11" s="238"/>
      <c r="G11" s="242"/>
      <c r="H11" s="243"/>
      <c r="I11" s="1019"/>
      <c r="J11" s="224" t="str">
        <f>+'15'!J11</f>
        <v>MG 14 VP HW</v>
      </c>
      <c r="K11" s="249"/>
      <c r="L11" s="249"/>
      <c r="M11" s="126">
        <f>+K11+'15'!M11+L11</f>
        <v>160355</v>
      </c>
    </row>
    <row r="12" spans="1:16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+'15'!J12</f>
        <v>MG 17 VP HW</v>
      </c>
      <c r="K12" s="249">
        <f>+C26</f>
        <v>11736</v>
      </c>
      <c r="L12" s="249"/>
      <c r="M12" s="126">
        <f>+K12+'15'!M12+L12</f>
        <v>130788</v>
      </c>
    </row>
    <row r="13" spans="1:16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+'15'!J13</f>
        <v>MG 21 VP OW</v>
      </c>
      <c r="K13" s="249"/>
      <c r="L13" s="249"/>
      <c r="M13" s="126">
        <f>+K13+'15'!M13+L13</f>
        <v>117118</v>
      </c>
    </row>
    <row r="14" spans="1:16" ht="13.5" thickBot="1">
      <c r="A14" s="1017"/>
      <c r="B14" s="175" t="s">
        <v>2</v>
      </c>
      <c r="C14" s="108">
        <f>SUM(C7:C13)</f>
        <v>26728</v>
      </c>
      <c r="D14" s="120">
        <f>SUM(D7:D13)</f>
        <v>0</v>
      </c>
      <c r="E14" s="121">
        <f>SUM(E5:E13)</f>
        <v>0</v>
      </c>
      <c r="F14" s="125">
        <f>SUM(F7:F13)</f>
        <v>6</v>
      </c>
      <c r="G14" s="168"/>
      <c r="H14" s="176"/>
      <c r="I14" s="177"/>
      <c r="J14" s="224" t="str">
        <f>+'15'!J14</f>
        <v>MG 22 VP HW</v>
      </c>
      <c r="K14" s="249"/>
      <c r="L14" s="249"/>
      <c r="M14" s="126">
        <f>+K14+'15'!M14+L14</f>
        <v>13084</v>
      </c>
    </row>
    <row r="15" spans="1:16" ht="13.5" customHeight="1" thickBot="1">
      <c r="A15" s="1015" t="s">
        <v>449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551</v>
      </c>
      <c r="J15" s="224" t="str">
        <f>+'15'!J15</f>
        <v>MG 16 VP HW</v>
      </c>
      <c r="K15" s="249">
        <f>+C7+C16+C25</f>
        <v>68632</v>
      </c>
      <c r="L15" s="249"/>
      <c r="M15" s="126">
        <f>+K15+'15'!M15+L15</f>
        <v>181308</v>
      </c>
    </row>
    <row r="16" spans="1:16" ht="13.5" thickBot="1">
      <c r="A16" s="1021"/>
      <c r="B16" s="225" t="s">
        <v>650</v>
      </c>
      <c r="C16" s="232">
        <v>26648</v>
      </c>
      <c r="D16" s="233"/>
      <c r="E16" s="234"/>
      <c r="F16" s="238"/>
      <c r="G16" s="242" t="s">
        <v>12</v>
      </c>
      <c r="H16" s="240" t="s">
        <v>446</v>
      </c>
      <c r="I16" s="1019"/>
      <c r="J16" s="224">
        <f>+'15'!J16</f>
        <v>0</v>
      </c>
      <c r="K16" s="249"/>
      <c r="L16" s="239"/>
      <c r="M16" s="126">
        <f>+K16+'15'!M16+L16</f>
        <v>0</v>
      </c>
    </row>
    <row r="17" spans="1:14" ht="13.5" thickBot="1">
      <c r="A17" s="1021"/>
      <c r="B17" s="225"/>
      <c r="C17" s="226"/>
      <c r="D17" s="227"/>
      <c r="E17" s="235"/>
      <c r="F17" s="238">
        <v>3</v>
      </c>
      <c r="G17" s="242" t="s">
        <v>12</v>
      </c>
      <c r="H17" s="243" t="s">
        <v>493</v>
      </c>
      <c r="I17" s="1019"/>
      <c r="J17" s="224">
        <f>+'15'!J17</f>
        <v>0</v>
      </c>
      <c r="K17" s="249"/>
      <c r="L17" s="239"/>
      <c r="M17" s="126">
        <f>+K17+'15'!M17+L17</f>
        <v>0</v>
      </c>
    </row>
    <row r="18" spans="1:14" ht="13.5" thickBot="1">
      <c r="A18" s="1021"/>
      <c r="B18" s="225"/>
      <c r="C18" s="226"/>
      <c r="D18" s="227"/>
      <c r="E18" s="235"/>
      <c r="F18" s="238"/>
      <c r="G18" s="242"/>
      <c r="H18" s="243" t="s">
        <v>646</v>
      </c>
      <c r="I18" s="1019"/>
      <c r="J18" s="224">
        <f>+'15'!J18</f>
        <v>0</v>
      </c>
      <c r="K18" s="249"/>
      <c r="L18" s="249"/>
      <c r="M18" s="126">
        <f>+K18+'15'!M18+L18</f>
        <v>0</v>
      </c>
    </row>
    <row r="19" spans="1:14" ht="13.5" thickBot="1">
      <c r="A19" s="1021"/>
      <c r="B19" s="225"/>
      <c r="C19" s="226"/>
      <c r="D19" s="227"/>
      <c r="E19" s="235"/>
      <c r="F19" s="245"/>
      <c r="G19" s="242"/>
      <c r="H19" s="243"/>
      <c r="I19" s="1019"/>
      <c r="J19" s="224">
        <f>+'15'!J19</f>
        <v>0</v>
      </c>
      <c r="K19" s="249"/>
      <c r="L19" s="249"/>
      <c r="M19" s="126">
        <f>+K19+'15'!M19+L19</f>
        <v>0</v>
      </c>
    </row>
    <row r="20" spans="1:14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+'15'!J20</f>
        <v>0</v>
      </c>
      <c r="K20" s="250"/>
      <c r="L20" s="250"/>
      <c r="M20" s="126">
        <f>+K20+'15'!M20+L20</f>
        <v>0</v>
      </c>
    </row>
    <row r="21" spans="1:14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+'15'!J21</f>
        <v>0</v>
      </c>
      <c r="K21" s="249"/>
      <c r="L21" s="249"/>
      <c r="M21" s="126">
        <f>+K21+'15'!M21+L21</f>
        <v>0</v>
      </c>
    </row>
    <row r="22" spans="1:1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+'15'!J22</f>
        <v>0</v>
      </c>
      <c r="K22" s="249"/>
      <c r="L22" s="249"/>
      <c r="M22" s="126">
        <f>+K22+'15'!M22+L22</f>
        <v>0</v>
      </c>
    </row>
    <row r="23" spans="1:14" ht="13.5" thickBot="1">
      <c r="A23" s="1022"/>
      <c r="B23" s="178" t="s">
        <v>2</v>
      </c>
      <c r="C23" s="109">
        <f>SUM(C16:C22)</f>
        <v>26648</v>
      </c>
      <c r="D23" s="120">
        <f>SUM(D16:D22)</f>
        <v>0</v>
      </c>
      <c r="E23" s="121">
        <f>SUM(E18:E22)</f>
        <v>0</v>
      </c>
      <c r="F23" s="125">
        <f>SUM(F15:F22)</f>
        <v>3</v>
      </c>
      <c r="G23" s="168"/>
      <c r="H23" s="176" t="s">
        <v>234</v>
      </c>
      <c r="I23" s="179"/>
      <c r="J23" s="224">
        <f>+'15'!J23</f>
        <v>0</v>
      </c>
      <c r="K23" s="249"/>
      <c r="L23" s="249"/>
      <c r="M23" s="126">
        <f>+K23+'15'!M23+L23</f>
        <v>0</v>
      </c>
    </row>
    <row r="24" spans="1:14" ht="13.5" customHeight="1" thickBot="1">
      <c r="A24" s="1015" t="s">
        <v>620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551</v>
      </c>
      <c r="J24" s="224">
        <f>+'15'!J24</f>
        <v>0</v>
      </c>
      <c r="K24" s="249"/>
      <c r="L24" s="249"/>
      <c r="M24" s="126">
        <f>+K24+'15'!M24+L24</f>
        <v>0</v>
      </c>
    </row>
    <row r="25" spans="1:14" ht="13.5" thickBot="1">
      <c r="A25" s="1021"/>
      <c r="B25" s="225" t="s">
        <v>650</v>
      </c>
      <c r="C25" s="236">
        <v>15256</v>
      </c>
      <c r="D25" s="227"/>
      <c r="E25" s="235"/>
      <c r="F25" s="241"/>
      <c r="G25" s="242" t="s">
        <v>12</v>
      </c>
      <c r="H25" s="240" t="s">
        <v>446</v>
      </c>
      <c r="I25" s="1019"/>
      <c r="J25" s="224">
        <f>+'15'!J25</f>
        <v>0</v>
      </c>
      <c r="K25" s="249"/>
      <c r="L25" s="249"/>
      <c r="M25" s="126">
        <f>+K25+'15'!M25+L25</f>
        <v>0</v>
      </c>
    </row>
    <row r="26" spans="1:14" ht="13.5" thickBot="1">
      <c r="A26" s="1021"/>
      <c r="B26" s="225" t="s">
        <v>600</v>
      </c>
      <c r="C26" s="236">
        <v>11736</v>
      </c>
      <c r="D26" s="227"/>
      <c r="E26" s="237"/>
      <c r="F26" s="241">
        <v>2</v>
      </c>
      <c r="G26" s="242" t="s">
        <v>12</v>
      </c>
      <c r="H26" s="243" t="s">
        <v>539</v>
      </c>
      <c r="I26" s="1019"/>
      <c r="J26" s="224">
        <f>+'15'!J26</f>
        <v>0</v>
      </c>
      <c r="K26" s="249"/>
      <c r="L26" s="249"/>
      <c r="M26" s="126">
        <f>+K26+'15'!M26+L26</f>
        <v>0</v>
      </c>
    </row>
    <row r="27" spans="1:14" ht="13.5" thickBot="1">
      <c r="A27" s="1021"/>
      <c r="B27" s="225"/>
      <c r="C27" s="226"/>
      <c r="D27" s="227"/>
      <c r="E27" s="235"/>
      <c r="F27" s="241"/>
      <c r="G27" s="242"/>
      <c r="H27" s="243" t="s">
        <v>646</v>
      </c>
      <c r="I27" s="1019"/>
      <c r="J27" s="224">
        <f>+'15'!J27</f>
        <v>0</v>
      </c>
      <c r="K27" s="249"/>
      <c r="L27" s="249"/>
      <c r="M27" s="126">
        <f>+K27+'15'!M27+L27</f>
        <v>0</v>
      </c>
    </row>
    <row r="28" spans="1:14" ht="13.5" thickBot="1">
      <c r="A28" s="1021"/>
      <c r="B28" s="225"/>
      <c r="C28" s="226"/>
      <c r="D28" s="227"/>
      <c r="E28" s="235"/>
      <c r="F28" s="241">
        <v>5</v>
      </c>
      <c r="G28" s="242" t="s">
        <v>12</v>
      </c>
      <c r="H28" s="243" t="s">
        <v>660</v>
      </c>
      <c r="I28" s="1019"/>
      <c r="J28" s="224">
        <f>+'15'!J28</f>
        <v>0</v>
      </c>
      <c r="K28" s="249"/>
      <c r="L28" s="249"/>
      <c r="M28" s="126">
        <f>+K28+'15'!M28+L28</f>
        <v>0</v>
      </c>
    </row>
    <row r="29" spans="1:14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+'15'!J29</f>
        <v>0</v>
      </c>
      <c r="K29" s="249"/>
      <c r="L29" s="249"/>
      <c r="M29" s="126">
        <f>+K29+'15'!M29+L29</f>
        <v>0</v>
      </c>
    </row>
    <row r="30" spans="1:1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+'15'!J30</f>
        <v>0</v>
      </c>
      <c r="K30" s="249"/>
      <c r="L30" s="249"/>
      <c r="M30" s="126">
        <f>+K30+'15'!M30+L30</f>
        <v>0</v>
      </c>
    </row>
    <row r="31" spans="1:14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+'15'!J31</f>
        <v>0</v>
      </c>
      <c r="K31" s="249"/>
      <c r="L31" s="249"/>
      <c r="M31" s="126">
        <f>+K31+'15'!M31+L31</f>
        <v>0</v>
      </c>
      <c r="N31" s="164"/>
    </row>
    <row r="32" spans="1:14" ht="13.5" thickBot="1">
      <c r="A32" s="1022"/>
      <c r="B32" s="175" t="s">
        <v>2</v>
      </c>
      <c r="C32" s="108">
        <f>SUM(C25:C31)</f>
        <v>26992</v>
      </c>
      <c r="D32" s="109">
        <f>SUM(D25:D31)</f>
        <v>0</v>
      </c>
      <c r="E32" s="110">
        <f>SUM(E25:E31)</f>
        <v>0</v>
      </c>
      <c r="F32" s="111">
        <f>SUM(F24:F31)</f>
        <v>7</v>
      </c>
      <c r="G32" s="181"/>
      <c r="H32" s="182"/>
      <c r="I32" s="179"/>
      <c r="J32" s="224">
        <f>+'15'!J32</f>
        <v>0</v>
      </c>
      <c r="K32" s="251"/>
      <c r="L32" s="253"/>
      <c r="M32" s="126">
        <f>+K32+'15'!M32+L32</f>
        <v>0</v>
      </c>
    </row>
    <row r="33" spans="1:14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80368</v>
      </c>
      <c r="D34" s="116">
        <f>D14+D23+D32</f>
        <v>0</v>
      </c>
      <c r="E34" s="116">
        <f>E14+E23+E32</f>
        <v>0</v>
      </c>
      <c r="F34" s="117">
        <f>F14+F23+F32</f>
        <v>16</v>
      </c>
      <c r="H34" s="188"/>
      <c r="I34" s="188"/>
      <c r="J34" s="132" t="s">
        <v>28</v>
      </c>
      <c r="K34" s="133">
        <f>SUM(K7:K32)</f>
        <v>80368</v>
      </c>
      <c r="L34" s="222">
        <f>SUM(L7:L32)</f>
        <v>0</v>
      </c>
      <c r="M34" s="129">
        <f>SUM(M7:M32)</f>
        <v>1035490</v>
      </c>
    </row>
    <row r="35" spans="1:14" ht="13.5" thickBot="1">
      <c r="A35" s="189"/>
      <c r="B35" s="190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  <c r="N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(16*1080+17*360)/1440*G42*2.77*1440/1000000</f>
        <v>81.384832619999983</v>
      </c>
      <c r="J37" s="134">
        <f>+I37+'15'!J37</f>
        <v>1142.0378688597687</v>
      </c>
      <c r="K37" s="135" t="s">
        <v>63</v>
      </c>
      <c r="L37" s="566">
        <f>+I38-L38</f>
        <v>59.86</v>
      </c>
    </row>
    <row r="38" spans="1:14" ht="17.45" customHeight="1">
      <c r="A38" s="1013" t="s">
        <v>12</v>
      </c>
      <c r="B38" s="1014"/>
      <c r="C38" s="173">
        <f>SUMIF($G$7:$G$31,"Process",$F$7:$F$31)</f>
        <v>16</v>
      </c>
      <c r="D38" s="127">
        <f>+C38+'15'!D38</f>
        <v>729</v>
      </c>
      <c r="E38" s="152">
        <f t="shared" ref="E38:E51" si="0">D38/60</f>
        <v>12.15</v>
      </c>
      <c r="F38" s="338">
        <v>1260</v>
      </c>
      <c r="G38" s="338">
        <f>+F38-F38*0.0035</f>
        <v>1255.5899999999999</v>
      </c>
      <c r="H38" s="197" t="s">
        <v>64</v>
      </c>
      <c r="I38" s="554">
        <f>23.89+28.572+25.024</f>
        <v>77.486000000000004</v>
      </c>
      <c r="J38" s="136">
        <f>+I38+'15'!J38</f>
        <v>1066.1290000000001</v>
      </c>
      <c r="K38" s="137" t="s">
        <v>63</v>
      </c>
      <c r="L38" s="158">
        <v>17.626000000000001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+C39+'15'!D39</f>
        <v>0</v>
      </c>
      <c r="E39" s="152">
        <f t="shared" si="0"/>
        <v>0</v>
      </c>
      <c r="F39" s="338">
        <v>1260</v>
      </c>
      <c r="G39" s="338">
        <f>+F39-F39*0.0035</f>
        <v>1255.5899999999999</v>
      </c>
      <c r="H39" s="197" t="s">
        <v>65</v>
      </c>
      <c r="I39" s="151"/>
      <c r="J39" s="138">
        <f>J37/G4</f>
        <v>71.377366803735541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+C40+'15'!D40</f>
        <v>39</v>
      </c>
      <c r="E40" s="152">
        <f t="shared" si="0"/>
        <v>0.65</v>
      </c>
      <c r="F40" s="338">
        <v>1260</v>
      </c>
      <c r="G40" s="338">
        <f>+F40-F40*0.0035</f>
        <v>1255.5899999999999</v>
      </c>
      <c r="H40" s="197" t="s">
        <v>67</v>
      </c>
      <c r="I40" s="127">
        <f>(K34+L34)/1000</f>
        <v>80.367999999999995</v>
      </c>
      <c r="J40" s="140">
        <f>+I40+'15'!J40</f>
        <v>1035.49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+C41+'15'!D41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64.718125000000001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+C42+'15'!D42</f>
        <v>0</v>
      </c>
      <c r="E42" s="152">
        <f t="shared" si="0"/>
        <v>0</v>
      </c>
      <c r="F42" s="338">
        <f>+(F38*480+F40*480+F39*480)/1440</f>
        <v>1260</v>
      </c>
      <c r="G42" s="338">
        <f>+(G38*480+G40*480+G39*480)/1440</f>
        <v>1255.5899999999999</v>
      </c>
      <c r="H42" s="197" t="s">
        <v>70</v>
      </c>
      <c r="I42" s="256" t="s">
        <v>551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+C43+'15'!D43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+Report1!T24</f>
        <v>165.26299999999998</v>
      </c>
      <c r="J43" s="142">
        <f>+I43+'15'!J43</f>
        <v>2366.3999999999996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+C44+'15'!D44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2.1328110884546883</v>
      </c>
      <c r="J44" s="143">
        <f>J43/J38</f>
        <v>2.21961882661479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+C45+'15'!D45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2.0563283894087196</v>
      </c>
      <c r="J45" s="143">
        <f>J43/J40</f>
        <v>2.2852948845474121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+C46+'15'!D46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+SUMIF(Listrik!AR23,"&gt;0")</f>
        <v>58306.800000000199</v>
      </c>
      <c r="J46" s="144">
        <f>+I46+'15'!J46</f>
        <v>837751.13999999687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+C47+'15'!D47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752.48173863665943</v>
      </c>
      <c r="J47" s="144">
        <f>J46/J38</f>
        <v>785.78777990280423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+C48+'15'!D48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725.49771053155735</v>
      </c>
      <c r="J48" s="144">
        <f>J46/J40</f>
        <v>809.03836830872035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+C49+'15'!D49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+I49+'15'!J49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+C50+'15'!D50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+C51+'15'!D51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16</v>
      </c>
      <c r="D52" s="153">
        <f>SUM(D38:D51)</f>
        <v>2104</v>
      </c>
      <c r="E52" s="154">
        <f>SUM(E38:E51)</f>
        <v>35.066666666666663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1.1111111111111112E-2</v>
      </c>
      <c r="D53" s="155">
        <f>D52/(24*60*G4)</f>
        <v>9.1319444444444439E-2</v>
      </c>
      <c r="E53" s="156">
        <f>E52/(G4*24)</f>
        <v>9.1319444444444439E-2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+D34+'15'!J56</f>
        <v>17177</v>
      </c>
      <c r="K56" s="211">
        <f>J56/(J40+J56/1000)/1000</f>
        <v>1.6317600912729286E-2</v>
      </c>
    </row>
    <row r="57" spans="1:11">
      <c r="A57" s="186"/>
      <c r="I57" s="209" t="s">
        <v>89</v>
      </c>
      <c r="J57" s="210">
        <f>+E34+'15'!J57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  <mergeCell ref="A38:B38"/>
    <mergeCell ref="A41:B41"/>
    <mergeCell ref="A53:B53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2.140625" style="158" customWidth="1"/>
    <col min="14" max="16384" width="9.140625" style="158"/>
  </cols>
  <sheetData>
    <row r="1" spans="1:16" ht="15.75">
      <c r="A1" s="157"/>
    </row>
    <row r="2" spans="1:16" ht="15.75">
      <c r="A2" s="157" t="s">
        <v>147</v>
      </c>
    </row>
    <row r="3" spans="1:16" ht="15">
      <c r="A3" s="159"/>
    </row>
    <row r="4" spans="1:16" ht="20.25">
      <c r="A4" s="160" t="s">
        <v>3</v>
      </c>
      <c r="B4" s="161"/>
      <c r="F4" s="162" t="s">
        <v>30</v>
      </c>
      <c r="G4" s="163">
        <v>15</v>
      </c>
      <c r="H4" s="163" t="str">
        <f>+'1'!H4</f>
        <v>.06.24</v>
      </c>
      <c r="J4" s="158">
        <v>452</v>
      </c>
    </row>
    <row r="5" spans="1:16" ht="13.5" thickBot="1">
      <c r="C5" s="164"/>
      <c r="D5" s="164"/>
    </row>
    <row r="6" spans="1:16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150+187+238</f>
        <v>575</v>
      </c>
    </row>
    <row r="7" spans="1:16" ht="13.5" customHeight="1" thickBot="1">
      <c r="A7" s="1015" t="s">
        <v>657</v>
      </c>
      <c r="B7" s="225" t="s">
        <v>549</v>
      </c>
      <c r="C7" s="226">
        <v>26204</v>
      </c>
      <c r="D7" s="227">
        <v>262</v>
      </c>
      <c r="E7" s="228"/>
      <c r="F7" s="238"/>
      <c r="G7" s="239" t="s">
        <v>12</v>
      </c>
      <c r="H7" s="240" t="s">
        <v>277</v>
      </c>
      <c r="I7" s="1018" t="s">
        <v>551</v>
      </c>
      <c r="J7" s="224" t="str">
        <f>+'14'!J7</f>
        <v>F 13,5 VP OW</v>
      </c>
      <c r="K7" s="248"/>
      <c r="L7" s="252"/>
      <c r="M7" s="126">
        <f>+K7+'14'!M7+L7</f>
        <v>97821</v>
      </c>
    </row>
    <row r="8" spans="1:16" ht="13.5" thickBot="1">
      <c r="A8" s="1016"/>
      <c r="B8" s="225"/>
      <c r="C8" s="226"/>
      <c r="D8" s="227"/>
      <c r="E8" s="229"/>
      <c r="F8" s="241"/>
      <c r="G8" s="242" t="s">
        <v>12</v>
      </c>
      <c r="H8" s="240" t="s">
        <v>446</v>
      </c>
      <c r="I8" s="1019"/>
      <c r="J8" s="224" t="str">
        <f>+'14'!J8</f>
        <v>F 13 VP OW</v>
      </c>
      <c r="K8" s="249"/>
      <c r="L8" s="249"/>
      <c r="M8" s="126">
        <f>+K8+'14'!M8+L8</f>
        <v>71398</v>
      </c>
      <c r="N8" s="158">
        <v>1260</v>
      </c>
      <c r="O8" s="158">
        <f>+N8-N8*0.0035</f>
        <v>1255.5899999999999</v>
      </c>
      <c r="P8" s="158">
        <f>480+349</f>
        <v>829</v>
      </c>
    </row>
    <row r="9" spans="1:16" ht="13.5" thickBot="1">
      <c r="A9" s="1016"/>
      <c r="B9" s="225"/>
      <c r="C9" s="226"/>
      <c r="D9" s="227"/>
      <c r="E9" s="230"/>
      <c r="F9" s="238">
        <v>1</v>
      </c>
      <c r="G9" s="242" t="s">
        <v>12</v>
      </c>
      <c r="H9" s="243" t="s">
        <v>539</v>
      </c>
      <c r="I9" s="1019"/>
      <c r="J9" s="224" t="str">
        <f>+'14'!J9</f>
        <v>MG 17 VP OW</v>
      </c>
      <c r="K9" s="249"/>
      <c r="L9" s="249"/>
      <c r="M9" s="126">
        <f>+K9+'14'!M9+L9</f>
        <v>37355</v>
      </c>
      <c r="N9" s="158">
        <v>1260</v>
      </c>
      <c r="O9" s="158">
        <f>+N9-N9*0.0035</f>
        <v>1255.5899999999999</v>
      </c>
      <c r="P9" s="158">
        <f>1440-P8</f>
        <v>611</v>
      </c>
    </row>
    <row r="10" spans="1:16" ht="13.5" thickBot="1">
      <c r="A10" s="1016"/>
      <c r="B10" s="225"/>
      <c r="C10" s="226"/>
      <c r="D10" s="227"/>
      <c r="E10" s="229"/>
      <c r="F10" s="238"/>
      <c r="G10" s="242"/>
      <c r="H10" s="243" t="s">
        <v>654</v>
      </c>
      <c r="I10" s="1019"/>
      <c r="J10" s="224" t="str">
        <f>+'14'!J10</f>
        <v>MG 16,5 VP OW</v>
      </c>
      <c r="K10" s="249">
        <f>+C7+C16</f>
        <v>51322</v>
      </c>
      <c r="L10" s="249"/>
      <c r="M10" s="126">
        <f>+K10+'14'!M10+L10</f>
        <v>226263</v>
      </c>
    </row>
    <row r="11" spans="1:16" ht="13.5" thickBot="1">
      <c r="A11" s="1016"/>
      <c r="B11" s="225"/>
      <c r="C11" s="226"/>
      <c r="D11" s="227"/>
      <c r="E11" s="229"/>
      <c r="F11" s="238"/>
      <c r="G11" s="242"/>
      <c r="H11" s="243"/>
      <c r="I11" s="1019"/>
      <c r="J11" s="224" t="str">
        <f>+'14'!J11</f>
        <v>MG 14 VP HW</v>
      </c>
      <c r="K11" s="249"/>
      <c r="L11" s="249"/>
      <c r="M11" s="126">
        <f>+K11+'14'!M11+L11</f>
        <v>160355</v>
      </c>
    </row>
    <row r="12" spans="1:16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+'14'!J12</f>
        <v>MG 17 VP HW</v>
      </c>
      <c r="K12" s="249"/>
      <c r="L12" s="249"/>
      <c r="M12" s="126">
        <f>+K12+'14'!M12+L12</f>
        <v>119052</v>
      </c>
    </row>
    <row r="13" spans="1:16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+'14'!J13</f>
        <v>MG 21 VP OW</v>
      </c>
      <c r="K13" s="249"/>
      <c r="L13" s="249"/>
      <c r="M13" s="126">
        <f>+K13+'14'!M13+L13</f>
        <v>117118</v>
      </c>
    </row>
    <row r="14" spans="1:16" ht="13.5" thickBot="1">
      <c r="A14" s="1017"/>
      <c r="B14" s="175" t="s">
        <v>2</v>
      </c>
      <c r="C14" s="108">
        <f>SUM(C7:C13)</f>
        <v>26204</v>
      </c>
      <c r="D14" s="120">
        <f>SUM(D7:D13)</f>
        <v>262</v>
      </c>
      <c r="E14" s="121">
        <f>SUM(E5:E13)</f>
        <v>0</v>
      </c>
      <c r="F14" s="125">
        <f>SUM(F7:F13)</f>
        <v>1</v>
      </c>
      <c r="G14" s="168"/>
      <c r="H14" s="176"/>
      <c r="I14" s="177"/>
      <c r="J14" s="224" t="str">
        <f>+'14'!J14</f>
        <v>MG 22 VP HW</v>
      </c>
      <c r="K14" s="249"/>
      <c r="L14" s="249"/>
      <c r="M14" s="126">
        <f>+K14+'14'!M14+L14</f>
        <v>13084</v>
      </c>
    </row>
    <row r="15" spans="1:16" ht="13.5" customHeight="1" thickBot="1">
      <c r="A15" s="1015" t="s">
        <v>449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551</v>
      </c>
      <c r="J15" s="224" t="str">
        <f>+'14'!J15</f>
        <v>MG 16 VP HW</v>
      </c>
      <c r="K15" s="249">
        <f>+C17+C25</f>
        <v>26456</v>
      </c>
      <c r="L15" s="249"/>
      <c r="M15" s="126">
        <f>+K15+'14'!M15+L15</f>
        <v>112676</v>
      </c>
    </row>
    <row r="16" spans="1:16" ht="13.5" thickBot="1">
      <c r="A16" s="1021"/>
      <c r="B16" s="225" t="s">
        <v>549</v>
      </c>
      <c r="C16" s="232">
        <f>19124+5994</f>
        <v>25118</v>
      </c>
      <c r="D16" s="233">
        <v>131</v>
      </c>
      <c r="E16" s="234"/>
      <c r="F16" s="238"/>
      <c r="G16" s="242" t="s">
        <v>12</v>
      </c>
      <c r="H16" s="240" t="s">
        <v>446</v>
      </c>
      <c r="I16" s="1019"/>
      <c r="J16" s="224">
        <f>+'14'!J16</f>
        <v>0</v>
      </c>
      <c r="K16" s="249"/>
      <c r="L16" s="239"/>
      <c r="M16" s="126">
        <f>+K16+'14'!M16+L16</f>
        <v>0</v>
      </c>
    </row>
    <row r="17" spans="1:14" ht="13.5" thickBot="1">
      <c r="A17" s="1021"/>
      <c r="B17" s="225" t="s">
        <v>650</v>
      </c>
      <c r="C17" s="226">
        <f>95+1252</f>
        <v>1347</v>
      </c>
      <c r="D17" s="227"/>
      <c r="E17" s="235"/>
      <c r="F17" s="238">
        <v>7</v>
      </c>
      <c r="G17" s="242" t="s">
        <v>12</v>
      </c>
      <c r="H17" s="243" t="s">
        <v>493</v>
      </c>
      <c r="I17" s="1019"/>
      <c r="J17" s="224">
        <f>+'14'!J17</f>
        <v>0</v>
      </c>
      <c r="K17" s="249"/>
      <c r="L17" s="239"/>
      <c r="M17" s="126">
        <f>+K17+'14'!M17+L17</f>
        <v>0</v>
      </c>
    </row>
    <row r="18" spans="1:14" ht="13.5" thickBot="1">
      <c r="A18" s="1021"/>
      <c r="B18" s="225"/>
      <c r="C18" s="226"/>
      <c r="D18" s="227"/>
      <c r="E18" s="235"/>
      <c r="F18" s="238"/>
      <c r="G18" s="242"/>
      <c r="H18" s="243" t="s">
        <v>654</v>
      </c>
      <c r="I18" s="1019"/>
      <c r="J18" s="224">
        <f>+'14'!J18</f>
        <v>0</v>
      </c>
      <c r="K18" s="249"/>
      <c r="L18" s="249"/>
      <c r="M18" s="126">
        <f>+K18+'14'!M18+L18</f>
        <v>0</v>
      </c>
    </row>
    <row r="19" spans="1:14" ht="13.5" thickBot="1">
      <c r="A19" s="1021"/>
      <c r="B19" s="225"/>
      <c r="C19" s="226"/>
      <c r="D19" s="227"/>
      <c r="E19" s="235"/>
      <c r="F19" s="245">
        <v>5</v>
      </c>
      <c r="G19" s="242" t="s">
        <v>12</v>
      </c>
      <c r="H19" s="243" t="s">
        <v>656</v>
      </c>
      <c r="I19" s="1019"/>
      <c r="J19" s="224">
        <f>+'14'!J19</f>
        <v>0</v>
      </c>
      <c r="K19" s="249"/>
      <c r="L19" s="249"/>
      <c r="M19" s="126">
        <f>+K19+'14'!M19+L19</f>
        <v>0</v>
      </c>
    </row>
    <row r="20" spans="1:14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+'14'!J20</f>
        <v>0</v>
      </c>
      <c r="K20" s="250"/>
      <c r="L20" s="250"/>
      <c r="M20" s="126">
        <f>+K20+'14'!M20+L20</f>
        <v>0</v>
      </c>
    </row>
    <row r="21" spans="1:14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+'14'!J21</f>
        <v>0</v>
      </c>
      <c r="K21" s="249"/>
      <c r="L21" s="249"/>
      <c r="M21" s="126">
        <f>+K21+'14'!M21+L21</f>
        <v>0</v>
      </c>
    </row>
    <row r="22" spans="1:1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+'14'!J22</f>
        <v>0</v>
      </c>
      <c r="K22" s="249"/>
      <c r="L22" s="249"/>
      <c r="M22" s="126">
        <f>+K22+'14'!M22+L22</f>
        <v>0</v>
      </c>
    </row>
    <row r="23" spans="1:14" ht="13.5" thickBot="1">
      <c r="A23" s="1022"/>
      <c r="B23" s="178" t="s">
        <v>2</v>
      </c>
      <c r="C23" s="109">
        <f>SUM(C16:C22)</f>
        <v>26465</v>
      </c>
      <c r="D23" s="120">
        <f>SUM(D16:D22)</f>
        <v>131</v>
      </c>
      <c r="E23" s="121">
        <f>SUM(E18:E22)</f>
        <v>0</v>
      </c>
      <c r="F23" s="125">
        <f>SUM(F15:F22)</f>
        <v>12</v>
      </c>
      <c r="G23" s="168"/>
      <c r="H23" s="176" t="s">
        <v>234</v>
      </c>
      <c r="I23" s="179"/>
      <c r="J23" s="224">
        <f>+'14'!J23</f>
        <v>0</v>
      </c>
      <c r="K23" s="249"/>
      <c r="L23" s="249"/>
      <c r="M23" s="126">
        <f>+K23+'14'!M23+L23</f>
        <v>0</v>
      </c>
    </row>
    <row r="24" spans="1:14" ht="13.5" customHeight="1" thickBot="1">
      <c r="A24" s="1015" t="s">
        <v>485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551</v>
      </c>
      <c r="J24" s="224">
        <f>+'14'!J24</f>
        <v>0</v>
      </c>
      <c r="K24" s="249"/>
      <c r="L24" s="249"/>
      <c r="M24" s="126">
        <f>+K24+'14'!M24+L24</f>
        <v>0</v>
      </c>
    </row>
    <row r="25" spans="1:14" ht="13.5" thickBot="1">
      <c r="A25" s="1021"/>
      <c r="B25" s="225" t="s">
        <v>650</v>
      </c>
      <c r="C25" s="236">
        <v>25109</v>
      </c>
      <c r="D25" s="227">
        <v>194</v>
      </c>
      <c r="E25" s="235"/>
      <c r="F25" s="241"/>
      <c r="G25" s="242" t="s">
        <v>12</v>
      </c>
      <c r="H25" s="240" t="s">
        <v>446</v>
      </c>
      <c r="I25" s="1019"/>
      <c r="J25" s="224">
        <f>+'14'!J25</f>
        <v>0</v>
      </c>
      <c r="K25" s="249"/>
      <c r="L25" s="249"/>
      <c r="M25" s="126">
        <f>+K25+'14'!M25+L25</f>
        <v>0</v>
      </c>
    </row>
    <row r="26" spans="1:14" ht="13.5" thickBot="1">
      <c r="A26" s="1021"/>
      <c r="B26" s="225"/>
      <c r="C26" s="236"/>
      <c r="D26" s="227"/>
      <c r="E26" s="237"/>
      <c r="F26" s="241">
        <v>7</v>
      </c>
      <c r="G26" s="242" t="s">
        <v>12</v>
      </c>
      <c r="H26" s="243" t="s">
        <v>539</v>
      </c>
      <c r="I26" s="1019"/>
      <c r="J26" s="224">
        <f>+'14'!J26</f>
        <v>0</v>
      </c>
      <c r="K26" s="249"/>
      <c r="L26" s="249"/>
      <c r="M26" s="126">
        <f>+K26+'14'!M26+L26</f>
        <v>0</v>
      </c>
    </row>
    <row r="27" spans="1:14" ht="13.5" thickBot="1">
      <c r="A27" s="1021"/>
      <c r="B27" s="225"/>
      <c r="C27" s="226"/>
      <c r="D27" s="227"/>
      <c r="E27" s="235"/>
      <c r="F27" s="241"/>
      <c r="G27" s="242"/>
      <c r="H27" s="243" t="s">
        <v>646</v>
      </c>
      <c r="I27" s="1019"/>
      <c r="J27" s="224">
        <f>+'14'!J27</f>
        <v>0</v>
      </c>
      <c r="K27" s="249"/>
      <c r="L27" s="249"/>
      <c r="M27" s="126">
        <f>+K27+'14'!M27+L27</f>
        <v>0</v>
      </c>
    </row>
    <row r="28" spans="1:14" ht="13.5" thickBot="1">
      <c r="A28" s="1021"/>
      <c r="B28" s="225"/>
      <c r="C28" s="226"/>
      <c r="D28" s="227"/>
      <c r="E28" s="235"/>
      <c r="F28" s="241"/>
      <c r="G28" s="242"/>
      <c r="H28" s="243"/>
      <c r="I28" s="1019"/>
      <c r="J28" s="224">
        <f>+'14'!J28</f>
        <v>0</v>
      </c>
      <c r="K28" s="249"/>
      <c r="L28" s="249"/>
      <c r="M28" s="126">
        <f>+K28+'14'!M28+L28</f>
        <v>0</v>
      </c>
    </row>
    <row r="29" spans="1:14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+'14'!J29</f>
        <v>0</v>
      </c>
      <c r="K29" s="249"/>
      <c r="L29" s="249"/>
      <c r="M29" s="126">
        <f>+K29+'14'!M29+L29</f>
        <v>0</v>
      </c>
    </row>
    <row r="30" spans="1:1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+'14'!J30</f>
        <v>0</v>
      </c>
      <c r="K30" s="249"/>
      <c r="L30" s="249"/>
      <c r="M30" s="126">
        <f>+K30+'14'!M30+L30</f>
        <v>0</v>
      </c>
      <c r="N30" s="164"/>
    </row>
    <row r="31" spans="1:14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+'14'!J31</f>
        <v>0</v>
      </c>
      <c r="K31" s="249"/>
      <c r="L31" s="249"/>
      <c r="M31" s="126">
        <f>+K31+'14'!M31+L31</f>
        <v>0</v>
      </c>
    </row>
    <row r="32" spans="1:14" ht="13.5" thickBot="1">
      <c r="A32" s="1022"/>
      <c r="B32" s="175" t="s">
        <v>2</v>
      </c>
      <c r="C32" s="108">
        <f>SUM(C25:C31)</f>
        <v>25109</v>
      </c>
      <c r="D32" s="109">
        <f>SUM(D25:D31)</f>
        <v>194</v>
      </c>
      <c r="E32" s="110">
        <f>SUM(E25:E31)</f>
        <v>0</v>
      </c>
      <c r="F32" s="111">
        <f>SUM(F24:F31)</f>
        <v>7</v>
      </c>
      <c r="G32" s="181"/>
      <c r="H32" s="182"/>
      <c r="I32" s="179"/>
      <c r="J32" s="224">
        <f>+'14'!J32</f>
        <v>0</v>
      </c>
      <c r="K32" s="251"/>
      <c r="L32" s="253"/>
      <c r="M32" s="126">
        <f>+K32+'14'!M32+L32</f>
        <v>0</v>
      </c>
    </row>
    <row r="33" spans="1:14" ht="13.5" thickBot="1">
      <c r="A33" s="183"/>
      <c r="B33" s="184"/>
      <c r="C33" s="112">
        <f>C32/($C$32+$D$32+$E$32)</f>
        <v>0.99233292494961067</v>
      </c>
      <c r="D33" s="113">
        <f>D32/($C$32+$D$32+$E$32)</f>
        <v>7.6670750503892819E-3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77778</v>
      </c>
      <c r="D34" s="116">
        <f>D14+D23+D32</f>
        <v>587</v>
      </c>
      <c r="E34" s="116">
        <f>E14+E23+E32</f>
        <v>0</v>
      </c>
      <c r="F34" s="117">
        <f>F14+F23+F32</f>
        <v>20</v>
      </c>
      <c r="H34" s="188"/>
      <c r="I34" s="188"/>
      <c r="J34" s="132" t="s">
        <v>28</v>
      </c>
      <c r="K34" s="133">
        <f>SUM(K7:K32)</f>
        <v>77778</v>
      </c>
      <c r="L34" s="222">
        <f>SUM(L7:L32)</f>
        <v>0</v>
      </c>
      <c r="M34" s="129">
        <f>SUM(M7:M32)</f>
        <v>955122</v>
      </c>
      <c r="N34" s="164"/>
    </row>
    <row r="35" spans="1:14" ht="13.5" thickBot="1">
      <c r="A35" s="189"/>
      <c r="B35" s="190"/>
      <c r="C35" s="113">
        <f>C34/($C$34+$D$34+$E$34)</f>
        <v>0.99250941108913415</v>
      </c>
      <c r="D35" s="113">
        <f>D34/($C$34+$D$34+$E$34)</f>
        <v>7.4905889108658206E-3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(16.5*829+16*611)/1440*G42*2.77*1440/1000000</f>
        <v>81.574382764349991</v>
      </c>
      <c r="J37" s="134">
        <f>+I37+'14'!J37</f>
        <v>1060.6530362397687</v>
      </c>
      <c r="K37" s="135" t="s">
        <v>63</v>
      </c>
      <c r="L37" s="158">
        <v>50.331000000000003</v>
      </c>
    </row>
    <row r="38" spans="1:14" ht="17.45" customHeight="1">
      <c r="A38" s="1013" t="s">
        <v>12</v>
      </c>
      <c r="B38" s="1014"/>
      <c r="C38" s="173">
        <f>SUMIF($G$7:$G$31,"Process",$F$7:$F$31)</f>
        <v>20</v>
      </c>
      <c r="D38" s="127">
        <f>+C38+'14'!D38</f>
        <v>713</v>
      </c>
      <c r="E38" s="152">
        <f t="shared" ref="E38:E51" si="0">D38/60</f>
        <v>11.883333333333333</v>
      </c>
      <c r="F38" s="338">
        <v>1260</v>
      </c>
      <c r="G38" s="338">
        <f>+F38-F38*0.0035</f>
        <v>1255.5899999999999</v>
      </c>
      <c r="H38" s="197" t="s">
        <v>64</v>
      </c>
      <c r="I38" s="554">
        <f>27.214+28.714+26.195</f>
        <v>82.12299999999999</v>
      </c>
      <c r="J38" s="136">
        <f>+I38+'14'!J38</f>
        <v>988.64300000000003</v>
      </c>
      <c r="K38" s="137" t="s">
        <v>63</v>
      </c>
      <c r="L38" s="566">
        <f>+I38-L37</f>
        <v>31.791999999999987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+C39+'14'!D39</f>
        <v>0</v>
      </c>
      <c r="E39" s="152">
        <f t="shared" si="0"/>
        <v>0</v>
      </c>
      <c r="F39" s="338">
        <v>1260</v>
      </c>
      <c r="G39" s="338">
        <f>+F39-F39*0.0035</f>
        <v>1255.5899999999999</v>
      </c>
      <c r="H39" s="197" t="s">
        <v>65</v>
      </c>
      <c r="I39" s="151"/>
      <c r="J39" s="138">
        <f>J37/G4</f>
        <v>70.710202415984583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+C40+'14'!D40</f>
        <v>39</v>
      </c>
      <c r="E40" s="152">
        <f t="shared" si="0"/>
        <v>0.65</v>
      </c>
      <c r="F40" s="338">
        <v>1260</v>
      </c>
      <c r="G40" s="338">
        <f>+F40-F40*0.0035</f>
        <v>1255.5899999999999</v>
      </c>
      <c r="H40" s="197" t="s">
        <v>67</v>
      </c>
      <c r="I40" s="127">
        <f>(K34+L34)/1000</f>
        <v>77.778000000000006</v>
      </c>
      <c r="J40" s="140">
        <f>+I40+'14'!J40</f>
        <v>955.12200000000007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+C41+'14'!D41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63.674800000000005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+C42+'14'!D42</f>
        <v>0</v>
      </c>
      <c r="E42" s="152">
        <f t="shared" si="0"/>
        <v>0</v>
      </c>
      <c r="F42" s="338">
        <f>+(F38*480+F39*480+F40*480)/1440</f>
        <v>1260</v>
      </c>
      <c r="G42" s="338">
        <f>+(G38*480+G39*480+G40*480)/1440</f>
        <v>1255.5899999999999</v>
      </c>
      <c r="H42" s="197" t="s">
        <v>70</v>
      </c>
      <c r="I42" s="256" t="s">
        <v>551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+C43+'14'!D43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+Report1!T23</f>
        <v>170.072</v>
      </c>
      <c r="J43" s="142">
        <f>+I43+'14'!J43</f>
        <v>2201.1369999999997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+C44+'14'!D44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2.0709423669373992</v>
      </c>
      <c r="J44" s="143">
        <f>J43/J38</f>
        <v>2.22642248010657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+C45+'14'!D45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2.1866337524749926</v>
      </c>
      <c r="J45" s="143">
        <f>J43/J40</f>
        <v>2.304561092719045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+C46+'14'!D46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+SUMIF(Listrik!AR22,"&gt;0")</f>
        <v>57588.459999998078</v>
      </c>
      <c r="J46" s="144">
        <f>+I46+'14'!J46</f>
        <v>779444.33999999671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+C47+'14'!D47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701.24642304833094</v>
      </c>
      <c r="J47" s="144">
        <f>J46/J38</f>
        <v>788.3981781087781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+C48+'14'!D48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740.42094165442768</v>
      </c>
      <c r="J48" s="144">
        <f>J46/J40</f>
        <v>816.06783217222164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+C49+'14'!D49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+I49+'14'!J49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+C50+'14'!D50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+C51+'14'!D51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20</v>
      </c>
      <c r="D52" s="153">
        <f>SUM(D38:D51)</f>
        <v>2088</v>
      </c>
      <c r="E52" s="154">
        <f>SUM(E38:E51)</f>
        <v>34.799999999999997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1.3888888888888888E-2</v>
      </c>
      <c r="D53" s="155">
        <f>D52/(24*60*G4)</f>
        <v>9.6666666666666665E-2</v>
      </c>
      <c r="E53" s="156">
        <f>E52/(G4*24)</f>
        <v>9.6666666666666665E-2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+D34+'14'!J56</f>
        <v>17177</v>
      </c>
      <c r="K56" s="211">
        <f>J56/(J40+J56/1000)/1000</f>
        <v>1.7666376289598159E-2</v>
      </c>
    </row>
    <row r="57" spans="1:11">
      <c r="A57" s="186"/>
      <c r="I57" s="209" t="s">
        <v>89</v>
      </c>
      <c r="J57" s="210">
        <f>+E34+'14'!J57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I7:I13"/>
    <mergeCell ref="A15:A23"/>
    <mergeCell ref="I15:I22"/>
    <mergeCell ref="A44:B44"/>
    <mergeCell ref="A45:B45"/>
    <mergeCell ref="A42:B42"/>
    <mergeCell ref="I24:I31"/>
    <mergeCell ref="A24:A3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A53:B53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zoomScale="80" zoomScaleNormal="75" zoomScaleSheetLayoutView="80" workbookViewId="0">
      <selection activeCell="A15" sqref="A15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2.140625" style="158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30</v>
      </c>
      <c r="G4" s="163">
        <v>14</v>
      </c>
      <c r="H4" s="163" t="str">
        <f>+'1'!H4</f>
        <v>.06.24</v>
      </c>
    </row>
    <row r="5" spans="1:15" ht="13.5" thickBot="1">
      <c r="C5" s="164"/>
      <c r="D5" s="164"/>
    </row>
    <row r="6" spans="1:15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180+195+221</f>
        <v>596</v>
      </c>
    </row>
    <row r="7" spans="1:15" ht="13.5" customHeight="1" thickBot="1">
      <c r="A7" s="1015" t="s">
        <v>620</v>
      </c>
      <c r="B7" s="225" t="s">
        <v>650</v>
      </c>
      <c r="C7" s="226">
        <v>27891</v>
      </c>
      <c r="D7" s="227"/>
      <c r="E7" s="228"/>
      <c r="F7" s="238"/>
      <c r="G7" s="239" t="s">
        <v>12</v>
      </c>
      <c r="H7" s="240" t="s">
        <v>277</v>
      </c>
      <c r="I7" s="1018" t="s">
        <v>551</v>
      </c>
      <c r="J7" s="224" t="str">
        <f>+'13'!J7</f>
        <v>F 13,5 VP OW</v>
      </c>
      <c r="K7" s="248"/>
      <c r="L7" s="252"/>
      <c r="M7" s="126">
        <f>+K7+'13'!M7+L7</f>
        <v>97821</v>
      </c>
    </row>
    <row r="8" spans="1:15" ht="13.5" thickBot="1">
      <c r="A8" s="1016"/>
      <c r="B8" s="225"/>
      <c r="C8" s="226"/>
      <c r="D8" s="227"/>
      <c r="E8" s="229"/>
      <c r="F8" s="241"/>
      <c r="G8" s="242" t="s">
        <v>12</v>
      </c>
      <c r="H8" s="240" t="s">
        <v>446</v>
      </c>
      <c r="I8" s="1019"/>
      <c r="J8" s="224" t="str">
        <f>+'13'!J8</f>
        <v>F 13 VP OW</v>
      </c>
      <c r="K8" s="249"/>
      <c r="L8" s="249"/>
      <c r="M8" s="126">
        <f>+K8+'13'!M8+L8</f>
        <v>71398</v>
      </c>
      <c r="N8" s="158">
        <v>1260</v>
      </c>
      <c r="O8" s="158">
        <f>+N8-N8*0.0035</f>
        <v>1255.5899999999999</v>
      </c>
    </row>
    <row r="9" spans="1:15" ht="13.5" thickBot="1">
      <c r="A9" s="1016"/>
      <c r="B9" s="225"/>
      <c r="C9" s="226"/>
      <c r="D9" s="227"/>
      <c r="E9" s="230"/>
      <c r="F9" s="238">
        <v>2</v>
      </c>
      <c r="G9" s="242" t="s">
        <v>12</v>
      </c>
      <c r="H9" s="243" t="s">
        <v>445</v>
      </c>
      <c r="I9" s="1019"/>
      <c r="J9" s="224" t="str">
        <f>+'13'!J9</f>
        <v>MG 17 VP OW</v>
      </c>
      <c r="K9" s="249"/>
      <c r="L9" s="249"/>
      <c r="M9" s="126">
        <f>+K9+'13'!M9+L9</f>
        <v>37355</v>
      </c>
    </row>
    <row r="10" spans="1:15" ht="13.5" thickBot="1">
      <c r="A10" s="1016"/>
      <c r="B10" s="225"/>
      <c r="C10" s="226"/>
      <c r="D10" s="227"/>
      <c r="E10" s="229"/>
      <c r="F10" s="238"/>
      <c r="G10" s="242"/>
      <c r="H10" s="243" t="s">
        <v>646</v>
      </c>
      <c r="I10" s="1019"/>
      <c r="J10" s="224" t="str">
        <f>+'13'!J10</f>
        <v>MG 16,5 VP OW</v>
      </c>
      <c r="K10" s="249">
        <f>+C17+C25</f>
        <v>39106</v>
      </c>
      <c r="L10" s="249"/>
      <c r="M10" s="126">
        <f>+K10+'13'!M10+L10</f>
        <v>174941</v>
      </c>
    </row>
    <row r="11" spans="1:15" ht="13.5" thickBot="1">
      <c r="A11" s="1016"/>
      <c r="B11" s="225"/>
      <c r="C11" s="226"/>
      <c r="D11" s="227"/>
      <c r="E11" s="229"/>
      <c r="F11" s="238"/>
      <c r="G11" s="242"/>
      <c r="H11" s="243"/>
      <c r="I11" s="1019"/>
      <c r="J11" s="224" t="str">
        <f>+'13'!J11</f>
        <v>MG 14 VP HW</v>
      </c>
      <c r="K11" s="249"/>
      <c r="L11" s="249"/>
      <c r="M11" s="126">
        <f>+K11+'13'!M11+L11</f>
        <v>160355</v>
      </c>
    </row>
    <row r="12" spans="1:15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+'13'!J12</f>
        <v>MG 17 VP HW</v>
      </c>
      <c r="K12" s="249"/>
      <c r="L12" s="249"/>
      <c r="M12" s="126">
        <f>+K12+'13'!M12+L12</f>
        <v>119052</v>
      </c>
    </row>
    <row r="13" spans="1:15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+'13'!J13</f>
        <v>MG 21 VP OW</v>
      </c>
      <c r="K13" s="249"/>
      <c r="L13" s="249"/>
      <c r="M13" s="126">
        <f>+K13+'13'!M13+L13</f>
        <v>117118</v>
      </c>
    </row>
    <row r="14" spans="1:15" ht="13.5" thickBot="1">
      <c r="A14" s="1017"/>
      <c r="B14" s="175" t="s">
        <v>2</v>
      </c>
      <c r="C14" s="108">
        <f>SUM(C7:C13)</f>
        <v>27891</v>
      </c>
      <c r="D14" s="120">
        <f>SUM(D7:D13)</f>
        <v>0</v>
      </c>
      <c r="E14" s="121">
        <f>SUM(E5:E13)</f>
        <v>0</v>
      </c>
      <c r="F14" s="125">
        <f>SUM(F7:F13)</f>
        <v>2</v>
      </c>
      <c r="G14" s="168"/>
      <c r="H14" s="176"/>
      <c r="I14" s="177"/>
      <c r="J14" s="224" t="str">
        <f>+'13'!J14</f>
        <v>MG 22 VP HW</v>
      </c>
      <c r="K14" s="249"/>
      <c r="L14" s="249"/>
      <c r="M14" s="126">
        <f>+K14+'13'!M14+L14</f>
        <v>13084</v>
      </c>
    </row>
    <row r="15" spans="1:15" ht="13.5" customHeight="1" thickBot="1">
      <c r="A15" s="1015" t="s">
        <v>449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551</v>
      </c>
      <c r="J15" s="224" t="str">
        <f>+'13'!J15</f>
        <v>MG 16 VP HW</v>
      </c>
      <c r="K15" s="249">
        <f>+C7+C16</f>
        <v>43249</v>
      </c>
      <c r="L15" s="249"/>
      <c r="M15" s="126">
        <f>+K15+'13'!M15+L15</f>
        <v>86220</v>
      </c>
    </row>
    <row r="16" spans="1:15" ht="13.5" thickBot="1">
      <c r="A16" s="1021"/>
      <c r="B16" s="225" t="s">
        <v>650</v>
      </c>
      <c r="C16" s="232">
        <v>15358</v>
      </c>
      <c r="D16" s="233"/>
      <c r="E16" s="234"/>
      <c r="F16" s="238">
        <v>2</v>
      </c>
      <c r="G16" s="242" t="s">
        <v>12</v>
      </c>
      <c r="H16" s="240" t="s">
        <v>567</v>
      </c>
      <c r="I16" s="1019"/>
      <c r="J16" s="224">
        <f>+'13'!J16</f>
        <v>0</v>
      </c>
      <c r="K16" s="249"/>
      <c r="L16" s="239"/>
      <c r="M16" s="126">
        <f>+K16+'13'!M16+L16</f>
        <v>0</v>
      </c>
    </row>
    <row r="17" spans="1:14" ht="13.5" thickBot="1">
      <c r="A17" s="1021"/>
      <c r="B17" s="225" t="s">
        <v>552</v>
      </c>
      <c r="C17" s="226">
        <f>4749+6042</f>
        <v>10791</v>
      </c>
      <c r="D17" s="227"/>
      <c r="E17" s="235"/>
      <c r="F17" s="238">
        <v>2</v>
      </c>
      <c r="G17" s="242" t="s">
        <v>12</v>
      </c>
      <c r="H17" s="243" t="s">
        <v>493</v>
      </c>
      <c r="I17" s="1019"/>
      <c r="J17" s="224">
        <f>+'13'!J17</f>
        <v>0</v>
      </c>
      <c r="K17" s="249"/>
      <c r="L17" s="239"/>
      <c r="M17" s="126">
        <f>+K17+'13'!M17+L17</f>
        <v>0</v>
      </c>
    </row>
    <row r="18" spans="1:14" ht="13.5" thickBot="1">
      <c r="A18" s="1021"/>
      <c r="B18" s="225"/>
      <c r="C18" s="226"/>
      <c r="D18" s="227"/>
      <c r="E18" s="235"/>
      <c r="F18" s="238"/>
      <c r="G18" s="242"/>
      <c r="H18" s="243" t="s">
        <v>654</v>
      </c>
      <c r="I18" s="1019"/>
      <c r="J18" s="224">
        <f>+'13'!J18</f>
        <v>0</v>
      </c>
      <c r="K18" s="249"/>
      <c r="L18" s="249"/>
      <c r="M18" s="126">
        <f>+K18+'13'!M18+L18</f>
        <v>0</v>
      </c>
    </row>
    <row r="19" spans="1:14" ht="13.5" thickBot="1">
      <c r="A19" s="1021"/>
      <c r="B19" s="225"/>
      <c r="C19" s="226"/>
      <c r="D19" s="227"/>
      <c r="E19" s="235"/>
      <c r="F19" s="245"/>
      <c r="G19" s="242"/>
      <c r="H19" s="243"/>
      <c r="I19" s="1019"/>
      <c r="J19" s="224">
        <f>+'13'!J19</f>
        <v>0</v>
      </c>
      <c r="K19" s="249"/>
      <c r="L19" s="249"/>
      <c r="M19" s="126">
        <f>+K19+'13'!M19+L19</f>
        <v>0</v>
      </c>
    </row>
    <row r="20" spans="1:14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+'13'!J20</f>
        <v>0</v>
      </c>
      <c r="K20" s="250"/>
      <c r="L20" s="250"/>
      <c r="M20" s="126">
        <f>+K20+'13'!M20+L20</f>
        <v>0</v>
      </c>
    </row>
    <row r="21" spans="1:14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+'13'!J21</f>
        <v>0</v>
      </c>
      <c r="K21" s="249"/>
      <c r="L21" s="249"/>
      <c r="M21" s="126">
        <f>+K21+'13'!M21+L21</f>
        <v>0</v>
      </c>
    </row>
    <row r="22" spans="1:1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+'13'!J22</f>
        <v>0</v>
      </c>
      <c r="K22" s="249"/>
      <c r="L22" s="249"/>
      <c r="M22" s="126">
        <f>+K22+'13'!M22+L22</f>
        <v>0</v>
      </c>
    </row>
    <row r="23" spans="1:14" ht="13.5" thickBot="1">
      <c r="A23" s="1022"/>
      <c r="B23" s="178" t="s">
        <v>2</v>
      </c>
      <c r="C23" s="109">
        <f>SUM(C16:C22)</f>
        <v>26149</v>
      </c>
      <c r="D23" s="120">
        <f>SUM(D16:D22)</f>
        <v>0</v>
      </c>
      <c r="E23" s="121">
        <f>SUM(E18:E22)</f>
        <v>0</v>
      </c>
      <c r="F23" s="125">
        <f>SUM(F15:F22)</f>
        <v>4</v>
      </c>
      <c r="G23" s="168"/>
      <c r="H23" s="176" t="s">
        <v>234</v>
      </c>
      <c r="I23" s="179"/>
      <c r="J23" s="224">
        <f>+'13'!J23</f>
        <v>0</v>
      </c>
      <c r="K23" s="249"/>
      <c r="L23" s="249"/>
      <c r="M23" s="126">
        <f>+K23+'13'!M23+L23</f>
        <v>0</v>
      </c>
    </row>
    <row r="24" spans="1:14" ht="13.5" customHeight="1" thickBot="1">
      <c r="A24" s="1015" t="s">
        <v>485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551</v>
      </c>
      <c r="J24" s="224">
        <f>+'13'!J24</f>
        <v>0</v>
      </c>
      <c r="K24" s="249"/>
      <c r="L24" s="249"/>
      <c r="M24" s="126">
        <f>+K24+'13'!M24+L24</f>
        <v>0</v>
      </c>
    </row>
    <row r="25" spans="1:14" ht="13.5" thickBot="1">
      <c r="A25" s="1021"/>
      <c r="B25" s="225" t="s">
        <v>552</v>
      </c>
      <c r="C25" s="236">
        <v>28315</v>
      </c>
      <c r="D25" s="227"/>
      <c r="E25" s="235"/>
      <c r="F25" s="241"/>
      <c r="G25" s="242" t="s">
        <v>12</v>
      </c>
      <c r="H25" s="240" t="s">
        <v>446</v>
      </c>
      <c r="I25" s="1019"/>
      <c r="J25" s="224">
        <f>+'13'!J25</f>
        <v>0</v>
      </c>
      <c r="K25" s="249"/>
      <c r="L25" s="249"/>
      <c r="M25" s="126">
        <f>+K25+'13'!M25+L25</f>
        <v>0</v>
      </c>
    </row>
    <row r="26" spans="1:14" ht="13.5" thickBot="1">
      <c r="A26" s="1021"/>
      <c r="B26" s="225"/>
      <c r="C26" s="236"/>
      <c r="D26" s="227"/>
      <c r="E26" s="237"/>
      <c r="F26" s="241">
        <v>1</v>
      </c>
      <c r="G26" s="242" t="s">
        <v>12</v>
      </c>
      <c r="H26" s="243" t="s">
        <v>539</v>
      </c>
      <c r="I26" s="1019"/>
      <c r="J26" s="224">
        <f>+'13'!J26</f>
        <v>0</v>
      </c>
      <c r="K26" s="249"/>
      <c r="L26" s="249"/>
      <c r="M26" s="126">
        <f>+K26+'13'!M26+L26</f>
        <v>0</v>
      </c>
    </row>
    <row r="27" spans="1:14" ht="13.5" thickBot="1">
      <c r="A27" s="1021"/>
      <c r="B27" s="225"/>
      <c r="C27" s="226"/>
      <c r="D27" s="227"/>
      <c r="E27" s="235"/>
      <c r="F27" s="241"/>
      <c r="G27" s="242"/>
      <c r="H27" s="243" t="s">
        <v>654</v>
      </c>
      <c r="I27" s="1019"/>
      <c r="J27" s="224">
        <f>+'13'!J27</f>
        <v>0</v>
      </c>
      <c r="K27" s="249"/>
      <c r="L27" s="249"/>
      <c r="M27" s="126">
        <f>+K27+'13'!M27+L27</f>
        <v>0</v>
      </c>
    </row>
    <row r="28" spans="1:14" ht="13.5" thickBot="1">
      <c r="A28" s="1021"/>
      <c r="B28" s="225"/>
      <c r="C28" s="226"/>
      <c r="D28" s="227"/>
      <c r="E28" s="235"/>
      <c r="F28" s="241"/>
      <c r="G28" s="242"/>
      <c r="H28" s="243"/>
      <c r="I28" s="1019"/>
      <c r="J28" s="224">
        <f>+'13'!J28</f>
        <v>0</v>
      </c>
      <c r="K28" s="249"/>
      <c r="L28" s="249"/>
      <c r="M28" s="126">
        <f>+K28+'13'!M28+L28</f>
        <v>0</v>
      </c>
    </row>
    <row r="29" spans="1:14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+'13'!J29</f>
        <v>0</v>
      </c>
      <c r="K29" s="249"/>
      <c r="L29" s="249"/>
      <c r="M29" s="126">
        <f>+K29+'13'!M29+L29</f>
        <v>0</v>
      </c>
    </row>
    <row r="30" spans="1:1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+'13'!J30</f>
        <v>0</v>
      </c>
      <c r="K30" s="249"/>
      <c r="L30" s="249"/>
      <c r="M30" s="126">
        <f>+K30+'13'!M30+L30</f>
        <v>0</v>
      </c>
      <c r="N30" s="164"/>
    </row>
    <row r="31" spans="1:14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+'13'!J31</f>
        <v>0</v>
      </c>
      <c r="K31" s="249"/>
      <c r="L31" s="249"/>
      <c r="M31" s="126">
        <f>+K31+'13'!M31+L31</f>
        <v>0</v>
      </c>
    </row>
    <row r="32" spans="1:14" ht="13.5" thickBot="1">
      <c r="A32" s="1022"/>
      <c r="B32" s="175" t="s">
        <v>2</v>
      </c>
      <c r="C32" s="108">
        <f>SUM(C25:C31)</f>
        <v>28315</v>
      </c>
      <c r="D32" s="109">
        <f>SUM(D25:D31)</f>
        <v>0</v>
      </c>
      <c r="E32" s="110">
        <f>SUM(E25:E31)</f>
        <v>0</v>
      </c>
      <c r="F32" s="111">
        <f>SUM(F24:F31)</f>
        <v>1</v>
      </c>
      <c r="G32" s="181"/>
      <c r="H32" s="182"/>
      <c r="I32" s="179"/>
      <c r="J32" s="224">
        <f>+'13'!J32</f>
        <v>0</v>
      </c>
      <c r="K32" s="251"/>
      <c r="L32" s="253"/>
      <c r="M32" s="126">
        <f>+K32+'13'!M32+L32</f>
        <v>0</v>
      </c>
    </row>
    <row r="33" spans="1:14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82355</v>
      </c>
      <c r="D34" s="116">
        <f>D14+D23+D32</f>
        <v>0</v>
      </c>
      <c r="E34" s="116">
        <f>E14+E23+E32</f>
        <v>0</v>
      </c>
      <c r="F34" s="117">
        <f>F14+F23+F32</f>
        <v>7</v>
      </c>
      <c r="H34" s="188"/>
      <c r="I34" s="188"/>
      <c r="J34" s="132" t="s">
        <v>28</v>
      </c>
      <c r="K34" s="133">
        <f>SUM(K7:K32)</f>
        <v>82355</v>
      </c>
      <c r="L34" s="222">
        <f>SUM(L7:L32)</f>
        <v>0</v>
      </c>
      <c r="M34" s="129">
        <f>SUM(M7:M32)</f>
        <v>877344</v>
      </c>
      <c r="N34" s="164"/>
    </row>
    <row r="35" spans="1:14" ht="13.5" thickBot="1">
      <c r="A35" s="189"/>
      <c r="B35" s="190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(16*480+16.5*960)/1440*G42*2.77*1440/1000000</f>
        <v>81.802190735999986</v>
      </c>
      <c r="J37" s="134">
        <f>+I37+'13'!J37</f>
        <v>979.07865347541872</v>
      </c>
      <c r="K37" s="135" t="s">
        <v>63</v>
      </c>
      <c r="L37" s="158">
        <f>22.253</f>
        <v>22.253</v>
      </c>
    </row>
    <row r="38" spans="1:14" ht="17.45" customHeight="1">
      <c r="A38" s="1013" t="s">
        <v>12</v>
      </c>
      <c r="B38" s="1014"/>
      <c r="C38" s="173">
        <f>SUMIF($G$7:$G$31,"Process",$F$7:$F$31)</f>
        <v>7</v>
      </c>
      <c r="D38" s="127">
        <f>+C38+'13'!D38</f>
        <v>693</v>
      </c>
      <c r="E38" s="152">
        <f t="shared" ref="E38:E51" si="0">D38/60</f>
        <v>11.55</v>
      </c>
      <c r="F38" s="338">
        <v>1260</v>
      </c>
      <c r="G38" s="338">
        <f>+F38-F38*0.0035</f>
        <v>1255.5899999999999</v>
      </c>
      <c r="H38" s="197" t="s">
        <v>64</v>
      </c>
      <c r="I38" s="554">
        <f>22.253+27.119+26.008</f>
        <v>75.38</v>
      </c>
      <c r="J38" s="136">
        <f>+I38+'13'!J38</f>
        <v>906.52</v>
      </c>
      <c r="K38" s="137" t="s">
        <v>63</v>
      </c>
      <c r="L38" s="158">
        <f>27.119+26.008</f>
        <v>53.126999999999995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+C39+'13'!D39</f>
        <v>0</v>
      </c>
      <c r="E39" s="152">
        <f t="shared" si="0"/>
        <v>0</v>
      </c>
      <c r="F39" s="338">
        <v>1260</v>
      </c>
      <c r="G39" s="338">
        <f>+F39-F39*0.0035</f>
        <v>1255.5899999999999</v>
      </c>
      <c r="H39" s="197" t="s">
        <v>65</v>
      </c>
      <c r="I39" s="151"/>
      <c r="J39" s="138">
        <f>J37/G4</f>
        <v>69.934189533958474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+C40+'13'!D40</f>
        <v>39</v>
      </c>
      <c r="E40" s="152">
        <f t="shared" si="0"/>
        <v>0.65</v>
      </c>
      <c r="F40" s="338">
        <v>1260</v>
      </c>
      <c r="G40" s="338">
        <f>+F40-F40*0.0035</f>
        <v>1255.5899999999999</v>
      </c>
      <c r="H40" s="197" t="s">
        <v>67</v>
      </c>
      <c r="I40" s="127">
        <f>(K34+L34)/1000</f>
        <v>82.355000000000004</v>
      </c>
      <c r="J40" s="140">
        <f>+I40+'13'!J40</f>
        <v>877.34400000000005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+C41+'13'!D41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62.667428571428573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+C42+'13'!D42</f>
        <v>0</v>
      </c>
      <c r="E42" s="152">
        <f t="shared" si="0"/>
        <v>0</v>
      </c>
      <c r="F42" s="338">
        <f>+(F38*480+F39*480+F40*480)/1440</f>
        <v>1260</v>
      </c>
      <c r="G42" s="338">
        <f>+(G38*480+G39*480+G40*480)/1440</f>
        <v>1255.5899999999999</v>
      </c>
      <c r="H42" s="197" t="s">
        <v>70</v>
      </c>
      <c r="I42" s="256" t="s">
        <v>551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+C43+'13'!D43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+Report1!T22</f>
        <v>156.898</v>
      </c>
      <c r="J43" s="142">
        <f>+I43+'13'!J43</f>
        <v>2031.0649999999998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+C44+'13'!D44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2.0814274343327144</v>
      </c>
      <c r="J44" s="143">
        <f>J43/J38</f>
        <v>2.2405076556501786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+C45+'13'!D45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1.9051423714407139</v>
      </c>
      <c r="J45" s="143">
        <f>J43/J40</f>
        <v>2.3150155469234415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+C46+'13'!D46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+SUMIF(Listrik!AR21,"&gt;0")</f>
        <v>55931.680000001128</v>
      </c>
      <c r="J46" s="144">
        <f>+I46+'13'!J46</f>
        <v>721855.87999999861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+C47+'13'!D47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741.99628548688156</v>
      </c>
      <c r="J47" s="144">
        <f>J46/J38</f>
        <v>796.29338569474317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+C48+'13'!D48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679.1534211644846</v>
      </c>
      <c r="J48" s="144">
        <f>J46/J40</f>
        <v>822.77405441878966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+C49+'13'!D49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+I49+'13'!J49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+C50+'13'!D50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+C51+'13'!D51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7</v>
      </c>
      <c r="D52" s="153">
        <f>SUM(D38:D51)</f>
        <v>2068</v>
      </c>
      <c r="E52" s="154">
        <f>SUM(E38:E51)</f>
        <v>34.466666666666669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4.8611111111111112E-3</v>
      </c>
      <c r="D53" s="155">
        <f>D52/(24*60*G4)</f>
        <v>0.10257936507936508</v>
      </c>
      <c r="E53" s="156">
        <f>E52/(G4*24)</f>
        <v>0.10257936507936509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+D34+'13'!J56</f>
        <v>16590</v>
      </c>
      <c r="K56" s="211">
        <f>J56/(J40+J56/1000)/1000</f>
        <v>1.8558417064347028E-2</v>
      </c>
    </row>
    <row r="57" spans="1:11">
      <c r="A57" s="186"/>
      <c r="I57" s="209" t="s">
        <v>89</v>
      </c>
      <c r="J57" s="210">
        <f>+E34+'13'!J57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46:B46"/>
    <mergeCell ref="A47:B47"/>
    <mergeCell ref="A52:B52"/>
    <mergeCell ref="A53:B53"/>
    <mergeCell ref="A48:B48"/>
    <mergeCell ref="A49:B49"/>
    <mergeCell ref="A50:B50"/>
    <mergeCell ref="A51:B51"/>
    <mergeCell ref="A40:B40"/>
    <mergeCell ref="A41:B41"/>
    <mergeCell ref="A44:B44"/>
    <mergeCell ref="A45:B45"/>
    <mergeCell ref="A42:B42"/>
    <mergeCell ref="A43:B43"/>
    <mergeCell ref="A37:B37"/>
    <mergeCell ref="I24:I31"/>
    <mergeCell ref="A24:A32"/>
    <mergeCell ref="A38:B38"/>
    <mergeCell ref="A39:B39"/>
    <mergeCell ref="A7:A14"/>
    <mergeCell ref="I7:I13"/>
    <mergeCell ref="A15:A23"/>
    <mergeCell ref="I15:I22"/>
    <mergeCell ref="A34:B34"/>
  </mergeCells>
  <phoneticPr fontId="31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5" zoomScaleNormal="70" zoomScaleSheetLayoutView="85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2.140625" style="158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30</v>
      </c>
      <c r="G4" s="163">
        <v>13</v>
      </c>
      <c r="H4" s="163" t="str">
        <f>+'1'!H4</f>
        <v>.06.24</v>
      </c>
    </row>
    <row r="5" spans="1:18" ht="13.5" thickBot="1">
      <c r="C5" s="164"/>
      <c r="D5" s="164"/>
    </row>
    <row r="6" spans="1:18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170+193+209</f>
        <v>572</v>
      </c>
    </row>
    <row r="7" spans="1:18" ht="13.5" customHeight="1" thickBot="1">
      <c r="A7" s="1015" t="s">
        <v>620</v>
      </c>
      <c r="B7" s="225" t="s">
        <v>621</v>
      </c>
      <c r="C7" s="226">
        <f>6100+13778</f>
        <v>19878</v>
      </c>
      <c r="D7" s="227"/>
      <c r="E7" s="228"/>
      <c r="F7" s="238">
        <v>5</v>
      </c>
      <c r="G7" s="239" t="s">
        <v>12</v>
      </c>
      <c r="H7" s="240" t="s">
        <v>648</v>
      </c>
      <c r="I7" s="1018" t="s">
        <v>634</v>
      </c>
      <c r="J7" s="224" t="str">
        <f>+'12'!J7</f>
        <v>F 13,5 VP OW</v>
      </c>
      <c r="K7" s="248"/>
      <c r="L7" s="252"/>
      <c r="M7" s="126">
        <f>+K7+'12'!M7+L7</f>
        <v>97821</v>
      </c>
      <c r="N7" s="158">
        <v>1010</v>
      </c>
      <c r="O7" s="158">
        <f>+N7-N7*0.0035</f>
        <v>1006.465</v>
      </c>
      <c r="P7" s="158">
        <f>240+16</f>
        <v>256</v>
      </c>
      <c r="Q7" s="158">
        <f>+N7*P7</f>
        <v>258560</v>
      </c>
      <c r="R7" s="158">
        <f>+O7*P7</f>
        <v>257655.04000000001</v>
      </c>
    </row>
    <row r="8" spans="1:18" ht="13.5" thickBot="1">
      <c r="A8" s="1016"/>
      <c r="B8" s="225" t="s">
        <v>649</v>
      </c>
      <c r="C8" s="226">
        <f>930+6127</f>
        <v>7057</v>
      </c>
      <c r="D8" s="227"/>
      <c r="E8" s="229"/>
      <c r="F8" s="241"/>
      <c r="G8" s="242" t="s">
        <v>12</v>
      </c>
      <c r="H8" s="240" t="s">
        <v>446</v>
      </c>
      <c r="I8" s="1019"/>
      <c r="J8" s="224" t="str">
        <f>+'12'!J8</f>
        <v>F 13 VP OW</v>
      </c>
      <c r="K8" s="249"/>
      <c r="L8" s="249"/>
      <c r="M8" s="126">
        <f>+K8+'12'!M8+L8</f>
        <v>71398</v>
      </c>
      <c r="N8" s="158">
        <v>1010</v>
      </c>
      <c r="O8" s="158">
        <f>+N8-N8*0.0035</f>
        <v>1006.465</v>
      </c>
      <c r="P8" s="158">
        <f>480-P7</f>
        <v>224</v>
      </c>
      <c r="Q8" s="158">
        <f>+N8*P8</f>
        <v>226240</v>
      </c>
      <c r="R8" s="158">
        <f>+O8*P8</f>
        <v>225448.16</v>
      </c>
    </row>
    <row r="9" spans="1:18" ht="13.5" thickBot="1">
      <c r="A9" s="1016"/>
      <c r="B9" s="225"/>
      <c r="C9" s="226"/>
      <c r="D9" s="227"/>
      <c r="E9" s="230"/>
      <c r="F9" s="238">
        <v>10</v>
      </c>
      <c r="G9" s="242" t="s">
        <v>12</v>
      </c>
      <c r="H9" s="243" t="s">
        <v>493</v>
      </c>
      <c r="I9" s="1019"/>
      <c r="J9" s="224" t="str">
        <f>+'12'!J9</f>
        <v>MG 17 VP OW</v>
      </c>
      <c r="K9" s="249"/>
      <c r="L9" s="249"/>
      <c r="M9" s="126">
        <f>+K9+'12'!M9+L9</f>
        <v>37355</v>
      </c>
      <c r="P9" s="158">
        <f>+P7+P8</f>
        <v>480</v>
      </c>
      <c r="Q9" s="158">
        <f>+Q7+Q8</f>
        <v>484800</v>
      </c>
      <c r="R9" s="158">
        <f>+R7+R8</f>
        <v>483103.2</v>
      </c>
    </row>
    <row r="10" spans="1:18" ht="13.5" thickBot="1">
      <c r="A10" s="1016"/>
      <c r="B10" s="225"/>
      <c r="C10" s="226"/>
      <c r="D10" s="227"/>
      <c r="E10" s="229"/>
      <c r="F10" s="238"/>
      <c r="G10" s="242"/>
      <c r="H10" s="243" t="s">
        <v>628</v>
      </c>
      <c r="I10" s="1019"/>
      <c r="J10" s="224" t="str">
        <f>+'12'!J10</f>
        <v>MG 16,5 VP OW</v>
      </c>
      <c r="K10" s="249"/>
      <c r="L10" s="249"/>
      <c r="M10" s="126">
        <f>+K10+'12'!M10+L10</f>
        <v>135835</v>
      </c>
      <c r="Q10" s="158">
        <f>+Q9/P9</f>
        <v>1010</v>
      </c>
      <c r="R10" s="158">
        <f>+R9/P9</f>
        <v>1006.465</v>
      </c>
    </row>
    <row r="11" spans="1:18" ht="13.5" thickBot="1">
      <c r="A11" s="1016"/>
      <c r="B11" s="225"/>
      <c r="C11" s="226"/>
      <c r="D11" s="227"/>
      <c r="E11" s="229"/>
      <c r="F11" s="238"/>
      <c r="G11" s="242"/>
      <c r="H11" s="243" t="s">
        <v>643</v>
      </c>
      <c r="I11" s="1019"/>
      <c r="J11" s="224" t="str">
        <f>+'12'!J11</f>
        <v>MG 14 VP HW</v>
      </c>
      <c r="K11" s="249"/>
      <c r="L11" s="249"/>
      <c r="M11" s="126">
        <f>+K11+'12'!M11+L11</f>
        <v>160355</v>
      </c>
    </row>
    <row r="12" spans="1:18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tr">
        <f>+'12'!J12</f>
        <v>MG 17 VP HW</v>
      </c>
      <c r="K12" s="249"/>
      <c r="L12" s="249"/>
      <c r="M12" s="126">
        <f>+K12+'12'!M12+L12</f>
        <v>119052</v>
      </c>
    </row>
    <row r="13" spans="1:18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 t="str">
        <f>+'12'!J13</f>
        <v>MG 21 VP OW</v>
      </c>
      <c r="K13" s="249">
        <f>+C7</f>
        <v>19878</v>
      </c>
      <c r="L13" s="249"/>
      <c r="M13" s="126">
        <f>+K13+'12'!M13+L13</f>
        <v>117118</v>
      </c>
    </row>
    <row r="14" spans="1:18" ht="13.5" thickBot="1">
      <c r="A14" s="1017"/>
      <c r="B14" s="175" t="s">
        <v>2</v>
      </c>
      <c r="C14" s="108">
        <f>SUM(C7:C13)</f>
        <v>26935</v>
      </c>
      <c r="D14" s="120">
        <f>SUM(D7:D13)</f>
        <v>0</v>
      </c>
      <c r="E14" s="121">
        <f>SUM(E5:E13)</f>
        <v>0</v>
      </c>
      <c r="F14" s="125">
        <f>SUM(F7:F13)</f>
        <v>15</v>
      </c>
      <c r="G14" s="168"/>
      <c r="H14" s="176"/>
      <c r="I14" s="177"/>
      <c r="J14" s="224" t="s">
        <v>649</v>
      </c>
      <c r="K14" s="249">
        <f>+C8+C16</f>
        <v>13084</v>
      </c>
      <c r="L14" s="249"/>
      <c r="M14" s="126">
        <f>+K14+'12'!M14+L14</f>
        <v>13084</v>
      </c>
    </row>
    <row r="15" spans="1:18" ht="13.5" customHeight="1" thickBot="1">
      <c r="A15" s="1015" t="s">
        <v>449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634</v>
      </c>
      <c r="J15" s="224" t="s">
        <v>650</v>
      </c>
      <c r="K15" s="249">
        <f>+C17+C25</f>
        <v>42971</v>
      </c>
      <c r="L15" s="249"/>
      <c r="M15" s="126">
        <f>+K15+'12'!M15+L15</f>
        <v>42971</v>
      </c>
    </row>
    <row r="16" spans="1:18" ht="13.5" thickBot="1">
      <c r="A16" s="1021"/>
      <c r="B16" s="225" t="s">
        <v>649</v>
      </c>
      <c r="C16" s="232">
        <v>6027</v>
      </c>
      <c r="D16" s="233"/>
      <c r="E16" s="234"/>
      <c r="F16" s="238"/>
      <c r="G16" s="242" t="s">
        <v>12</v>
      </c>
      <c r="H16" s="240" t="s">
        <v>446</v>
      </c>
      <c r="I16" s="1019"/>
      <c r="J16" s="224">
        <f>+'12'!J16</f>
        <v>0</v>
      </c>
      <c r="K16" s="239"/>
      <c r="L16" s="239"/>
      <c r="M16" s="126">
        <f>+K16+'12'!M16+L16</f>
        <v>0</v>
      </c>
      <c r="N16" s="158">
        <v>1010</v>
      </c>
      <c r="O16" s="158">
        <f>+N16-N16*0.0035</f>
        <v>1006.465</v>
      </c>
      <c r="P16" s="158">
        <v>15</v>
      </c>
      <c r="Q16" s="158">
        <f>+N16*P16</f>
        <v>15150</v>
      </c>
      <c r="R16" s="158">
        <f>+O16*P16</f>
        <v>15096.975</v>
      </c>
    </row>
    <row r="17" spans="1:18" ht="13.5" thickBot="1">
      <c r="A17" s="1021"/>
      <c r="B17" s="225" t="s">
        <v>650</v>
      </c>
      <c r="C17" s="226">
        <f>13053+3953</f>
        <v>17006</v>
      </c>
      <c r="D17" s="227"/>
      <c r="E17" s="235"/>
      <c r="F17" s="238">
        <v>4</v>
      </c>
      <c r="G17" s="242" t="s">
        <v>12</v>
      </c>
      <c r="H17" s="243" t="s">
        <v>493</v>
      </c>
      <c r="I17" s="1019"/>
      <c r="J17" s="224">
        <f>+'12'!J17</f>
        <v>0</v>
      </c>
      <c r="K17" s="239"/>
      <c r="L17" s="239"/>
      <c r="M17" s="126">
        <f>+K17+'12'!M17+L17</f>
        <v>0</v>
      </c>
      <c r="N17" s="158">
        <v>1260</v>
      </c>
      <c r="O17" s="158">
        <f>+N17-N17*0.0035</f>
        <v>1255.5899999999999</v>
      </c>
      <c r="P17" s="158">
        <f>480-P16</f>
        <v>465</v>
      </c>
      <c r="Q17" s="158">
        <f>+N17*P17</f>
        <v>585900</v>
      </c>
      <c r="R17" s="158">
        <f>+O17*P17</f>
        <v>583849.35</v>
      </c>
    </row>
    <row r="18" spans="1:18" ht="13.5" thickBot="1">
      <c r="A18" s="1021"/>
      <c r="B18" s="225"/>
      <c r="C18" s="226"/>
      <c r="D18" s="227"/>
      <c r="E18" s="235"/>
      <c r="F18" s="238"/>
      <c r="G18" s="242"/>
      <c r="H18" s="243" t="s">
        <v>644</v>
      </c>
      <c r="I18" s="1019"/>
      <c r="J18" s="224">
        <f>+'12'!J18</f>
        <v>0</v>
      </c>
      <c r="K18" s="249"/>
      <c r="L18" s="249"/>
      <c r="M18" s="126">
        <f>+K18+'12'!M18+L18</f>
        <v>0</v>
      </c>
      <c r="P18" s="158">
        <f>+P16+P17</f>
        <v>480</v>
      </c>
      <c r="Q18" s="158">
        <f>+Q16+Q17</f>
        <v>601050</v>
      </c>
      <c r="R18" s="158">
        <f>+R16+R17</f>
        <v>598946.32499999995</v>
      </c>
    </row>
    <row r="19" spans="1:18" ht="13.5" thickBot="1">
      <c r="A19" s="1021"/>
      <c r="B19" s="225"/>
      <c r="C19" s="226"/>
      <c r="D19" s="227"/>
      <c r="E19" s="235"/>
      <c r="F19" s="245">
        <v>5</v>
      </c>
      <c r="G19" s="242" t="s">
        <v>12</v>
      </c>
      <c r="H19" s="243" t="s">
        <v>645</v>
      </c>
      <c r="I19" s="1019"/>
      <c r="J19" s="224">
        <f>+'12'!J19</f>
        <v>0</v>
      </c>
      <c r="K19" s="249"/>
      <c r="L19" s="249"/>
      <c r="M19" s="126">
        <f>+K19+'12'!M19+L19</f>
        <v>0</v>
      </c>
      <c r="Q19" s="158">
        <f>+Q18/P18</f>
        <v>1252.1875</v>
      </c>
      <c r="R19" s="158">
        <f>+R18/P18</f>
        <v>1247.8048437499999</v>
      </c>
    </row>
    <row r="20" spans="1:18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+'12'!J20</f>
        <v>0</v>
      </c>
      <c r="K20" s="250"/>
      <c r="L20" s="250"/>
      <c r="M20" s="126">
        <f>+K20+'12'!M20+L20</f>
        <v>0</v>
      </c>
    </row>
    <row r="21" spans="1:18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+'12'!J21</f>
        <v>0</v>
      </c>
      <c r="K21" s="249"/>
      <c r="L21" s="249"/>
      <c r="M21" s="126">
        <f>+K21+'12'!M21+L21</f>
        <v>0</v>
      </c>
    </row>
    <row r="22" spans="1:18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+'12'!J22</f>
        <v>0</v>
      </c>
      <c r="K22" s="249"/>
      <c r="L22" s="249"/>
      <c r="M22" s="126">
        <f>+K22+'12'!M22+L22</f>
        <v>0</v>
      </c>
    </row>
    <row r="23" spans="1:18" ht="13.5" thickBot="1">
      <c r="A23" s="1022"/>
      <c r="B23" s="178" t="s">
        <v>2</v>
      </c>
      <c r="C23" s="109">
        <f>SUM(C16:C22)</f>
        <v>23033</v>
      </c>
      <c r="D23" s="120">
        <f>SUM(D16:D22)</f>
        <v>0</v>
      </c>
      <c r="E23" s="121">
        <f>SUM(E18:E22)</f>
        <v>0</v>
      </c>
      <c r="F23" s="125">
        <f>SUM(F15:F22)</f>
        <v>9</v>
      </c>
      <c r="G23" s="168"/>
      <c r="H23" s="176" t="s">
        <v>234</v>
      </c>
      <c r="I23" s="179"/>
      <c r="J23" s="224">
        <f>+'12'!J23</f>
        <v>0</v>
      </c>
      <c r="K23" s="249"/>
      <c r="L23" s="249"/>
      <c r="M23" s="126">
        <f>+K23+'12'!M23+L23</f>
        <v>0</v>
      </c>
    </row>
    <row r="24" spans="1:18" ht="13.5" customHeight="1" thickBot="1">
      <c r="A24" s="1015" t="s">
        <v>485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551</v>
      </c>
      <c r="J24" s="224">
        <f>+'12'!J24</f>
        <v>0</v>
      </c>
      <c r="K24" s="249"/>
      <c r="L24" s="249"/>
      <c r="M24" s="126">
        <f>+K24+'12'!M24+L24</f>
        <v>0</v>
      </c>
    </row>
    <row r="25" spans="1:18" ht="13.5" thickBot="1">
      <c r="A25" s="1021"/>
      <c r="B25" s="225" t="s">
        <v>650</v>
      </c>
      <c r="C25" s="236">
        <v>25965</v>
      </c>
      <c r="D25" s="227"/>
      <c r="E25" s="235"/>
      <c r="F25" s="241">
        <v>2</v>
      </c>
      <c r="G25" s="242" t="s">
        <v>12</v>
      </c>
      <c r="H25" s="240" t="s">
        <v>567</v>
      </c>
      <c r="I25" s="1019"/>
      <c r="J25" s="224">
        <f>+'12'!J25</f>
        <v>0</v>
      </c>
      <c r="K25" s="249"/>
      <c r="L25" s="249"/>
      <c r="M25" s="126">
        <f>+K25+'12'!M25+L25</f>
        <v>0</v>
      </c>
    </row>
    <row r="26" spans="1:18" ht="13.5" thickBot="1">
      <c r="A26" s="1021"/>
      <c r="B26" s="225"/>
      <c r="C26" s="236"/>
      <c r="D26" s="227"/>
      <c r="E26" s="237"/>
      <c r="F26" s="241">
        <v>5</v>
      </c>
      <c r="G26" s="242" t="s">
        <v>12</v>
      </c>
      <c r="H26" s="243" t="s">
        <v>539</v>
      </c>
      <c r="I26" s="1019"/>
      <c r="J26" s="224">
        <f>+'12'!J26</f>
        <v>0</v>
      </c>
      <c r="K26" s="249"/>
      <c r="L26" s="249"/>
      <c r="M26" s="126">
        <f>+K26+'12'!M26+L26</f>
        <v>0</v>
      </c>
    </row>
    <row r="27" spans="1:18" ht="13.5" thickBot="1">
      <c r="A27" s="1021"/>
      <c r="B27" s="225"/>
      <c r="C27" s="226"/>
      <c r="D27" s="227"/>
      <c r="E27" s="235"/>
      <c r="F27" s="241"/>
      <c r="G27" s="242"/>
      <c r="H27" s="243" t="s">
        <v>646</v>
      </c>
      <c r="I27" s="1019"/>
      <c r="J27" s="224">
        <f>+'12'!J27</f>
        <v>0</v>
      </c>
      <c r="K27" s="249"/>
      <c r="L27" s="249"/>
      <c r="M27" s="126">
        <f>+K27+'12'!M27+L27</f>
        <v>0</v>
      </c>
    </row>
    <row r="28" spans="1:18" ht="13.5" thickBot="1">
      <c r="A28" s="1021"/>
      <c r="B28" s="225"/>
      <c r="C28" s="226"/>
      <c r="D28" s="227"/>
      <c r="E28" s="235"/>
      <c r="F28" s="241"/>
      <c r="G28" s="242"/>
      <c r="H28" s="243"/>
      <c r="I28" s="1019"/>
      <c r="J28" s="224">
        <f>+'12'!J28</f>
        <v>0</v>
      </c>
      <c r="K28" s="249"/>
      <c r="L28" s="249"/>
      <c r="M28" s="126">
        <f>+K28+'12'!M28+L28</f>
        <v>0</v>
      </c>
    </row>
    <row r="29" spans="1:18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+'12'!J29</f>
        <v>0</v>
      </c>
      <c r="K29" s="249"/>
      <c r="L29" s="249"/>
      <c r="M29" s="126">
        <f>+K29+'12'!M29+L29</f>
        <v>0</v>
      </c>
    </row>
    <row r="30" spans="1:18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+'12'!J30</f>
        <v>0</v>
      </c>
      <c r="K30" s="249"/>
      <c r="L30" s="249"/>
      <c r="M30" s="126">
        <f>+K30+'12'!M30+L30</f>
        <v>0</v>
      </c>
      <c r="N30" s="164"/>
    </row>
    <row r="31" spans="1:18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+'12'!J31</f>
        <v>0</v>
      </c>
      <c r="K31" s="249"/>
      <c r="L31" s="249"/>
      <c r="M31" s="126">
        <f>+K31+'12'!M31+L31</f>
        <v>0</v>
      </c>
    </row>
    <row r="32" spans="1:18" ht="13.5" thickBot="1">
      <c r="A32" s="1022"/>
      <c r="B32" s="175" t="s">
        <v>2</v>
      </c>
      <c r="C32" s="108">
        <f>SUM(C25:C31)</f>
        <v>25965</v>
      </c>
      <c r="D32" s="109">
        <f>SUM(D25:D31)</f>
        <v>0</v>
      </c>
      <c r="E32" s="110">
        <f>SUM(E25:E31)</f>
        <v>0</v>
      </c>
      <c r="F32" s="111">
        <f>SUM(F24:F31)</f>
        <v>7</v>
      </c>
      <c r="G32" s="181"/>
      <c r="H32" s="182"/>
      <c r="I32" s="179"/>
      <c r="J32" s="224">
        <f>+'12'!J32</f>
        <v>0</v>
      </c>
      <c r="K32" s="251"/>
      <c r="L32" s="253"/>
      <c r="M32" s="126">
        <f>+K32+'12'!M32+L32</f>
        <v>0</v>
      </c>
    </row>
    <row r="33" spans="1:14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75933</v>
      </c>
      <c r="D34" s="116">
        <f>D14+D23+D32</f>
        <v>0</v>
      </c>
      <c r="E34" s="116">
        <f>E14+E23+E32</f>
        <v>0</v>
      </c>
      <c r="F34" s="117">
        <f>F14+F23+F32</f>
        <v>31</v>
      </c>
      <c r="H34" s="188"/>
      <c r="I34" s="188"/>
      <c r="J34" s="132" t="s">
        <v>28</v>
      </c>
      <c r="K34" s="133">
        <f>SUM(K7:K32)</f>
        <v>75933</v>
      </c>
      <c r="L34" s="222">
        <f>SUM(L7:L32)</f>
        <v>0</v>
      </c>
      <c r="M34" s="129">
        <f>SUM(M7:M32)</f>
        <v>794989</v>
      </c>
      <c r="N34" s="164"/>
    </row>
    <row r="35" spans="1:14" ht="13.5" thickBot="1">
      <c r="A35" s="189"/>
      <c r="B35" s="190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(21*256+22*239+16*945)/1440*G42*2.77*1440/1000000</f>
        <v>83.462805750715631</v>
      </c>
      <c r="J37" s="134">
        <f>+I37+'12'!J37</f>
        <v>897.27646273941878</v>
      </c>
      <c r="K37" s="135" t="s">
        <v>63</v>
      </c>
      <c r="L37" s="158">
        <v>16.939</v>
      </c>
    </row>
    <row r="38" spans="1:14" ht="17.45" customHeight="1">
      <c r="A38" s="1013" t="s">
        <v>12</v>
      </c>
      <c r="B38" s="1014"/>
      <c r="C38" s="173">
        <f>SUMIF($G$7:$G$31,"Process",$F$7:$F$31)</f>
        <v>31</v>
      </c>
      <c r="D38" s="127">
        <f>+C38+'12'!D38</f>
        <v>686</v>
      </c>
      <c r="E38" s="152">
        <f t="shared" ref="E38:E51" si="0">D38/60</f>
        <v>11.433333333333334</v>
      </c>
      <c r="F38" s="338">
        <v>1010</v>
      </c>
      <c r="G38" s="338">
        <v>1006.465</v>
      </c>
      <c r="H38" s="197" t="s">
        <v>64</v>
      </c>
      <c r="I38" s="554">
        <f>26.858+27.485+25.413</f>
        <v>79.756</v>
      </c>
      <c r="J38" s="136">
        <f>+I38+'12'!J38</f>
        <v>831.14</v>
      </c>
      <c r="K38" s="137" t="s">
        <v>63</v>
      </c>
      <c r="L38" s="158">
        <v>14.016999999999999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+C39+'12'!D39</f>
        <v>0</v>
      </c>
      <c r="E39" s="152">
        <f t="shared" si="0"/>
        <v>0</v>
      </c>
      <c r="F39" s="338">
        <v>1252.1875</v>
      </c>
      <c r="G39" s="338">
        <v>1247.8048437499999</v>
      </c>
      <c r="H39" s="197" t="s">
        <v>65</v>
      </c>
      <c r="I39" s="151"/>
      <c r="J39" s="138">
        <f>J37/G4</f>
        <v>69.021266364570678</v>
      </c>
      <c r="K39" s="139" t="s">
        <v>63</v>
      </c>
      <c r="L39" s="566">
        <f>+I38-L37-L38</f>
        <v>48.8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+C40+'12'!D40</f>
        <v>39</v>
      </c>
      <c r="E40" s="152">
        <f t="shared" si="0"/>
        <v>0.65</v>
      </c>
      <c r="F40" s="338">
        <v>1260</v>
      </c>
      <c r="G40" s="338">
        <v>1255.5899999999999</v>
      </c>
      <c r="H40" s="197" t="s">
        <v>67</v>
      </c>
      <c r="I40" s="127">
        <f>(K34+L34)/1000</f>
        <v>75.933000000000007</v>
      </c>
      <c r="J40" s="140">
        <f>+I40+'12'!J40</f>
        <v>794.98900000000003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+C41+'12'!D41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61.153000000000006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+C42+'12'!D42</f>
        <v>0</v>
      </c>
      <c r="E42" s="152">
        <f t="shared" si="0"/>
        <v>0</v>
      </c>
      <c r="F42" s="338">
        <f>+(F38*480+F39*480+F40*480)/1440</f>
        <v>1174.0625</v>
      </c>
      <c r="G42" s="338">
        <f>+(G38*480+G39*480+G40*480)/1440</f>
        <v>1169.9532812499999</v>
      </c>
      <c r="H42" s="197" t="s">
        <v>70</v>
      </c>
      <c r="I42" s="256" t="s">
        <v>647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+C43+'12'!D43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+Report1!T21</f>
        <v>164.047</v>
      </c>
      <c r="J43" s="142">
        <f>+I43+'12'!J43</f>
        <v>1874.1669999999999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+C44+'12'!D44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2.0568609258237625</v>
      </c>
      <c r="J44" s="143">
        <f>J43/J38</f>
        <v>2.2549353899463389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+C45+'12'!D45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2.160417736688923</v>
      </c>
      <c r="J45" s="143">
        <f>J43/J40</f>
        <v>2.3574753864518878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+C46+'12'!D46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+SUMIF(Listrik!AR20,"&gt;0")</f>
        <v>55834.300000000083</v>
      </c>
      <c r="J46" s="144">
        <f>+I46+'12'!J46</f>
        <v>665924.19999999751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+C47+'12'!D47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700.06394503234969</v>
      </c>
      <c r="J47" s="144">
        <f>J46/J38</f>
        <v>801.21784536900827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+C48+'12'!D48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735.31007598804308</v>
      </c>
      <c r="J48" s="144">
        <f>J46/J40</f>
        <v>837.65209329940103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+C49+'12'!D49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+I49+'12'!J49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+C50+'12'!D50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+C51+'12'!D51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31</v>
      </c>
      <c r="D52" s="153">
        <f>SUM(D38:D51)</f>
        <v>2061</v>
      </c>
      <c r="E52" s="154">
        <f>SUM(E38:E51)</f>
        <v>34.35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2.1527777777777778E-2</v>
      </c>
      <c r="D53" s="155">
        <f>D52/(24*60*G4)</f>
        <v>0.11009615384615384</v>
      </c>
      <c r="E53" s="156">
        <f>E52/(G4*24)</f>
        <v>0.11009615384615386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+D34+'12'!J56</f>
        <v>16590</v>
      </c>
      <c r="K56" s="211">
        <f>J56/(J40+J56/1000)/1000</f>
        <v>2.0441632915588006E-2</v>
      </c>
    </row>
    <row r="57" spans="1:11">
      <c r="A57" s="186"/>
      <c r="I57" s="209" t="s">
        <v>89</v>
      </c>
      <c r="J57" s="210">
        <f>+E34+'12'!J57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  <mergeCell ref="A38:B38"/>
    <mergeCell ref="A41:B41"/>
    <mergeCell ref="A53:B53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topLeftCell="A4" zoomScale="80" zoomScaleNormal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4" style="158" bestFit="1" customWidth="1"/>
    <col min="12" max="12" width="8.28515625" style="158" customWidth="1"/>
    <col min="13" max="13" width="15" style="158" bestFit="1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30</v>
      </c>
      <c r="G4" s="163">
        <v>12</v>
      </c>
      <c r="H4" s="163" t="str">
        <f>+'1'!H4</f>
        <v>.06.24</v>
      </c>
    </row>
    <row r="5" spans="1:18" ht="13.5" thickBot="1">
      <c r="C5" s="164"/>
      <c r="D5" s="164"/>
    </row>
    <row r="6" spans="1:18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165+225+185</f>
        <v>575</v>
      </c>
    </row>
    <row r="7" spans="1:18" ht="13.5" customHeight="1" thickBot="1">
      <c r="A7" s="1015" t="s">
        <v>620</v>
      </c>
      <c r="B7" s="225" t="s">
        <v>549</v>
      </c>
      <c r="C7" s="226">
        <f>5362+1574</f>
        <v>6936</v>
      </c>
      <c r="D7" s="227"/>
      <c r="E7" s="228"/>
      <c r="F7" s="238"/>
      <c r="G7" s="239" t="s">
        <v>12</v>
      </c>
      <c r="H7" s="240" t="s">
        <v>277</v>
      </c>
      <c r="I7" s="1018" t="s">
        <v>631</v>
      </c>
      <c r="J7" s="224" t="str">
        <f>+'11'!J7</f>
        <v>F 13,5 VP OW</v>
      </c>
      <c r="K7" s="248"/>
      <c r="L7" s="252"/>
      <c r="M7" s="126">
        <f>+K7+'11'!M7+L7</f>
        <v>97821</v>
      </c>
    </row>
    <row r="8" spans="1:18" ht="13.5" thickBot="1">
      <c r="A8" s="1016"/>
      <c r="B8" s="225" t="s">
        <v>543</v>
      </c>
      <c r="C8" s="226">
        <f>466+5320</f>
        <v>5786</v>
      </c>
      <c r="D8" s="227"/>
      <c r="E8" s="229"/>
      <c r="F8" s="241"/>
      <c r="G8" s="242" t="s">
        <v>12</v>
      </c>
      <c r="H8" s="240" t="s">
        <v>446</v>
      </c>
      <c r="I8" s="1019"/>
      <c r="J8" s="224" t="str">
        <f>+'11'!J8</f>
        <v>F 13 VP OW</v>
      </c>
      <c r="K8" s="249"/>
      <c r="L8" s="249"/>
      <c r="M8" s="126">
        <f>+K8+'11'!M8+L8</f>
        <v>71398</v>
      </c>
      <c r="N8" s="158">
        <v>1260</v>
      </c>
      <c r="O8" s="158">
        <f>+N8-N8*0.0035</f>
        <v>1255.5899999999999</v>
      </c>
      <c r="P8" s="158">
        <v>44</v>
      </c>
      <c r="Q8" s="158">
        <f>+N8*P8</f>
        <v>55440</v>
      </c>
      <c r="R8" s="158">
        <f>+O8*P8</f>
        <v>55245.96</v>
      </c>
    </row>
    <row r="9" spans="1:18" ht="13.5" thickBot="1">
      <c r="A9" s="1016"/>
      <c r="B9" s="225" t="s">
        <v>621</v>
      </c>
      <c r="C9" s="226">
        <f>3530+4824+5006</f>
        <v>13360</v>
      </c>
      <c r="D9" s="227">
        <v>1100</v>
      </c>
      <c r="E9" s="230"/>
      <c r="F9" s="238">
        <v>4</v>
      </c>
      <c r="G9" s="242" t="s">
        <v>12</v>
      </c>
      <c r="H9" s="243" t="s">
        <v>539</v>
      </c>
      <c r="I9" s="1019"/>
      <c r="J9" s="224" t="str">
        <f>+'11'!J9</f>
        <v>MG 17 VP OW</v>
      </c>
      <c r="K9" s="249"/>
      <c r="L9" s="249"/>
      <c r="M9" s="126">
        <f>+K9+'11'!M9+L9</f>
        <v>37355</v>
      </c>
      <c r="N9" s="158">
        <v>1260</v>
      </c>
      <c r="O9" s="158">
        <f>+N9-N9*0.0035</f>
        <v>1255.5899999999999</v>
      </c>
      <c r="P9" s="158">
        <f>16+53</f>
        <v>69</v>
      </c>
      <c r="Q9" s="158">
        <f>+N9*P9</f>
        <v>86940</v>
      </c>
      <c r="R9" s="158">
        <f>+O9*P9</f>
        <v>86635.709999999992</v>
      </c>
    </row>
    <row r="10" spans="1:18" ht="13.5" thickBot="1">
      <c r="A10" s="1016"/>
      <c r="B10" s="225"/>
      <c r="C10" s="226"/>
      <c r="D10" s="227"/>
      <c r="E10" s="229"/>
      <c r="F10" s="238"/>
      <c r="G10" s="242"/>
      <c r="H10" s="243" t="s">
        <v>607</v>
      </c>
      <c r="I10" s="1019"/>
      <c r="J10" s="224" t="str">
        <f>+'11'!J10</f>
        <v>MG 16,5 VP OW</v>
      </c>
      <c r="K10" s="249">
        <f>+C7</f>
        <v>6936</v>
      </c>
      <c r="L10" s="249"/>
      <c r="M10" s="126">
        <f>+K10+'11'!M10+L10</f>
        <v>135835</v>
      </c>
      <c r="N10" s="158">
        <v>1030</v>
      </c>
      <c r="O10" s="158">
        <f>+N10-N10*0.0035</f>
        <v>1026.395</v>
      </c>
      <c r="P10" s="158">
        <f>7+360</f>
        <v>367</v>
      </c>
      <c r="Q10" s="158">
        <f>+N10*P10</f>
        <v>378010</v>
      </c>
      <c r="R10" s="158">
        <f>+O10*P10</f>
        <v>376686.96499999997</v>
      </c>
    </row>
    <row r="11" spans="1:18" ht="13.5" thickBot="1">
      <c r="A11" s="1016"/>
      <c r="B11" s="225"/>
      <c r="C11" s="226"/>
      <c r="D11" s="227"/>
      <c r="E11" s="229"/>
      <c r="F11" s="238">
        <v>5</v>
      </c>
      <c r="G11" s="242" t="s">
        <v>12</v>
      </c>
      <c r="H11" s="243" t="s">
        <v>630</v>
      </c>
      <c r="I11" s="1019"/>
      <c r="J11" s="224" t="str">
        <f>+'11'!J11</f>
        <v>MG 14 VP HW</v>
      </c>
      <c r="K11" s="249"/>
      <c r="L11" s="249"/>
      <c r="M11" s="126">
        <f>+K11+'11'!M11+L11</f>
        <v>160355</v>
      </c>
      <c r="P11" s="158">
        <f>SUM(P8:P10)</f>
        <v>480</v>
      </c>
      <c r="Q11" s="158">
        <f>SUM(Q8:Q10)</f>
        <v>520390</v>
      </c>
      <c r="R11" s="158">
        <f>SUM(R8:R10)</f>
        <v>518568.63499999995</v>
      </c>
    </row>
    <row r="12" spans="1:18" ht="13.5" thickBot="1">
      <c r="A12" s="1016"/>
      <c r="B12" s="225"/>
      <c r="C12" s="226"/>
      <c r="D12" s="227"/>
      <c r="E12" s="229"/>
      <c r="F12" s="238">
        <v>5</v>
      </c>
      <c r="G12" s="242" t="s">
        <v>12</v>
      </c>
      <c r="H12" s="243" t="s">
        <v>629</v>
      </c>
      <c r="I12" s="1019"/>
      <c r="J12" s="224" t="str">
        <f>+'11'!J12</f>
        <v>MG 17 VP HW</v>
      </c>
      <c r="K12" s="249">
        <f>+C8</f>
        <v>5786</v>
      </c>
      <c r="L12" s="249"/>
      <c r="M12" s="126">
        <f>+K12+'11'!M12+L12</f>
        <v>119052</v>
      </c>
      <c r="Q12" s="158">
        <f>+Q11/P11</f>
        <v>1084.1458333333333</v>
      </c>
      <c r="R12" s="158">
        <f>+R11/P11</f>
        <v>1080.3513229166665</v>
      </c>
    </row>
    <row r="13" spans="1:18" ht="26.25" thickBot="1">
      <c r="A13" s="1016"/>
      <c r="B13" s="225"/>
      <c r="C13" s="226"/>
      <c r="D13" s="226"/>
      <c r="E13" s="229"/>
      <c r="F13" s="238">
        <v>15</v>
      </c>
      <c r="G13" s="242" t="s">
        <v>68</v>
      </c>
      <c r="H13" s="243" t="s">
        <v>627</v>
      </c>
      <c r="I13" s="1020"/>
      <c r="J13" s="224" t="str">
        <f>+'11'!J13</f>
        <v>MG 21 VP OW</v>
      </c>
      <c r="K13" s="249">
        <f>+C9+C16+C25</f>
        <v>71946</v>
      </c>
      <c r="L13" s="249"/>
      <c r="M13" s="126">
        <f>+K13+'11'!M13+L13</f>
        <v>97240</v>
      </c>
    </row>
    <row r="14" spans="1:18" ht="13.5" thickBot="1">
      <c r="A14" s="1017"/>
      <c r="B14" s="175" t="s">
        <v>2</v>
      </c>
      <c r="C14" s="108">
        <f>SUM(C7:C13)</f>
        <v>26082</v>
      </c>
      <c r="D14" s="120">
        <f>SUM(D7:D13)</f>
        <v>1100</v>
      </c>
      <c r="E14" s="121">
        <f>SUM(E5:E13)</f>
        <v>0</v>
      </c>
      <c r="F14" s="125">
        <f>SUM(F7:F13)</f>
        <v>29</v>
      </c>
      <c r="G14" s="168"/>
      <c r="H14" s="176"/>
      <c r="I14" s="177"/>
      <c r="J14" s="224">
        <f>+'11'!J14</f>
        <v>0</v>
      </c>
      <c r="K14" s="249"/>
      <c r="L14" s="249"/>
      <c r="M14" s="126">
        <f>+K14+'11'!M14+L14</f>
        <v>0</v>
      </c>
    </row>
    <row r="15" spans="1:18" ht="13.5" customHeight="1" thickBot="1">
      <c r="A15" s="1015" t="s">
        <v>451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633</v>
      </c>
      <c r="J15" s="224">
        <f>+'11'!J15</f>
        <v>0</v>
      </c>
      <c r="K15" s="249"/>
      <c r="L15" s="249"/>
      <c r="M15" s="126">
        <f>+K15+'11'!M15+L15</f>
        <v>0</v>
      </c>
    </row>
    <row r="16" spans="1:18" ht="13.5" thickBot="1">
      <c r="A16" s="1021"/>
      <c r="B16" s="225" t="s">
        <v>621</v>
      </c>
      <c r="C16" s="232">
        <v>30304</v>
      </c>
      <c r="D16" s="233"/>
      <c r="E16" s="234"/>
      <c r="F16" s="238"/>
      <c r="G16" s="242" t="s">
        <v>12</v>
      </c>
      <c r="H16" s="240" t="s">
        <v>446</v>
      </c>
      <c r="I16" s="1019"/>
      <c r="J16" s="224">
        <f>+'11'!J16</f>
        <v>0</v>
      </c>
      <c r="K16" s="249"/>
      <c r="L16" s="239"/>
      <c r="M16" s="126">
        <f>+K16+'11'!M16+L16</f>
        <v>0</v>
      </c>
    </row>
    <row r="17" spans="1:18" ht="13.5" thickBot="1">
      <c r="A17" s="1021"/>
      <c r="B17" s="225"/>
      <c r="C17" s="226"/>
      <c r="D17" s="227"/>
      <c r="E17" s="235"/>
      <c r="F17" s="238">
        <v>6</v>
      </c>
      <c r="G17" s="242" t="s">
        <v>12</v>
      </c>
      <c r="H17" s="243" t="s">
        <v>539</v>
      </c>
      <c r="I17" s="1019"/>
      <c r="J17" s="224">
        <f>+'11'!J17</f>
        <v>0</v>
      </c>
      <c r="K17" s="249"/>
      <c r="L17" s="239"/>
      <c r="M17" s="126">
        <f>+K17+'11'!M17+L17</f>
        <v>0</v>
      </c>
    </row>
    <row r="18" spans="1:18" ht="13.5" thickBot="1">
      <c r="A18" s="1021"/>
      <c r="B18" s="225"/>
      <c r="C18" s="226"/>
      <c r="D18" s="227"/>
      <c r="E18" s="235"/>
      <c r="F18" s="238"/>
      <c r="G18" s="242"/>
      <c r="H18" s="243" t="s">
        <v>632</v>
      </c>
      <c r="I18" s="1019"/>
      <c r="J18" s="224">
        <f>+'11'!J18</f>
        <v>0</v>
      </c>
      <c r="K18" s="249"/>
      <c r="L18" s="249"/>
      <c r="M18" s="126">
        <f>+K18+'11'!M18+L18</f>
        <v>0</v>
      </c>
      <c r="N18" s="158">
        <v>1030</v>
      </c>
      <c r="O18" s="158">
        <f>+N18-N18*0.0035</f>
        <v>1026.395</v>
      </c>
      <c r="P18" s="158">
        <v>367</v>
      </c>
      <c r="Q18" s="158">
        <f>+N18*P18</f>
        <v>378010</v>
      </c>
      <c r="R18" s="158">
        <f>+O18*P18</f>
        <v>376686.96499999997</v>
      </c>
    </row>
    <row r="19" spans="1:18" ht="13.5" thickBot="1">
      <c r="A19" s="1021"/>
      <c r="B19" s="225"/>
      <c r="C19" s="226"/>
      <c r="D19" s="227"/>
      <c r="E19" s="235"/>
      <c r="F19" s="245"/>
      <c r="G19" s="242"/>
      <c r="H19" s="243"/>
      <c r="I19" s="1019"/>
      <c r="J19" s="224">
        <f>+'11'!J19</f>
        <v>0</v>
      </c>
      <c r="K19" s="249"/>
      <c r="L19" s="249"/>
      <c r="M19" s="126">
        <f>+K19+'11'!M19+L19</f>
        <v>0</v>
      </c>
      <c r="N19" s="158">
        <v>1030</v>
      </c>
      <c r="O19" s="158">
        <f>+N19-N19*0.0035</f>
        <v>1026.395</v>
      </c>
      <c r="P19" s="158">
        <v>480</v>
      </c>
      <c r="Q19" s="158">
        <f>+N19*P19</f>
        <v>494400</v>
      </c>
      <c r="R19" s="158">
        <f>+O19*P19</f>
        <v>492669.6</v>
      </c>
    </row>
    <row r="20" spans="1:18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+'11'!J20</f>
        <v>0</v>
      </c>
      <c r="K20" s="250"/>
      <c r="L20" s="250"/>
      <c r="M20" s="126">
        <f>+K20+'11'!M20+L20</f>
        <v>0</v>
      </c>
      <c r="N20" s="158">
        <v>1010</v>
      </c>
      <c r="O20" s="158">
        <f>+N20-N20*0.0035</f>
        <v>1006.465</v>
      </c>
      <c r="P20" s="158">
        <v>480</v>
      </c>
      <c r="Q20" s="158">
        <f>+N20*P20</f>
        <v>484800</v>
      </c>
      <c r="R20" s="158">
        <f>+O20*P20</f>
        <v>483103.2</v>
      </c>
    </row>
    <row r="21" spans="1:18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+'11'!J21</f>
        <v>0</v>
      </c>
      <c r="K21" s="249"/>
      <c r="L21" s="249"/>
      <c r="M21" s="126">
        <f>+K21+'11'!M21+L21</f>
        <v>0</v>
      </c>
      <c r="P21" s="158">
        <f>SUM(P18:P20)</f>
        <v>1327</v>
      </c>
      <c r="Q21" s="158">
        <f>SUM(Q18:Q20)</f>
        <v>1357210</v>
      </c>
      <c r="R21" s="158">
        <f>SUM(R18:R20)</f>
        <v>1352459.7649999999</v>
      </c>
    </row>
    <row r="22" spans="1:18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+'11'!J22</f>
        <v>0</v>
      </c>
      <c r="K22" s="249"/>
      <c r="L22" s="249"/>
      <c r="M22" s="126">
        <f>+K22+'11'!M22+L22</f>
        <v>0</v>
      </c>
      <c r="Q22" s="158">
        <f>+Q21/P21</f>
        <v>1022.7656367746797</v>
      </c>
      <c r="R22" s="158">
        <f>+R21/P21</f>
        <v>1019.1859570459683</v>
      </c>
    </row>
    <row r="23" spans="1:18" ht="13.5" thickBot="1">
      <c r="A23" s="1022"/>
      <c r="B23" s="178" t="s">
        <v>2</v>
      </c>
      <c r="C23" s="109">
        <f>SUM(C16:C22)</f>
        <v>30304</v>
      </c>
      <c r="D23" s="120">
        <f>SUM(D16:D22)</f>
        <v>0</v>
      </c>
      <c r="E23" s="121">
        <f>SUM(E18:E22)</f>
        <v>0</v>
      </c>
      <c r="F23" s="125">
        <f>SUM(F15:F22)</f>
        <v>6</v>
      </c>
      <c r="G23" s="168"/>
      <c r="H23" s="176" t="s">
        <v>234</v>
      </c>
      <c r="I23" s="179"/>
      <c r="J23" s="224">
        <f>+'11'!J23</f>
        <v>0</v>
      </c>
      <c r="K23" s="249"/>
      <c r="L23" s="249"/>
      <c r="M23" s="126">
        <f>+K23+'11'!M23+L23</f>
        <v>0</v>
      </c>
    </row>
    <row r="24" spans="1:18" ht="13.5" customHeight="1" thickBot="1">
      <c r="A24" s="1015" t="s">
        <v>485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634</v>
      </c>
      <c r="J24" s="224">
        <f>+'11'!J24</f>
        <v>0</v>
      </c>
      <c r="K24" s="249"/>
      <c r="L24" s="249"/>
      <c r="M24" s="126">
        <f>+K24+'11'!M24+L24</f>
        <v>0</v>
      </c>
    </row>
    <row r="25" spans="1:18" ht="13.5" customHeight="1" thickBot="1">
      <c r="A25" s="1021"/>
      <c r="B25" s="225" t="s">
        <v>621</v>
      </c>
      <c r="C25" s="236">
        <v>28282</v>
      </c>
      <c r="D25" s="227"/>
      <c r="E25" s="235"/>
      <c r="F25" s="241"/>
      <c r="G25" s="242" t="s">
        <v>12</v>
      </c>
      <c r="H25" s="240" t="s">
        <v>446</v>
      </c>
      <c r="I25" s="1019"/>
      <c r="J25" s="224">
        <f>+'11'!J25</f>
        <v>0</v>
      </c>
      <c r="K25" s="249"/>
      <c r="L25" s="249"/>
      <c r="M25" s="126">
        <f>+K25+'11'!M25+L25</f>
        <v>0</v>
      </c>
    </row>
    <row r="26" spans="1:18" ht="13.5" customHeight="1" thickBot="1">
      <c r="A26" s="1021"/>
      <c r="B26" s="225"/>
      <c r="C26" s="236"/>
      <c r="D26" s="227"/>
      <c r="E26" s="237"/>
      <c r="F26" s="241">
        <v>2</v>
      </c>
      <c r="G26" s="242" t="s">
        <v>12</v>
      </c>
      <c r="H26" s="243" t="s">
        <v>539</v>
      </c>
      <c r="I26" s="1019"/>
      <c r="J26" s="224">
        <f>+'11'!J26</f>
        <v>0</v>
      </c>
      <c r="K26" s="249"/>
      <c r="L26" s="249"/>
      <c r="M26" s="126">
        <f>+K26+'11'!M26+L26</f>
        <v>0</v>
      </c>
    </row>
    <row r="27" spans="1:18" ht="13.5" customHeight="1" thickBot="1">
      <c r="A27" s="1021"/>
      <c r="B27" s="225"/>
      <c r="C27" s="226"/>
      <c r="D27" s="227"/>
      <c r="E27" s="235"/>
      <c r="F27" s="241"/>
      <c r="G27" s="242"/>
      <c r="H27" s="243" t="s">
        <v>628</v>
      </c>
      <c r="I27" s="1019"/>
      <c r="J27" s="224">
        <f>+'11'!J27</f>
        <v>0</v>
      </c>
      <c r="K27" s="249"/>
      <c r="L27" s="249"/>
      <c r="M27" s="126">
        <f>+K27+'11'!M27+L27</f>
        <v>0</v>
      </c>
    </row>
    <row r="28" spans="1:18" ht="13.5" thickBot="1">
      <c r="A28" s="1021"/>
      <c r="B28" s="225"/>
      <c r="C28" s="226"/>
      <c r="D28" s="227"/>
      <c r="E28" s="235"/>
      <c r="F28" s="241"/>
      <c r="G28" s="242"/>
      <c r="H28" s="243"/>
      <c r="I28" s="1019"/>
      <c r="J28" s="224">
        <f>+'11'!J28</f>
        <v>0</v>
      </c>
      <c r="K28" s="249"/>
      <c r="L28" s="249"/>
      <c r="M28" s="126">
        <f>+K28+'11'!M28+L28</f>
        <v>0</v>
      </c>
    </row>
    <row r="29" spans="1:18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+'11'!J29</f>
        <v>0</v>
      </c>
      <c r="K29" s="249"/>
      <c r="L29" s="249"/>
      <c r="M29" s="126">
        <f>+K29+'11'!M29+L29</f>
        <v>0</v>
      </c>
    </row>
    <row r="30" spans="1:18" ht="13.5" customHeight="1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+'11'!J30</f>
        <v>0</v>
      </c>
      <c r="K30" s="249"/>
      <c r="L30" s="249"/>
      <c r="M30" s="126">
        <f>+K30+'11'!M30+L30</f>
        <v>0</v>
      </c>
      <c r="N30" s="164"/>
    </row>
    <row r="31" spans="1:18" ht="13.5" customHeight="1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+'11'!J31</f>
        <v>0</v>
      </c>
      <c r="K31" s="249"/>
      <c r="L31" s="249"/>
      <c r="M31" s="126">
        <f>+K31+'11'!M31+L31</f>
        <v>0</v>
      </c>
    </row>
    <row r="32" spans="1:18" ht="13.5" customHeight="1" thickBot="1">
      <c r="A32" s="1022"/>
      <c r="B32" s="175" t="s">
        <v>2</v>
      </c>
      <c r="C32" s="108">
        <f>SUM(C25:C31)</f>
        <v>28282</v>
      </c>
      <c r="D32" s="109">
        <f>SUM(D25:D31)</f>
        <v>0</v>
      </c>
      <c r="E32" s="110">
        <f>SUM(E25:E31)</f>
        <v>0</v>
      </c>
      <c r="F32" s="111">
        <f>SUM(F24:F31)</f>
        <v>2</v>
      </c>
      <c r="G32" s="181"/>
      <c r="H32" s="182"/>
      <c r="I32" s="179"/>
      <c r="J32" s="224">
        <f>+'1'!J32</f>
        <v>0</v>
      </c>
      <c r="K32" s="251"/>
      <c r="L32" s="253"/>
      <c r="M32" s="126">
        <f>+K32+'11'!M32+L32</f>
        <v>0</v>
      </c>
    </row>
    <row r="33" spans="1:14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84668</v>
      </c>
      <c r="D34" s="116">
        <f>D14+D23+D32</f>
        <v>1100</v>
      </c>
      <c r="E34" s="116">
        <f>E14+E23+E32</f>
        <v>0</v>
      </c>
      <c r="F34" s="117">
        <f>F14+F23+F32</f>
        <v>37</v>
      </c>
      <c r="H34" s="188"/>
      <c r="I34" s="188"/>
      <c r="J34" s="132" t="s">
        <v>28</v>
      </c>
      <c r="K34" s="133">
        <f>SUM(K7:K32)</f>
        <v>84668</v>
      </c>
      <c r="L34" s="222">
        <f>SUM(L7:L32)</f>
        <v>0</v>
      </c>
      <c r="M34" s="129">
        <f>SUM(M7:M32)</f>
        <v>719056</v>
      </c>
      <c r="N34" s="164"/>
    </row>
    <row r="35" spans="1:14" ht="13.5" thickBot="1">
      <c r="A35" s="189"/>
      <c r="B35" s="190"/>
      <c r="C35" s="113">
        <f>C34/($C$34+$D$34+$E$34)</f>
        <v>0.98717470385225259</v>
      </c>
      <c r="D35" s="113">
        <f>D34/($C$34+$D$34+$E$34)</f>
        <v>1.2825296147747411E-2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(16.5*44+17*69+21*1327)/1440*G42*2.77*1440/1000000</f>
        <v>85.563313206362295</v>
      </c>
      <c r="J37" s="134">
        <f>+I37+'11'!J37</f>
        <v>813.8136569887032</v>
      </c>
      <c r="K37" s="135" t="s">
        <v>63</v>
      </c>
      <c r="L37" s="158">
        <v>3.4740000000000002</v>
      </c>
    </row>
    <row r="38" spans="1:14" ht="17.45" customHeight="1">
      <c r="A38" s="1013" t="s">
        <v>12</v>
      </c>
      <c r="B38" s="1014"/>
      <c r="C38" s="173">
        <f>SUMIF($G$7:$G$31,"Process",$F$7:$F$31)</f>
        <v>22</v>
      </c>
      <c r="D38" s="127">
        <f>+C38+'11'!D38</f>
        <v>655</v>
      </c>
      <c r="E38" s="152">
        <f t="shared" ref="E38:E51" si="0">D38/60</f>
        <v>10.916666666666666</v>
      </c>
      <c r="F38" s="338">
        <v>1084.1458333333333</v>
      </c>
      <c r="G38" s="338">
        <v>1080.3513229166665</v>
      </c>
      <c r="H38" s="197" t="s">
        <v>64</v>
      </c>
      <c r="I38" s="554">
        <f>23.798+27.434+27.594</f>
        <v>78.825999999999993</v>
      </c>
      <c r="J38" s="136">
        <f>+I38+'11'!J38</f>
        <v>751.38400000000001</v>
      </c>
      <c r="K38" s="137" t="s">
        <v>63</v>
      </c>
      <c r="L38" s="158">
        <v>3.4740000000000002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+C39+'11'!D39</f>
        <v>0</v>
      </c>
      <c r="E39" s="152">
        <f t="shared" si="0"/>
        <v>0</v>
      </c>
      <c r="F39" s="338">
        <v>1030</v>
      </c>
      <c r="G39" s="338">
        <v>1026.395</v>
      </c>
      <c r="H39" s="197" t="s">
        <v>65</v>
      </c>
      <c r="I39" s="151"/>
      <c r="J39" s="138">
        <f>J37/G4</f>
        <v>67.817804749058595</v>
      </c>
      <c r="K39" s="139" t="s">
        <v>63</v>
      </c>
      <c r="L39" s="566">
        <f>+I38-L37-L38</f>
        <v>71.877999999999986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+C40+'11'!D40</f>
        <v>39</v>
      </c>
      <c r="E40" s="152">
        <f t="shared" si="0"/>
        <v>0.65</v>
      </c>
      <c r="F40" s="338">
        <v>1010</v>
      </c>
      <c r="G40" s="338">
        <v>1006.465</v>
      </c>
      <c r="H40" s="197" t="s">
        <v>67</v>
      </c>
      <c r="I40" s="127">
        <f>(K34+L34)/1000</f>
        <v>84.668000000000006</v>
      </c>
      <c r="J40" s="140">
        <f>+I40+'11'!J40</f>
        <v>719.05600000000004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15</v>
      </c>
      <c r="D41" s="127">
        <f>+C41+'11'!D41</f>
        <v>246</v>
      </c>
      <c r="E41" s="152">
        <f t="shared" si="0"/>
        <v>4.0999999999999996</v>
      </c>
      <c r="F41" s="338"/>
      <c r="G41" s="338"/>
      <c r="H41" s="197" t="s">
        <v>69</v>
      </c>
      <c r="I41" s="151"/>
      <c r="J41" s="138">
        <f>J40/G4</f>
        <v>59.921333333333337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+C42+'11'!D42</f>
        <v>0</v>
      </c>
      <c r="E42" s="152">
        <f t="shared" si="0"/>
        <v>0</v>
      </c>
      <c r="F42" s="338">
        <f>+(F38*480+F39*480+F40*480)/1440</f>
        <v>1041.3819444444443</v>
      </c>
      <c r="G42" s="338">
        <f>+(G38*480+G39*480+G40*480)/1440</f>
        <v>1037.7371076388888</v>
      </c>
      <c r="H42" s="197" t="s">
        <v>70</v>
      </c>
      <c r="I42" s="256" t="s">
        <v>635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+C43+'11'!D43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+Report1!T20</f>
        <v>170.58199999999999</v>
      </c>
      <c r="J43" s="142">
        <f>+I43+'11'!J43</f>
        <v>1710.12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+C44+'11'!D44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2.1640321721259483</v>
      </c>
      <c r="J44" s="143">
        <f>J43/J38</f>
        <v>2.2759600949714125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+C45+'11'!D45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2.0147163036802569</v>
      </c>
      <c r="J45" s="143">
        <f>J43/J40</f>
        <v>2.3782848623751138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+C46+'11'!D46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+SUMIF(Listrik!AR19,"&gt;0")</f>
        <v>53203.519999999888</v>
      </c>
      <c r="J46" s="144">
        <f>+I46+'11'!J46</f>
        <v>610089.89999999746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+C47+'11'!D47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674.94887473676056</v>
      </c>
      <c r="J47" s="144">
        <f>J46/J38</f>
        <v>811.95487260840991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+C48+'11'!D48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628.37813577738791</v>
      </c>
      <c r="J48" s="144">
        <f>J46/J40</f>
        <v>848.45950802162474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+C49+'11'!D49</f>
        <v>0</v>
      </c>
      <c r="E49" s="152">
        <f t="shared" si="0"/>
        <v>0</v>
      </c>
      <c r="F49" s="195"/>
      <c r="H49" s="198" t="s">
        <v>82</v>
      </c>
      <c r="I49" s="127">
        <v>0</v>
      </c>
      <c r="J49" s="144">
        <f>+I49+'11'!J49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+C50+'11'!D50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+C51+'11'!D51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37</v>
      </c>
      <c r="D52" s="153">
        <f>SUM(D38:D51)</f>
        <v>2030</v>
      </c>
      <c r="E52" s="154">
        <f>SUM(E38:E51)</f>
        <v>33.833333333333336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2.5694444444444443E-2</v>
      </c>
      <c r="D53" s="155">
        <f>D52/(24*60*G4)</f>
        <v>0.11747685185185185</v>
      </c>
      <c r="E53" s="156">
        <f>E52/(G4*24)</f>
        <v>0.11747685185185186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+D34+'11'!J56</f>
        <v>16590</v>
      </c>
      <c r="K56" s="211">
        <f>J56/(J40+J56/1000)/1000</f>
        <v>2.2551607702617833E-2</v>
      </c>
    </row>
    <row r="57" spans="1:11">
      <c r="A57" s="186"/>
      <c r="I57" s="209" t="s">
        <v>89</v>
      </c>
      <c r="J57" s="210">
        <f>+E34+'11'!J57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47:B47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  <mergeCell ref="A41:B41"/>
    <mergeCell ref="A7:A14"/>
    <mergeCell ref="I7:I13"/>
    <mergeCell ref="A15:A23"/>
    <mergeCell ref="I15:I22"/>
    <mergeCell ref="A46:B46"/>
    <mergeCell ref="A52:B52"/>
    <mergeCell ref="A53:B53"/>
    <mergeCell ref="A48:B48"/>
    <mergeCell ref="A49:B49"/>
    <mergeCell ref="A50:B50"/>
    <mergeCell ref="A51:B51"/>
  </mergeCells>
  <phoneticPr fontId="31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3" zoomScale="80" zoomScaleNormal="70" zoomScaleSheetLayoutView="80" workbookViewId="0">
      <selection activeCell="I38" sqref="I38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4" style="158" bestFit="1" customWidth="1"/>
    <col min="12" max="12" width="8.28515625" style="158" customWidth="1"/>
    <col min="13" max="13" width="15.5703125" style="158" bestFit="1" customWidth="1"/>
    <col min="14" max="16384" width="9.140625" style="158"/>
  </cols>
  <sheetData>
    <row r="1" spans="1:18" ht="15.75">
      <c r="A1" s="157"/>
    </row>
    <row r="2" spans="1:18" ht="15.75">
      <c r="A2" s="157" t="s">
        <v>150</v>
      </c>
    </row>
    <row r="3" spans="1:18" ht="15">
      <c r="A3" s="159"/>
    </row>
    <row r="4" spans="1:18" ht="20.25">
      <c r="A4" s="160" t="s">
        <v>3</v>
      </c>
      <c r="B4" s="161"/>
      <c r="F4" s="162" t="s">
        <v>30</v>
      </c>
      <c r="G4" s="163">
        <v>11</v>
      </c>
      <c r="H4" s="163" t="str">
        <f>+'1'!H4</f>
        <v>.06.24</v>
      </c>
    </row>
    <row r="5" spans="1:18" ht="13.5" thickBot="1">
      <c r="C5" s="164"/>
      <c r="D5" s="164"/>
    </row>
    <row r="6" spans="1:18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240+228+213</f>
        <v>681</v>
      </c>
    </row>
    <row r="7" spans="1:18" ht="13.5" customHeight="1" thickBot="1">
      <c r="A7" s="1015" t="s">
        <v>620</v>
      </c>
      <c r="B7" s="225" t="s">
        <v>600</v>
      </c>
      <c r="C7" s="226">
        <v>9760</v>
      </c>
      <c r="D7" s="227"/>
      <c r="E7" s="228"/>
      <c r="F7" s="238"/>
      <c r="G7" s="239" t="s">
        <v>12</v>
      </c>
      <c r="H7" s="240" t="s">
        <v>277</v>
      </c>
      <c r="I7" s="1018" t="s">
        <v>614</v>
      </c>
      <c r="J7" s="224" t="str">
        <f>+'10'!J7</f>
        <v>F 13,5 VP OW</v>
      </c>
      <c r="K7" s="248"/>
      <c r="L7" s="252"/>
      <c r="M7" s="126">
        <f>+K7+'10'!M7+L7</f>
        <v>97821</v>
      </c>
    </row>
    <row r="8" spans="1:18" ht="13.5" thickBot="1">
      <c r="A8" s="1016"/>
      <c r="B8" s="225" t="s">
        <v>543</v>
      </c>
      <c r="C8" s="226">
        <f>184+2124</f>
        <v>2308</v>
      </c>
      <c r="D8" s="227"/>
      <c r="E8" s="229"/>
      <c r="F8" s="241"/>
      <c r="G8" s="242" t="s">
        <v>12</v>
      </c>
      <c r="H8" s="240" t="s">
        <v>446</v>
      </c>
      <c r="I8" s="1019"/>
      <c r="J8" s="224" t="str">
        <f>+'10'!J8</f>
        <v>F 13 VP OW</v>
      </c>
      <c r="K8" s="249"/>
      <c r="L8" s="249"/>
      <c r="M8" s="126">
        <f>+K8+'10'!M8+L8</f>
        <v>71398</v>
      </c>
      <c r="N8" s="158">
        <v>1260</v>
      </c>
      <c r="O8" s="158">
        <f>+N8-N8*0.0035</f>
        <v>1255.5899999999999</v>
      </c>
      <c r="P8" s="158">
        <f>120+11+30+600-480</f>
        <v>281</v>
      </c>
    </row>
    <row r="9" spans="1:18" ht="13.5" thickBot="1">
      <c r="A9" s="1016"/>
      <c r="B9" s="225" t="s">
        <v>621</v>
      </c>
      <c r="C9" s="226">
        <v>13547</v>
      </c>
      <c r="D9" s="227"/>
      <c r="E9" s="230"/>
      <c r="F9" s="238">
        <v>8</v>
      </c>
      <c r="G9" s="242" t="s">
        <v>12</v>
      </c>
      <c r="H9" s="243" t="s">
        <v>493</v>
      </c>
      <c r="I9" s="1019"/>
      <c r="J9" s="224" t="str">
        <f>+'10'!J9</f>
        <v>MG 17 VP OW</v>
      </c>
      <c r="K9" s="249">
        <f>+C8</f>
        <v>2308</v>
      </c>
      <c r="L9" s="249"/>
      <c r="M9" s="126">
        <f>+K9+'10'!M9+L9</f>
        <v>37355</v>
      </c>
      <c r="N9" s="158">
        <v>1060</v>
      </c>
      <c r="O9" s="158">
        <f>+N9-N9*0.0035</f>
        <v>1056.29</v>
      </c>
      <c r="P9" s="158">
        <f>60-11+630</f>
        <v>679</v>
      </c>
    </row>
    <row r="10" spans="1:18" ht="39" thickBot="1">
      <c r="A10" s="1016"/>
      <c r="B10" s="225"/>
      <c r="C10" s="226"/>
      <c r="D10" s="227"/>
      <c r="E10" s="229"/>
      <c r="F10" s="238"/>
      <c r="G10" s="242"/>
      <c r="H10" s="243" t="s">
        <v>584</v>
      </c>
      <c r="I10" s="1019"/>
      <c r="J10" s="224" t="str">
        <f>+'10'!J10</f>
        <v>MG 16,5 VP OW</v>
      </c>
      <c r="K10" s="249">
        <f>+C25</f>
        <v>23656</v>
      </c>
      <c r="L10" s="249"/>
      <c r="M10" s="126">
        <f>+K10+'10'!M10+L10</f>
        <v>128899</v>
      </c>
      <c r="N10" s="158">
        <v>1260</v>
      </c>
      <c r="O10" s="158">
        <f>+N10-N10*0.0035</f>
        <v>1255.5899999999999</v>
      </c>
      <c r="P10" s="158">
        <v>480</v>
      </c>
    </row>
    <row r="11" spans="1:18" ht="13.5" thickBot="1">
      <c r="A11" s="1016"/>
      <c r="B11" s="225"/>
      <c r="C11" s="226"/>
      <c r="D11" s="227"/>
      <c r="E11" s="229"/>
      <c r="F11" s="238"/>
      <c r="G11" s="242"/>
      <c r="H11" s="243" t="s">
        <v>602</v>
      </c>
      <c r="I11" s="1019"/>
      <c r="J11" s="224" t="str">
        <f>+'10'!J11</f>
        <v>MG 14 VP HW</v>
      </c>
      <c r="K11" s="249"/>
      <c r="L11" s="249"/>
      <c r="M11" s="126">
        <f>+K11+'10'!M11+L11</f>
        <v>160355</v>
      </c>
      <c r="P11" s="158">
        <f>SUM(P8:P9)</f>
        <v>960</v>
      </c>
    </row>
    <row r="12" spans="1:18" ht="13.5" thickBot="1">
      <c r="A12" s="1016"/>
      <c r="B12" s="225"/>
      <c r="C12" s="226"/>
      <c r="D12" s="227"/>
      <c r="E12" s="229"/>
      <c r="F12" s="238"/>
      <c r="G12" s="242"/>
      <c r="H12" s="243" t="s">
        <v>610</v>
      </c>
      <c r="I12" s="1019"/>
      <c r="J12" s="224" t="str">
        <f>+'10'!J12</f>
        <v>MG 17 VP HW</v>
      </c>
      <c r="K12" s="249">
        <f>+C7</f>
        <v>9760</v>
      </c>
      <c r="L12" s="249"/>
      <c r="M12" s="126">
        <f>+K12+'10'!M12+L12</f>
        <v>113266</v>
      </c>
    </row>
    <row r="13" spans="1:18" ht="13.5" thickBot="1">
      <c r="A13" s="1016"/>
      <c r="B13" s="225"/>
      <c r="C13" s="226"/>
      <c r="D13" s="226"/>
      <c r="E13" s="229"/>
      <c r="F13" s="238">
        <v>27</v>
      </c>
      <c r="G13" s="242" t="s">
        <v>68</v>
      </c>
      <c r="H13" s="243" t="s">
        <v>603</v>
      </c>
      <c r="I13" s="1020"/>
      <c r="J13" s="224" t="s">
        <v>621</v>
      </c>
      <c r="K13" s="249">
        <f>+C9+C16</f>
        <v>25294</v>
      </c>
      <c r="L13" s="249"/>
      <c r="M13" s="126">
        <f>+K13+'10'!M13+L13</f>
        <v>25294</v>
      </c>
    </row>
    <row r="14" spans="1:18" ht="13.5" thickBot="1">
      <c r="A14" s="1017"/>
      <c r="B14" s="175" t="s">
        <v>2</v>
      </c>
      <c r="C14" s="108">
        <f>SUM(C7:C13)</f>
        <v>25615</v>
      </c>
      <c r="D14" s="120">
        <f>SUM(D7:D13)</f>
        <v>0</v>
      </c>
      <c r="E14" s="121">
        <f>SUM(E5:E13)</f>
        <v>0</v>
      </c>
      <c r="F14" s="125">
        <f>SUM(F7:F13)</f>
        <v>35</v>
      </c>
      <c r="G14" s="168"/>
      <c r="H14" s="176"/>
      <c r="I14" s="177"/>
      <c r="J14" s="224"/>
      <c r="K14" s="249"/>
      <c r="L14" s="249"/>
      <c r="M14" s="126">
        <f>+K14+'10'!M14+L14</f>
        <v>0</v>
      </c>
    </row>
    <row r="15" spans="1:18" ht="13.5" customHeight="1" thickBot="1">
      <c r="A15" s="1015" t="s">
        <v>451</v>
      </c>
      <c r="B15" s="175"/>
      <c r="C15" s="122"/>
      <c r="D15" s="123"/>
      <c r="E15" s="124"/>
      <c r="F15" s="238">
        <v>14</v>
      </c>
      <c r="G15" s="239" t="s">
        <v>12</v>
      </c>
      <c r="H15" s="240" t="s">
        <v>277</v>
      </c>
      <c r="I15" s="1018" t="s">
        <v>613</v>
      </c>
      <c r="J15" s="224">
        <f>+'10'!J15</f>
        <v>0</v>
      </c>
      <c r="K15" s="249"/>
      <c r="L15" s="249"/>
      <c r="M15" s="126">
        <f>+K15+'10'!M15+L15</f>
        <v>0</v>
      </c>
    </row>
    <row r="16" spans="1:18" ht="13.5" thickBot="1">
      <c r="A16" s="1021"/>
      <c r="B16" s="225" t="s">
        <v>621</v>
      </c>
      <c r="C16" s="232">
        <f>5548+6199</f>
        <v>11747</v>
      </c>
      <c r="D16" s="233">
        <v>4090</v>
      </c>
      <c r="E16" s="234"/>
      <c r="F16" s="238"/>
      <c r="G16" s="242" t="s">
        <v>12</v>
      </c>
      <c r="H16" s="240" t="s">
        <v>446</v>
      </c>
      <c r="I16" s="1019"/>
      <c r="J16" s="224">
        <f>+'10'!J16</f>
        <v>0</v>
      </c>
      <c r="K16" s="249"/>
      <c r="L16" s="239"/>
      <c r="M16" s="126">
        <f>+K16+'10'!M16+L16</f>
        <v>0</v>
      </c>
      <c r="N16" s="158">
        <v>1260</v>
      </c>
      <c r="O16" s="158">
        <f>+N16-N16*0.0035</f>
        <v>1255.5899999999999</v>
      </c>
      <c r="P16" s="158">
        <f>60+19</f>
        <v>79</v>
      </c>
      <c r="Q16" s="158">
        <f>+N16*P16</f>
        <v>99540</v>
      </c>
      <c r="R16" s="158">
        <f>+O16*P16</f>
        <v>99191.61</v>
      </c>
    </row>
    <row r="17" spans="1:18" ht="13.5" thickBot="1">
      <c r="A17" s="1021"/>
      <c r="B17" s="225"/>
      <c r="C17" s="226"/>
      <c r="D17" s="227"/>
      <c r="E17" s="235"/>
      <c r="F17" s="238">
        <v>16</v>
      </c>
      <c r="G17" s="242" t="s">
        <v>12</v>
      </c>
      <c r="H17" s="243" t="s">
        <v>539</v>
      </c>
      <c r="I17" s="1019"/>
      <c r="J17" s="224">
        <f>+'10'!J17</f>
        <v>0</v>
      </c>
      <c r="K17" s="249"/>
      <c r="L17" s="239"/>
      <c r="M17" s="126">
        <f>+K17+'10'!M17+L17</f>
        <v>0</v>
      </c>
      <c r="N17" s="158">
        <v>1060</v>
      </c>
      <c r="O17" s="158">
        <f>+N17-N17*0.0035</f>
        <v>1056.29</v>
      </c>
      <c r="P17" s="158">
        <f>480-P16</f>
        <v>401</v>
      </c>
      <c r="Q17" s="158">
        <f>+N17*P17</f>
        <v>425060</v>
      </c>
      <c r="R17" s="158">
        <f>+O17*P17</f>
        <v>423572.29</v>
      </c>
    </row>
    <row r="18" spans="1:18" ht="13.5" thickBot="1">
      <c r="A18" s="1021"/>
      <c r="B18" s="225"/>
      <c r="C18" s="226"/>
      <c r="D18" s="227"/>
      <c r="E18" s="235"/>
      <c r="F18" s="238"/>
      <c r="G18" s="242"/>
      <c r="H18" s="243" t="s">
        <v>611</v>
      </c>
      <c r="I18" s="1019"/>
      <c r="J18" s="224">
        <f>+'10'!J18</f>
        <v>0</v>
      </c>
      <c r="K18" s="249"/>
      <c r="L18" s="249"/>
      <c r="M18" s="126">
        <f>+K18+'10'!M18+L18</f>
        <v>0</v>
      </c>
      <c r="P18" s="158">
        <f>SUM(P16:P17)</f>
        <v>480</v>
      </c>
      <c r="Q18" s="158">
        <f>SUM(Q16:Q17)</f>
        <v>524600</v>
      </c>
      <c r="R18" s="158">
        <f>SUM(R16:R17)</f>
        <v>522763.89999999997</v>
      </c>
    </row>
    <row r="19" spans="1:18" ht="13.5" thickBot="1">
      <c r="A19" s="1021"/>
      <c r="B19" s="225"/>
      <c r="C19" s="226"/>
      <c r="D19" s="227"/>
      <c r="E19" s="235"/>
      <c r="F19" s="245">
        <v>5</v>
      </c>
      <c r="G19" s="242" t="s">
        <v>12</v>
      </c>
      <c r="H19" s="243" t="s">
        <v>612</v>
      </c>
      <c r="I19" s="1019"/>
      <c r="J19" s="224">
        <f>+'10'!J19</f>
        <v>0</v>
      </c>
      <c r="K19" s="249"/>
      <c r="L19" s="249"/>
      <c r="M19" s="126">
        <f>+K19+'10'!M19+L19</f>
        <v>0</v>
      </c>
      <c r="Q19" s="158">
        <f>+Q18/P18</f>
        <v>1092.9166666666667</v>
      </c>
      <c r="R19" s="158">
        <f>+R18/P18</f>
        <v>1089.0914583333333</v>
      </c>
    </row>
    <row r="20" spans="1:18" ht="13.5" thickBot="1">
      <c r="A20" s="1021"/>
      <c r="B20" s="225"/>
      <c r="C20" s="226"/>
      <c r="D20" s="227"/>
      <c r="E20" s="235"/>
      <c r="F20" s="238"/>
      <c r="G20" s="242"/>
      <c r="H20" s="243" t="s">
        <v>604</v>
      </c>
      <c r="I20" s="1019"/>
      <c r="J20" s="224">
        <f>+'10'!J20</f>
        <v>0</v>
      </c>
      <c r="K20" s="249"/>
      <c r="L20" s="250"/>
      <c r="M20" s="126">
        <f>+K20+'10'!M20+L20</f>
        <v>0</v>
      </c>
    </row>
    <row r="21" spans="1:18" ht="26.25" thickBot="1">
      <c r="A21" s="1021"/>
      <c r="B21" s="225"/>
      <c r="C21" s="226"/>
      <c r="D21" s="227"/>
      <c r="E21" s="235"/>
      <c r="F21" s="241"/>
      <c r="G21" s="242"/>
      <c r="H21" s="502" t="s">
        <v>605</v>
      </c>
      <c r="I21" s="1019"/>
      <c r="J21" s="224">
        <f>+'10'!J21</f>
        <v>0</v>
      </c>
      <c r="K21" s="249"/>
      <c r="L21" s="249"/>
      <c r="M21" s="126">
        <f>+K21+'10'!M21+L21</f>
        <v>0</v>
      </c>
      <c r="N21" s="158">
        <v>1260</v>
      </c>
      <c r="O21" s="158">
        <f>+N21-N21*0.0035</f>
        <v>1255.5899999999999</v>
      </c>
      <c r="P21" s="158">
        <v>330</v>
      </c>
      <c r="Q21" s="158">
        <f>+N21*P21</f>
        <v>415800</v>
      </c>
      <c r="R21" s="158">
        <f>+O21*P21</f>
        <v>414344.69999999995</v>
      </c>
    </row>
    <row r="22" spans="1:18" ht="13.5" thickBot="1">
      <c r="A22" s="1021"/>
      <c r="B22" s="225"/>
      <c r="C22" s="226"/>
      <c r="D22" s="227"/>
      <c r="E22" s="235"/>
      <c r="F22" s="246"/>
      <c r="G22" s="242"/>
      <c r="H22" s="243" t="s">
        <v>606</v>
      </c>
      <c r="I22" s="1020"/>
      <c r="J22" s="224">
        <f>+'10'!J22</f>
        <v>0</v>
      </c>
      <c r="K22" s="249"/>
      <c r="L22" s="249"/>
      <c r="M22" s="126">
        <f>+K22+'10'!M22+L22</f>
        <v>0</v>
      </c>
      <c r="N22" s="158">
        <v>1060</v>
      </c>
      <c r="O22" s="158">
        <f>+N22-N22*0.0035</f>
        <v>1056.29</v>
      </c>
      <c r="P22" s="158">
        <f>480-P21</f>
        <v>150</v>
      </c>
      <c r="Q22" s="158">
        <f>+N22*P22</f>
        <v>159000</v>
      </c>
      <c r="R22" s="158">
        <f>+O22*P22</f>
        <v>158443.5</v>
      </c>
    </row>
    <row r="23" spans="1:18" ht="13.5" thickBot="1">
      <c r="A23" s="1022"/>
      <c r="B23" s="178" t="s">
        <v>2</v>
      </c>
      <c r="C23" s="109">
        <f>SUM(C16:C22)</f>
        <v>11747</v>
      </c>
      <c r="D23" s="120">
        <f>SUM(D16:D22)</f>
        <v>4090</v>
      </c>
      <c r="E23" s="121">
        <f>SUM(E18:E22)</f>
        <v>0</v>
      </c>
      <c r="F23" s="125">
        <f>SUM(F15:F22)</f>
        <v>35</v>
      </c>
      <c r="G23" s="168"/>
      <c r="H23" s="176" t="s">
        <v>234</v>
      </c>
      <c r="I23" s="179"/>
      <c r="J23" s="224">
        <f>+'10'!J23</f>
        <v>0</v>
      </c>
      <c r="K23" s="249"/>
      <c r="L23" s="249"/>
      <c r="M23" s="126">
        <f>+K23+'10'!M23+L23</f>
        <v>0</v>
      </c>
      <c r="P23" s="158">
        <f>SUM(P21:P22)</f>
        <v>480</v>
      </c>
      <c r="Q23" s="158">
        <f>SUM(Q21:Q22)</f>
        <v>574800</v>
      </c>
      <c r="R23" s="158">
        <f>SUM(R21:R22)</f>
        <v>572788.19999999995</v>
      </c>
    </row>
    <row r="24" spans="1:18" ht="13.5" customHeight="1" thickBot="1">
      <c r="A24" s="1015" t="s">
        <v>485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551</v>
      </c>
      <c r="J24" s="224">
        <f>+'10'!J24</f>
        <v>0</v>
      </c>
      <c r="K24" s="249"/>
      <c r="L24" s="249"/>
      <c r="M24" s="126">
        <f>+K24+'10'!M24+L24</f>
        <v>0</v>
      </c>
      <c r="Q24" s="158">
        <f>+Q23/P23</f>
        <v>1197.5</v>
      </c>
      <c r="R24" s="158">
        <f>+R23/P23</f>
        <v>1193.3087499999999</v>
      </c>
    </row>
    <row r="25" spans="1:18" ht="13.5" thickBot="1">
      <c r="A25" s="1021"/>
      <c r="B25" s="225" t="s">
        <v>549</v>
      </c>
      <c r="C25" s="236">
        <v>23656</v>
      </c>
      <c r="D25" s="227">
        <v>160</v>
      </c>
      <c r="E25" s="235"/>
      <c r="F25" s="241"/>
      <c r="G25" s="242" t="s">
        <v>12</v>
      </c>
      <c r="H25" s="240" t="s">
        <v>446</v>
      </c>
      <c r="I25" s="1019"/>
      <c r="J25" s="224">
        <f>+'10'!J25</f>
        <v>0</v>
      </c>
      <c r="K25" s="249"/>
      <c r="L25" s="249"/>
      <c r="M25" s="126">
        <f>+K25+'10'!M25+L25</f>
        <v>0</v>
      </c>
    </row>
    <row r="26" spans="1:18" ht="13.5" thickBot="1">
      <c r="A26" s="1021"/>
      <c r="B26" s="225"/>
      <c r="C26" s="236"/>
      <c r="D26" s="227"/>
      <c r="E26" s="237"/>
      <c r="F26" s="241">
        <v>3</v>
      </c>
      <c r="G26" s="242" t="s">
        <v>12</v>
      </c>
      <c r="H26" s="243" t="s">
        <v>493</v>
      </c>
      <c r="I26" s="1019"/>
      <c r="J26" s="224">
        <f>+'10'!J26</f>
        <v>0</v>
      </c>
      <c r="K26" s="239"/>
      <c r="L26" s="239"/>
      <c r="M26" s="126">
        <f>+K26+'10'!M26+L26</f>
        <v>0</v>
      </c>
    </row>
    <row r="27" spans="1:18" ht="13.5" thickBot="1">
      <c r="A27" s="1021"/>
      <c r="B27" s="225"/>
      <c r="C27" s="226"/>
      <c r="D27" s="227"/>
      <c r="E27" s="235"/>
      <c r="F27" s="241"/>
      <c r="G27" s="242"/>
      <c r="H27" s="243" t="s">
        <v>607</v>
      </c>
      <c r="I27" s="1019"/>
      <c r="J27" s="224">
        <f>+'10'!J27</f>
        <v>0</v>
      </c>
      <c r="K27" s="239"/>
      <c r="L27" s="239"/>
      <c r="M27" s="126">
        <f>+K27+'10'!M27+L27</f>
        <v>0</v>
      </c>
    </row>
    <row r="28" spans="1:18" ht="13.5" thickBot="1">
      <c r="A28" s="1021"/>
      <c r="B28" s="225"/>
      <c r="C28" s="226"/>
      <c r="D28" s="227"/>
      <c r="E28" s="235"/>
      <c r="F28" s="241">
        <v>14</v>
      </c>
      <c r="G28" s="242" t="s">
        <v>68</v>
      </c>
      <c r="H28" s="243" t="s">
        <v>608</v>
      </c>
      <c r="I28" s="1019"/>
      <c r="J28" s="224">
        <f>+'10'!J28</f>
        <v>0</v>
      </c>
      <c r="K28" s="249"/>
      <c r="L28" s="249"/>
      <c r="M28" s="126">
        <f>+K28+'10'!M28+L28</f>
        <v>0</v>
      </c>
    </row>
    <row r="29" spans="1:18" ht="13.5" thickBot="1">
      <c r="A29" s="1021"/>
      <c r="B29" s="225"/>
      <c r="C29" s="226"/>
      <c r="D29" s="227"/>
      <c r="E29" s="235"/>
      <c r="F29" s="246"/>
      <c r="G29" s="242"/>
      <c r="H29" s="243" t="s">
        <v>609</v>
      </c>
      <c r="I29" s="1019"/>
      <c r="J29" s="224">
        <f>+'10'!J29</f>
        <v>0</v>
      </c>
      <c r="K29" s="249"/>
      <c r="L29" s="249"/>
      <c r="M29" s="126">
        <f>+K29+'10'!M29+L29</f>
        <v>0</v>
      </c>
    </row>
    <row r="30" spans="1:18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+'10'!J30</f>
        <v>0</v>
      </c>
      <c r="K30" s="250"/>
      <c r="L30" s="250"/>
      <c r="M30" s="126">
        <f>+K30+'10'!M30+L30</f>
        <v>0</v>
      </c>
    </row>
    <row r="31" spans="1:18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+'10'!J31</f>
        <v>0</v>
      </c>
      <c r="K31" s="249"/>
      <c r="L31" s="249"/>
      <c r="M31" s="126">
        <f>+K31+'10'!M31+L31</f>
        <v>0</v>
      </c>
      <c r="N31" s="164"/>
    </row>
    <row r="32" spans="1:18" ht="13.5" thickBot="1">
      <c r="A32" s="1022"/>
      <c r="B32" s="175" t="s">
        <v>2</v>
      </c>
      <c r="C32" s="108">
        <f>SUM(C25:C31)</f>
        <v>23656</v>
      </c>
      <c r="D32" s="109">
        <f>SUM(D25:D31)</f>
        <v>160</v>
      </c>
      <c r="E32" s="110">
        <f>SUM(E25:E31)</f>
        <v>0</v>
      </c>
      <c r="F32" s="111">
        <f>SUM(F24:F31)</f>
        <v>17</v>
      </c>
      <c r="G32" s="181"/>
      <c r="H32" s="182"/>
      <c r="I32" s="179"/>
      <c r="J32" s="224">
        <f>+'10'!J32</f>
        <v>0</v>
      </c>
      <c r="K32" s="249"/>
      <c r="L32" s="249"/>
      <c r="M32" s="126">
        <f>+K32+'10'!M32+L32</f>
        <v>0</v>
      </c>
    </row>
    <row r="33" spans="1:14" ht="13.5" thickBot="1">
      <c r="A33" s="183"/>
      <c r="B33" s="184"/>
      <c r="C33" s="112">
        <f>C32/($C$32+$D$32+$E$32)</f>
        <v>0.99328182734296266</v>
      </c>
      <c r="D33" s="113">
        <f>D32/($C$32+$D$32+$E$32)</f>
        <v>6.7181726570372862E-3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61018</v>
      </c>
      <c r="D34" s="116">
        <f>D14+D23+D32</f>
        <v>4250</v>
      </c>
      <c r="E34" s="116">
        <f>E14+E23+E32</f>
        <v>0</v>
      </c>
      <c r="F34" s="117">
        <f>F14+F23+F32</f>
        <v>87</v>
      </c>
      <c r="H34" s="188"/>
      <c r="I34" s="188"/>
      <c r="J34" s="132" t="s">
        <v>28</v>
      </c>
      <c r="K34" s="133">
        <f>SUM(K7:K32)</f>
        <v>61018</v>
      </c>
      <c r="L34" s="222">
        <f>SUM(L7:L32)</f>
        <v>0</v>
      </c>
      <c r="M34" s="129">
        <f>SUM(M7:M32)</f>
        <v>634388</v>
      </c>
    </row>
    <row r="35" spans="1:14" ht="13.5" thickBot="1">
      <c r="A35" s="189"/>
      <c r="B35" s="190"/>
      <c r="C35" s="113">
        <f>C34/($C$34+$D$34+$E$34)</f>
        <v>0.93488386345529206</v>
      </c>
      <c r="D35" s="113">
        <f>D34/($C$34+$D$34+$E$34)</f>
        <v>6.5116136544707978E-2</v>
      </c>
      <c r="E35" s="118">
        <f>E34/($C$34+$D$34+$E$34)</f>
        <v>0</v>
      </c>
      <c r="K35" s="164"/>
      <c r="N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(17*281+21*679+16.5*480)/1440*G42*2.77*1440/1000000</f>
        <v>88.058359144886111</v>
      </c>
      <c r="J37" s="134">
        <f>+I37+'10'!J37</f>
        <v>728.25034378234091</v>
      </c>
      <c r="K37" s="135" t="s">
        <v>63</v>
      </c>
    </row>
    <row r="38" spans="1:14" ht="17.45" customHeight="1">
      <c r="A38" s="1013" t="s">
        <v>12</v>
      </c>
      <c r="B38" s="1014"/>
      <c r="C38" s="173">
        <f>SUMIF($G$7:$G$31,"Process",$F$7:$F$31)</f>
        <v>46</v>
      </c>
      <c r="D38" s="127">
        <f>+C38+'10'!D38</f>
        <v>633</v>
      </c>
      <c r="E38" s="152">
        <f t="shared" ref="E38:E51" si="0">D38/60</f>
        <v>10.55</v>
      </c>
      <c r="F38" s="338">
        <v>1092.9166666666667</v>
      </c>
      <c r="G38" s="338">
        <v>1089.0914583333333</v>
      </c>
      <c r="H38" s="197" t="s">
        <v>64</v>
      </c>
      <c r="I38" s="554">
        <f>25.773+24.61+27.157</f>
        <v>77.539999999999992</v>
      </c>
      <c r="J38" s="136">
        <f>+I38+'10'!J38</f>
        <v>672.55799999999999</v>
      </c>
      <c r="K38" s="137" t="s">
        <v>63</v>
      </c>
      <c r="N38" s="158">
        <f>25.773+24.61-N39</f>
        <v>23.667999999999996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+C39+'10'!D39</f>
        <v>0</v>
      </c>
      <c r="E39" s="152">
        <f t="shared" si="0"/>
        <v>0</v>
      </c>
      <c r="F39" s="338">
        <v>1197.5</v>
      </c>
      <c r="G39" s="338">
        <v>1193.3087499999999</v>
      </c>
      <c r="H39" s="197" t="s">
        <v>65</v>
      </c>
      <c r="I39" s="151"/>
      <c r="J39" s="138">
        <f>J37/G4</f>
        <v>66.204576707485543</v>
      </c>
      <c r="K39" s="139" t="s">
        <v>63</v>
      </c>
      <c r="N39" s="158">
        <f>17.754+3.243+2.788+2.93</f>
        <v>26.715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+C40+'10'!D40</f>
        <v>39</v>
      </c>
      <c r="E40" s="152">
        <f t="shared" si="0"/>
        <v>0.65</v>
      </c>
      <c r="F40" s="338">
        <v>1260</v>
      </c>
      <c r="G40" s="338">
        <f>+F40-F40*0.0035</f>
        <v>1255.5899999999999</v>
      </c>
      <c r="H40" s="197" t="s">
        <v>67</v>
      </c>
      <c r="I40" s="127">
        <f>(K34+L34)/1000</f>
        <v>61.018000000000001</v>
      </c>
      <c r="J40" s="140">
        <f>+I40+'10'!J40</f>
        <v>634.38800000000003</v>
      </c>
      <c r="K40" s="139" t="s">
        <v>63</v>
      </c>
      <c r="N40" s="158">
        <v>27.157</v>
      </c>
    </row>
    <row r="41" spans="1:14" ht="17.45" customHeight="1">
      <c r="A41" s="1009" t="s">
        <v>68</v>
      </c>
      <c r="B41" s="1010"/>
      <c r="C41" s="173">
        <f>SUMIF($G$7:$G$31,"Electrical",$F$7:$F$31)</f>
        <v>41</v>
      </c>
      <c r="D41" s="127">
        <f>+C41+'10'!D41</f>
        <v>231</v>
      </c>
      <c r="E41" s="152">
        <f t="shared" si="0"/>
        <v>3.85</v>
      </c>
      <c r="F41" s="338"/>
      <c r="G41" s="338"/>
      <c r="H41" s="197" t="s">
        <v>69</v>
      </c>
      <c r="I41" s="151"/>
      <c r="J41" s="138">
        <f>J40/G4</f>
        <v>57.671636363636367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+C42+'10'!D42</f>
        <v>0</v>
      </c>
      <c r="E42" s="152">
        <f t="shared" si="0"/>
        <v>0</v>
      </c>
      <c r="F42" s="338">
        <f>+(F38*480+F39*480+F40*480)/1440</f>
        <v>1183.4722222222222</v>
      </c>
      <c r="G42" s="338">
        <f>+(G38*480+G39*480+G40*480)/1440</f>
        <v>1179.3300694444445</v>
      </c>
      <c r="H42" s="197" t="s">
        <v>70</v>
      </c>
      <c r="I42" s="256" t="s">
        <v>615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+C43+'10'!D43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+Report1!T19</f>
        <v>172.48099999999999</v>
      </c>
      <c r="J43" s="142">
        <f>+I43+'10'!J43</f>
        <v>1539.538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+C44+'10'!D44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2.2244132060871808</v>
      </c>
      <c r="J44" s="143">
        <f>J43/J38</f>
        <v>2.289078414054996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+C45+'10'!D45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2.8267232619882656</v>
      </c>
      <c r="J45" s="143">
        <f>J43/J40</f>
        <v>2.4268081993984754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+C46+'10'!D46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+SUMIF(Listrik!AR18,"&gt;0")</f>
        <v>55808.219999998531</v>
      </c>
      <c r="J46" s="144">
        <f>+I46+'10'!J46</f>
        <v>556886.37999999756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+C47+'10'!D47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719.73458859941366</v>
      </c>
      <c r="J47" s="144">
        <f>J46/J38</f>
        <v>828.01242420727669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+C48+'10'!D48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914.61896489558046</v>
      </c>
      <c r="J48" s="144">
        <f>J46/J40</f>
        <v>877.83246215249585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+C49+'10'!D49</f>
        <v>0</v>
      </c>
      <c r="E49" s="152">
        <f t="shared" si="0"/>
        <v>0</v>
      </c>
      <c r="F49" s="195"/>
      <c r="H49" s="198" t="s">
        <v>184</v>
      </c>
      <c r="I49" s="127">
        <v>0</v>
      </c>
      <c r="J49" s="144">
        <f>+I49+'10'!J49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+C50+'10'!D50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+C51+'10'!D51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87</v>
      </c>
      <c r="D52" s="153">
        <f>SUM(D38:D51)</f>
        <v>1993</v>
      </c>
      <c r="E52" s="154">
        <f>SUM(E38:E51)</f>
        <v>33.216666666666669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6.0416666666666667E-2</v>
      </c>
      <c r="D53" s="155">
        <f>D52/(24*60*G4)</f>
        <v>0.12582070707070708</v>
      </c>
      <c r="E53" s="156">
        <f>E52/(G4*24)</f>
        <v>0.12582070707070708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+D34+'10'!J56</f>
        <v>15490</v>
      </c>
      <c r="K56" s="211">
        <f>J56/(J40+J56/1000)/1000</f>
        <v>2.3835242922517763E-2</v>
      </c>
    </row>
    <row r="57" spans="1:11">
      <c r="A57" s="186"/>
      <c r="I57" s="209" t="s">
        <v>89</v>
      </c>
      <c r="J57" s="210">
        <f>+E34+'10'!J57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53:B53"/>
    <mergeCell ref="A52:B52"/>
    <mergeCell ref="A46:B46"/>
    <mergeCell ref="A51:B51"/>
    <mergeCell ref="A50:B50"/>
    <mergeCell ref="A49:B49"/>
    <mergeCell ref="A47:B47"/>
    <mergeCell ref="A48:B48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</mergeCells>
  <phoneticPr fontId="31" type="noConversion"/>
  <pageMargins left="0.17" right="0.16" top="0.17" bottom="0.16" header="0" footer="0"/>
  <pageSetup paperSize="9" scale="61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2.140625" style="158" customWidth="1"/>
    <col min="14" max="16384" width="9.140625" style="158"/>
  </cols>
  <sheetData>
    <row r="1" spans="1:19" ht="15.75">
      <c r="A1" s="157"/>
    </row>
    <row r="2" spans="1:19" ht="15.75">
      <c r="A2" s="157" t="s">
        <v>147</v>
      </c>
    </row>
    <row r="3" spans="1:19" ht="15">
      <c r="A3" s="159"/>
    </row>
    <row r="4" spans="1:19" ht="20.25">
      <c r="A4" s="160" t="s">
        <v>3</v>
      </c>
      <c r="B4" s="161"/>
      <c r="F4" s="162" t="s">
        <v>30</v>
      </c>
      <c r="G4" s="163">
        <v>10</v>
      </c>
      <c r="H4" s="163" t="str">
        <f>+'1'!H4</f>
        <v>.06.24</v>
      </c>
      <c r="J4" s="158">
        <f>170+235+190</f>
        <v>595</v>
      </c>
    </row>
    <row r="5" spans="1:19" ht="13.5" thickBot="1">
      <c r="C5" s="164"/>
      <c r="D5" s="164"/>
    </row>
    <row r="6" spans="1:19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 t="s">
        <v>536</v>
      </c>
      <c r="O6" s="158">
        <v>1260</v>
      </c>
      <c r="P6" s="158">
        <f>+O6-O6*0.0035</f>
        <v>1255.5899999999999</v>
      </c>
      <c r="Q6" s="158">
        <v>480</v>
      </c>
      <c r="R6" s="158">
        <f>+O6*Q6</f>
        <v>604800</v>
      </c>
      <c r="S6" s="158">
        <f>+P6*Q6</f>
        <v>602683.19999999995</v>
      </c>
    </row>
    <row r="7" spans="1:19" ht="13.5" customHeight="1" thickBot="1">
      <c r="A7" s="1015" t="s">
        <v>620</v>
      </c>
      <c r="B7" s="225" t="s">
        <v>599</v>
      </c>
      <c r="C7" s="226">
        <v>27890</v>
      </c>
      <c r="D7" s="227">
        <v>444</v>
      </c>
      <c r="E7" s="228"/>
      <c r="F7" s="238">
        <v>9</v>
      </c>
      <c r="G7" s="239" t="s">
        <v>12</v>
      </c>
      <c r="H7" s="240" t="s">
        <v>492</v>
      </c>
      <c r="I7" s="1018" t="s">
        <v>593</v>
      </c>
      <c r="J7" s="224" t="str">
        <f>+'9'!J7</f>
        <v>F 13,5 VP OW</v>
      </c>
      <c r="K7" s="248"/>
      <c r="L7" s="252"/>
      <c r="M7" s="126">
        <f>+K7+'9'!M7+L7</f>
        <v>97821</v>
      </c>
      <c r="P7" s="158">
        <f>+O7-O7*0.0035</f>
        <v>0</v>
      </c>
      <c r="Q7" s="158">
        <f>480-Q6</f>
        <v>0</v>
      </c>
      <c r="R7" s="158">
        <f>+O7*Q7</f>
        <v>0</v>
      </c>
      <c r="S7" s="158">
        <f>+P7*Q7</f>
        <v>0</v>
      </c>
    </row>
    <row r="8" spans="1:19" ht="13.5" thickBot="1">
      <c r="A8" s="1016"/>
      <c r="B8" s="225"/>
      <c r="C8" s="226"/>
      <c r="D8" s="227"/>
      <c r="E8" s="229"/>
      <c r="F8" s="241"/>
      <c r="G8" s="242" t="s">
        <v>12</v>
      </c>
      <c r="H8" s="240" t="s">
        <v>446</v>
      </c>
      <c r="I8" s="1019"/>
      <c r="J8" s="224" t="str">
        <f>+'9'!J8</f>
        <v>F 13 VP OW</v>
      </c>
      <c r="K8" s="249"/>
      <c r="L8" s="249"/>
      <c r="M8" s="126">
        <f>+K8+'9'!M8+L8</f>
        <v>71398</v>
      </c>
      <c r="Q8" s="158">
        <f>SUM(Q6:Q7)</f>
        <v>480</v>
      </c>
      <c r="R8" s="158">
        <f>SUM(R6:R7)</f>
        <v>604800</v>
      </c>
      <c r="S8" s="158">
        <f>SUM(S6:S7)</f>
        <v>602683.19999999995</v>
      </c>
    </row>
    <row r="9" spans="1:19" ht="13.5" thickBot="1">
      <c r="A9" s="1016"/>
      <c r="B9" s="225"/>
      <c r="C9" s="226"/>
      <c r="D9" s="227"/>
      <c r="E9" s="230"/>
      <c r="F9" s="238">
        <f>21-9</f>
        <v>12</v>
      </c>
      <c r="G9" s="242" t="s">
        <v>12</v>
      </c>
      <c r="H9" s="243" t="s">
        <v>493</v>
      </c>
      <c r="I9" s="1019"/>
      <c r="J9" s="224" t="str">
        <f>+'9'!J9</f>
        <v>MG 17 VP OW</v>
      </c>
      <c r="K9" s="249"/>
      <c r="L9" s="249"/>
      <c r="M9" s="126">
        <f>+K9+'9'!M9+L9</f>
        <v>35047</v>
      </c>
      <c r="R9" s="158">
        <f>+R8/Q8</f>
        <v>1260</v>
      </c>
      <c r="S9" s="158">
        <f>+S8/Q8</f>
        <v>1255.5899999999999</v>
      </c>
    </row>
    <row r="10" spans="1:19" ht="26.25" thickBot="1">
      <c r="A10" s="1016"/>
      <c r="B10" s="225"/>
      <c r="C10" s="226"/>
      <c r="D10" s="227"/>
      <c r="E10" s="229"/>
      <c r="F10" s="238"/>
      <c r="G10" s="242"/>
      <c r="H10" s="243" t="s">
        <v>586</v>
      </c>
      <c r="I10" s="1019"/>
      <c r="J10" s="224" t="str">
        <f>+'9'!J10</f>
        <v>MG 16,5 VP OW</v>
      </c>
      <c r="K10" s="249"/>
      <c r="L10" s="249"/>
      <c r="M10" s="126">
        <f>+K10+'9'!M10+L10</f>
        <v>105243</v>
      </c>
    </row>
    <row r="11" spans="1:19" ht="13.5" thickBot="1">
      <c r="A11" s="1016"/>
      <c r="B11" s="225"/>
      <c r="C11" s="226"/>
      <c r="D11" s="227"/>
      <c r="E11" s="229"/>
      <c r="F11" s="238"/>
      <c r="G11" s="242"/>
      <c r="H11" s="243" t="s">
        <v>561</v>
      </c>
      <c r="I11" s="1019"/>
      <c r="J11" s="224" t="str">
        <f>+'9'!J11</f>
        <v>MG 14 VP HW</v>
      </c>
      <c r="K11" s="249"/>
      <c r="L11" s="249"/>
      <c r="M11" s="126">
        <f>+K11+'9'!M11+L11</f>
        <v>160355</v>
      </c>
    </row>
    <row r="12" spans="1:19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">
        <v>600</v>
      </c>
      <c r="K12" s="249">
        <f>+C34</f>
        <v>81749</v>
      </c>
      <c r="L12" s="249"/>
      <c r="M12" s="126">
        <f>+K12+'9'!M12+L12</f>
        <v>103506</v>
      </c>
    </row>
    <row r="13" spans="1:19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>
        <f>+'9'!J13</f>
        <v>0</v>
      </c>
      <c r="K13" s="249"/>
      <c r="L13" s="249"/>
      <c r="M13" s="126">
        <f>+K13+'9'!M13+L13</f>
        <v>0</v>
      </c>
    </row>
    <row r="14" spans="1:19" ht="13.5" thickBot="1">
      <c r="A14" s="1017"/>
      <c r="B14" s="175" t="s">
        <v>2</v>
      </c>
      <c r="C14" s="108">
        <f>SUM(C7:C13)</f>
        <v>27890</v>
      </c>
      <c r="D14" s="120">
        <f>SUM(D7:D13)</f>
        <v>444</v>
      </c>
      <c r="E14" s="121">
        <f>SUM(E5:E13)</f>
        <v>0</v>
      </c>
      <c r="F14" s="125">
        <f>SUM(F7:F13)</f>
        <v>21</v>
      </c>
      <c r="G14" s="168"/>
      <c r="H14" s="176"/>
      <c r="I14" s="177"/>
      <c r="J14" s="224">
        <f>+'9'!J14</f>
        <v>0</v>
      </c>
      <c r="K14" s="249"/>
      <c r="L14" s="249"/>
      <c r="M14" s="126">
        <f>+K14+'9'!M14+L14</f>
        <v>0</v>
      </c>
    </row>
    <row r="15" spans="1:19" ht="13.5" customHeight="1" thickBot="1">
      <c r="A15" s="1015" t="s">
        <v>451</v>
      </c>
      <c r="B15" s="175"/>
      <c r="C15" s="122"/>
      <c r="D15" s="123"/>
      <c r="E15" s="124"/>
      <c r="F15" s="238">
        <v>9</v>
      </c>
      <c r="G15" s="239" t="s">
        <v>12</v>
      </c>
      <c r="H15" s="240" t="s">
        <v>492</v>
      </c>
      <c r="I15" s="1018" t="s">
        <v>593</v>
      </c>
      <c r="J15" s="224">
        <f>+'9'!J15</f>
        <v>0</v>
      </c>
      <c r="K15" s="249"/>
      <c r="L15" s="249"/>
      <c r="M15" s="126">
        <f>+K15+'9'!M15+L15</f>
        <v>0</v>
      </c>
    </row>
    <row r="16" spans="1:19" ht="13.5" thickBot="1">
      <c r="A16" s="1021"/>
      <c r="B16" s="225" t="s">
        <v>600</v>
      </c>
      <c r="C16" s="232">
        <v>28928</v>
      </c>
      <c r="D16" s="233"/>
      <c r="E16" s="234"/>
      <c r="F16" s="238"/>
      <c r="G16" s="242" t="s">
        <v>12</v>
      </c>
      <c r="H16" s="240" t="s">
        <v>446</v>
      </c>
      <c r="I16" s="1019"/>
      <c r="J16" s="224">
        <f>+'9'!J16</f>
        <v>0</v>
      </c>
      <c r="K16" s="249"/>
      <c r="L16" s="249"/>
      <c r="M16" s="126">
        <f>+K16+'9'!M16+L16</f>
        <v>0</v>
      </c>
      <c r="N16" s="158" t="s">
        <v>536</v>
      </c>
      <c r="O16" s="158">
        <v>1260</v>
      </c>
      <c r="P16" s="158">
        <f>+O16-O16*0.0035</f>
        <v>1255.5899999999999</v>
      </c>
      <c r="Q16" s="158">
        <v>480</v>
      </c>
      <c r="R16" s="158">
        <f>+O16*Q16</f>
        <v>604800</v>
      </c>
      <c r="S16" s="158">
        <f>+P16*Q16</f>
        <v>602683.19999999995</v>
      </c>
    </row>
    <row r="17" spans="1:19" ht="13.5" thickBot="1">
      <c r="A17" s="1021"/>
      <c r="B17" s="225"/>
      <c r="C17" s="226"/>
      <c r="D17" s="227"/>
      <c r="E17" s="235"/>
      <c r="F17" s="238">
        <f>21-9</f>
        <v>12</v>
      </c>
      <c r="G17" s="242" t="s">
        <v>12</v>
      </c>
      <c r="H17" s="243" t="s">
        <v>445</v>
      </c>
      <c r="I17" s="1019"/>
      <c r="J17" s="224">
        <f>+'9'!J17</f>
        <v>0</v>
      </c>
      <c r="K17" s="249"/>
      <c r="L17" s="249"/>
      <c r="M17" s="126">
        <f>+K17+'9'!M17+L17</f>
        <v>0</v>
      </c>
      <c r="P17" s="158">
        <f>+O17-O17*0.0035</f>
        <v>0</v>
      </c>
      <c r="Q17" s="158">
        <f>480-Q16</f>
        <v>0</v>
      </c>
      <c r="R17" s="158">
        <f>+O17*Q17</f>
        <v>0</v>
      </c>
      <c r="S17" s="158">
        <f>+P17*Q17</f>
        <v>0</v>
      </c>
    </row>
    <row r="18" spans="1:19" ht="26.25" thickBot="1">
      <c r="A18" s="1021"/>
      <c r="B18" s="225"/>
      <c r="C18" s="226"/>
      <c r="D18" s="227"/>
      <c r="E18" s="235"/>
      <c r="F18" s="238"/>
      <c r="G18" s="242"/>
      <c r="H18" s="243" t="s">
        <v>585</v>
      </c>
      <c r="I18" s="1019"/>
      <c r="J18" s="224">
        <f>+'9'!J18</f>
        <v>0</v>
      </c>
      <c r="K18" s="249"/>
      <c r="L18" s="249"/>
      <c r="M18" s="126">
        <f>+K18+'9'!M18+L18</f>
        <v>0</v>
      </c>
      <c r="Q18" s="158">
        <f>SUM(Q16:Q17)</f>
        <v>480</v>
      </c>
      <c r="R18" s="158">
        <f>SUM(R16:R17)</f>
        <v>604800</v>
      </c>
      <c r="S18" s="158">
        <f>SUM(S16:S17)</f>
        <v>602683.19999999995</v>
      </c>
    </row>
    <row r="19" spans="1:19" ht="13.5" thickBot="1">
      <c r="A19" s="1021"/>
      <c r="B19" s="225"/>
      <c r="C19" s="226"/>
      <c r="D19" s="227"/>
      <c r="E19" s="235"/>
      <c r="F19" s="245"/>
      <c r="G19" s="242"/>
      <c r="H19" s="243" t="s">
        <v>561</v>
      </c>
      <c r="I19" s="1019"/>
      <c r="J19" s="224">
        <f>+'9'!J19</f>
        <v>0</v>
      </c>
      <c r="K19" s="249"/>
      <c r="L19" s="249"/>
      <c r="M19" s="126">
        <f>+K19+'9'!M19+L19</f>
        <v>0</v>
      </c>
      <c r="R19" s="158">
        <f>+R18/Q18</f>
        <v>1260</v>
      </c>
      <c r="S19" s="158">
        <f>+S18/Q18</f>
        <v>1255.5899999999999</v>
      </c>
    </row>
    <row r="20" spans="1:19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+'9'!J20</f>
        <v>0</v>
      </c>
      <c r="K20" s="249"/>
      <c r="L20" s="249"/>
      <c r="M20" s="126">
        <f>+K20+'9'!M20+L20</f>
        <v>0</v>
      </c>
    </row>
    <row r="21" spans="1:19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+'9'!J21</f>
        <v>0</v>
      </c>
      <c r="K21" s="249"/>
      <c r="L21" s="249"/>
      <c r="M21" s="126">
        <f>+K21+'9'!M21+L21</f>
        <v>0</v>
      </c>
    </row>
    <row r="22" spans="1:19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+'9'!J22</f>
        <v>0</v>
      </c>
      <c r="K22" s="249"/>
      <c r="L22" s="249"/>
      <c r="M22" s="126">
        <f>+K22+'9'!M22+L22</f>
        <v>0</v>
      </c>
    </row>
    <row r="23" spans="1:19" ht="13.5" thickBot="1">
      <c r="A23" s="1022"/>
      <c r="B23" s="178" t="s">
        <v>2</v>
      </c>
      <c r="C23" s="109">
        <f>SUM(C16:C22)</f>
        <v>28928</v>
      </c>
      <c r="D23" s="120">
        <f>SUM(D16:D22)</f>
        <v>0</v>
      </c>
      <c r="E23" s="121">
        <f>SUM(E18:E22)</f>
        <v>0</v>
      </c>
      <c r="F23" s="125">
        <f>SUM(F15:F22)</f>
        <v>21</v>
      </c>
      <c r="G23" s="168"/>
      <c r="H23" s="176" t="s">
        <v>234</v>
      </c>
      <c r="I23" s="179"/>
      <c r="J23" s="224">
        <f>+'9'!J23</f>
        <v>0</v>
      </c>
      <c r="K23" s="249"/>
      <c r="L23" s="249"/>
      <c r="M23" s="126">
        <f>+K23+'9'!M23+L23</f>
        <v>0</v>
      </c>
    </row>
    <row r="24" spans="1:19" ht="13.5" customHeight="1" thickBot="1">
      <c r="A24" s="1015" t="s">
        <v>449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593</v>
      </c>
      <c r="J24" s="224">
        <f>+'8'!J24</f>
        <v>0</v>
      </c>
      <c r="K24" s="249"/>
      <c r="L24" s="249"/>
      <c r="M24" s="126">
        <f>+K24+'9'!M24+L24</f>
        <v>0</v>
      </c>
      <c r="N24" s="158" t="s">
        <v>536</v>
      </c>
      <c r="O24" s="158">
        <v>1260</v>
      </c>
      <c r="P24" s="158">
        <f>+O24-O24*0.0035</f>
        <v>1255.5899999999999</v>
      </c>
      <c r="Q24" s="158">
        <v>480</v>
      </c>
      <c r="R24" s="158">
        <f>+O24*Q24</f>
        <v>604800</v>
      </c>
      <c r="S24" s="158">
        <f>+P24*Q24</f>
        <v>602683.19999999995</v>
      </c>
    </row>
    <row r="25" spans="1:19" ht="13.5" customHeight="1" thickBot="1">
      <c r="A25" s="1021"/>
      <c r="B25" s="225" t="s">
        <v>600</v>
      </c>
      <c r="C25" s="236">
        <v>24931</v>
      </c>
      <c r="D25" s="227">
        <v>423</v>
      </c>
      <c r="E25" s="235"/>
      <c r="F25" s="241"/>
      <c r="G25" s="242" t="s">
        <v>12</v>
      </c>
      <c r="H25" s="240" t="s">
        <v>446</v>
      </c>
      <c r="I25" s="1019"/>
      <c r="J25" s="224">
        <f>+'8'!J25</f>
        <v>0</v>
      </c>
      <c r="K25" s="249"/>
      <c r="L25" s="249"/>
      <c r="M25" s="126">
        <f>+K25+'9'!M25+L25</f>
        <v>0</v>
      </c>
      <c r="P25" s="158">
        <f>+O25-O25*0.0035</f>
        <v>0</v>
      </c>
      <c r="Q25" s="158">
        <f>480-Q24</f>
        <v>0</v>
      </c>
      <c r="R25" s="158">
        <f>+O25*Q25</f>
        <v>0</v>
      </c>
      <c r="S25" s="158">
        <f>+P25*Q25</f>
        <v>0</v>
      </c>
    </row>
    <row r="26" spans="1:19" ht="13.5" customHeight="1" thickBot="1">
      <c r="A26" s="1021"/>
      <c r="B26" s="225"/>
      <c r="C26" s="236"/>
      <c r="D26" s="227"/>
      <c r="E26" s="237"/>
      <c r="F26" s="241">
        <v>2</v>
      </c>
      <c r="G26" s="242" t="s">
        <v>12</v>
      </c>
      <c r="H26" s="243" t="s">
        <v>493</v>
      </c>
      <c r="I26" s="1019"/>
      <c r="J26" s="224">
        <f>+'8'!J26</f>
        <v>0</v>
      </c>
      <c r="K26" s="249"/>
      <c r="L26" s="249"/>
      <c r="M26" s="126">
        <f>+K26+'9'!M26+L26</f>
        <v>0</v>
      </c>
      <c r="Q26" s="158">
        <f>SUM(Q24:Q25)</f>
        <v>480</v>
      </c>
      <c r="R26" s="158">
        <f>SUM(R24:R25)</f>
        <v>604800</v>
      </c>
      <c r="S26" s="158">
        <f>SUM(S24:S25)</f>
        <v>602683.19999999995</v>
      </c>
    </row>
    <row r="27" spans="1:19" ht="39" thickBot="1">
      <c r="A27" s="1021"/>
      <c r="B27" s="225"/>
      <c r="C27" s="226"/>
      <c r="D27" s="227"/>
      <c r="E27" s="235"/>
      <c r="F27" s="241"/>
      <c r="G27" s="242"/>
      <c r="H27" s="243" t="s">
        <v>584</v>
      </c>
      <c r="I27" s="1019"/>
      <c r="J27" s="224">
        <f>+'8'!J27</f>
        <v>0</v>
      </c>
      <c r="K27" s="249"/>
      <c r="L27" s="249"/>
      <c r="M27" s="126">
        <f>+K27+'9'!M27+L27</f>
        <v>0</v>
      </c>
      <c r="R27" s="158">
        <f>+R26/Q26</f>
        <v>1260</v>
      </c>
      <c r="S27" s="158">
        <f>+S26/Q26</f>
        <v>1255.5899999999999</v>
      </c>
    </row>
    <row r="28" spans="1:19" ht="13.5" thickBot="1">
      <c r="A28" s="1021"/>
      <c r="B28" s="225"/>
      <c r="C28" s="226"/>
      <c r="D28" s="227"/>
      <c r="E28" s="235"/>
      <c r="F28" s="241">
        <v>18</v>
      </c>
      <c r="G28" s="242" t="s">
        <v>68</v>
      </c>
      <c r="H28" s="243" t="s">
        <v>561</v>
      </c>
      <c r="I28" s="1019"/>
      <c r="J28" s="224">
        <f>+'8'!J28</f>
        <v>0</v>
      </c>
      <c r="K28" s="249"/>
      <c r="L28" s="249"/>
      <c r="M28" s="126">
        <f>+K28+'9'!M28+L28</f>
        <v>0</v>
      </c>
    </row>
    <row r="29" spans="1:19" ht="13.5" customHeight="1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+'8'!J29</f>
        <v>0</v>
      </c>
      <c r="K29" s="249"/>
      <c r="L29" s="249"/>
      <c r="M29" s="126">
        <f>+K29+'9'!M29+L29</f>
        <v>0</v>
      </c>
    </row>
    <row r="30" spans="1:19" ht="13.5" customHeight="1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+'8'!J30</f>
        <v>0</v>
      </c>
      <c r="K30" s="249"/>
      <c r="L30" s="249"/>
      <c r="M30" s="126">
        <f>+K30+'9'!M30+L30</f>
        <v>0</v>
      </c>
      <c r="N30" s="164"/>
    </row>
    <row r="31" spans="1:19" ht="13.5" customHeight="1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+'8'!J31</f>
        <v>0</v>
      </c>
      <c r="K31" s="249"/>
      <c r="L31" s="249"/>
      <c r="M31" s="126">
        <f>+K31+'9'!M31+L31</f>
        <v>0</v>
      </c>
    </row>
    <row r="32" spans="1:19" ht="13.5" customHeight="1" thickBot="1">
      <c r="A32" s="1022"/>
      <c r="B32" s="175" t="s">
        <v>2</v>
      </c>
      <c r="C32" s="108">
        <f>SUM(C25:C31)</f>
        <v>24931</v>
      </c>
      <c r="D32" s="109">
        <f>SUM(D25:D31)</f>
        <v>423</v>
      </c>
      <c r="E32" s="110">
        <f>SUM(E25:E31)</f>
        <v>0</v>
      </c>
      <c r="F32" s="111">
        <f>SUM(F24:F31)</f>
        <v>20</v>
      </c>
      <c r="G32" s="181"/>
      <c r="H32" s="182"/>
      <c r="I32" s="179"/>
      <c r="J32" s="224">
        <f>+'8'!J32</f>
        <v>0</v>
      </c>
      <c r="K32" s="251"/>
      <c r="L32" s="253"/>
      <c r="M32" s="126">
        <f>+K32+'9'!M32+L32</f>
        <v>0</v>
      </c>
    </row>
    <row r="33" spans="1:14" ht="13.5" thickBot="1">
      <c r="A33" s="183"/>
      <c r="B33" s="184"/>
      <c r="C33" s="112">
        <f>C32/($C$32+$D$32+$E$32)</f>
        <v>0.98331624201309453</v>
      </c>
      <c r="D33" s="113">
        <f>D32/($C$32+$D$32+$E$32)</f>
        <v>1.6683757986905419E-2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81749</v>
      </c>
      <c r="D34" s="116">
        <f>D14+D23+D32</f>
        <v>867</v>
      </c>
      <c r="E34" s="116">
        <f>E14+E23+E32</f>
        <v>0</v>
      </c>
      <c r="F34" s="117">
        <f>F14+F23+F32</f>
        <v>62</v>
      </c>
      <c r="H34" s="188"/>
      <c r="I34" s="188"/>
      <c r="J34" s="132" t="s">
        <v>28</v>
      </c>
      <c r="K34" s="133">
        <f>SUM(K7:K32)</f>
        <v>81749</v>
      </c>
      <c r="L34" s="222">
        <f>SUM(L7:L32)</f>
        <v>0</v>
      </c>
      <c r="M34" s="129">
        <f>SUM(M7:M32)</f>
        <v>573370</v>
      </c>
      <c r="N34" s="164"/>
    </row>
    <row r="35" spans="1:14" ht="13.5" thickBot="1">
      <c r="A35" s="189"/>
      <c r="B35" s="190"/>
      <c r="C35" s="113">
        <f>C34/($C$34+$D$34+$E$34)</f>
        <v>0.98950566476227364</v>
      </c>
      <c r="D35" s="113">
        <f>D34/($C$34+$D$34+$E$34)</f>
        <v>1.0494335237726348E-2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(17*1440)/1440*G42*2.77*1440/1000000</f>
        <v>85.141055663999992</v>
      </c>
      <c r="J37" s="353">
        <f>+I37+'9'!J37</f>
        <v>640.19198463745477</v>
      </c>
      <c r="K37" s="135" t="s">
        <v>63</v>
      </c>
    </row>
    <row r="38" spans="1:14" ht="17.45" customHeight="1">
      <c r="A38" s="1013" t="s">
        <v>12</v>
      </c>
      <c r="B38" s="1014"/>
      <c r="C38" s="173">
        <f>SUMIF($G$7:$G$31,"Process",$F$7:$F$31)</f>
        <v>44</v>
      </c>
      <c r="D38" s="127">
        <f>+C38+'9'!D38</f>
        <v>587</v>
      </c>
      <c r="E38" s="152">
        <f t="shared" ref="E38:E51" si="0">D38/60</f>
        <v>9.7833333333333332</v>
      </c>
      <c r="F38" s="338">
        <v>1260</v>
      </c>
      <c r="G38" s="338">
        <v>1255.5899999999999</v>
      </c>
      <c r="H38" s="197" t="s">
        <v>64</v>
      </c>
      <c r="I38" s="554">
        <f>22.76+28.192+26.93</f>
        <v>77.882000000000005</v>
      </c>
      <c r="J38" s="354">
        <f>+I38+'9'!J38</f>
        <v>595.01800000000003</v>
      </c>
      <c r="K38" s="137" t="s">
        <v>63</v>
      </c>
      <c r="N38" s="566"/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+C39+'9'!D39</f>
        <v>0</v>
      </c>
      <c r="E39" s="152">
        <f t="shared" si="0"/>
        <v>0</v>
      </c>
      <c r="F39" s="338">
        <v>1260</v>
      </c>
      <c r="G39" s="338">
        <v>1255.5899999999999</v>
      </c>
      <c r="H39" s="197" t="s">
        <v>65</v>
      </c>
      <c r="I39" s="151"/>
      <c r="J39" s="355">
        <f>J37/G4</f>
        <v>64.019198463745482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+C40+'9'!D40</f>
        <v>39</v>
      </c>
      <c r="E40" s="152">
        <f t="shared" si="0"/>
        <v>0.65</v>
      </c>
      <c r="F40" s="338">
        <v>1260</v>
      </c>
      <c r="G40" s="338">
        <v>1255.5899999999999</v>
      </c>
      <c r="H40" s="197" t="s">
        <v>67</v>
      </c>
      <c r="I40" s="127">
        <f>+(K34+L34)/1000</f>
        <v>81.748999999999995</v>
      </c>
      <c r="J40" s="356">
        <f>+I40+'9'!J40</f>
        <v>573.37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18</v>
      </c>
      <c r="D41" s="127">
        <f>+C41+'9'!D41</f>
        <v>190</v>
      </c>
      <c r="E41" s="152">
        <f t="shared" si="0"/>
        <v>3.1666666666666665</v>
      </c>
      <c r="F41" s="338"/>
      <c r="G41" s="338"/>
      <c r="H41" s="197" t="s">
        <v>69</v>
      </c>
      <c r="I41" s="151"/>
      <c r="J41" s="355">
        <f>J40/G4</f>
        <v>57.337000000000003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+C42+'9'!D42</f>
        <v>0</v>
      </c>
      <c r="E42" s="152">
        <f t="shared" si="0"/>
        <v>0</v>
      </c>
      <c r="F42" s="338">
        <f>+(F38*480+F39*480+F40*480)/1440</f>
        <v>1260</v>
      </c>
      <c r="G42" s="338">
        <f>+(G38*480+G39*480+G40*480)/1440</f>
        <v>1255.5899999999999</v>
      </c>
      <c r="H42" s="197" t="s">
        <v>70</v>
      </c>
      <c r="I42" s="256" t="s">
        <v>593</v>
      </c>
      <c r="J42" s="357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+C43+'9'!D43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+Report1!T18</f>
        <v>171.869</v>
      </c>
      <c r="J43" s="358">
        <f>+I43+'9'!J43</f>
        <v>1367.057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+C44+'9'!D44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2.2067871908785084</v>
      </c>
      <c r="J44" s="358">
        <f>J43/J38</f>
        <v>2.2975052855543865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+C45+'9'!D45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2.1023988061016037</v>
      </c>
      <c r="J45" s="358">
        <f>J43/J40</f>
        <v>2.3842492631285208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+C46+'9'!D46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+SUMIF(Listrik!AR17,"&gt;0")</f>
        <v>55182.540000000285</v>
      </c>
      <c r="J46" s="358">
        <f>+I46+'9'!J46</f>
        <v>501078.15999999898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+C47+'9'!D47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708.54035592306673</v>
      </c>
      <c r="J47" s="358">
        <f>J46/J38</f>
        <v>842.12269208662417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+C48+'9'!D48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675.02403699128172</v>
      </c>
      <c r="J48" s="358">
        <f>J46/J40</f>
        <v>873.91764480178415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+C49+'9'!D49</f>
        <v>0</v>
      </c>
      <c r="E49" s="152">
        <f t="shared" si="0"/>
        <v>0</v>
      </c>
      <c r="F49" s="195"/>
      <c r="H49" s="198" t="s">
        <v>184</v>
      </c>
      <c r="I49" s="127">
        <v>0</v>
      </c>
      <c r="J49" s="358">
        <f>+I49+'9'!J49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+C50+'9'!D50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358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+C51+'9'!D51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359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62</v>
      </c>
      <c r="D52" s="153">
        <f>SUM(D38:D51)</f>
        <v>1906</v>
      </c>
      <c r="E52" s="154">
        <f>SUM(E38:E51)</f>
        <v>31.766666666666666</v>
      </c>
      <c r="F52" s="195"/>
      <c r="H52" s="201"/>
      <c r="I52" s="202"/>
      <c r="J52" s="360"/>
      <c r="K52" s="148"/>
    </row>
    <row r="53" spans="1:11" ht="13.5" thickBot="1">
      <c r="A53" s="1007"/>
      <c r="B53" s="1008"/>
      <c r="C53" s="155">
        <f>C52/(24*60)</f>
        <v>4.3055555555555555E-2</v>
      </c>
      <c r="D53" s="155">
        <f>D52/(24*60*G4)</f>
        <v>0.13236111111111112</v>
      </c>
      <c r="E53" s="156">
        <f>E52/(G4*24)</f>
        <v>0.1323611111111111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+D34+'9'!J56</f>
        <v>11240</v>
      </c>
      <c r="K56" s="211">
        <f>J56/(J40+J56/1000)/1000</f>
        <v>1.9226492875592274E-2</v>
      </c>
    </row>
    <row r="57" spans="1:11">
      <c r="A57" s="186"/>
      <c r="I57" s="209" t="s">
        <v>89</v>
      </c>
      <c r="J57" s="210"/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46:B46"/>
    <mergeCell ref="A42:B42"/>
    <mergeCell ref="A43:B43"/>
    <mergeCell ref="A44:B44"/>
    <mergeCell ref="A45:B45"/>
    <mergeCell ref="A53:B53"/>
    <mergeCell ref="A49:B49"/>
    <mergeCell ref="A47:B47"/>
    <mergeCell ref="A48:B48"/>
    <mergeCell ref="A50:B50"/>
    <mergeCell ref="A52:B52"/>
    <mergeCell ref="A51:B51"/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5" zoomScaleSheetLayoutView="80" workbookViewId="0">
      <selection activeCell="A15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10.5703125" style="158" bestFit="1" customWidth="1"/>
    <col min="13" max="13" width="12.140625" style="158" customWidth="1"/>
    <col min="14" max="16384" width="9.140625" style="158"/>
  </cols>
  <sheetData>
    <row r="1" spans="1:19" ht="15.75">
      <c r="A1" s="157"/>
    </row>
    <row r="2" spans="1:19" ht="15.75">
      <c r="A2" s="157" t="s">
        <v>147</v>
      </c>
    </row>
    <row r="3" spans="1:19" ht="15">
      <c r="A3" s="159"/>
    </row>
    <row r="4" spans="1:19" ht="20.25">
      <c r="A4" s="160" t="s">
        <v>3</v>
      </c>
      <c r="B4" s="161"/>
      <c r="F4" s="162" t="s">
        <v>30</v>
      </c>
      <c r="G4" s="163">
        <v>9</v>
      </c>
      <c r="H4" s="163" t="str">
        <f>+'1'!H4</f>
        <v>.06.24</v>
      </c>
      <c r="J4" s="158">
        <f>198+190+240</f>
        <v>628</v>
      </c>
    </row>
    <row r="5" spans="1:19" ht="13.5" thickBot="1">
      <c r="C5" s="164"/>
      <c r="D5" s="164"/>
    </row>
    <row r="6" spans="1:19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 t="s">
        <v>571</v>
      </c>
      <c r="O6" s="158">
        <v>1340</v>
      </c>
      <c r="P6" s="158">
        <f>+O6-O6*0.0035</f>
        <v>1335.31</v>
      </c>
      <c r="Q6" s="158">
        <v>480</v>
      </c>
      <c r="R6" s="158">
        <f>+O6*Q6</f>
        <v>643200</v>
      </c>
      <c r="S6" s="158">
        <f>+P6*Q6</f>
        <v>640948.79999999993</v>
      </c>
    </row>
    <row r="7" spans="1:19" ht="13.5" customHeight="1" thickBot="1">
      <c r="A7" s="1015" t="s">
        <v>620</v>
      </c>
      <c r="B7" s="225" t="s">
        <v>565</v>
      </c>
      <c r="C7" s="226">
        <v>24387</v>
      </c>
      <c r="D7" s="227">
        <v>317</v>
      </c>
      <c r="E7" s="228"/>
      <c r="F7" s="238"/>
      <c r="G7" s="239" t="s">
        <v>12</v>
      </c>
      <c r="H7" s="240" t="s">
        <v>277</v>
      </c>
      <c r="I7" s="1018" t="s">
        <v>578</v>
      </c>
      <c r="J7" s="224" t="str">
        <f>+'8'!J7</f>
        <v>F 13,5 VP OW</v>
      </c>
      <c r="K7" s="248"/>
      <c r="L7" s="252"/>
      <c r="M7" s="126">
        <f>+K7+'8'!M7+L7</f>
        <v>97821</v>
      </c>
      <c r="P7" s="158">
        <f>+O7-O7*0.0035</f>
        <v>0</v>
      </c>
      <c r="R7" s="158">
        <f>+O7*Q7</f>
        <v>0</v>
      </c>
      <c r="S7" s="158">
        <f>+P7*Q7</f>
        <v>0</v>
      </c>
    </row>
    <row r="8" spans="1:19" ht="13.5" thickBot="1">
      <c r="A8" s="1016"/>
      <c r="B8" s="225"/>
      <c r="C8" s="226"/>
      <c r="D8" s="227"/>
      <c r="E8" s="229"/>
      <c r="F8" s="241"/>
      <c r="G8" s="242" t="s">
        <v>12</v>
      </c>
      <c r="H8" s="240" t="s">
        <v>446</v>
      </c>
      <c r="I8" s="1019"/>
      <c r="J8" s="224" t="str">
        <f>+'8'!J8</f>
        <v>F 13 VP OW</v>
      </c>
      <c r="K8" s="249"/>
      <c r="L8" s="249"/>
      <c r="M8" s="126">
        <f>+K8+'8'!M8+L8</f>
        <v>71398</v>
      </c>
      <c r="Q8" s="158">
        <f>SUM(Q6:Q7)</f>
        <v>480</v>
      </c>
      <c r="R8" s="158">
        <f>SUM(R6:R7)</f>
        <v>643200</v>
      </c>
      <c r="S8" s="158">
        <f>SUM(S6:S7)</f>
        <v>640948.79999999993</v>
      </c>
    </row>
    <row r="9" spans="1:19" ht="13.5" thickBot="1">
      <c r="A9" s="1016"/>
      <c r="B9" s="225"/>
      <c r="C9" s="226"/>
      <c r="D9" s="227"/>
      <c r="E9" s="230"/>
      <c r="F9" s="238">
        <v>10</v>
      </c>
      <c r="G9" s="242" t="s">
        <v>12</v>
      </c>
      <c r="H9" s="243" t="s">
        <v>539</v>
      </c>
      <c r="I9" s="1019"/>
      <c r="J9" s="224" t="str">
        <f>+'8'!J9</f>
        <v>MG 17 VP OW</v>
      </c>
      <c r="K9" s="249"/>
      <c r="L9" s="249"/>
      <c r="M9" s="126">
        <f>+K9+'8'!M9+L9</f>
        <v>35047</v>
      </c>
      <c r="R9" s="158">
        <f>+R8/Q8</f>
        <v>1340</v>
      </c>
      <c r="S9" s="158">
        <f>+S8/Q8</f>
        <v>1335.31</v>
      </c>
    </row>
    <row r="10" spans="1:19" ht="26.25" thickBot="1">
      <c r="A10" s="1016"/>
      <c r="B10" s="225"/>
      <c r="C10" s="226"/>
      <c r="D10" s="227"/>
      <c r="E10" s="229"/>
      <c r="F10" s="238"/>
      <c r="G10" s="242"/>
      <c r="H10" s="243" t="s">
        <v>589</v>
      </c>
      <c r="I10" s="1019"/>
      <c r="J10" s="224" t="str">
        <f>+'8'!J10</f>
        <v>MG 16,5 VP OW</v>
      </c>
      <c r="K10" s="249"/>
      <c r="L10" s="249"/>
      <c r="M10" s="126">
        <f>+K10+'8'!M10+L10</f>
        <v>105243</v>
      </c>
    </row>
    <row r="11" spans="1:19" ht="13.5" thickBot="1">
      <c r="A11" s="1016"/>
      <c r="B11" s="225"/>
      <c r="C11" s="226"/>
      <c r="D11" s="227"/>
      <c r="E11" s="229"/>
      <c r="F11" s="238">
        <v>15</v>
      </c>
      <c r="G11" s="242" t="s">
        <v>68</v>
      </c>
      <c r="H11" s="243" t="s">
        <v>561</v>
      </c>
      <c r="I11" s="1019"/>
      <c r="J11" s="224" t="str">
        <f>+'8'!J11</f>
        <v>MG 14 VP HW</v>
      </c>
      <c r="K11" s="249">
        <f>+C7+C16+C25</f>
        <v>52664</v>
      </c>
      <c r="L11" s="249"/>
      <c r="M11" s="126">
        <f>+K11+'8'!M11+L11</f>
        <v>160355</v>
      </c>
    </row>
    <row r="12" spans="1:19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 t="s">
        <v>601</v>
      </c>
      <c r="K12" s="249">
        <f>+C17+C26</f>
        <v>21757</v>
      </c>
      <c r="L12" s="249"/>
      <c r="M12" s="126">
        <f>+K12+'8'!M12+L12</f>
        <v>21757</v>
      </c>
    </row>
    <row r="13" spans="1:19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>
        <f>+'8'!J13</f>
        <v>0</v>
      </c>
      <c r="K13" s="249"/>
      <c r="L13" s="249"/>
      <c r="M13" s="126">
        <f>+K13+'8'!M13+L13</f>
        <v>0</v>
      </c>
    </row>
    <row r="14" spans="1:19" ht="13.5" thickBot="1">
      <c r="A14" s="1017"/>
      <c r="B14" s="175" t="s">
        <v>2</v>
      </c>
      <c r="C14" s="108">
        <f>SUM(C7:C13)</f>
        <v>24387</v>
      </c>
      <c r="D14" s="120">
        <f>SUM(D7:D13)</f>
        <v>317</v>
      </c>
      <c r="E14" s="121">
        <f>SUM(E5:E13)</f>
        <v>0</v>
      </c>
      <c r="F14" s="125">
        <f>SUM(F7:F13)</f>
        <v>25</v>
      </c>
      <c r="G14" s="168"/>
      <c r="H14" s="176"/>
      <c r="I14" s="177"/>
      <c r="J14" s="224">
        <f>+'8'!J14</f>
        <v>0</v>
      </c>
      <c r="K14" s="249"/>
      <c r="L14" s="249"/>
      <c r="M14" s="126">
        <f>+K14+'8'!M14+L14</f>
        <v>0</v>
      </c>
    </row>
    <row r="15" spans="1:19" ht="13.5" customHeight="1" thickBot="1">
      <c r="A15" s="1015" t="s">
        <v>451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590</v>
      </c>
      <c r="J15" s="224">
        <f>+'8'!J15</f>
        <v>0</v>
      </c>
      <c r="K15" s="249"/>
      <c r="L15" s="249"/>
      <c r="M15" s="126">
        <f>+K15+'8'!M15+L15</f>
        <v>0</v>
      </c>
      <c r="N15" s="158" t="s">
        <v>571</v>
      </c>
      <c r="O15" s="158">
        <v>1340</v>
      </c>
      <c r="P15" s="158">
        <f>+O15-O15*0.0035</f>
        <v>1335.31</v>
      </c>
      <c r="Q15" s="158">
        <f>60*5+30</f>
        <v>330</v>
      </c>
      <c r="R15" s="158">
        <f>+O15*Q15</f>
        <v>442200</v>
      </c>
      <c r="S15" s="158">
        <f>+P15*Q15</f>
        <v>440652.3</v>
      </c>
    </row>
    <row r="16" spans="1:19" ht="13.5" thickBot="1">
      <c r="A16" s="1021"/>
      <c r="B16" s="225" t="s">
        <v>565</v>
      </c>
      <c r="C16" s="236">
        <f>6967+8672+6931</f>
        <v>22570</v>
      </c>
      <c r="D16" s="233">
        <v>445</v>
      </c>
      <c r="E16" s="234"/>
      <c r="F16" s="238"/>
      <c r="G16" s="242" t="s">
        <v>12</v>
      </c>
      <c r="H16" s="240" t="s">
        <v>446</v>
      </c>
      <c r="I16" s="1019"/>
      <c r="J16" s="224">
        <f>+'8'!J16</f>
        <v>0</v>
      </c>
      <c r="K16" s="249"/>
      <c r="L16" s="249"/>
      <c r="M16" s="126">
        <f>+K16+'8'!M16+L16</f>
        <v>0</v>
      </c>
      <c r="N16" s="158" t="s">
        <v>536</v>
      </c>
      <c r="O16" s="158">
        <v>1240</v>
      </c>
      <c r="P16" s="158">
        <f>+O16-O16*0.0035</f>
        <v>1235.6600000000001</v>
      </c>
      <c r="Q16" s="158">
        <f>480-Q15</f>
        <v>150</v>
      </c>
      <c r="R16" s="158">
        <f>+O16*Q16</f>
        <v>186000</v>
      </c>
      <c r="S16" s="158">
        <f>+P16*Q16</f>
        <v>185349</v>
      </c>
    </row>
    <row r="17" spans="1:19" ht="13.5" thickBot="1">
      <c r="A17" s="1021"/>
      <c r="B17" s="225" t="s">
        <v>600</v>
      </c>
      <c r="C17" s="226">
        <v>843</v>
      </c>
      <c r="D17" s="227"/>
      <c r="E17" s="235"/>
      <c r="F17" s="238">
        <v>5</v>
      </c>
      <c r="G17" s="242" t="s">
        <v>12</v>
      </c>
      <c r="H17" s="243" t="s">
        <v>539</v>
      </c>
      <c r="I17" s="1019"/>
      <c r="J17" s="224">
        <f>+'8'!J17</f>
        <v>0</v>
      </c>
      <c r="K17" s="249"/>
      <c r="L17" s="249"/>
      <c r="M17" s="126">
        <f>+K17+'8'!M17+L17</f>
        <v>0</v>
      </c>
      <c r="Q17" s="158">
        <f>SUM(Q15:Q16)</f>
        <v>480</v>
      </c>
      <c r="R17" s="158">
        <f>SUM(R15:R16)</f>
        <v>628200</v>
      </c>
      <c r="S17" s="158">
        <f>SUM(S15:S16)</f>
        <v>626001.30000000005</v>
      </c>
    </row>
    <row r="18" spans="1:19" ht="39" thickBot="1">
      <c r="A18" s="1021"/>
      <c r="B18" s="225"/>
      <c r="C18" s="226"/>
      <c r="D18" s="227"/>
      <c r="E18" s="235"/>
      <c r="F18" s="238"/>
      <c r="G18" s="242"/>
      <c r="H18" s="243" t="s">
        <v>588</v>
      </c>
      <c r="I18" s="1019"/>
      <c r="J18" s="224">
        <f>+'8'!J18</f>
        <v>0</v>
      </c>
      <c r="K18" s="249"/>
      <c r="L18" s="249"/>
      <c r="M18" s="126">
        <f>+K18+'8'!M18+L18</f>
        <v>0</v>
      </c>
      <c r="R18" s="158">
        <f>+R17/Q17</f>
        <v>1308.75</v>
      </c>
      <c r="S18" s="158">
        <f>+S17/Q17</f>
        <v>1304.1693750000002</v>
      </c>
    </row>
    <row r="19" spans="1:19" ht="13.5" thickBot="1">
      <c r="A19" s="1021"/>
      <c r="B19" s="225"/>
      <c r="C19" s="226"/>
      <c r="D19" s="227"/>
      <c r="E19" s="235"/>
      <c r="F19" s="245">
        <v>16</v>
      </c>
      <c r="G19" s="242" t="s">
        <v>68</v>
      </c>
      <c r="H19" s="243" t="s">
        <v>561</v>
      </c>
      <c r="I19" s="1019"/>
      <c r="J19" s="224">
        <f>+'8'!J19</f>
        <v>0</v>
      </c>
      <c r="K19" s="249"/>
      <c r="L19" s="249"/>
      <c r="M19" s="126">
        <f>+K19+'8'!M19+L19</f>
        <v>0</v>
      </c>
    </row>
    <row r="20" spans="1:19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+'8'!J20</f>
        <v>0</v>
      </c>
      <c r="K20" s="249"/>
      <c r="L20" s="249"/>
      <c r="M20" s="126">
        <f>+K20+'8'!M20+L20</f>
        <v>0</v>
      </c>
    </row>
    <row r="21" spans="1:19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+'8'!J21</f>
        <v>0</v>
      </c>
      <c r="K21" s="249"/>
      <c r="L21" s="249"/>
      <c r="M21" s="126">
        <f>+K21+'8'!M21+L21</f>
        <v>0</v>
      </c>
    </row>
    <row r="22" spans="1:19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+'8'!J22</f>
        <v>0</v>
      </c>
      <c r="K22" s="249"/>
      <c r="L22" s="249"/>
      <c r="M22" s="126">
        <f>+K22+'8'!M22+L22</f>
        <v>0</v>
      </c>
    </row>
    <row r="23" spans="1:19" ht="13.5" thickBot="1">
      <c r="A23" s="1022"/>
      <c r="B23" s="178" t="s">
        <v>2</v>
      </c>
      <c r="C23" s="109">
        <f>SUM(C16:C22)</f>
        <v>23413</v>
      </c>
      <c r="D23" s="120">
        <f>SUM(D16:D22)</f>
        <v>445</v>
      </c>
      <c r="E23" s="121">
        <f>SUM(E18:E22)</f>
        <v>0</v>
      </c>
      <c r="F23" s="125">
        <f>SUM(F15:F22)</f>
        <v>21</v>
      </c>
      <c r="G23" s="168"/>
      <c r="H23" s="176" t="s">
        <v>234</v>
      </c>
      <c r="I23" s="179"/>
      <c r="J23" s="224">
        <f>+'8'!J23</f>
        <v>0</v>
      </c>
      <c r="K23" s="249"/>
      <c r="L23" s="249"/>
      <c r="M23" s="126">
        <f>+K23+'8'!M23+L23</f>
        <v>0</v>
      </c>
    </row>
    <row r="24" spans="1:19" ht="13.5" customHeight="1" thickBot="1">
      <c r="A24" s="1015" t="s">
        <v>449</v>
      </c>
      <c r="B24" s="180"/>
      <c r="C24" s="122"/>
      <c r="D24" s="123"/>
      <c r="E24" s="124"/>
      <c r="F24" s="238"/>
      <c r="G24" s="239" t="s">
        <v>12</v>
      </c>
      <c r="H24" s="240" t="s">
        <v>277</v>
      </c>
      <c r="I24" s="1018" t="s">
        <v>591</v>
      </c>
      <c r="J24" s="224">
        <f>+'8'!J24</f>
        <v>0</v>
      </c>
      <c r="K24" s="249"/>
      <c r="L24" s="249"/>
      <c r="M24" s="126">
        <f>+K24+'8'!M24+L24</f>
        <v>0</v>
      </c>
      <c r="N24" s="158" t="s">
        <v>536</v>
      </c>
      <c r="O24" s="158">
        <v>1240</v>
      </c>
      <c r="P24" s="158">
        <f>+O24-O24*0.0035</f>
        <v>1235.6600000000001</v>
      </c>
      <c r="Q24" s="158">
        <v>480</v>
      </c>
      <c r="R24" s="158">
        <f>+O24*Q24</f>
        <v>595200</v>
      </c>
      <c r="S24" s="158">
        <f>+P24*Q24</f>
        <v>593116.80000000005</v>
      </c>
    </row>
    <row r="25" spans="1:19" ht="13.5" thickBot="1">
      <c r="A25" s="1021"/>
      <c r="B25" s="225" t="s">
        <v>565</v>
      </c>
      <c r="C25" s="236">
        <f>1754+3953</f>
        <v>5707</v>
      </c>
      <c r="D25" s="227"/>
      <c r="E25" s="235"/>
      <c r="F25" s="238">
        <v>2</v>
      </c>
      <c r="G25" s="242" t="s">
        <v>12</v>
      </c>
      <c r="H25" s="240" t="s">
        <v>567</v>
      </c>
      <c r="I25" s="1019"/>
      <c r="J25" s="224">
        <f>+'8'!J25</f>
        <v>0</v>
      </c>
      <c r="K25" s="249"/>
      <c r="L25" s="249"/>
      <c r="M25" s="126">
        <f>+K25+'8'!M25+L25</f>
        <v>0</v>
      </c>
      <c r="P25" s="158">
        <f>+O25-O25*0.0035</f>
        <v>0</v>
      </c>
      <c r="Q25" s="158">
        <f>480-Q24</f>
        <v>0</v>
      </c>
      <c r="R25" s="158">
        <f>+O25*Q25</f>
        <v>0</v>
      </c>
      <c r="S25" s="158">
        <f>+P25*Q25</f>
        <v>0</v>
      </c>
    </row>
    <row r="26" spans="1:19" ht="13.5" thickBot="1">
      <c r="A26" s="1021"/>
      <c r="B26" s="225" t="s">
        <v>600</v>
      </c>
      <c r="C26" s="236">
        <v>20914</v>
      </c>
      <c r="D26" s="227"/>
      <c r="E26" s="237"/>
      <c r="F26" s="238">
        <v>7</v>
      </c>
      <c r="G26" s="242" t="s">
        <v>12</v>
      </c>
      <c r="H26" s="243" t="s">
        <v>445</v>
      </c>
      <c r="I26" s="1019"/>
      <c r="J26" s="224">
        <f>+'8'!J26</f>
        <v>0</v>
      </c>
      <c r="K26" s="249"/>
      <c r="L26" s="249"/>
      <c r="M26" s="126">
        <f>+K26+'8'!M26+L26</f>
        <v>0</v>
      </c>
      <c r="Q26" s="158">
        <f>SUM(Q24:Q25)</f>
        <v>480</v>
      </c>
      <c r="R26" s="158">
        <f>SUM(R24:R25)</f>
        <v>595200</v>
      </c>
      <c r="S26" s="158">
        <f>SUM(S24:S25)</f>
        <v>593116.80000000005</v>
      </c>
    </row>
    <row r="27" spans="1:19" ht="26.25" thickBot="1">
      <c r="A27" s="1021"/>
      <c r="B27" s="225"/>
      <c r="C27" s="226"/>
      <c r="D27" s="227"/>
      <c r="E27" s="235"/>
      <c r="F27" s="238"/>
      <c r="G27" s="242"/>
      <c r="H27" s="243" t="s">
        <v>587</v>
      </c>
      <c r="I27" s="1019"/>
      <c r="J27" s="224">
        <f>+'8'!J27</f>
        <v>0</v>
      </c>
      <c r="K27" s="249"/>
      <c r="L27" s="249"/>
      <c r="M27" s="126">
        <f>+K27+'8'!M27+L27</f>
        <v>0</v>
      </c>
      <c r="R27" s="158">
        <f>+R26/Q26</f>
        <v>1240</v>
      </c>
      <c r="S27" s="158">
        <f>+S26/Q26</f>
        <v>1235.6600000000001</v>
      </c>
    </row>
    <row r="28" spans="1:19" ht="13.5" thickBot="1">
      <c r="A28" s="1021"/>
      <c r="B28" s="225"/>
      <c r="C28" s="226"/>
      <c r="D28" s="227"/>
      <c r="E28" s="235"/>
      <c r="F28" s="245">
        <v>21</v>
      </c>
      <c r="G28" s="242" t="s">
        <v>68</v>
      </c>
      <c r="H28" s="243" t="s">
        <v>561</v>
      </c>
      <c r="I28" s="1019"/>
      <c r="J28" s="224">
        <f>+'8'!J28</f>
        <v>0</v>
      </c>
      <c r="K28" s="249"/>
      <c r="L28" s="249"/>
      <c r="M28" s="126">
        <f>+K28+'8'!M28+L28</f>
        <v>0</v>
      </c>
    </row>
    <row r="29" spans="1:19" ht="13.5" thickBot="1">
      <c r="A29" s="1021"/>
      <c r="B29" s="225"/>
      <c r="C29" s="226"/>
      <c r="D29" s="227"/>
      <c r="E29" s="235"/>
      <c r="F29" s="238"/>
      <c r="G29" s="242"/>
      <c r="H29" s="243"/>
      <c r="I29" s="1019"/>
      <c r="J29" s="224">
        <f>+'8'!J29</f>
        <v>0</v>
      </c>
      <c r="K29" s="249"/>
      <c r="L29" s="249"/>
      <c r="M29" s="126">
        <f>+K29+'8'!M29+L29</f>
        <v>0</v>
      </c>
    </row>
    <row r="30" spans="1:19" ht="13.5" thickBot="1">
      <c r="A30" s="1021"/>
      <c r="B30" s="225"/>
      <c r="C30" s="236"/>
      <c r="D30" s="227"/>
      <c r="E30" s="235"/>
      <c r="F30" s="241"/>
      <c r="G30" s="242"/>
      <c r="H30" s="502"/>
      <c r="I30" s="1019"/>
      <c r="J30" s="224">
        <f>+'8'!J30</f>
        <v>0</v>
      </c>
      <c r="K30" s="249"/>
      <c r="L30" s="249"/>
      <c r="M30" s="126">
        <f>+K30+'8'!M30+L30</f>
        <v>0</v>
      </c>
      <c r="N30" s="164"/>
    </row>
    <row r="31" spans="1:19" ht="13.5" thickBot="1">
      <c r="A31" s="1021"/>
      <c r="B31" s="225"/>
      <c r="C31" s="236"/>
      <c r="D31" s="227"/>
      <c r="E31" s="235"/>
      <c r="F31" s="246"/>
      <c r="G31" s="242"/>
      <c r="H31" s="243"/>
      <c r="I31" s="1020"/>
      <c r="J31" s="224">
        <f>+'8'!J31</f>
        <v>0</v>
      </c>
      <c r="K31" s="249"/>
      <c r="L31" s="249"/>
      <c r="M31" s="126">
        <f>+K31+'8'!M31+L31</f>
        <v>0</v>
      </c>
    </row>
    <row r="32" spans="1:19" ht="13.5" thickBot="1">
      <c r="A32" s="1022"/>
      <c r="B32" s="175" t="s">
        <v>2</v>
      </c>
      <c r="C32" s="108">
        <f>SUM(C25:C31)</f>
        <v>26621</v>
      </c>
      <c r="D32" s="109">
        <f>SUM(D25:D31)</f>
        <v>0</v>
      </c>
      <c r="E32" s="110">
        <f>SUM(E25:E31)</f>
        <v>0</v>
      </c>
      <c r="F32" s="111">
        <f>SUM(F24:F31)</f>
        <v>30</v>
      </c>
      <c r="G32" s="181"/>
      <c r="H32" s="182"/>
      <c r="I32" s="179"/>
      <c r="J32" s="224">
        <f>+'8'!J32</f>
        <v>0</v>
      </c>
      <c r="K32" s="251"/>
      <c r="L32" s="253"/>
      <c r="M32" s="126">
        <f>+K32+'8'!M32+L32</f>
        <v>0</v>
      </c>
      <c r="N32" s="158" t="s">
        <v>571</v>
      </c>
      <c r="O32" s="158">
        <v>1340</v>
      </c>
      <c r="P32" s="158">
        <v>1335.31</v>
      </c>
      <c r="Q32" s="158">
        <f>480+330</f>
        <v>810</v>
      </c>
    </row>
    <row r="33" spans="1:17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  <c r="N33" s="158" t="s">
        <v>536</v>
      </c>
      <c r="O33" s="158">
        <v>1240</v>
      </c>
      <c r="P33" s="158">
        <v>1235.6600000000001</v>
      </c>
      <c r="Q33" s="158">
        <f>150+480</f>
        <v>630</v>
      </c>
    </row>
    <row r="34" spans="1:17" ht="13.5" thickBot="1">
      <c r="A34" s="1023" t="s">
        <v>57</v>
      </c>
      <c r="B34" s="1024"/>
      <c r="C34" s="116">
        <f>C14+C23+C32</f>
        <v>74421</v>
      </c>
      <c r="D34" s="116">
        <f>D14+D23+D32</f>
        <v>762</v>
      </c>
      <c r="E34" s="116">
        <f>E14+E23+E32</f>
        <v>0</v>
      </c>
      <c r="F34" s="117">
        <f>F14+F23+F32</f>
        <v>76</v>
      </c>
      <c r="H34" s="188"/>
      <c r="I34" s="188"/>
      <c r="J34" s="132" t="s">
        <v>28</v>
      </c>
      <c r="K34" s="133">
        <f>SUM(K7:K32)</f>
        <v>74421</v>
      </c>
      <c r="L34" s="222">
        <f>SUM(L7:L32)</f>
        <v>0</v>
      </c>
      <c r="M34" s="129">
        <f>SUM(M7:M32)</f>
        <v>491621</v>
      </c>
      <c r="N34" s="164"/>
      <c r="Q34" s="158">
        <f>+Q32+Q33</f>
        <v>1440</v>
      </c>
    </row>
    <row r="35" spans="1:17" ht="13.5" thickBot="1">
      <c r="A35" s="189"/>
      <c r="B35" s="190"/>
      <c r="C35" s="113">
        <f>C34/($C$34+$D$34+$E$34)</f>
        <v>0.98986473005865683</v>
      </c>
      <c r="D35" s="113">
        <f>D34/($C$34+$D$34+$E$34)</f>
        <v>1.0135269941343122E-2</v>
      </c>
      <c r="E35" s="118">
        <f>E34/($C$34+$D$34+$E$34)</f>
        <v>0</v>
      </c>
      <c r="K35" s="164"/>
    </row>
    <row r="36" spans="1:17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7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(14*810+17*630)/1440*G42*2.77*1440/1000000</f>
        <v>78.895900105312506</v>
      </c>
      <c r="J37" s="134">
        <f>+I37+'8'!J37</f>
        <v>555.0509289734548</v>
      </c>
      <c r="K37" s="135" t="s">
        <v>63</v>
      </c>
    </row>
    <row r="38" spans="1:17" ht="17.45" customHeight="1">
      <c r="A38" s="1013" t="s">
        <v>12</v>
      </c>
      <c r="B38" s="1014"/>
      <c r="C38" s="173">
        <f>SUMIF($G$7:$G$31,"Process",$F$7:$F$31)</f>
        <v>24</v>
      </c>
      <c r="D38" s="127">
        <f>+C38+'8'!D38</f>
        <v>543</v>
      </c>
      <c r="E38" s="152">
        <f t="shared" ref="E38:E51" si="0">D38/60</f>
        <v>9.0500000000000007</v>
      </c>
      <c r="F38" s="338">
        <v>1340</v>
      </c>
      <c r="G38" s="338">
        <v>1335.31</v>
      </c>
      <c r="H38" s="197" t="s">
        <v>64</v>
      </c>
      <c r="I38" s="554">
        <f>22.201+25.936+24.417</f>
        <v>72.554000000000002</v>
      </c>
      <c r="J38" s="136">
        <f>+I38+'8'!J38</f>
        <v>517.13599999999997</v>
      </c>
      <c r="K38" s="137" t="s">
        <v>63</v>
      </c>
      <c r="N38" s="566"/>
    </row>
    <row r="39" spans="1:17" ht="17.45" customHeight="1">
      <c r="A39" s="1009" t="s">
        <v>13</v>
      </c>
      <c r="B39" s="1010"/>
      <c r="C39" s="173">
        <f>SUMIF($G$7:$G$31,"Cleaning",$F$7:$F$31)</f>
        <v>0</v>
      </c>
      <c r="D39" s="127">
        <f>+C39+'8'!D39</f>
        <v>0</v>
      </c>
      <c r="E39" s="152">
        <f t="shared" si="0"/>
        <v>0</v>
      </c>
      <c r="F39" s="338">
        <v>1308.75</v>
      </c>
      <c r="G39" s="338">
        <v>1304.1693750000002</v>
      </c>
      <c r="H39" s="197" t="s">
        <v>65</v>
      </c>
      <c r="I39" s="151"/>
      <c r="J39" s="138">
        <f>J37/G4</f>
        <v>61.672325441494976</v>
      </c>
      <c r="K39" s="139" t="s">
        <v>63</v>
      </c>
    </row>
    <row r="40" spans="1:17" ht="17.45" customHeight="1">
      <c r="A40" s="1009" t="s">
        <v>66</v>
      </c>
      <c r="B40" s="1010"/>
      <c r="C40" s="173">
        <f>SUMIF($G$7:$G$31,"Mechanical",$F$7:$F$31)</f>
        <v>0</v>
      </c>
      <c r="D40" s="127">
        <f>+C40+'8'!D40</f>
        <v>39</v>
      </c>
      <c r="E40" s="152">
        <f t="shared" si="0"/>
        <v>0.65</v>
      </c>
      <c r="F40" s="338">
        <v>1240</v>
      </c>
      <c r="G40" s="338">
        <v>1235.6600000000001</v>
      </c>
      <c r="H40" s="197" t="s">
        <v>67</v>
      </c>
      <c r="I40" s="127">
        <f>(K34+L34)/1000</f>
        <v>74.421000000000006</v>
      </c>
      <c r="J40" s="140">
        <f>+I40+'8'!J40</f>
        <v>491.62100000000004</v>
      </c>
      <c r="K40" s="139" t="s">
        <v>63</v>
      </c>
    </row>
    <row r="41" spans="1:17" ht="17.45" customHeight="1">
      <c r="A41" s="1009" t="s">
        <v>68</v>
      </c>
      <c r="B41" s="1010"/>
      <c r="C41" s="173">
        <f>SUMIF($G$7:$G$31,"Electrical",$F$7:$F$31)</f>
        <v>52</v>
      </c>
      <c r="D41" s="127">
        <f>+C41+'8'!D41</f>
        <v>172</v>
      </c>
      <c r="E41" s="152">
        <f t="shared" si="0"/>
        <v>2.8666666666666667</v>
      </c>
      <c r="F41" s="338"/>
      <c r="G41" s="338"/>
      <c r="H41" s="197" t="s">
        <v>69</v>
      </c>
      <c r="I41" s="151"/>
      <c r="J41" s="138">
        <f>J40/G4</f>
        <v>54.62455555555556</v>
      </c>
      <c r="K41" s="139" t="s">
        <v>63</v>
      </c>
    </row>
    <row r="42" spans="1:17" ht="17.45" customHeight="1">
      <c r="A42" s="1009" t="s">
        <v>16</v>
      </c>
      <c r="B42" s="1010"/>
      <c r="C42" s="173">
        <f>SUMIF($G$7:$G$31,"Instrument",$F$7:$F$31)</f>
        <v>0</v>
      </c>
      <c r="D42" s="127">
        <f>+C42+'8'!D42</f>
        <v>0</v>
      </c>
      <c r="E42" s="152">
        <f t="shared" si="0"/>
        <v>0</v>
      </c>
      <c r="F42" s="338">
        <f>+(F38*480+F39*480+F40*480)/1440</f>
        <v>1296.25</v>
      </c>
      <c r="G42" s="338">
        <f>+(G38*480+G39*480+G40*480)/1440</f>
        <v>1291.713125</v>
      </c>
      <c r="H42" s="197" t="s">
        <v>70</v>
      </c>
      <c r="I42" s="256" t="s">
        <v>592</v>
      </c>
      <c r="J42" s="141"/>
      <c r="K42" s="139" t="s">
        <v>71</v>
      </c>
    </row>
    <row r="43" spans="1:17" ht="17.45" customHeight="1">
      <c r="A43" s="1009" t="s">
        <v>236</v>
      </c>
      <c r="B43" s="1010"/>
      <c r="C43" s="173">
        <f>SUMIF($G$7:$G$31,"Change GRade",$F$7:$F$31)</f>
        <v>0</v>
      </c>
      <c r="D43" s="127">
        <f>+C43+'8'!D43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+Report1!T17</f>
        <v>158.911</v>
      </c>
      <c r="J43" s="142">
        <f>+I43+'8'!J43</f>
        <v>1195.1880000000001</v>
      </c>
      <c r="K43" s="139" t="s">
        <v>63</v>
      </c>
      <c r="L43" s="199"/>
    </row>
    <row r="44" spans="1:17" ht="17.45" customHeight="1">
      <c r="A44" s="1009" t="s">
        <v>17</v>
      </c>
      <c r="B44" s="1010"/>
      <c r="C44" s="173">
        <f>SUMIF($G$7:$G$31,"PLN",$F$7:$F$31)</f>
        <v>0</v>
      </c>
      <c r="D44" s="127">
        <f>+C44+'8'!D44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2.1902445075392123</v>
      </c>
      <c r="J44" s="143">
        <f>J43/J38</f>
        <v>2.3111676618916497</v>
      </c>
      <c r="K44" s="139" t="s">
        <v>63</v>
      </c>
    </row>
    <row r="45" spans="1:17" ht="17.45" customHeight="1">
      <c r="A45" s="1009" t="s">
        <v>18</v>
      </c>
      <c r="B45" s="1010"/>
      <c r="C45" s="173">
        <f>SUMIF($G$7:$G$31,"Boiler",$F$7:$F$31)</f>
        <v>0</v>
      </c>
      <c r="D45" s="127">
        <f>+C45+'8'!D45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2.135297832601013</v>
      </c>
      <c r="J45" s="143">
        <f>J43/J40</f>
        <v>2.4311166528687749</v>
      </c>
      <c r="K45" s="139" t="s">
        <v>63</v>
      </c>
    </row>
    <row r="46" spans="1:17" ht="17.45" customHeight="1">
      <c r="A46" s="1009" t="s">
        <v>76</v>
      </c>
      <c r="B46" s="1010"/>
      <c r="C46" s="173">
        <f>SUMIF($G$7:$G$31,"Gas",$F$7:$F$31)</f>
        <v>0</v>
      </c>
      <c r="D46" s="127">
        <f>+C46+'8'!D46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+SUMIF(Listrik!AR16,"&gt;0")</f>
        <v>57853.420000003134</v>
      </c>
      <c r="J46" s="144">
        <f>+I46+'8'!J46</f>
        <v>445895.61999999871</v>
      </c>
      <c r="K46" s="139" t="s">
        <v>78</v>
      </c>
    </row>
    <row r="47" spans="1:17" ht="17.45" customHeight="1">
      <c r="A47" s="1009" t="s">
        <v>79</v>
      </c>
      <c r="B47" s="1010"/>
      <c r="C47" s="173">
        <f>SUMIF($G$7:$G$31,"Gas",$F$7:$F$31)</f>
        <v>0</v>
      </c>
      <c r="D47" s="127">
        <f>+C47+'8'!D47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797.38429307830211</v>
      </c>
      <c r="J47" s="144">
        <f>J46/J38</f>
        <v>862.24053247114637</v>
      </c>
      <c r="K47" s="139" t="s">
        <v>24</v>
      </c>
    </row>
    <row r="48" spans="1:17" ht="17.45" customHeight="1">
      <c r="A48" s="1009" t="s">
        <v>14</v>
      </c>
      <c r="B48" s="1010"/>
      <c r="C48" s="173">
        <f>SUMIF($G$7:$G$31,"Start Up",$F$7:$F$31)</f>
        <v>0</v>
      </c>
      <c r="D48" s="127">
        <f>+C48+'8'!D48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777.38030932133574</v>
      </c>
      <c r="J48" s="144">
        <f>J46/J40</f>
        <v>906.9905882783662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+C49+'8'!D49</f>
        <v>0</v>
      </c>
      <c r="E49" s="152">
        <f t="shared" si="0"/>
        <v>0</v>
      </c>
      <c r="F49" s="195"/>
      <c r="H49" s="198" t="s">
        <v>184</v>
      </c>
      <c r="I49" s="127">
        <v>0</v>
      </c>
      <c r="J49" s="144">
        <f>+I49+'8'!J49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+C50+'8'!D50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+C51+'8'!D51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76</v>
      </c>
      <c r="D52" s="153">
        <f>SUM(D38:D51)</f>
        <v>1844</v>
      </c>
      <c r="E52" s="154">
        <f>SUM(E38:E51)</f>
        <v>30.733333333333334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5.2777777777777778E-2</v>
      </c>
      <c r="D53" s="155">
        <f>D52/(24*60*G4)</f>
        <v>0.14228395061728394</v>
      </c>
      <c r="E53" s="156">
        <f>E52/(G4*24)</f>
        <v>0.14228395061728397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+D34+'8'!J56</f>
        <v>10373</v>
      </c>
      <c r="K56" s="211">
        <f>J56/(J40+J56/1000)/1000</f>
        <v>2.066359358876799E-2</v>
      </c>
    </row>
    <row r="57" spans="1:11">
      <c r="A57" s="186"/>
      <c r="I57" s="209" t="s">
        <v>89</v>
      </c>
      <c r="J57" s="210">
        <f>+E34+'8'!J57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48:B48"/>
    <mergeCell ref="A53:B53"/>
    <mergeCell ref="A52:B52"/>
    <mergeCell ref="A49:B49"/>
    <mergeCell ref="A51:B51"/>
    <mergeCell ref="A50:B50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</mergeCells>
  <phoneticPr fontId="31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view="pageBreakPreview" zoomScale="80" zoomScaleNormal="75" zoomScaleSheetLayoutView="80" workbookViewId="0">
      <selection activeCell="H17" sqref="H17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4" style="158" bestFit="1" customWidth="1"/>
    <col min="12" max="12" width="13.7109375" style="158" bestFit="1" customWidth="1"/>
    <col min="13" max="13" width="15" style="158" bestFit="1" customWidth="1"/>
    <col min="14" max="16384" width="9.140625" style="158"/>
  </cols>
  <sheetData>
    <row r="1" spans="1:13" ht="15.75">
      <c r="A1" s="157"/>
    </row>
    <row r="2" spans="1:13" ht="15.75">
      <c r="A2" s="157" t="s">
        <v>147</v>
      </c>
    </row>
    <row r="3" spans="1:13" ht="15">
      <c r="A3" s="159"/>
    </row>
    <row r="4" spans="1:13" ht="20.25">
      <c r="A4" s="160" t="s">
        <v>3</v>
      </c>
      <c r="B4" s="161"/>
      <c r="F4" s="162" t="s">
        <v>30</v>
      </c>
      <c r="G4" s="163">
        <v>8</v>
      </c>
      <c r="H4" s="163" t="str">
        <f>+'1'!H4</f>
        <v>.06.24</v>
      </c>
      <c r="J4" s="158">
        <f>202+150+208</f>
        <v>560</v>
      </c>
    </row>
    <row r="5" spans="1:13" ht="13.5" thickBot="1">
      <c r="C5" s="164"/>
      <c r="D5" s="164"/>
    </row>
    <row r="6" spans="1:13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</row>
    <row r="7" spans="1:13" ht="13.5" customHeight="1" thickBot="1">
      <c r="A7" s="1015" t="s">
        <v>485</v>
      </c>
      <c r="B7" s="225" t="s">
        <v>565</v>
      </c>
      <c r="C7" s="226">
        <v>21474</v>
      </c>
      <c r="D7" s="227">
        <v>1070</v>
      </c>
      <c r="E7" s="228"/>
      <c r="F7" s="238">
        <v>4</v>
      </c>
      <c r="G7" s="239" t="s">
        <v>12</v>
      </c>
      <c r="H7" s="240" t="s">
        <v>522</v>
      </c>
      <c r="I7" s="1018" t="s">
        <v>563</v>
      </c>
      <c r="J7" s="224" t="str">
        <f>+'7'!J7</f>
        <v>F 13,5 VP OW</v>
      </c>
      <c r="K7" s="248"/>
      <c r="L7" s="252"/>
      <c r="M7" s="126">
        <f>+K7+'7'!M7+L7</f>
        <v>97821</v>
      </c>
    </row>
    <row r="8" spans="1:13" ht="13.5" thickBot="1">
      <c r="A8" s="1016"/>
      <c r="B8" s="225"/>
      <c r="C8" s="226"/>
      <c r="D8" s="227"/>
      <c r="E8" s="229"/>
      <c r="F8" s="241"/>
      <c r="G8" s="242" t="s">
        <v>12</v>
      </c>
      <c r="H8" s="240" t="s">
        <v>446</v>
      </c>
      <c r="I8" s="1019"/>
      <c r="J8" s="224" t="str">
        <f>+'7'!J8</f>
        <v>F 13 VP OW</v>
      </c>
      <c r="K8" s="249"/>
      <c r="L8" s="249"/>
      <c r="M8" s="126">
        <f>+K8+'7'!M8+L8</f>
        <v>71398</v>
      </c>
    </row>
    <row r="9" spans="1:13" ht="13.5" thickBot="1">
      <c r="A9" s="1016"/>
      <c r="B9" s="225"/>
      <c r="C9" s="226"/>
      <c r="D9" s="227"/>
      <c r="E9" s="230"/>
      <c r="F9" s="238">
        <v>11</v>
      </c>
      <c r="G9" s="242" t="s">
        <v>12</v>
      </c>
      <c r="H9" s="243" t="s">
        <v>445</v>
      </c>
      <c r="I9" s="1019"/>
      <c r="J9" s="224" t="str">
        <f>+'7'!J9</f>
        <v>MG 17 VP OW</v>
      </c>
      <c r="K9" s="249"/>
      <c r="L9" s="249"/>
      <c r="M9" s="126">
        <f>+K9+'7'!M9+L9</f>
        <v>35047</v>
      </c>
    </row>
    <row r="10" spans="1:13" ht="13.5" thickBot="1">
      <c r="A10" s="1016"/>
      <c r="B10" s="225"/>
      <c r="C10" s="226"/>
      <c r="D10" s="227"/>
      <c r="E10" s="229"/>
      <c r="F10" s="238"/>
      <c r="G10" s="242"/>
      <c r="H10" s="243" t="s">
        <v>560</v>
      </c>
      <c r="I10" s="1019"/>
      <c r="J10" s="224" t="str">
        <f>+'7'!J10</f>
        <v>MG 16,5 VP OW</v>
      </c>
      <c r="K10" s="249"/>
      <c r="L10" s="249"/>
      <c r="M10" s="126">
        <f>+K10+'7'!M10+L10</f>
        <v>105243</v>
      </c>
    </row>
    <row r="11" spans="1:13" ht="13.5" thickBot="1">
      <c r="A11" s="1016"/>
      <c r="B11" s="225"/>
      <c r="C11" s="226"/>
      <c r="D11" s="227"/>
      <c r="E11" s="229"/>
      <c r="F11" s="238"/>
      <c r="G11" s="242"/>
      <c r="H11" s="243" t="s">
        <v>576</v>
      </c>
      <c r="I11" s="1019"/>
      <c r="J11" s="224" t="str">
        <f>+'7'!J11</f>
        <v>MG 14 VP HW</v>
      </c>
      <c r="K11" s="249">
        <f>+C34</f>
        <v>70066</v>
      </c>
      <c r="L11" s="249"/>
      <c r="M11" s="126">
        <f>+K11+'7'!M11+L11</f>
        <v>107691</v>
      </c>
    </row>
    <row r="12" spans="1:13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>
        <f>+'7'!J12</f>
        <v>0</v>
      </c>
      <c r="K12" s="249"/>
      <c r="L12" s="249"/>
      <c r="M12" s="126">
        <f>+K12+'7'!M12+L12</f>
        <v>0</v>
      </c>
    </row>
    <row r="13" spans="1:13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>
        <f>+'7'!J13</f>
        <v>0</v>
      </c>
      <c r="K13" s="249"/>
      <c r="L13" s="249"/>
      <c r="M13" s="126">
        <f>+K13+'7'!M13+L13</f>
        <v>0</v>
      </c>
    </row>
    <row r="14" spans="1:13" ht="13.5" thickBot="1">
      <c r="A14" s="1017"/>
      <c r="B14" s="175" t="s">
        <v>2</v>
      </c>
      <c r="C14" s="108">
        <f>SUM(C7:C13)</f>
        <v>21474</v>
      </c>
      <c r="D14" s="120">
        <f>SUM(D7:D13)</f>
        <v>1070</v>
      </c>
      <c r="E14" s="121">
        <f>SUM(E5:E13)</f>
        <v>0</v>
      </c>
      <c r="F14" s="125">
        <f>SUM(F7:F13)</f>
        <v>15</v>
      </c>
      <c r="G14" s="168"/>
      <c r="H14" s="176"/>
      <c r="I14" s="177"/>
      <c r="J14" s="224">
        <f>+'7'!J14</f>
        <v>0</v>
      </c>
      <c r="K14" s="249"/>
      <c r="L14" s="249"/>
      <c r="M14" s="126">
        <f>+K14+'7'!M14+L14</f>
        <v>0</v>
      </c>
    </row>
    <row r="15" spans="1:13" ht="13.5" customHeight="1" thickBot="1">
      <c r="A15" s="1015" t="s">
        <v>582</v>
      </c>
      <c r="B15" s="175"/>
      <c r="C15" s="122"/>
      <c r="D15" s="123"/>
      <c r="E15" s="124"/>
      <c r="F15" s="238">
        <v>4</v>
      </c>
      <c r="G15" s="239" t="s">
        <v>12</v>
      </c>
      <c r="H15" s="240" t="s">
        <v>522</v>
      </c>
      <c r="I15" s="1018" t="s">
        <v>563</v>
      </c>
      <c r="J15" s="224">
        <f>+'7'!J15</f>
        <v>0</v>
      </c>
      <c r="K15" s="249"/>
      <c r="L15" s="249"/>
      <c r="M15" s="126">
        <f>+K15+'7'!M15+L15</f>
        <v>0</v>
      </c>
    </row>
    <row r="16" spans="1:13" ht="13.5" thickBot="1">
      <c r="A16" s="1021"/>
      <c r="B16" s="225" t="s">
        <v>565</v>
      </c>
      <c r="C16" s="232">
        <v>24772</v>
      </c>
      <c r="D16" s="233"/>
      <c r="E16" s="234"/>
      <c r="F16" s="238"/>
      <c r="G16" s="242" t="s">
        <v>12</v>
      </c>
      <c r="H16" s="240" t="s">
        <v>446</v>
      </c>
      <c r="I16" s="1019"/>
      <c r="J16" s="224">
        <f>+'7'!J16</f>
        <v>0</v>
      </c>
      <c r="K16" s="249"/>
      <c r="L16" s="249"/>
      <c r="M16" s="126">
        <f>+K16+'7'!M16+L16</f>
        <v>0</v>
      </c>
    </row>
    <row r="17" spans="1:14" ht="13.5" thickBot="1">
      <c r="A17" s="1021"/>
      <c r="B17" s="225"/>
      <c r="C17" s="226"/>
      <c r="D17" s="227"/>
      <c r="E17" s="235"/>
      <c r="F17" s="238">
        <v>9</v>
      </c>
      <c r="G17" s="242" t="s">
        <v>12</v>
      </c>
      <c r="H17" s="243" t="s">
        <v>539</v>
      </c>
      <c r="I17" s="1019"/>
      <c r="J17" s="224">
        <f>+'7'!J17</f>
        <v>0</v>
      </c>
      <c r="K17" s="249"/>
      <c r="L17" s="249"/>
      <c r="M17" s="126">
        <f>+K17+'7'!M17+L17</f>
        <v>0</v>
      </c>
    </row>
    <row r="18" spans="1:14" ht="26.25" thickBot="1">
      <c r="A18" s="1021"/>
      <c r="B18" s="225"/>
      <c r="C18" s="226"/>
      <c r="D18" s="227"/>
      <c r="E18" s="235"/>
      <c r="F18" s="238"/>
      <c r="G18" s="242"/>
      <c r="H18" s="243" t="s">
        <v>577</v>
      </c>
      <c r="I18" s="1019"/>
      <c r="J18" s="224">
        <f>+'7'!J18</f>
        <v>0</v>
      </c>
      <c r="K18" s="249"/>
      <c r="L18" s="249"/>
      <c r="M18" s="126">
        <f>+K18+'7'!M18+L18</f>
        <v>0</v>
      </c>
    </row>
    <row r="19" spans="1:14" ht="13.5" thickBot="1">
      <c r="A19" s="1021"/>
      <c r="B19" s="225"/>
      <c r="C19" s="226"/>
      <c r="D19" s="227"/>
      <c r="E19" s="235"/>
      <c r="F19" s="245"/>
      <c r="G19" s="242"/>
      <c r="H19" s="243" t="s">
        <v>576</v>
      </c>
      <c r="I19" s="1019"/>
      <c r="J19" s="224">
        <f>+'7'!J19</f>
        <v>0</v>
      </c>
      <c r="K19" s="249"/>
      <c r="L19" s="249"/>
      <c r="M19" s="126">
        <f>+K19+'7'!M19+L19</f>
        <v>0</v>
      </c>
    </row>
    <row r="20" spans="1:14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+'7'!J20</f>
        <v>0</v>
      </c>
      <c r="K20" s="249"/>
      <c r="L20" s="249"/>
      <c r="M20" s="126">
        <f>+K20+'7'!M20+L20</f>
        <v>0</v>
      </c>
    </row>
    <row r="21" spans="1:14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+'7'!J21</f>
        <v>0</v>
      </c>
      <c r="K21" s="249"/>
      <c r="L21" s="249"/>
      <c r="M21" s="126">
        <f>+K21+'7'!M21+L21</f>
        <v>0</v>
      </c>
    </row>
    <row r="22" spans="1:1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+'7'!J22</f>
        <v>0</v>
      </c>
      <c r="K22" s="249"/>
      <c r="L22" s="249"/>
      <c r="M22" s="126">
        <f>+K22+'7'!M22+L22</f>
        <v>0</v>
      </c>
    </row>
    <row r="23" spans="1:14" ht="13.5" thickBot="1">
      <c r="A23" s="1022"/>
      <c r="B23" s="178" t="s">
        <v>2</v>
      </c>
      <c r="C23" s="109">
        <f>SUM(C16:C22)</f>
        <v>24772</v>
      </c>
      <c r="D23" s="120">
        <f>SUM(D16:D22)</f>
        <v>0</v>
      </c>
      <c r="E23" s="121">
        <f>SUM(E18:E22)</f>
        <v>0</v>
      </c>
      <c r="F23" s="125">
        <f>SUM(F15:F22)</f>
        <v>13</v>
      </c>
      <c r="G23" s="168"/>
      <c r="H23" s="176" t="s">
        <v>234</v>
      </c>
      <c r="I23" s="179"/>
      <c r="J23" s="224">
        <f>+'7'!J23</f>
        <v>0</v>
      </c>
      <c r="K23" s="249"/>
      <c r="L23" s="249"/>
      <c r="M23" s="126">
        <f>+K23+'7'!M23+L23</f>
        <v>0</v>
      </c>
    </row>
    <row r="24" spans="1:14" ht="13.5" customHeight="1" thickBot="1">
      <c r="A24" s="1015" t="s">
        <v>583</v>
      </c>
      <c r="B24" s="180"/>
      <c r="C24" s="122"/>
      <c r="D24" s="123"/>
      <c r="E24" s="124"/>
      <c r="F24" s="246">
        <v>6</v>
      </c>
      <c r="G24" s="239" t="s">
        <v>12</v>
      </c>
      <c r="H24" s="240" t="s">
        <v>492</v>
      </c>
      <c r="I24" s="1018" t="s">
        <v>563</v>
      </c>
      <c r="J24" s="224">
        <f>+'7'!J24</f>
        <v>0</v>
      </c>
      <c r="K24" s="249"/>
      <c r="L24" s="249"/>
      <c r="M24" s="126">
        <f>+K24+'7'!M24+L24</f>
        <v>0</v>
      </c>
    </row>
    <row r="25" spans="1:14" ht="13.5" thickBot="1">
      <c r="A25" s="1021"/>
      <c r="B25" s="225" t="s">
        <v>565</v>
      </c>
      <c r="C25" s="236">
        <v>23820</v>
      </c>
      <c r="D25" s="227"/>
      <c r="E25" s="235"/>
      <c r="F25" s="241"/>
      <c r="G25" s="242" t="s">
        <v>12</v>
      </c>
      <c r="H25" s="240" t="s">
        <v>446</v>
      </c>
      <c r="I25" s="1019"/>
      <c r="J25" s="224">
        <f>+'7'!J25</f>
        <v>0</v>
      </c>
      <c r="K25" s="249"/>
      <c r="L25" s="249"/>
      <c r="M25" s="126">
        <f>+K25+'7'!M25+L25</f>
        <v>0</v>
      </c>
    </row>
    <row r="26" spans="1:14" ht="13.5" thickBot="1">
      <c r="A26" s="1021"/>
      <c r="B26" s="225"/>
      <c r="C26" s="236"/>
      <c r="D26" s="227"/>
      <c r="E26" s="237"/>
      <c r="F26" s="241">
        <v>15</v>
      </c>
      <c r="G26" s="242" t="s">
        <v>12</v>
      </c>
      <c r="H26" s="243" t="s">
        <v>445</v>
      </c>
      <c r="I26" s="1019"/>
      <c r="J26" s="224">
        <f>+'7'!J26</f>
        <v>0</v>
      </c>
      <c r="K26" s="249"/>
      <c r="L26" s="249"/>
      <c r="M26" s="126">
        <f>+K26+'7'!M26+L26</f>
        <v>0</v>
      </c>
    </row>
    <row r="27" spans="1:14" ht="26.25" thickBot="1">
      <c r="A27" s="1021"/>
      <c r="B27" s="225"/>
      <c r="C27" s="226"/>
      <c r="D27" s="227"/>
      <c r="E27" s="235"/>
      <c r="F27" s="241"/>
      <c r="G27" s="242"/>
      <c r="H27" s="243" t="s">
        <v>575</v>
      </c>
      <c r="I27" s="1019"/>
      <c r="J27" s="224">
        <f>+'7'!J27</f>
        <v>0</v>
      </c>
      <c r="K27" s="249"/>
      <c r="L27" s="249"/>
      <c r="M27" s="126">
        <f>+K27+'7'!M27+L27</f>
        <v>0</v>
      </c>
    </row>
    <row r="28" spans="1:14" ht="13.5" thickBot="1">
      <c r="A28" s="1021"/>
      <c r="B28" s="225"/>
      <c r="C28" s="226"/>
      <c r="D28" s="227"/>
      <c r="E28" s="235"/>
      <c r="F28" s="241"/>
      <c r="G28" s="242"/>
      <c r="H28" s="243" t="s">
        <v>576</v>
      </c>
      <c r="I28" s="1019"/>
      <c r="J28" s="224">
        <f>+'7'!J28</f>
        <v>0</v>
      </c>
      <c r="K28" s="249"/>
      <c r="L28" s="249"/>
      <c r="M28" s="126">
        <f>+K28+'7'!M28+L28</f>
        <v>0</v>
      </c>
    </row>
    <row r="29" spans="1:14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+'7'!J29</f>
        <v>0</v>
      </c>
      <c r="K29" s="249"/>
      <c r="L29" s="249"/>
      <c r="M29" s="126">
        <f>+K29+'7'!M29+L29</f>
        <v>0</v>
      </c>
    </row>
    <row r="30" spans="1:1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+'7'!J30</f>
        <v>0</v>
      </c>
      <c r="K30" s="249"/>
      <c r="L30" s="249"/>
      <c r="M30" s="126">
        <f>+K30+'7'!M30+L30</f>
        <v>0</v>
      </c>
      <c r="N30" s="164"/>
    </row>
    <row r="31" spans="1:14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+'7'!J31</f>
        <v>0</v>
      </c>
      <c r="K31" s="249"/>
      <c r="L31" s="249"/>
      <c r="M31" s="126">
        <f>+K31+'7'!M31+L31</f>
        <v>0</v>
      </c>
    </row>
    <row r="32" spans="1:14" ht="13.5" thickBot="1">
      <c r="A32" s="1022"/>
      <c r="B32" s="175" t="s">
        <v>2</v>
      </c>
      <c r="C32" s="108">
        <f>SUM(C25:C31)</f>
        <v>23820</v>
      </c>
      <c r="D32" s="109">
        <f>SUM(D25:D31)</f>
        <v>0</v>
      </c>
      <c r="E32" s="110">
        <f>SUM(E25:E31)</f>
        <v>0</v>
      </c>
      <c r="F32" s="111">
        <f>SUM(F24:F31)</f>
        <v>21</v>
      </c>
      <c r="G32" s="181"/>
      <c r="H32" s="182"/>
      <c r="I32" s="179"/>
      <c r="J32" s="224">
        <f>+'7'!J32</f>
        <v>0</v>
      </c>
      <c r="K32" s="251"/>
      <c r="L32" s="253"/>
      <c r="M32" s="126">
        <f>+K32+'7'!M32+L32</f>
        <v>0</v>
      </c>
    </row>
    <row r="33" spans="1:14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70066</v>
      </c>
      <c r="D34" s="116">
        <f>D14+D23+D32</f>
        <v>1070</v>
      </c>
      <c r="E34" s="116">
        <f>E14+E23+E32</f>
        <v>0</v>
      </c>
      <c r="F34" s="117">
        <f>F14+F23+F32</f>
        <v>49</v>
      </c>
      <c r="H34" s="188"/>
      <c r="I34" s="188"/>
      <c r="J34" s="132" t="s">
        <v>28</v>
      </c>
      <c r="K34" s="133">
        <f>SUM(K7:K32)</f>
        <v>70066</v>
      </c>
      <c r="L34" s="222">
        <f>SUM(L7:L32)</f>
        <v>0</v>
      </c>
      <c r="M34" s="129">
        <f>SUM(M7:M32)</f>
        <v>417200</v>
      </c>
      <c r="N34" s="164"/>
    </row>
    <row r="35" spans="1:14" ht="13.5" thickBot="1">
      <c r="A35" s="189"/>
      <c r="B35" s="190"/>
      <c r="C35" s="113">
        <f>C34/($C$34+$D$34+$E$34)</f>
        <v>0.98495838956365267</v>
      </c>
      <c r="D35" s="113">
        <f>D34/($C$34+$D$34+$E$34)</f>
        <v>1.5041610436347278E-2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(14*1440)/1440*G42*2.77*1440/1000000</f>
        <v>74.567983391999988</v>
      </c>
      <c r="J37" s="134">
        <f>+I37+'7'!J37</f>
        <v>476.15502886814232</v>
      </c>
      <c r="K37" s="135" t="s">
        <v>63</v>
      </c>
      <c r="N37" s="566"/>
    </row>
    <row r="38" spans="1:14" ht="17.45" customHeight="1">
      <c r="A38" s="1013" t="s">
        <v>12</v>
      </c>
      <c r="B38" s="1014"/>
      <c r="C38" s="173">
        <f>SUMIF($G$7:$G$31,"Process",$F$7:$F$31)</f>
        <v>49</v>
      </c>
      <c r="D38" s="127">
        <f>+C38+'7'!D38</f>
        <v>519</v>
      </c>
      <c r="E38" s="152">
        <f t="shared" ref="E38:E51" si="0">D38/60</f>
        <v>8.65</v>
      </c>
      <c r="F38" s="338">
        <v>1340</v>
      </c>
      <c r="G38" s="338">
        <v>1335.31</v>
      </c>
      <c r="H38" s="197" t="s">
        <v>64</v>
      </c>
      <c r="I38" s="554">
        <f>21.524+25.004+21.917</f>
        <v>68.445000000000007</v>
      </c>
      <c r="J38" s="136">
        <f>+I38+'7'!J38</f>
        <v>444.58199999999994</v>
      </c>
      <c r="K38" s="137" t="s">
        <v>63</v>
      </c>
      <c r="N38" s="566"/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+C39+'7'!D39</f>
        <v>0</v>
      </c>
      <c r="E39" s="152">
        <f t="shared" si="0"/>
        <v>0</v>
      </c>
      <c r="F39" s="338">
        <v>1340</v>
      </c>
      <c r="G39" s="338">
        <v>1335.31</v>
      </c>
      <c r="H39" s="197" t="s">
        <v>65</v>
      </c>
      <c r="I39" s="151"/>
      <c r="J39" s="138">
        <f>J37/G4</f>
        <v>59.51937860851779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+C40+'7'!D40</f>
        <v>39</v>
      </c>
      <c r="E40" s="152">
        <f t="shared" si="0"/>
        <v>0.65</v>
      </c>
      <c r="F40" s="338">
        <v>1340</v>
      </c>
      <c r="G40" s="338">
        <v>1335.31</v>
      </c>
      <c r="H40" s="197" t="s">
        <v>67</v>
      </c>
      <c r="I40" s="127">
        <f>(K34+L34)/1000</f>
        <v>70.066000000000003</v>
      </c>
      <c r="J40" s="140">
        <f>+I40+'7'!J40</f>
        <v>417.20000000000005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+C41+'7'!D41</f>
        <v>120</v>
      </c>
      <c r="E41" s="152">
        <f t="shared" si="0"/>
        <v>2</v>
      </c>
      <c r="F41" s="338"/>
      <c r="G41" s="338"/>
      <c r="H41" s="197" t="s">
        <v>69</v>
      </c>
      <c r="I41" s="151"/>
      <c r="J41" s="138">
        <f>J40/G4</f>
        <v>52.150000000000006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+C42+'7'!D42</f>
        <v>0</v>
      </c>
      <c r="E42" s="152">
        <f t="shared" si="0"/>
        <v>0</v>
      </c>
      <c r="F42" s="338">
        <f>+(F38*480+F39*480+F40*480)/1440</f>
        <v>1340</v>
      </c>
      <c r="G42" s="338">
        <f>+(G38*480+G39*480+G40*480)/1440</f>
        <v>1335.31</v>
      </c>
      <c r="H42" s="197" t="s">
        <v>70</v>
      </c>
      <c r="I42" s="256" t="s">
        <v>578</v>
      </c>
      <c r="J42" s="141"/>
      <c r="K42" s="139" t="s">
        <v>71</v>
      </c>
    </row>
    <row r="43" spans="1:14" ht="17.45" customHeight="1">
      <c r="A43" s="1009" t="s">
        <v>202</v>
      </c>
      <c r="B43" s="1010"/>
      <c r="C43" s="173">
        <f>SUMIF($G$7:$G$31,"Change Grade",$F$7:$F$31)</f>
        <v>0</v>
      </c>
      <c r="D43" s="127">
        <f>+C43+'7'!D43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+Report1!T16</f>
        <v>150.346</v>
      </c>
      <c r="J43" s="142">
        <f>+I43+'7'!J43</f>
        <v>1036.277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+C44+'7'!D44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2.1965958068522169</v>
      </c>
      <c r="J44" s="143">
        <f>J43/J38</f>
        <v>2.3309018358817952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+C45+'7'!D45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2.1457768389803897</v>
      </c>
      <c r="J45" s="143">
        <f>J43/J40</f>
        <v>2.4838854266538828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+C46+'7'!D46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+SUMIF(Listrik!AR15,"&gt;0")</f>
        <v>58000.539999995548</v>
      </c>
      <c r="J46" s="144">
        <f>+I46+'7'!J46</f>
        <v>388042.19999999559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+C47+'7'!D47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847.40360873687689</v>
      </c>
      <c r="J47" s="144">
        <f>J46/J38</f>
        <v>872.82481072107203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+C48+'7'!D48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827.7986469899173</v>
      </c>
      <c r="J48" s="144">
        <f>J46/J40</f>
        <v>930.11073825502285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+C49+'7'!D49</f>
        <v>0</v>
      </c>
      <c r="E49" s="152">
        <f t="shared" si="0"/>
        <v>0</v>
      </c>
      <c r="F49" s="195"/>
      <c r="H49" s="198" t="s">
        <v>184</v>
      </c>
      <c r="I49" s="127">
        <v>0</v>
      </c>
      <c r="J49" s="144">
        <f>+I49+'7'!J49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+C50+'7'!D50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+C51+'7'!D51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49</v>
      </c>
      <c r="D52" s="153">
        <f>SUM(D38:D51)</f>
        <v>1768</v>
      </c>
      <c r="E52" s="154">
        <f>SUM(E38:E51)</f>
        <v>29.466666666666669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3.4027777777777775E-2</v>
      </c>
      <c r="D53" s="155">
        <f>D52/(24*60*G4)</f>
        <v>0.15347222222222223</v>
      </c>
      <c r="E53" s="156">
        <f>E52/(G4*24)</f>
        <v>0.15347222222222223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+D34+'7'!J56</f>
        <v>9611</v>
      </c>
      <c r="K56" s="211">
        <f>J56/(J40+J56/1000)/1000</f>
        <v>2.2518163777409672E-2</v>
      </c>
    </row>
    <row r="57" spans="1:11">
      <c r="A57" s="186"/>
      <c r="I57" s="209" t="s">
        <v>89</v>
      </c>
      <c r="J57" s="210">
        <f>+E34+'7'!J57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4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7109375" style="158" bestFit="1" customWidth="1"/>
    <col min="5" max="5" width="13.85546875" style="158" bestFit="1" customWidth="1"/>
    <col min="6" max="6" width="12.7109375" style="119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3.28515625" style="158" bestFit="1" customWidth="1"/>
    <col min="12" max="12" width="12" style="158" bestFit="1" customWidth="1"/>
    <col min="13" max="13" width="15.5703125" style="158" bestFit="1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30</v>
      </c>
      <c r="G4" s="163">
        <v>7</v>
      </c>
      <c r="H4" s="163" t="str">
        <f>+'1'!H4</f>
        <v>.06.24</v>
      </c>
    </row>
    <row r="5" spans="1:18" ht="13.5" thickBot="1">
      <c r="C5" s="164"/>
      <c r="D5" s="164"/>
    </row>
    <row r="6" spans="1:18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185+213+195</f>
        <v>593</v>
      </c>
    </row>
    <row r="7" spans="1:18" ht="13.5" customHeight="1" thickBot="1">
      <c r="A7" s="1015" t="s">
        <v>485</v>
      </c>
      <c r="B7" s="225" t="s">
        <v>552</v>
      </c>
      <c r="C7" s="226">
        <v>22493</v>
      </c>
      <c r="D7" s="227">
        <v>754</v>
      </c>
      <c r="E7" s="228"/>
      <c r="F7" s="238"/>
      <c r="G7" s="239" t="s">
        <v>12</v>
      </c>
      <c r="H7" s="240" t="s">
        <v>277</v>
      </c>
      <c r="I7" s="1018" t="s">
        <v>562</v>
      </c>
      <c r="J7" s="224" t="str">
        <f>+'6'!J7</f>
        <v>F 13,5 VP OW</v>
      </c>
      <c r="K7" s="248"/>
      <c r="L7" s="252"/>
      <c r="M7" s="126">
        <f>+K7+'6'!M7+L7</f>
        <v>97821</v>
      </c>
    </row>
    <row r="8" spans="1:18" ht="13.5" thickBot="1">
      <c r="A8" s="1016"/>
      <c r="B8" s="225"/>
      <c r="C8" s="226"/>
      <c r="D8" s="227"/>
      <c r="E8" s="229"/>
      <c r="F8" s="241">
        <v>5</v>
      </c>
      <c r="G8" s="242" t="s">
        <v>12</v>
      </c>
      <c r="H8" s="240" t="s">
        <v>521</v>
      </c>
      <c r="I8" s="1019"/>
      <c r="J8" s="224" t="str">
        <f>+'6'!J8</f>
        <v>F 13 VP OW</v>
      </c>
      <c r="K8" s="249"/>
      <c r="L8" s="249"/>
      <c r="M8" s="126">
        <f>+K8+'6'!M8+L8</f>
        <v>71398</v>
      </c>
      <c r="N8" s="158">
        <v>1260</v>
      </c>
      <c r="O8" s="158">
        <f>+N8-N8*0.0035</f>
        <v>1255.5899999999999</v>
      </c>
      <c r="P8" s="158">
        <f>60+45+30+120+20</f>
        <v>275</v>
      </c>
      <c r="Q8" s="158">
        <f>+N8*P8</f>
        <v>346500</v>
      </c>
      <c r="R8" s="158">
        <f>+O8*P8</f>
        <v>345287.25</v>
      </c>
    </row>
    <row r="9" spans="1:18" ht="13.5" thickBot="1">
      <c r="A9" s="1016"/>
      <c r="B9" s="225"/>
      <c r="C9" s="226"/>
      <c r="D9" s="227"/>
      <c r="E9" s="230"/>
      <c r="F9" s="238">
        <v>10</v>
      </c>
      <c r="G9" s="242" t="s">
        <v>12</v>
      </c>
      <c r="H9" s="243" t="s">
        <v>539</v>
      </c>
      <c r="I9" s="1019"/>
      <c r="J9" s="224" t="str">
        <f>+'6'!J9</f>
        <v>MG 17 VP OW</v>
      </c>
      <c r="K9" s="249"/>
      <c r="L9" s="249"/>
      <c r="M9" s="126">
        <f>+K9+'6'!M9+L9</f>
        <v>35047</v>
      </c>
      <c r="N9" s="158">
        <v>1340</v>
      </c>
      <c r="O9" s="158">
        <f>+N9-N9*0.0035</f>
        <v>1335.31</v>
      </c>
      <c r="P9" s="158">
        <f>40+60</f>
        <v>100</v>
      </c>
      <c r="Q9" s="158">
        <f>+N9*P9</f>
        <v>134000</v>
      </c>
      <c r="R9" s="158">
        <f>+O9*P9</f>
        <v>133531</v>
      </c>
    </row>
    <row r="10" spans="1:18" ht="13.5" thickBot="1">
      <c r="A10" s="1016"/>
      <c r="B10" s="225"/>
      <c r="C10" s="226"/>
      <c r="D10" s="227"/>
      <c r="E10" s="229"/>
      <c r="F10" s="238"/>
      <c r="G10" s="242"/>
      <c r="H10" s="243" t="s">
        <v>550</v>
      </c>
      <c r="I10" s="1019"/>
      <c r="J10" s="224" t="str">
        <f>+'6'!J10</f>
        <v>MG 16,5 VP OW</v>
      </c>
      <c r="K10" s="249">
        <f>+C7+C16</f>
        <v>31659</v>
      </c>
      <c r="L10" s="249"/>
      <c r="M10" s="126">
        <f>+K10+'6'!M10+L10</f>
        <v>105243</v>
      </c>
      <c r="P10" s="158">
        <f>SUM(P8:P9)</f>
        <v>375</v>
      </c>
      <c r="Q10" s="158">
        <f>SUM(Q8:Q9)</f>
        <v>480500</v>
      </c>
      <c r="R10" s="158">
        <f>SUM(R8:R9)</f>
        <v>478818.25</v>
      </c>
    </row>
    <row r="11" spans="1:18" ht="39" thickBot="1">
      <c r="A11" s="1016"/>
      <c r="B11" s="225"/>
      <c r="C11" s="226"/>
      <c r="D11" s="227"/>
      <c r="E11" s="229"/>
      <c r="F11" s="238">
        <f>15+60+30</f>
        <v>105</v>
      </c>
      <c r="G11" s="242" t="s">
        <v>68</v>
      </c>
      <c r="H11" s="243" t="s">
        <v>558</v>
      </c>
      <c r="I11" s="1019"/>
      <c r="J11" s="224" t="s">
        <v>565</v>
      </c>
      <c r="K11" s="249">
        <f>+C17+C25</f>
        <v>37625</v>
      </c>
      <c r="L11" s="249"/>
      <c r="M11" s="126">
        <f>+K11+'6'!M11+L11</f>
        <v>37625</v>
      </c>
      <c r="Q11" s="158">
        <f>+Q10/P10</f>
        <v>1281.3333333333333</v>
      </c>
      <c r="R11" s="158">
        <f>+R10/P10</f>
        <v>1276.8486666666668</v>
      </c>
    </row>
    <row r="12" spans="1:18" ht="13.5" thickBot="1">
      <c r="A12" s="1016"/>
      <c r="B12" s="225"/>
      <c r="C12" s="226"/>
      <c r="D12" s="227"/>
      <c r="E12" s="229" t="s">
        <v>559</v>
      </c>
      <c r="F12" s="238"/>
      <c r="G12" s="242"/>
      <c r="H12" s="243" t="s">
        <v>557</v>
      </c>
      <c r="I12" s="1019"/>
      <c r="J12" s="224">
        <f>+'6'!J12</f>
        <v>0</v>
      </c>
      <c r="K12" s="249"/>
      <c r="L12" s="249"/>
      <c r="M12" s="126">
        <f>+K12+'6'!M12+L12</f>
        <v>0</v>
      </c>
    </row>
    <row r="13" spans="1:18" ht="13.5" thickBot="1">
      <c r="A13" s="1016"/>
      <c r="B13" s="225"/>
      <c r="C13" s="226"/>
      <c r="D13" s="226"/>
      <c r="E13" s="229"/>
      <c r="F13" s="238">
        <v>10</v>
      </c>
      <c r="G13" s="242" t="s">
        <v>12</v>
      </c>
      <c r="H13" s="243" t="s">
        <v>556</v>
      </c>
      <c r="I13" s="1020"/>
      <c r="J13" s="224">
        <f>+'6'!J13</f>
        <v>0</v>
      </c>
      <c r="K13" s="249"/>
      <c r="L13" s="249"/>
      <c r="M13" s="126">
        <f>+K13+'6'!M13+L13</f>
        <v>0</v>
      </c>
    </row>
    <row r="14" spans="1:18" ht="13.5" thickBot="1">
      <c r="A14" s="1017"/>
      <c r="B14" s="175" t="s">
        <v>2</v>
      </c>
      <c r="C14" s="108">
        <f>SUM(C7:C13)</f>
        <v>22493</v>
      </c>
      <c r="D14" s="120">
        <f>SUM(D7:D13)</f>
        <v>754</v>
      </c>
      <c r="E14" s="121">
        <f>SUM(E5:E13)</f>
        <v>0</v>
      </c>
      <c r="F14" s="125">
        <f>SUM(F7:F13)</f>
        <v>130</v>
      </c>
      <c r="G14" s="168"/>
      <c r="H14" s="176"/>
      <c r="I14" s="177"/>
      <c r="J14" s="224">
        <f>+'6'!J14</f>
        <v>0</v>
      </c>
      <c r="K14" s="249"/>
      <c r="L14" s="249"/>
      <c r="M14" s="126">
        <f>+K14+'6'!M14+L14</f>
        <v>0</v>
      </c>
    </row>
    <row r="15" spans="1:18" ht="13.5" customHeight="1" thickBot="1">
      <c r="A15" s="1015" t="s">
        <v>451</v>
      </c>
      <c r="B15" s="175"/>
      <c r="C15" s="122"/>
      <c r="D15" s="123"/>
      <c r="E15" s="124"/>
      <c r="F15" s="238">
        <v>10</v>
      </c>
      <c r="G15" s="239" t="s">
        <v>12</v>
      </c>
      <c r="H15" s="240" t="s">
        <v>522</v>
      </c>
      <c r="I15" s="1018" t="s">
        <v>563</v>
      </c>
      <c r="J15" s="224">
        <f>+'6'!J15</f>
        <v>0</v>
      </c>
      <c r="K15" s="249"/>
      <c r="L15" s="249"/>
      <c r="M15" s="126">
        <f>+K15+'6'!M15+L15</f>
        <v>0</v>
      </c>
      <c r="N15" s="158">
        <v>1340</v>
      </c>
      <c r="O15" s="158">
        <f>+N15-N15*0.0035</f>
        <v>1335.31</v>
      </c>
    </row>
    <row r="16" spans="1:18" ht="13.5" thickBot="1">
      <c r="A16" s="1021"/>
      <c r="B16" s="225" t="s">
        <v>552</v>
      </c>
      <c r="C16" s="232">
        <f>24585-C17</f>
        <v>9166</v>
      </c>
      <c r="D16" s="227">
        <v>366</v>
      </c>
      <c r="E16" s="234"/>
      <c r="F16" s="238">
        <v>0</v>
      </c>
      <c r="G16" s="242" t="s">
        <v>12</v>
      </c>
      <c r="H16" s="240" t="s">
        <v>446</v>
      </c>
      <c r="I16" s="1019"/>
      <c r="J16" s="224">
        <f>+'6'!J16</f>
        <v>0</v>
      </c>
      <c r="K16" s="239"/>
      <c r="L16" s="239"/>
      <c r="M16" s="126">
        <f>+K16+'6'!M16+L16</f>
        <v>0</v>
      </c>
    </row>
    <row r="17" spans="1:14" ht="13.5" thickBot="1">
      <c r="A17" s="1021"/>
      <c r="B17" s="225" t="s">
        <v>565</v>
      </c>
      <c r="C17" s="226">
        <f>4750+10669</f>
        <v>15419</v>
      </c>
      <c r="D17" s="227"/>
      <c r="E17" s="235"/>
      <c r="F17" s="238">
        <v>10</v>
      </c>
      <c r="G17" s="242" t="s">
        <v>12</v>
      </c>
      <c r="H17" s="243" t="s">
        <v>445</v>
      </c>
      <c r="I17" s="1019"/>
      <c r="J17" s="224">
        <f>+'6'!J17</f>
        <v>0</v>
      </c>
      <c r="K17" s="239"/>
      <c r="L17" s="239"/>
      <c r="M17" s="126">
        <f>+K17+'6'!M17+L17</f>
        <v>0</v>
      </c>
    </row>
    <row r="18" spans="1:14" ht="13.5" thickBot="1">
      <c r="A18" s="1021"/>
      <c r="B18" s="225"/>
      <c r="C18" s="226"/>
      <c r="D18" s="227"/>
      <c r="E18" s="235"/>
      <c r="F18" s="238"/>
      <c r="G18" s="242"/>
      <c r="H18" s="243" t="s">
        <v>560</v>
      </c>
      <c r="I18" s="1019"/>
      <c r="J18" s="224">
        <f>+'6'!J18</f>
        <v>0</v>
      </c>
      <c r="K18" s="249"/>
      <c r="L18" s="249"/>
      <c r="M18" s="126">
        <f>+K18+'6'!M18+L18</f>
        <v>0</v>
      </c>
    </row>
    <row r="19" spans="1:14" ht="13.5" thickBot="1">
      <c r="A19" s="1021"/>
      <c r="B19" s="225"/>
      <c r="C19" s="226"/>
      <c r="D19" s="227"/>
      <c r="E19" s="235"/>
      <c r="F19" s="245"/>
      <c r="G19" s="242"/>
      <c r="H19" s="243" t="s">
        <v>561</v>
      </c>
      <c r="I19" s="1019"/>
      <c r="J19" s="224">
        <f>+'6'!J19</f>
        <v>0</v>
      </c>
      <c r="K19" s="249"/>
      <c r="L19" s="249"/>
      <c r="M19" s="126">
        <f>+K19+'6'!M19+L19</f>
        <v>0</v>
      </c>
    </row>
    <row r="20" spans="1:14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+'6'!J20</f>
        <v>0</v>
      </c>
      <c r="K20" s="250"/>
      <c r="L20" s="250"/>
      <c r="M20" s="126">
        <f>+K20+'6'!M20+L20</f>
        <v>0</v>
      </c>
    </row>
    <row r="21" spans="1:14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+'6'!J21</f>
        <v>0</v>
      </c>
      <c r="K21" s="249"/>
      <c r="L21" s="249"/>
      <c r="M21" s="126">
        <f>+K21+'6'!M21+L21</f>
        <v>0</v>
      </c>
    </row>
    <row r="22" spans="1:1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+'6'!J22</f>
        <v>0</v>
      </c>
      <c r="K22" s="249"/>
      <c r="L22" s="249"/>
      <c r="M22" s="126">
        <f>+K22+'6'!M22+L22</f>
        <v>0</v>
      </c>
    </row>
    <row r="23" spans="1:14" ht="13.5" thickBot="1">
      <c r="A23" s="1022"/>
      <c r="B23" s="178" t="s">
        <v>2</v>
      </c>
      <c r="C23" s="109">
        <f>SUM(C16:C22)</f>
        <v>24585</v>
      </c>
      <c r="D23" s="120">
        <f>SUM(D16:D22)</f>
        <v>366</v>
      </c>
      <c r="E23" s="121">
        <f>SUM(E18:E22)</f>
        <v>0</v>
      </c>
      <c r="F23" s="125">
        <f>SUM(F15:F22)</f>
        <v>20</v>
      </c>
      <c r="G23" s="168"/>
      <c r="H23" s="176" t="s">
        <v>234</v>
      </c>
      <c r="I23" s="179"/>
      <c r="J23" s="224">
        <f>+'6'!J23</f>
        <v>0</v>
      </c>
      <c r="K23" s="249"/>
      <c r="L23" s="249"/>
      <c r="M23" s="126">
        <f>+K23+'6'!M23+L23</f>
        <v>0</v>
      </c>
    </row>
    <row r="24" spans="1:14" ht="13.5" customHeight="1" thickBot="1">
      <c r="A24" s="1015" t="s">
        <v>449</v>
      </c>
      <c r="B24" s="180"/>
      <c r="C24" s="122"/>
      <c r="D24" s="123"/>
      <c r="E24" s="124"/>
      <c r="F24" s="246">
        <v>10</v>
      </c>
      <c r="G24" s="239" t="s">
        <v>12</v>
      </c>
      <c r="H24" s="240" t="s">
        <v>522</v>
      </c>
      <c r="I24" s="1018" t="s">
        <v>563</v>
      </c>
      <c r="J24" s="224">
        <f>+'6'!J24</f>
        <v>0</v>
      </c>
      <c r="K24" s="249"/>
      <c r="L24" s="249"/>
      <c r="M24" s="126">
        <f>+K24+'6'!M24+L24</f>
        <v>0</v>
      </c>
    </row>
    <row r="25" spans="1:14" ht="13.5" thickBot="1">
      <c r="A25" s="1021"/>
      <c r="B25" s="225" t="s">
        <v>565</v>
      </c>
      <c r="C25" s="236">
        <v>22206</v>
      </c>
      <c r="D25" s="227">
        <v>1240</v>
      </c>
      <c r="E25" s="235"/>
      <c r="F25" s="241">
        <v>1</v>
      </c>
      <c r="G25" s="242" t="s">
        <v>12</v>
      </c>
      <c r="H25" s="240" t="s">
        <v>521</v>
      </c>
      <c r="I25" s="1019"/>
      <c r="J25" s="224">
        <f>+'6'!J25</f>
        <v>0</v>
      </c>
      <c r="K25" s="249"/>
      <c r="L25" s="249"/>
      <c r="M25" s="126">
        <f>+K25+'6'!M25+L25</f>
        <v>0</v>
      </c>
    </row>
    <row r="26" spans="1:14" ht="13.5" thickBot="1">
      <c r="A26" s="1021"/>
      <c r="B26" s="225"/>
      <c r="C26" s="236"/>
      <c r="D26" s="227"/>
      <c r="E26" s="237"/>
      <c r="F26" s="241">
        <v>10</v>
      </c>
      <c r="G26" s="242" t="s">
        <v>12</v>
      </c>
      <c r="H26" s="243" t="s">
        <v>539</v>
      </c>
      <c r="I26" s="1019"/>
      <c r="J26" s="224">
        <f>+'6'!J26</f>
        <v>0</v>
      </c>
      <c r="K26" s="249"/>
      <c r="L26" s="249"/>
      <c r="M26" s="126">
        <f>+K26+'6'!M26+L26</f>
        <v>0</v>
      </c>
    </row>
    <row r="27" spans="1:14" ht="13.5" thickBot="1">
      <c r="A27" s="1021"/>
      <c r="B27" s="225"/>
      <c r="C27" s="226"/>
      <c r="D27" s="227"/>
      <c r="E27" s="235"/>
      <c r="F27" s="241"/>
      <c r="G27" s="242"/>
      <c r="H27" s="243" t="s">
        <v>560</v>
      </c>
      <c r="I27" s="1019"/>
      <c r="J27" s="224">
        <f>+'6'!J27</f>
        <v>0</v>
      </c>
      <c r="K27" s="249"/>
      <c r="L27" s="249"/>
      <c r="M27" s="126">
        <f>+K27+'6'!M27+L27</f>
        <v>0</v>
      </c>
    </row>
    <row r="28" spans="1:14" ht="13.5" thickBot="1">
      <c r="A28" s="1021"/>
      <c r="B28" s="225"/>
      <c r="C28" s="226"/>
      <c r="D28" s="227"/>
      <c r="E28" s="235"/>
      <c r="F28" s="241"/>
      <c r="G28" s="242"/>
      <c r="H28" s="243" t="s">
        <v>561</v>
      </c>
      <c r="I28" s="1019"/>
      <c r="J28" s="224">
        <f>+'6'!J28</f>
        <v>0</v>
      </c>
      <c r="K28" s="249"/>
      <c r="L28" s="249"/>
      <c r="M28" s="126">
        <f>+K28+'6'!M28+L28</f>
        <v>0</v>
      </c>
    </row>
    <row r="29" spans="1:14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+'6'!J29</f>
        <v>0</v>
      </c>
      <c r="K29" s="249"/>
      <c r="L29" s="249"/>
      <c r="M29" s="126">
        <f>+K29+'6'!M29+L29</f>
        <v>0</v>
      </c>
    </row>
    <row r="30" spans="1:1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+'6'!J30</f>
        <v>0</v>
      </c>
      <c r="K30" s="249"/>
      <c r="L30" s="249"/>
      <c r="M30" s="126">
        <f>+K30+'6'!M30+L30</f>
        <v>0</v>
      </c>
      <c r="N30" s="164"/>
    </row>
    <row r="31" spans="1:14" ht="13.5" thickBot="1">
      <c r="A31" s="1021"/>
      <c r="B31" s="225"/>
      <c r="C31" s="236"/>
      <c r="D31" s="227"/>
      <c r="E31" s="235"/>
      <c r="F31" s="246"/>
      <c r="G31" s="247"/>
      <c r="H31" s="244"/>
      <c r="I31" s="1020"/>
      <c r="J31" s="224">
        <f>+'6'!J31</f>
        <v>0</v>
      </c>
      <c r="K31" s="249"/>
      <c r="L31" s="249"/>
      <c r="M31" s="126">
        <f>+K31+'6'!M31+L31</f>
        <v>0</v>
      </c>
    </row>
    <row r="32" spans="1:14" ht="13.5" thickBot="1">
      <c r="A32" s="1022"/>
      <c r="B32" s="175" t="s">
        <v>2</v>
      </c>
      <c r="C32" s="108">
        <f>SUM(C25:C31)</f>
        <v>22206</v>
      </c>
      <c r="D32" s="109">
        <f>SUM(D25:D31)</f>
        <v>1240</v>
      </c>
      <c r="E32" s="110">
        <f>SUM(E25:E31)</f>
        <v>0</v>
      </c>
      <c r="F32" s="111">
        <f>SUM(F24:F31)</f>
        <v>21</v>
      </c>
      <c r="G32" s="181"/>
      <c r="H32" s="182"/>
      <c r="I32" s="179"/>
      <c r="J32" s="224">
        <f>+'6'!J32</f>
        <v>0</v>
      </c>
      <c r="K32" s="251"/>
      <c r="L32" s="253"/>
      <c r="M32" s="126">
        <f>+K32+'6'!M32+L32</f>
        <v>0</v>
      </c>
    </row>
    <row r="33" spans="1:14" ht="13.5" thickBot="1">
      <c r="A33" s="183"/>
      <c r="B33" s="184"/>
      <c r="C33" s="112">
        <f>C32/($C$32+$D$32+$E$32)</f>
        <v>0.94711251386163953</v>
      </c>
      <c r="D33" s="113">
        <f>D32/($C$32+$D$32+$E$32)</f>
        <v>5.2887486138360487E-2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69284</v>
      </c>
      <c r="D34" s="116">
        <f>D14+D23+D32</f>
        <v>2360</v>
      </c>
      <c r="E34" s="116">
        <f>E14+E23+E32</f>
        <v>0</v>
      </c>
      <c r="F34" s="117">
        <f>F14+F23+F32</f>
        <v>171</v>
      </c>
      <c r="H34" s="188"/>
      <c r="I34" s="188"/>
      <c r="J34" s="132" t="s">
        <v>28</v>
      </c>
      <c r="K34" s="133">
        <f>SUM(K7:K32)</f>
        <v>69284</v>
      </c>
      <c r="L34" s="222">
        <f>SUM(L7:L32)</f>
        <v>0</v>
      </c>
      <c r="M34" s="129">
        <f>SUM(M7:M32)</f>
        <v>347134</v>
      </c>
      <c r="N34" s="164"/>
    </row>
    <row r="35" spans="1:14" ht="13.5" thickBot="1">
      <c r="A35" s="189"/>
      <c r="B35" s="190"/>
      <c r="C35" s="113">
        <f>C34/($C$34+$D$34+$E$34)</f>
        <v>0.96705934900340573</v>
      </c>
      <c r="D35" s="113">
        <f>D34/($C$34+$D$34+$E$34)</f>
        <v>3.2940650996594274E-2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(16*275+14*1060)/1335*G42*2.77*1335/1000000</f>
        <v>70.126517698755549</v>
      </c>
      <c r="J37" s="134">
        <f>+I37+'6'!J37</f>
        <v>401.58704547614235</v>
      </c>
      <c r="K37" s="135" t="s">
        <v>63</v>
      </c>
      <c r="L37" s="158">
        <f>19.384-3.162</f>
        <v>16.222000000000001</v>
      </c>
    </row>
    <row r="38" spans="1:14" ht="17.45" customHeight="1">
      <c r="A38" s="1013" t="s">
        <v>12</v>
      </c>
      <c r="B38" s="1014"/>
      <c r="C38" s="173">
        <f>SUMIF($G$7:$G$31,"Process",$F$7:$F$31)</f>
        <v>66</v>
      </c>
      <c r="D38" s="127">
        <f>+C38+'6'!D38</f>
        <v>470</v>
      </c>
      <c r="E38" s="152">
        <f t="shared" ref="E38:E51" si="0">D38/60</f>
        <v>7.833333333333333</v>
      </c>
      <c r="F38" s="338">
        <v>1281.3333333333333</v>
      </c>
      <c r="G38" s="338">
        <v>1276.8486666666668</v>
      </c>
      <c r="H38" s="197" t="s">
        <v>64</v>
      </c>
      <c r="I38" s="554">
        <f>19.384+21.938+24.477</f>
        <v>65.799000000000007</v>
      </c>
      <c r="J38" s="136">
        <f>+I38+'6'!J38</f>
        <v>376.13699999999994</v>
      </c>
      <c r="K38" s="137" t="s">
        <v>63</v>
      </c>
      <c r="L38" s="566">
        <f>+I38-L37</f>
        <v>49.577000000000005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+C39+'6'!D39</f>
        <v>0</v>
      </c>
      <c r="E39" s="152">
        <f t="shared" si="0"/>
        <v>0</v>
      </c>
      <c r="F39" s="338">
        <v>1340</v>
      </c>
      <c r="G39" s="338">
        <v>1335.31</v>
      </c>
      <c r="H39" s="197" t="s">
        <v>65</v>
      </c>
      <c r="I39" s="151"/>
      <c r="J39" s="138">
        <f>J37/G4</f>
        <v>57.369577925163192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+C40+'6'!D40</f>
        <v>39</v>
      </c>
      <c r="E40" s="152">
        <f t="shared" si="0"/>
        <v>0.65</v>
      </c>
      <c r="F40" s="338">
        <v>1340</v>
      </c>
      <c r="G40" s="338">
        <v>1335.31</v>
      </c>
      <c r="H40" s="197" t="s">
        <v>67</v>
      </c>
      <c r="I40" s="127">
        <f>(K34+L34)/1000</f>
        <v>69.284000000000006</v>
      </c>
      <c r="J40" s="140">
        <f>+I40+'6'!J40</f>
        <v>347.13400000000001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105</v>
      </c>
      <c r="D41" s="127">
        <f>+C41+'6'!D41</f>
        <v>120</v>
      </c>
      <c r="E41" s="152">
        <f t="shared" si="0"/>
        <v>2</v>
      </c>
      <c r="F41" s="338"/>
      <c r="G41" s="338"/>
      <c r="H41" s="197" t="s">
        <v>69</v>
      </c>
      <c r="I41" s="151"/>
      <c r="J41" s="138">
        <f>J40/G4</f>
        <v>49.59057142857143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+C42+'6'!D42</f>
        <v>0</v>
      </c>
      <c r="E42" s="152">
        <f t="shared" si="0"/>
        <v>0</v>
      </c>
      <c r="F42" s="338">
        <f>+(F38*480+F39*480+F40*480)/1440</f>
        <v>1320.4444444444443</v>
      </c>
      <c r="G42" s="338">
        <f>+(G38*480+G39*480+G40*480)/1440</f>
        <v>1315.8228888888889</v>
      </c>
      <c r="H42" s="197" t="s">
        <v>70</v>
      </c>
      <c r="I42" s="256" t="s">
        <v>564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+C43+'6'!D43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+Report1!T15</f>
        <v>143.38600000000002</v>
      </c>
      <c r="J43" s="142">
        <f>+I43+'6'!J43</f>
        <v>885.93100000000004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+C44+'6'!D44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2.1791516588398001</v>
      </c>
      <c r="J44" s="143">
        <f>J43/J38</f>
        <v>2.355341271930175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+C45+'6'!D45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2.0695398649038741</v>
      </c>
      <c r="J45" s="143">
        <f>J43/J40</f>
        <v>2.5521297251205586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+C46+'6'!D46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+SUMIF(Listrik!AR14,"&gt;0")</f>
        <v>54619.340000003336</v>
      </c>
      <c r="J46" s="144">
        <f>+I46+'6'!J46</f>
        <v>330041.66000000003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+C47+'6'!D47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830.09377042209348</v>
      </c>
      <c r="J47" s="144">
        <f>J46/J38</f>
        <v>877.45066292334991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+C48+'6'!D48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788.33987645059949</v>
      </c>
      <c r="J48" s="144">
        <f>J46/J40</f>
        <v>950.76155029469896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+C49+'6'!D49</f>
        <v>0</v>
      </c>
      <c r="E49" s="152">
        <f t="shared" si="0"/>
        <v>0</v>
      </c>
      <c r="F49" s="195"/>
      <c r="H49" s="198" t="s">
        <v>184</v>
      </c>
      <c r="I49" s="127">
        <v>0</v>
      </c>
      <c r="J49" s="144">
        <f>+I49+'6'!J49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+C50+'6'!D50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+C51+'6'!D51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171</v>
      </c>
      <c r="D52" s="153">
        <f>SUM(D38:D51)</f>
        <v>1719</v>
      </c>
      <c r="E52" s="154">
        <f>SUM(E38:E51)</f>
        <v>28.65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0.11874999999999999</v>
      </c>
      <c r="D53" s="155">
        <f>D52/(24*60*G4)</f>
        <v>0.17053571428571429</v>
      </c>
      <c r="E53" s="156">
        <f>E52/(G4*24)</f>
        <v>0.17053571428571429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+D34+'6'!J56</f>
        <v>8541</v>
      </c>
      <c r="K56" s="211">
        <f>J56/(J40+J56/1000)/1000</f>
        <v>2.4013495466366767E-2</v>
      </c>
    </row>
    <row r="57" spans="1:11">
      <c r="A57" s="186"/>
      <c r="I57" s="209" t="s">
        <v>89</v>
      </c>
      <c r="J57" s="210">
        <f>+E34+'6'!J57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85546875" style="158" bestFit="1" customWidth="1"/>
    <col min="12" max="12" width="8.28515625" style="158" customWidth="1"/>
    <col min="13" max="13" width="14.5703125" style="158" bestFit="1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30</v>
      </c>
      <c r="G4" s="163">
        <v>6</v>
      </c>
      <c r="H4" s="163" t="str">
        <f>+'1'!H4</f>
        <v>.06.24</v>
      </c>
    </row>
    <row r="5" spans="1:15" ht="13.5" thickBot="1">
      <c r="C5" s="164"/>
      <c r="D5" s="164"/>
    </row>
    <row r="6" spans="1:15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245+216+199</f>
        <v>660</v>
      </c>
    </row>
    <row r="7" spans="1:15" ht="13.5" customHeight="1" thickBot="1">
      <c r="A7" s="1015" t="s">
        <v>485</v>
      </c>
      <c r="B7" s="225" t="s">
        <v>552</v>
      </c>
      <c r="C7" s="226">
        <v>22093</v>
      </c>
      <c r="D7" s="227">
        <v>306</v>
      </c>
      <c r="E7" s="228"/>
      <c r="F7" s="238"/>
      <c r="G7" s="239" t="s">
        <v>12</v>
      </c>
      <c r="H7" s="240" t="s">
        <v>277</v>
      </c>
      <c r="I7" s="1018" t="s">
        <v>551</v>
      </c>
      <c r="J7" s="224" t="str">
        <f>+'5'!J7</f>
        <v>F 13,5 VP OW</v>
      </c>
      <c r="K7" s="248"/>
      <c r="L7" s="252"/>
      <c r="M7" s="126">
        <f>+K7+'5'!M7+L7</f>
        <v>97821</v>
      </c>
    </row>
    <row r="8" spans="1:15" ht="13.5" thickBot="1">
      <c r="A8" s="1016"/>
      <c r="B8" s="225"/>
      <c r="C8" s="226"/>
      <c r="D8" s="227"/>
      <c r="E8" s="229"/>
      <c r="F8" s="241"/>
      <c r="G8" s="242" t="s">
        <v>12</v>
      </c>
      <c r="H8" s="240" t="s">
        <v>446</v>
      </c>
      <c r="I8" s="1019"/>
      <c r="J8" s="224" t="str">
        <f>+'5'!J8</f>
        <v>F 13 VP OW</v>
      </c>
      <c r="K8" s="249"/>
      <c r="L8" s="249"/>
      <c r="M8" s="126">
        <f>+K8+'5'!M8+L8</f>
        <v>71398</v>
      </c>
      <c r="N8" s="158">
        <v>1260</v>
      </c>
      <c r="O8" s="158">
        <f>+N8-N8*0.0035</f>
        <v>1255.5899999999999</v>
      </c>
    </row>
    <row r="9" spans="1:15" ht="13.5" thickBot="1">
      <c r="A9" s="1016"/>
      <c r="B9" s="225"/>
      <c r="C9" s="226"/>
      <c r="D9" s="227"/>
      <c r="E9" s="230"/>
      <c r="F9" s="238">
        <v>10</v>
      </c>
      <c r="G9" s="242" t="s">
        <v>12</v>
      </c>
      <c r="H9" s="596" t="s">
        <v>539</v>
      </c>
      <c r="I9" s="1019"/>
      <c r="J9" s="224" t="str">
        <f>+'5'!J9</f>
        <v>MG 17 VP OW</v>
      </c>
      <c r="K9" s="249"/>
      <c r="L9" s="249"/>
      <c r="M9" s="126">
        <f>+K9+'5'!M9+L9</f>
        <v>35047</v>
      </c>
      <c r="N9" s="158">
        <v>1260</v>
      </c>
      <c r="O9" s="158">
        <f>+N9-N9*0.0035</f>
        <v>1255.5899999999999</v>
      </c>
    </row>
    <row r="10" spans="1:15" ht="13.5" thickBot="1">
      <c r="A10" s="1016"/>
      <c r="B10" s="225"/>
      <c r="C10" s="226"/>
      <c r="D10" s="227"/>
      <c r="E10" s="229"/>
      <c r="F10" s="238"/>
      <c r="G10" s="242"/>
      <c r="H10" s="596" t="s">
        <v>550</v>
      </c>
      <c r="I10" s="1019"/>
      <c r="J10" s="224" t="str">
        <f>+'5'!J10</f>
        <v>MG 16,5 VP OW</v>
      </c>
      <c r="K10" s="249">
        <f>+C34</f>
        <v>73584</v>
      </c>
      <c r="L10" s="249"/>
      <c r="M10" s="126">
        <f>+K10+'5'!M10+L10</f>
        <v>73584</v>
      </c>
      <c r="N10" s="158">
        <v>1260</v>
      </c>
      <c r="O10" s="158">
        <f>+N10-N10*0.0035</f>
        <v>1255.5899999999999</v>
      </c>
    </row>
    <row r="11" spans="1:15" ht="13.5" thickBot="1">
      <c r="A11" s="1016"/>
      <c r="B11" s="225"/>
      <c r="C11" s="226"/>
      <c r="D11" s="227"/>
      <c r="E11" s="229"/>
      <c r="F11" s="238"/>
      <c r="G11" s="242"/>
      <c r="H11" s="243"/>
      <c r="I11" s="1019"/>
      <c r="J11" s="224">
        <f>+'5'!J11</f>
        <v>0</v>
      </c>
      <c r="K11" s="249"/>
      <c r="L11" s="249"/>
      <c r="M11" s="126">
        <f>+K11+'5'!M11+L11</f>
        <v>0</v>
      </c>
    </row>
    <row r="12" spans="1:15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>
        <f>+'5'!J12</f>
        <v>0</v>
      </c>
      <c r="K12" s="249"/>
      <c r="L12" s="249"/>
      <c r="M12" s="126">
        <f>+K12+'5'!M12+L12</f>
        <v>0</v>
      </c>
    </row>
    <row r="13" spans="1:15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>
        <f>+'5'!J13</f>
        <v>0</v>
      </c>
      <c r="K13" s="249"/>
      <c r="L13" s="249"/>
      <c r="M13" s="126">
        <f>+K13+'5'!M13+L13</f>
        <v>0</v>
      </c>
    </row>
    <row r="14" spans="1:15" ht="13.5" thickBot="1">
      <c r="A14" s="1017"/>
      <c r="B14" s="175" t="s">
        <v>2</v>
      </c>
      <c r="C14" s="108">
        <f>SUM(C7:C13)</f>
        <v>22093</v>
      </c>
      <c r="D14" s="120">
        <f>SUM(D7:D13)</f>
        <v>306</v>
      </c>
      <c r="E14" s="121">
        <f>SUM(E5:E13)</f>
        <v>0</v>
      </c>
      <c r="F14" s="125">
        <f>SUM(F7:F13)</f>
        <v>10</v>
      </c>
      <c r="G14" s="168"/>
      <c r="H14" s="176"/>
      <c r="I14" s="177"/>
      <c r="J14" s="224">
        <f>+'5'!J14</f>
        <v>0</v>
      </c>
      <c r="K14" s="249"/>
      <c r="L14" s="249"/>
      <c r="M14" s="126">
        <f>+K14+'5'!M14+L14</f>
        <v>0</v>
      </c>
    </row>
    <row r="15" spans="1:15" ht="13.5" customHeight="1" thickBot="1">
      <c r="A15" s="1015" t="s">
        <v>450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551</v>
      </c>
      <c r="J15" s="224">
        <f>+'5'!J15</f>
        <v>0</v>
      </c>
      <c r="K15" s="249"/>
      <c r="L15" s="249"/>
      <c r="M15" s="126">
        <f>+K15+'5'!M15+L15</f>
        <v>0</v>
      </c>
    </row>
    <row r="16" spans="1:15" ht="13.5" thickBot="1">
      <c r="A16" s="1021"/>
      <c r="B16" s="225" t="s">
        <v>552</v>
      </c>
      <c r="C16" s="232">
        <v>26811</v>
      </c>
      <c r="D16" s="233"/>
      <c r="E16" s="234"/>
      <c r="F16" s="238"/>
      <c r="G16" s="242" t="s">
        <v>12</v>
      </c>
      <c r="H16" s="240" t="s">
        <v>446</v>
      </c>
      <c r="I16" s="1019"/>
      <c r="J16" s="224">
        <f>+'5'!J16</f>
        <v>0</v>
      </c>
      <c r="K16" s="249"/>
      <c r="L16" s="239"/>
      <c r="M16" s="126">
        <f>+K16+'5'!M16+L16</f>
        <v>0</v>
      </c>
    </row>
    <row r="17" spans="1:14" ht="13.5" thickBot="1">
      <c r="A17" s="1021"/>
      <c r="B17" s="225"/>
      <c r="C17" s="226"/>
      <c r="D17" s="227"/>
      <c r="E17" s="235"/>
      <c r="F17" s="238">
        <v>10</v>
      </c>
      <c r="G17" s="242" t="s">
        <v>12</v>
      </c>
      <c r="H17" s="596" t="s">
        <v>539</v>
      </c>
      <c r="I17" s="1019"/>
      <c r="J17" s="224">
        <f>+'5'!J17</f>
        <v>0</v>
      </c>
      <c r="K17" s="239"/>
      <c r="L17" s="239"/>
      <c r="M17" s="126">
        <f>+K17+'5'!M17+L17</f>
        <v>0</v>
      </c>
    </row>
    <row r="18" spans="1:14" ht="13.5" thickBot="1">
      <c r="A18" s="1021"/>
      <c r="B18" s="225"/>
      <c r="C18" s="226"/>
      <c r="D18" s="227"/>
      <c r="E18" s="235"/>
      <c r="F18" s="238"/>
      <c r="G18" s="242"/>
      <c r="H18" s="596" t="s">
        <v>550</v>
      </c>
      <c r="I18" s="1019"/>
      <c r="J18" s="224">
        <f>+'5'!J18</f>
        <v>0</v>
      </c>
      <c r="K18" s="249"/>
      <c r="L18" s="249"/>
      <c r="M18" s="126">
        <f>+K18+'5'!M18+L18</f>
        <v>0</v>
      </c>
    </row>
    <row r="19" spans="1:14" ht="13.5" thickBot="1">
      <c r="A19" s="1021"/>
      <c r="B19" s="225"/>
      <c r="C19" s="226"/>
      <c r="D19" s="227"/>
      <c r="E19" s="235"/>
      <c r="F19" s="245"/>
      <c r="G19" s="242"/>
      <c r="H19" s="243"/>
      <c r="I19" s="1019"/>
      <c r="J19" s="224">
        <f>+'5'!J19</f>
        <v>0</v>
      </c>
      <c r="K19" s="249"/>
      <c r="L19" s="249"/>
      <c r="M19" s="126">
        <f>+K19+'5'!M19+L19</f>
        <v>0</v>
      </c>
    </row>
    <row r="20" spans="1:14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+'5'!J20</f>
        <v>0</v>
      </c>
      <c r="K20" s="250"/>
      <c r="L20" s="250"/>
      <c r="M20" s="126">
        <f>+K20+'5'!M20+L20</f>
        <v>0</v>
      </c>
    </row>
    <row r="21" spans="1:14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+'5'!J21</f>
        <v>0</v>
      </c>
      <c r="K21" s="249"/>
      <c r="L21" s="249"/>
      <c r="M21" s="126">
        <f>+K21+'5'!M21+L21</f>
        <v>0</v>
      </c>
    </row>
    <row r="22" spans="1:1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+'5'!J22</f>
        <v>0</v>
      </c>
      <c r="K22" s="249"/>
      <c r="L22" s="249"/>
      <c r="M22" s="126">
        <f>+K22+'5'!M22+L22</f>
        <v>0</v>
      </c>
    </row>
    <row r="23" spans="1:14" ht="13.5" thickBot="1">
      <c r="A23" s="1022"/>
      <c r="B23" s="178" t="s">
        <v>2</v>
      </c>
      <c r="C23" s="109">
        <f>SUM(C16:C22)</f>
        <v>26811</v>
      </c>
      <c r="D23" s="120">
        <f>SUM(D16:D22)</f>
        <v>0</v>
      </c>
      <c r="E23" s="121">
        <f>SUM(E18:E22)</f>
        <v>0</v>
      </c>
      <c r="F23" s="125">
        <f>SUM(F15:F22)</f>
        <v>10</v>
      </c>
      <c r="G23" s="168"/>
      <c r="H23" s="176" t="s">
        <v>234</v>
      </c>
      <c r="I23" s="179"/>
      <c r="J23" s="224">
        <f>+'5'!J23</f>
        <v>0</v>
      </c>
      <c r="K23" s="249"/>
      <c r="L23" s="249"/>
      <c r="M23" s="126">
        <f>+K23+'5'!M23+L23</f>
        <v>0</v>
      </c>
    </row>
    <row r="24" spans="1:14" ht="13.5" customHeight="1" thickBot="1">
      <c r="A24" s="1015" t="s">
        <v>449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551</v>
      </c>
      <c r="J24" s="224">
        <f>+'5'!J24</f>
        <v>0</v>
      </c>
      <c r="K24" s="249"/>
      <c r="L24" s="249"/>
      <c r="M24" s="126">
        <f>+K24+'5'!M24+L24</f>
        <v>0</v>
      </c>
    </row>
    <row r="25" spans="1:14" ht="13.5" thickBot="1">
      <c r="A25" s="1021"/>
      <c r="B25" s="225" t="s">
        <v>552</v>
      </c>
      <c r="C25" s="236">
        <v>24680</v>
      </c>
      <c r="D25" s="227"/>
      <c r="E25" s="235"/>
      <c r="F25" s="241">
        <v>2</v>
      </c>
      <c r="G25" s="242" t="s">
        <v>12</v>
      </c>
      <c r="H25" s="240" t="s">
        <v>521</v>
      </c>
      <c r="I25" s="1019"/>
      <c r="J25" s="224">
        <f>+'5'!J25</f>
        <v>0</v>
      </c>
      <c r="K25" s="249"/>
      <c r="L25" s="249"/>
      <c r="M25" s="126">
        <f>+K25+'5'!M25+L25</f>
        <v>0</v>
      </c>
    </row>
    <row r="26" spans="1:14" ht="13.5" thickBot="1">
      <c r="A26" s="1021"/>
      <c r="B26" s="225"/>
      <c r="C26" s="236"/>
      <c r="D26" s="227"/>
      <c r="E26" s="237"/>
      <c r="F26" s="241">
        <v>10</v>
      </c>
      <c r="G26" s="242" t="s">
        <v>12</v>
      </c>
      <c r="H26" s="596" t="s">
        <v>539</v>
      </c>
      <c r="I26" s="1019"/>
      <c r="J26" s="224">
        <f>+'5'!J26</f>
        <v>0</v>
      </c>
      <c r="K26" s="249"/>
      <c r="L26" s="249"/>
      <c r="M26" s="126">
        <f>+K26+'5'!M26+L26</f>
        <v>0</v>
      </c>
    </row>
    <row r="27" spans="1:14" ht="13.5" thickBot="1">
      <c r="A27" s="1021"/>
      <c r="B27" s="225"/>
      <c r="C27" s="226"/>
      <c r="D27" s="227"/>
      <c r="E27" s="235"/>
      <c r="F27" s="241"/>
      <c r="G27" s="242"/>
      <c r="H27" s="596" t="s">
        <v>550</v>
      </c>
      <c r="I27" s="1019"/>
      <c r="J27" s="224">
        <f>+'5'!J27</f>
        <v>0</v>
      </c>
      <c r="K27" s="249"/>
      <c r="L27" s="249"/>
      <c r="M27" s="126">
        <f>+K27+'5'!M27+L27</f>
        <v>0</v>
      </c>
    </row>
    <row r="28" spans="1:14" ht="13.5" thickBot="1">
      <c r="A28" s="1021"/>
      <c r="B28" s="225"/>
      <c r="C28" s="226"/>
      <c r="D28" s="227"/>
      <c r="E28" s="235"/>
      <c r="F28" s="241"/>
      <c r="G28" s="242"/>
      <c r="H28" s="243"/>
      <c r="I28" s="1019"/>
      <c r="J28" s="224">
        <f>+'5'!J28</f>
        <v>0</v>
      </c>
      <c r="K28" s="249"/>
      <c r="L28" s="249"/>
      <c r="M28" s="126">
        <f>+K28+'5'!M28+L28</f>
        <v>0</v>
      </c>
    </row>
    <row r="29" spans="1:14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+'5'!J29</f>
        <v>0</v>
      </c>
      <c r="K29" s="249"/>
      <c r="L29" s="249"/>
      <c r="M29" s="126">
        <f>+K29+'5'!M29+L29</f>
        <v>0</v>
      </c>
    </row>
    <row r="30" spans="1:1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+'5'!J30</f>
        <v>0</v>
      </c>
      <c r="K30" s="249"/>
      <c r="L30" s="249"/>
      <c r="M30" s="126">
        <f>+K30+'5'!M30+L30</f>
        <v>0</v>
      </c>
    </row>
    <row r="31" spans="1:14" ht="13.5" thickBot="1">
      <c r="A31" s="1021"/>
      <c r="B31" s="225"/>
      <c r="C31" s="236"/>
      <c r="D31" s="227"/>
      <c r="E31" s="235"/>
      <c r="F31" s="246"/>
      <c r="G31" s="247"/>
      <c r="H31" s="463"/>
      <c r="I31" s="1020"/>
      <c r="J31" s="224">
        <f>+'5'!J31</f>
        <v>0</v>
      </c>
      <c r="K31" s="249"/>
      <c r="L31" s="249"/>
      <c r="M31" s="126">
        <f>+K31+'5'!M31+L31</f>
        <v>0</v>
      </c>
      <c r="N31" s="164"/>
    </row>
    <row r="32" spans="1:14" ht="13.5" thickBot="1">
      <c r="A32" s="1022"/>
      <c r="B32" s="175" t="s">
        <v>2</v>
      </c>
      <c r="C32" s="108">
        <f>SUM(C25:C31)</f>
        <v>24680</v>
      </c>
      <c r="D32" s="109">
        <f>SUM(D25:D31)</f>
        <v>0</v>
      </c>
      <c r="E32" s="110">
        <f>SUM(E25:E31)</f>
        <v>0</v>
      </c>
      <c r="F32" s="111">
        <f>SUM(F24:F31)</f>
        <v>12</v>
      </c>
      <c r="G32" s="181"/>
      <c r="H32" s="182"/>
      <c r="I32" s="179"/>
      <c r="J32" s="224">
        <f>+'5'!J32</f>
        <v>0</v>
      </c>
      <c r="K32" s="251"/>
      <c r="L32" s="253"/>
      <c r="M32" s="126">
        <f>+K32+'5'!M32+L32</f>
        <v>0</v>
      </c>
    </row>
    <row r="33" spans="1:14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73584</v>
      </c>
      <c r="D34" s="116">
        <f>D14+D23+D32</f>
        <v>306</v>
      </c>
      <c r="E34" s="116">
        <f>E14+E23+E32</f>
        <v>0</v>
      </c>
      <c r="F34" s="117">
        <f>F14+F23+F32</f>
        <v>32</v>
      </c>
      <c r="H34" s="188"/>
      <c r="I34" s="188"/>
      <c r="J34" s="132" t="s">
        <v>28</v>
      </c>
      <c r="K34" s="133">
        <f>SUM(K7:K32)</f>
        <v>73584</v>
      </c>
      <c r="L34" s="222">
        <f>SUM(L7:L32)</f>
        <v>0</v>
      </c>
      <c r="M34" s="129">
        <f>SUM(M7:M32)</f>
        <v>277850</v>
      </c>
    </row>
    <row r="35" spans="1:14" ht="13.5" thickBot="1">
      <c r="A35" s="189"/>
      <c r="B35" s="190"/>
      <c r="C35" s="113">
        <f>C34/($C$34+$D$34+$E$34)</f>
        <v>0.99585870889159567</v>
      </c>
      <c r="D35" s="113">
        <f>D34/($C$34+$D$34+$E$34)</f>
        <v>4.1412911084043845E-3</v>
      </c>
      <c r="E35" s="118">
        <f>E34/($C$34+$D$34+$E$34)</f>
        <v>0</v>
      </c>
      <c r="K35" s="164"/>
      <c r="N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(16.5*1440)/1440*G42*2.77*1440/1000000</f>
        <v>82.636906967999991</v>
      </c>
      <c r="J37" s="134">
        <f>+I37+'5'!J37</f>
        <v>331.4605277773868</v>
      </c>
      <c r="K37" s="135" t="s">
        <v>63</v>
      </c>
    </row>
    <row r="38" spans="1:14" ht="17.45" customHeight="1">
      <c r="A38" s="1013" t="s">
        <v>12</v>
      </c>
      <c r="B38" s="1014"/>
      <c r="C38" s="173">
        <f>SUMIF($G$7:$G$31,"Process",$F$7:$F$31)</f>
        <v>32</v>
      </c>
      <c r="D38" s="127">
        <f>+C38+'5'!D38</f>
        <v>404</v>
      </c>
      <c r="E38" s="152">
        <f t="shared" ref="E38:E51" si="0">D38/60</f>
        <v>6.7333333333333334</v>
      </c>
      <c r="F38" s="338">
        <v>1260</v>
      </c>
      <c r="G38" s="338">
        <f>+F38-F38*0.0035</f>
        <v>1255.5899999999999</v>
      </c>
      <c r="H38" s="197" t="s">
        <v>64</v>
      </c>
      <c r="I38" s="554">
        <f>26.987+26.305+24.779</f>
        <v>78.070999999999998</v>
      </c>
      <c r="J38" s="136">
        <f>+I38+'5'!J38</f>
        <v>310.33799999999997</v>
      </c>
      <c r="K38" s="137" t="s">
        <v>63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+C39+'5'!D39</f>
        <v>0</v>
      </c>
      <c r="E39" s="152">
        <f t="shared" si="0"/>
        <v>0</v>
      </c>
      <c r="F39" s="338">
        <v>1260</v>
      </c>
      <c r="G39" s="338">
        <f>+F39-F39*0.0035</f>
        <v>1255.5899999999999</v>
      </c>
      <c r="H39" s="197" t="s">
        <v>65</v>
      </c>
      <c r="I39" s="151"/>
      <c r="J39" s="138">
        <f>J37/G4</f>
        <v>55.243421296231134</v>
      </c>
      <c r="K39" s="139" t="s">
        <v>63</v>
      </c>
      <c r="N39" s="566"/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+C40+'5'!D40</f>
        <v>39</v>
      </c>
      <c r="E40" s="152">
        <f t="shared" si="0"/>
        <v>0.65</v>
      </c>
      <c r="F40" s="338">
        <v>1260</v>
      </c>
      <c r="G40" s="338">
        <f>+F40-F40*0.0035</f>
        <v>1255.5899999999999</v>
      </c>
      <c r="H40" s="197" t="s">
        <v>67</v>
      </c>
      <c r="I40" s="127">
        <f>(K34+L34)/1000</f>
        <v>73.584000000000003</v>
      </c>
      <c r="J40" s="140">
        <f>+I40+'5'!J40</f>
        <v>277.85000000000002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+C41+'5'!D41</f>
        <v>15</v>
      </c>
      <c r="E41" s="152">
        <f t="shared" si="0"/>
        <v>0.25</v>
      </c>
      <c r="F41" s="338"/>
      <c r="G41" s="338"/>
      <c r="H41" s="197" t="s">
        <v>69</v>
      </c>
      <c r="I41" s="151"/>
      <c r="J41" s="138">
        <f>J40/G4</f>
        <v>46.308333333333337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+C42+'5'!D42</f>
        <v>0</v>
      </c>
      <c r="E42" s="152">
        <f t="shared" si="0"/>
        <v>0</v>
      </c>
      <c r="F42" s="338">
        <f>+(F38*480+F39*480+F40*480)/1440</f>
        <v>1260</v>
      </c>
      <c r="G42" s="338">
        <f>+(G38*480+G39*480+G40*480)/1440</f>
        <v>1255.5899999999999</v>
      </c>
      <c r="H42" s="197" t="s">
        <v>70</v>
      </c>
      <c r="I42" s="256" t="s">
        <v>551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+C43+'5'!D43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+Report1!T14</f>
        <v>165.83600000000001</v>
      </c>
      <c r="J43" s="142">
        <f>+I43+'5'!J43</f>
        <v>742.54499999999996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+C44+'5'!D44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2.1241690256305161</v>
      </c>
      <c r="J44" s="143">
        <f>J43/J38</f>
        <v>2.3926976393480657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+C45+'5'!D45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2.2536964557512502</v>
      </c>
      <c r="J45" s="143">
        <f>J43/J40</f>
        <v>2.6724671585387796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+C46+'5'!D46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+SUMIF(Listrik!AR13,"&gt;0")</f>
        <v>57108.979999996671</v>
      </c>
      <c r="J46" s="144">
        <f>+I46+'5'!J46</f>
        <v>275422.31999999669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+C47+'5'!D47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731.50055718508372</v>
      </c>
      <c r="J47" s="144">
        <f>J46/J38</f>
        <v>887.4914448117753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+C48+'5'!D48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776.10594694494273</v>
      </c>
      <c r="J48" s="144">
        <f>J46/J40</f>
        <v>991.26262371782138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+C49+'5'!D49</f>
        <v>0</v>
      </c>
      <c r="E49" s="152">
        <f t="shared" si="0"/>
        <v>0</v>
      </c>
      <c r="F49" s="195"/>
      <c r="H49" s="198" t="s">
        <v>184</v>
      </c>
      <c r="I49" s="127">
        <v>0</v>
      </c>
      <c r="J49" s="144">
        <f>+I49+'5'!J49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+C50+'5'!D50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+C51+'5'!D51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32</v>
      </c>
      <c r="D52" s="153">
        <f>SUM(D38:D51)</f>
        <v>1548</v>
      </c>
      <c r="E52" s="154">
        <f>SUM(E38:E51)</f>
        <v>25.8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2.2222222222222223E-2</v>
      </c>
      <c r="D53" s="155">
        <f>D52/(24*60*G4)</f>
        <v>0.17916666666666667</v>
      </c>
      <c r="E53" s="156">
        <f>E52/(G4*24)</f>
        <v>0.17916666666666667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+D34+'5'!J56</f>
        <v>6181</v>
      </c>
      <c r="K56" s="211">
        <f>J56/(J40+J56/1000)/1000</f>
        <v>2.1761709109216952E-2</v>
      </c>
    </row>
    <row r="57" spans="1:11">
      <c r="A57" s="186"/>
      <c r="I57" s="209" t="s">
        <v>89</v>
      </c>
      <c r="J57" s="210">
        <f>+E34+'5'!J57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1"/>
  <sheetViews>
    <sheetView view="pageBreakPreview" zoomScale="80" zoomScaleNormal="75" zoomScaleSheetLayoutView="80" workbookViewId="0">
      <selection activeCell="A24" sqref="A24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4" style="158" customWidth="1"/>
    <col min="12" max="12" width="8.28515625" style="158" customWidth="1"/>
    <col min="13" max="13" width="15.5703125" style="158" bestFit="1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30</v>
      </c>
      <c r="G4" s="163">
        <v>5</v>
      </c>
      <c r="H4" s="163" t="str">
        <f>+'1'!H4</f>
        <v>.06.24</v>
      </c>
    </row>
    <row r="5" spans="1:18" ht="13.5" thickBot="1">
      <c r="C5" s="164"/>
      <c r="D5" s="164"/>
    </row>
    <row r="6" spans="1:18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215+250+240</f>
        <v>705</v>
      </c>
    </row>
    <row r="7" spans="1:18" ht="13.5" customHeight="1" thickBot="1">
      <c r="A7" s="1015" t="s">
        <v>485</v>
      </c>
      <c r="B7" s="225" t="s">
        <v>495</v>
      </c>
      <c r="C7" s="226">
        <v>14710</v>
      </c>
      <c r="D7" s="227">
        <v>1061</v>
      </c>
      <c r="E7" s="228"/>
      <c r="F7" s="238">
        <v>10</v>
      </c>
      <c r="G7" s="239" t="s">
        <v>12</v>
      </c>
      <c r="H7" s="240" t="s">
        <v>522</v>
      </c>
      <c r="I7" s="1018" t="s">
        <v>515</v>
      </c>
      <c r="J7" s="224" t="str">
        <f>+'4'!J7</f>
        <v>F 13,5 VP OW</v>
      </c>
      <c r="K7" s="248"/>
      <c r="L7" s="252"/>
      <c r="M7" s="126">
        <f>+K7+'4'!M7+L7</f>
        <v>97821</v>
      </c>
    </row>
    <row r="8" spans="1:18" ht="13.5" thickBot="1">
      <c r="A8" s="1016"/>
      <c r="B8" s="225"/>
      <c r="C8" s="226"/>
      <c r="D8" s="227"/>
      <c r="E8" s="229"/>
      <c r="F8" s="241">
        <v>10</v>
      </c>
      <c r="G8" s="242" t="s">
        <v>12</v>
      </c>
      <c r="H8" s="240" t="s">
        <v>482</v>
      </c>
      <c r="I8" s="1019"/>
      <c r="J8" s="224" t="str">
        <f>+'4'!J8</f>
        <v>F 13 VP OW</v>
      </c>
      <c r="K8" s="249">
        <f>+C7+C16</f>
        <v>21836</v>
      </c>
      <c r="L8" s="249"/>
      <c r="M8" s="126">
        <f>+K8+'4'!M8+L8</f>
        <v>71398</v>
      </c>
    </row>
    <row r="9" spans="1:18" ht="13.5" thickBot="1">
      <c r="A9" s="1016"/>
      <c r="B9" s="225"/>
      <c r="C9" s="226"/>
      <c r="D9" s="227"/>
      <c r="E9" s="230"/>
      <c r="F9" s="238">
        <v>12</v>
      </c>
      <c r="G9" s="242" t="s">
        <v>12</v>
      </c>
      <c r="H9" s="596" t="s">
        <v>538</v>
      </c>
      <c r="I9" s="1019"/>
      <c r="J9" s="224" t="s">
        <v>543</v>
      </c>
      <c r="K9" s="249">
        <f>+C17+C25</f>
        <v>35047</v>
      </c>
      <c r="L9" s="249"/>
      <c r="M9" s="126">
        <f>+K9+'4'!M9+L9</f>
        <v>35047</v>
      </c>
      <c r="N9" s="158">
        <v>1570</v>
      </c>
      <c r="O9" s="158">
        <f>+N9-N9*0.24</f>
        <v>1193.2</v>
      </c>
      <c r="P9" s="158">
        <v>480</v>
      </c>
      <c r="Q9" s="158">
        <f>+N9*P9</f>
        <v>753600</v>
      </c>
      <c r="R9" s="158">
        <f>+O9*P9</f>
        <v>572736</v>
      </c>
    </row>
    <row r="10" spans="1:18" ht="13.5" thickBot="1">
      <c r="A10" s="1016"/>
      <c r="B10" s="225"/>
      <c r="C10" s="226"/>
      <c r="D10" s="227"/>
      <c r="E10" s="229"/>
      <c r="F10" s="238"/>
      <c r="G10" s="242"/>
      <c r="H10" s="596" t="s">
        <v>533</v>
      </c>
      <c r="I10" s="1019"/>
      <c r="J10" s="224" t="s">
        <v>549</v>
      </c>
      <c r="K10" s="249"/>
      <c r="L10" s="249"/>
      <c r="M10" s="126">
        <f>+K10+'4'!M10+L10</f>
        <v>0</v>
      </c>
      <c r="N10" s="158">
        <v>1630</v>
      </c>
      <c r="O10" s="158">
        <f>+N10-N10*0.24</f>
        <v>1238.8</v>
      </c>
      <c r="P10" s="158">
        <v>60</v>
      </c>
      <c r="Q10" s="158">
        <f>+N10*P10</f>
        <v>97800</v>
      </c>
      <c r="R10" s="158">
        <f>+O10*P10</f>
        <v>74328</v>
      </c>
    </row>
    <row r="11" spans="1:18" ht="13.5" thickBot="1">
      <c r="A11" s="1016"/>
      <c r="B11" s="225"/>
      <c r="C11" s="226"/>
      <c r="D11" s="227"/>
      <c r="E11" s="229"/>
      <c r="F11" s="238"/>
      <c r="G11" s="242"/>
      <c r="H11" s="243" t="s">
        <v>471</v>
      </c>
      <c r="I11" s="1019"/>
      <c r="J11" s="224">
        <f>+'4'!J11</f>
        <v>0</v>
      </c>
      <c r="K11" s="249"/>
      <c r="L11" s="249"/>
      <c r="M11" s="126">
        <f>+K11+'4'!M11+L11</f>
        <v>0</v>
      </c>
      <c r="P11" s="158">
        <f>SUM(P9:P10)</f>
        <v>540</v>
      </c>
      <c r="Q11" s="158">
        <f>SUM(Q9:Q10)</f>
        <v>851400</v>
      </c>
      <c r="R11" s="158">
        <f>SUM(R9:R10)</f>
        <v>647064</v>
      </c>
    </row>
    <row r="12" spans="1:18" ht="13.5" thickBot="1">
      <c r="A12" s="1016"/>
      <c r="B12" s="225"/>
      <c r="C12" s="226"/>
      <c r="D12" s="227"/>
      <c r="E12" s="229"/>
      <c r="F12" s="238"/>
      <c r="G12" s="242"/>
      <c r="H12" s="243"/>
      <c r="I12" s="1019"/>
      <c r="J12" s="224">
        <f>+'4'!J12</f>
        <v>0</v>
      </c>
      <c r="K12" s="249"/>
      <c r="L12" s="249"/>
      <c r="M12" s="126">
        <f>+K12+'4'!M12+L12</f>
        <v>0</v>
      </c>
      <c r="Q12" s="158">
        <f>+Q11/P11</f>
        <v>1576.6666666666667</v>
      </c>
      <c r="R12" s="158">
        <f>+R11/P11</f>
        <v>1198.2666666666667</v>
      </c>
    </row>
    <row r="13" spans="1:18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>
        <f>+'4'!J13</f>
        <v>0</v>
      </c>
      <c r="K13" s="249"/>
      <c r="L13" s="249"/>
      <c r="M13" s="126">
        <f>+K13+'4'!M13+L13</f>
        <v>0</v>
      </c>
    </row>
    <row r="14" spans="1:18" ht="13.5" thickBot="1">
      <c r="A14" s="1017"/>
      <c r="B14" s="175" t="s">
        <v>2</v>
      </c>
      <c r="C14" s="108">
        <f>SUM(C7:C13)</f>
        <v>14710</v>
      </c>
      <c r="D14" s="120">
        <f>SUM(D7:D13)</f>
        <v>1061</v>
      </c>
      <c r="E14" s="121">
        <f>SUM(E5:E13)</f>
        <v>0</v>
      </c>
      <c r="F14" s="125">
        <f>SUM(F7:F13)</f>
        <v>32</v>
      </c>
      <c r="G14" s="168"/>
      <c r="H14" s="176"/>
      <c r="I14" s="177"/>
      <c r="J14" s="224">
        <f>+'4'!J14</f>
        <v>0</v>
      </c>
      <c r="K14" s="249"/>
      <c r="L14" s="249"/>
      <c r="M14" s="126">
        <f>+K14+'4'!M14+L14</f>
        <v>0</v>
      </c>
    </row>
    <row r="15" spans="1:18" ht="13.5" customHeight="1" thickBot="1">
      <c r="A15" s="1015" t="s">
        <v>450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534</v>
      </c>
      <c r="J15" s="224">
        <f>+'4'!J15</f>
        <v>0</v>
      </c>
      <c r="K15" s="249"/>
      <c r="L15" s="249"/>
      <c r="M15" s="126">
        <f>+K15+'4'!M15+L15</f>
        <v>0</v>
      </c>
    </row>
    <row r="16" spans="1:18" ht="13.5" thickBot="1">
      <c r="A16" s="1021"/>
      <c r="B16" s="225" t="s">
        <v>495</v>
      </c>
      <c r="C16" s="232">
        <f>3405+3721</f>
        <v>7126</v>
      </c>
      <c r="D16" s="233"/>
      <c r="E16" s="234"/>
      <c r="F16" s="238"/>
      <c r="G16" s="242" t="s">
        <v>12</v>
      </c>
      <c r="H16" s="240" t="s">
        <v>446</v>
      </c>
      <c r="I16" s="1019"/>
      <c r="J16" s="224">
        <f>+'4'!J16</f>
        <v>0</v>
      </c>
      <c r="K16" s="249"/>
      <c r="L16" s="239"/>
      <c r="M16" s="126">
        <f>+K16+'4'!M16+L16</f>
        <v>0</v>
      </c>
    </row>
    <row r="17" spans="1:24" ht="13.5" thickBot="1">
      <c r="A17" s="1021"/>
      <c r="B17" s="225" t="s">
        <v>543</v>
      </c>
      <c r="C17" s="226">
        <f>516+2857+6599</f>
        <v>9972</v>
      </c>
      <c r="D17" s="227">
        <v>320</v>
      </c>
      <c r="E17" s="235"/>
      <c r="F17" s="238">
        <v>2</v>
      </c>
      <c r="G17" s="242" t="s">
        <v>12</v>
      </c>
      <c r="H17" s="596" t="s">
        <v>539</v>
      </c>
      <c r="I17" s="1019"/>
      <c r="J17" s="224">
        <f>+'4'!J17</f>
        <v>0</v>
      </c>
      <c r="K17" s="249"/>
      <c r="L17" s="239"/>
      <c r="M17" s="126">
        <f>+K17+'4'!M17+L17</f>
        <v>0</v>
      </c>
      <c r="N17" s="158">
        <v>1630</v>
      </c>
      <c r="O17" s="158">
        <f>+N17-N17*0.0035</f>
        <v>1624.2950000000001</v>
      </c>
      <c r="P17" s="158">
        <v>60</v>
      </c>
      <c r="Q17" s="158">
        <f>+N17*P17</f>
        <v>97800</v>
      </c>
      <c r="R17" s="158">
        <f>+O17*P17</f>
        <v>97457.700000000012</v>
      </c>
    </row>
    <row r="18" spans="1:24" ht="13.5" thickBot="1">
      <c r="A18" s="1021"/>
      <c r="B18" s="225"/>
      <c r="C18" s="226"/>
      <c r="D18" s="227"/>
      <c r="E18" s="235"/>
      <c r="F18" s="238"/>
      <c r="G18" s="242"/>
      <c r="H18" s="596" t="s">
        <v>529</v>
      </c>
      <c r="I18" s="1019"/>
      <c r="J18" s="224">
        <f>+'4'!J18</f>
        <v>0</v>
      </c>
      <c r="K18" s="249"/>
      <c r="L18" s="249"/>
      <c r="M18" s="126">
        <f>+K18+'4'!M18+L18</f>
        <v>0</v>
      </c>
      <c r="N18" s="158">
        <v>1210</v>
      </c>
      <c r="O18" s="158">
        <f>+N18-N18*0.0035</f>
        <v>1205.7650000000001</v>
      </c>
      <c r="P18" s="158">
        <v>420</v>
      </c>
      <c r="Q18" s="158">
        <f>+N18*P18</f>
        <v>508200</v>
      </c>
      <c r="R18" s="158">
        <f>+O18*P18</f>
        <v>506421.30000000005</v>
      </c>
    </row>
    <row r="19" spans="1:24" ht="13.5" thickBot="1">
      <c r="A19" s="1021"/>
      <c r="B19" s="225"/>
      <c r="C19" s="226"/>
      <c r="D19" s="227"/>
      <c r="E19" s="235" t="s">
        <v>479</v>
      </c>
      <c r="F19" s="238">
        <v>10</v>
      </c>
      <c r="G19" s="242" t="s">
        <v>12</v>
      </c>
      <c r="H19" s="243" t="s">
        <v>531</v>
      </c>
      <c r="I19" s="1019"/>
      <c r="J19" s="224">
        <f>+'4'!J19</f>
        <v>0</v>
      </c>
      <c r="K19" s="249"/>
      <c r="L19" s="249"/>
      <c r="M19" s="126">
        <f>+K19+'4'!M19+L19</f>
        <v>0</v>
      </c>
      <c r="P19" s="158">
        <f>SUM(P17:P18)</f>
        <v>480</v>
      </c>
      <c r="Q19" s="158">
        <f>SUM(Q17:Q18)</f>
        <v>606000</v>
      </c>
      <c r="R19" s="158">
        <f>SUM(R17:R18)</f>
        <v>603879</v>
      </c>
    </row>
    <row r="20" spans="1:24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+'4'!J20</f>
        <v>0</v>
      </c>
      <c r="K20" s="250"/>
      <c r="L20" s="250"/>
      <c r="M20" s="126">
        <f>+K20+'4'!M20+L20</f>
        <v>0</v>
      </c>
      <c r="Q20" s="158">
        <f>+Q19/P19</f>
        <v>1262.5</v>
      </c>
      <c r="R20" s="158">
        <f>+R19/P19</f>
        <v>1258.08125</v>
      </c>
      <c r="T20" s="158" t="s">
        <v>536</v>
      </c>
    </row>
    <row r="21" spans="1:24" ht="13.5" customHeight="1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+'4'!J21</f>
        <v>0</v>
      </c>
      <c r="K21" s="249"/>
      <c r="L21" s="249"/>
      <c r="M21" s="126">
        <f>+K21+'4'!M21+L21</f>
        <v>0</v>
      </c>
      <c r="T21" s="158">
        <v>1210</v>
      </c>
      <c r="U21" s="158">
        <f>+T21-T21*0.0035</f>
        <v>1205.7650000000001</v>
      </c>
      <c r="V21" s="158">
        <v>420</v>
      </c>
      <c r="W21" s="158">
        <v>508200</v>
      </c>
      <c r="X21" s="158">
        <v>386232</v>
      </c>
    </row>
    <row r="22" spans="1:2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+'4'!J22</f>
        <v>0</v>
      </c>
      <c r="K22" s="249"/>
      <c r="L22" s="249"/>
      <c r="M22" s="126">
        <f>+K22+'4'!M22+L22</f>
        <v>0</v>
      </c>
      <c r="T22" s="158">
        <v>1245</v>
      </c>
      <c r="U22" s="158">
        <f>+T22-T22*0.0035</f>
        <v>1240.6424999999999</v>
      </c>
      <c r="V22" s="158">
        <v>331</v>
      </c>
      <c r="W22" s="158">
        <v>412095</v>
      </c>
      <c r="X22" s="158">
        <v>313192.2</v>
      </c>
    </row>
    <row r="23" spans="1:24" ht="13.5" thickBot="1">
      <c r="A23" s="1022"/>
      <c r="B23" s="178" t="s">
        <v>2</v>
      </c>
      <c r="C23" s="109">
        <f>SUM(C16:C22)</f>
        <v>17098</v>
      </c>
      <c r="D23" s="120">
        <f>SUM(D16:D22)</f>
        <v>320</v>
      </c>
      <c r="E23" s="121">
        <f>SUM(E18:E22)</f>
        <v>0</v>
      </c>
      <c r="F23" s="125">
        <f>SUM(F15:F22)</f>
        <v>12</v>
      </c>
      <c r="G23" s="168"/>
      <c r="H23" s="176" t="s">
        <v>234</v>
      </c>
      <c r="I23" s="179"/>
      <c r="J23" s="224">
        <f>+'4'!J23</f>
        <v>0</v>
      </c>
      <c r="K23" s="249"/>
      <c r="L23" s="249"/>
      <c r="M23" s="126">
        <f>+K23+'4'!M23+L23</f>
        <v>0</v>
      </c>
      <c r="V23" s="158">
        <f>SUM(V21:V22)</f>
        <v>751</v>
      </c>
      <c r="W23" s="158">
        <f>SUM(W21:W22)</f>
        <v>920295</v>
      </c>
      <c r="X23" s="158">
        <f>SUM(X21:X22)</f>
        <v>699424.2</v>
      </c>
    </row>
    <row r="24" spans="1:24" ht="13.5" customHeight="1" thickBot="1">
      <c r="A24" s="1015" t="s">
        <v>449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535</v>
      </c>
      <c r="J24" s="224">
        <f>+'4'!J24</f>
        <v>0</v>
      </c>
      <c r="K24" s="249"/>
      <c r="L24" s="249"/>
      <c r="M24" s="126">
        <f>+K24+'4'!M24+L24</f>
        <v>0</v>
      </c>
      <c r="W24" s="158">
        <f>+W23/V23</f>
        <v>1225.4260985352862</v>
      </c>
      <c r="X24" s="158">
        <f>+X23/V23</f>
        <v>931.32383488681751</v>
      </c>
    </row>
    <row r="25" spans="1:24" ht="13.5" thickBot="1">
      <c r="A25" s="1021"/>
      <c r="B25" s="225" t="s">
        <v>543</v>
      </c>
      <c r="C25" s="236">
        <v>25075</v>
      </c>
      <c r="D25" s="227">
        <v>156</v>
      </c>
      <c r="E25" s="235"/>
      <c r="F25" s="241">
        <v>1</v>
      </c>
      <c r="G25" s="242" t="s">
        <v>12</v>
      </c>
      <c r="H25" s="240" t="s">
        <v>521</v>
      </c>
      <c r="I25" s="1019"/>
      <c r="J25" s="224">
        <f>+'4'!J25</f>
        <v>0</v>
      </c>
      <c r="K25" s="249"/>
      <c r="L25" s="249"/>
      <c r="M25" s="126">
        <f>+K25+'4'!M25+L25</f>
        <v>0</v>
      </c>
    </row>
    <row r="26" spans="1:24" ht="13.5" thickBot="1">
      <c r="A26" s="1021"/>
      <c r="B26" s="225"/>
      <c r="C26" s="236"/>
      <c r="D26" s="227"/>
      <c r="E26" s="237"/>
      <c r="F26" s="241">
        <v>4</v>
      </c>
      <c r="G26" s="242" t="s">
        <v>12</v>
      </c>
      <c r="H26" s="596" t="s">
        <v>539</v>
      </c>
      <c r="I26" s="1019"/>
      <c r="J26" s="224">
        <f>+'4'!J26</f>
        <v>0</v>
      </c>
      <c r="K26" s="249"/>
      <c r="L26" s="249"/>
      <c r="M26" s="126">
        <f>+K26+'4'!M26+L26</f>
        <v>0</v>
      </c>
      <c r="N26" s="158">
        <v>1245</v>
      </c>
      <c r="O26" s="158">
        <f>+N26-N26*0.0035</f>
        <v>1240.6424999999999</v>
      </c>
      <c r="P26" s="158">
        <f>300+31</f>
        <v>331</v>
      </c>
      <c r="Q26" s="158">
        <f>+N26*P26</f>
        <v>412095</v>
      </c>
      <c r="R26" s="158">
        <f>+O26*P26</f>
        <v>410652.66749999998</v>
      </c>
    </row>
    <row r="27" spans="1:24" ht="13.5" thickBot="1">
      <c r="A27" s="1021"/>
      <c r="B27" s="225"/>
      <c r="C27" s="226"/>
      <c r="D27" s="227"/>
      <c r="E27" s="235"/>
      <c r="F27" s="241"/>
      <c r="G27" s="242"/>
      <c r="H27" s="596" t="s">
        <v>532</v>
      </c>
      <c r="I27" s="1019"/>
      <c r="J27" s="224">
        <f>+'4'!J27</f>
        <v>0</v>
      </c>
      <c r="K27" s="249"/>
      <c r="L27" s="249"/>
      <c r="M27" s="126">
        <f>+K27+'4'!M27+L27</f>
        <v>0</v>
      </c>
      <c r="N27" s="158">
        <v>1250</v>
      </c>
      <c r="O27" s="158">
        <f>+N27-N27*0.0035</f>
        <v>1245.625</v>
      </c>
      <c r="P27" s="158">
        <f>480-P26</f>
        <v>149</v>
      </c>
      <c r="Q27" s="158">
        <f>+N27*P27</f>
        <v>186250</v>
      </c>
      <c r="R27" s="158">
        <f>+O27*P27</f>
        <v>185598.125</v>
      </c>
    </row>
    <row r="28" spans="1:24" ht="13.5" thickBot="1">
      <c r="A28" s="1021"/>
      <c r="B28" s="225"/>
      <c r="C28" s="226"/>
      <c r="D28" s="227"/>
      <c r="E28" s="235" t="s">
        <v>479</v>
      </c>
      <c r="F28" s="241">
        <v>5</v>
      </c>
      <c r="G28" s="242" t="s">
        <v>12</v>
      </c>
      <c r="H28" s="243" t="s">
        <v>530</v>
      </c>
      <c r="I28" s="1019"/>
      <c r="J28" s="224">
        <f>+'4'!J28</f>
        <v>0</v>
      </c>
      <c r="K28" s="249"/>
      <c r="L28" s="249"/>
      <c r="M28" s="126">
        <f>+K28+'4'!M28+L28</f>
        <v>0</v>
      </c>
      <c r="P28" s="158">
        <f>SUM(P26:P27)</f>
        <v>480</v>
      </c>
      <c r="Q28" s="158">
        <f>SUM(Q26:Q27)</f>
        <v>598345</v>
      </c>
      <c r="R28" s="158">
        <f>SUM(R26:R27)</f>
        <v>596250.79249999998</v>
      </c>
    </row>
    <row r="29" spans="1:24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+'4'!J29</f>
        <v>0</v>
      </c>
      <c r="K29" s="249"/>
      <c r="L29" s="249"/>
      <c r="M29" s="126">
        <f>+K29+'4'!M29+L29</f>
        <v>0</v>
      </c>
      <c r="Q29" s="158">
        <f>+Q28/P28</f>
        <v>1246.5520833333333</v>
      </c>
      <c r="R29" s="158">
        <f>+R28/P28</f>
        <v>1242.1891510416667</v>
      </c>
    </row>
    <row r="30" spans="1:2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+'4'!J30</f>
        <v>0</v>
      </c>
      <c r="K30" s="249"/>
      <c r="L30" s="249"/>
      <c r="M30" s="126">
        <f>+K30+'4'!M30+L30</f>
        <v>0</v>
      </c>
      <c r="N30" s="164"/>
    </row>
    <row r="31" spans="1:24" ht="13.5" thickBot="1">
      <c r="A31" s="1021"/>
      <c r="B31" s="225"/>
      <c r="C31" s="236"/>
      <c r="D31" s="227"/>
      <c r="E31" s="235"/>
      <c r="F31" s="246"/>
      <c r="G31" s="247"/>
      <c r="H31" s="463"/>
      <c r="I31" s="1020"/>
      <c r="J31" s="224">
        <f>+'4'!J31</f>
        <v>0</v>
      </c>
      <c r="K31" s="249"/>
      <c r="L31" s="249"/>
      <c r="M31" s="126">
        <f>+K31+'4'!M31+L31</f>
        <v>0</v>
      </c>
    </row>
    <row r="32" spans="1:24" ht="13.5" thickBot="1">
      <c r="A32" s="1022"/>
      <c r="B32" s="175" t="s">
        <v>2</v>
      </c>
      <c r="C32" s="108">
        <f>SUM(C25:C31)</f>
        <v>25075</v>
      </c>
      <c r="D32" s="109">
        <f>SUM(D25:D31)</f>
        <v>156</v>
      </c>
      <c r="E32" s="110">
        <f>SUM(E25:E31)</f>
        <v>0</v>
      </c>
      <c r="F32" s="111">
        <f>SUM(F24:F31)</f>
        <v>10</v>
      </c>
      <c r="G32" s="181"/>
      <c r="H32" s="182"/>
      <c r="I32" s="179"/>
      <c r="J32" s="224">
        <f>+'4'!J32</f>
        <v>0</v>
      </c>
      <c r="K32" s="251"/>
      <c r="L32" s="253"/>
      <c r="M32" s="126">
        <f>+K32+'4'!M32+L32</f>
        <v>0</v>
      </c>
    </row>
    <row r="33" spans="1:14" ht="13.5" thickBot="1">
      <c r="A33" s="183"/>
      <c r="B33" s="184"/>
      <c r="C33" s="112">
        <f>C32/($C$32+$D$32+$E$32)</f>
        <v>0.99381712972137448</v>
      </c>
      <c r="D33" s="113">
        <f>D32/($C$32+$D$32+$E$32)</f>
        <v>6.1828702786255003E-3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56883</v>
      </c>
      <c r="D34" s="116">
        <f>D14+D23+D32</f>
        <v>1537</v>
      </c>
      <c r="E34" s="116">
        <f>E14+E23+E32</f>
        <v>0</v>
      </c>
      <c r="F34" s="117">
        <f>F14+F23+F32</f>
        <v>54</v>
      </c>
      <c r="H34" s="188"/>
      <c r="I34" s="188"/>
      <c r="J34" s="132" t="s">
        <v>28</v>
      </c>
      <c r="K34" s="133">
        <f>SUM(K7:K32)</f>
        <v>56883</v>
      </c>
      <c r="L34" s="222">
        <f>SUM(L7:L32)</f>
        <v>0</v>
      </c>
      <c r="M34" s="129">
        <f>SUM(M7:M32)</f>
        <v>204266</v>
      </c>
      <c r="N34" s="164"/>
    </row>
    <row r="35" spans="1:14" ht="13.5" thickBot="1">
      <c r="A35" s="189"/>
      <c r="B35" s="190"/>
      <c r="C35" s="113">
        <f>C34/($C$34+$D$34+$E$34)</f>
        <v>0.97369051694625131</v>
      </c>
      <c r="D35" s="113">
        <f>D34/($C$34+$D$34+$E$34)</f>
        <v>2.6309483053748715E-2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(13.5*540+17*751+16.5*149)/1440*G42*2.77*1440/1000000</f>
        <v>64.448520649386808</v>
      </c>
      <c r="J37" s="134">
        <f>+I37+'4'!J37</f>
        <v>248.8236208093868</v>
      </c>
      <c r="K37" s="135" t="s">
        <v>63</v>
      </c>
      <c r="L37" s="585">
        <f>2.588+0.594+19.788</f>
        <v>22.97</v>
      </c>
    </row>
    <row r="38" spans="1:14" ht="17.45" customHeight="1">
      <c r="A38" s="1013" t="s">
        <v>12</v>
      </c>
      <c r="B38" s="1014"/>
      <c r="C38" s="173">
        <f>SUMIF($G$7:$G$31,"Process",$F$7:$F$31)</f>
        <v>54</v>
      </c>
      <c r="D38" s="127">
        <f>+C38+'4'!D38</f>
        <v>372</v>
      </c>
      <c r="E38" s="152">
        <f t="shared" ref="E38:E51" si="0">D38/60</f>
        <v>6.2</v>
      </c>
      <c r="F38" s="338">
        <v>1570</v>
      </c>
      <c r="G38" s="338">
        <v>1193.2</v>
      </c>
      <c r="H38" s="197" t="s">
        <v>64</v>
      </c>
      <c r="I38" s="554">
        <f>19.788+23.546+25.258</f>
        <v>68.591999999999999</v>
      </c>
      <c r="J38" s="136">
        <f>+I38+'4'!J38</f>
        <v>232.267</v>
      </c>
      <c r="K38" s="137" t="s">
        <v>63</v>
      </c>
      <c r="L38" s="585">
        <f>+I38-L37-L39</f>
        <v>39.133000000000003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+C39+'4'!D39</f>
        <v>0</v>
      </c>
      <c r="E39" s="152">
        <f t="shared" si="0"/>
        <v>0</v>
      </c>
      <c r="F39" s="338">
        <v>1262.5</v>
      </c>
      <c r="G39" s="338">
        <v>959.5</v>
      </c>
      <c r="H39" s="197" t="s">
        <v>65</v>
      </c>
      <c r="I39" s="151"/>
      <c r="J39" s="138">
        <f>J37/G4</f>
        <v>49.764724161877361</v>
      </c>
      <c r="K39" s="139" t="s">
        <v>63</v>
      </c>
      <c r="L39" s="158">
        <f>2.504+3.985</f>
        <v>6.4889999999999999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+C40+'4'!D40</f>
        <v>39</v>
      </c>
      <c r="E40" s="152">
        <f t="shared" si="0"/>
        <v>0.65</v>
      </c>
      <c r="F40" s="338">
        <v>1246.5520833333333</v>
      </c>
      <c r="G40" s="338">
        <v>947.37958333333336</v>
      </c>
      <c r="H40" s="197" t="s">
        <v>67</v>
      </c>
      <c r="I40" s="127">
        <f>(K34+L34)/1000</f>
        <v>56.883000000000003</v>
      </c>
      <c r="J40" s="140">
        <f>+I40+'4'!J40</f>
        <v>204.26600000000002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+C41+'4'!D41</f>
        <v>15</v>
      </c>
      <c r="E41" s="152">
        <f t="shared" si="0"/>
        <v>0.25</v>
      </c>
      <c r="F41" s="338"/>
      <c r="G41" s="338"/>
      <c r="H41" s="197" t="s">
        <v>69</v>
      </c>
      <c r="I41" s="151"/>
      <c r="J41" s="138">
        <f>J40/G4</f>
        <v>40.853200000000001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+C42+'4'!D42</f>
        <v>0</v>
      </c>
      <c r="E42" s="152">
        <f t="shared" si="0"/>
        <v>0</v>
      </c>
      <c r="F42" s="338">
        <f>+(F38*480+F39*480+F40*480)/1440</f>
        <v>1359.6840277777778</v>
      </c>
      <c r="G42" s="338">
        <f>+(G38*480+G39*480+G40*480)/1440</f>
        <v>1033.3598611111111</v>
      </c>
      <c r="H42" s="197" t="s">
        <v>70</v>
      </c>
      <c r="I42" s="256" t="s">
        <v>537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+C43+'4'!D43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+Report1!T13</f>
        <v>151.25399999999999</v>
      </c>
      <c r="J43" s="142">
        <f>+I43+'4'!J43</f>
        <v>576.70899999999995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+C44+'4'!D44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2.2051259622113366</v>
      </c>
      <c r="J44" s="143">
        <f>J43/J38</f>
        <v>2.4829571140110303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+C45+'4'!D45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2.6590369706239119</v>
      </c>
      <c r="J45" s="143">
        <f>J43/J40</f>
        <v>2.8233235095414795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+C46+'4'!D46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+SUMIF(Listrik!AR12,"&gt;0")</f>
        <v>56307.900000002257</v>
      </c>
      <c r="J46" s="144">
        <f>+I46+'4'!J46</f>
        <v>218313.34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+C47+'4'!D47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820.91060181948706</v>
      </c>
      <c r="J47" s="144">
        <f>J46/J38</f>
        <v>939.92405292185288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+C48+'4'!D48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989.88977374615001</v>
      </c>
      <c r="J48" s="144">
        <f>J46/J40</f>
        <v>1068.7698393271517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+C49+'4'!D49</f>
        <v>0</v>
      </c>
      <c r="E49" s="152">
        <f t="shared" si="0"/>
        <v>0</v>
      </c>
      <c r="F49" s="195"/>
      <c r="H49" s="198" t="s">
        <v>184</v>
      </c>
      <c r="I49" s="127">
        <v>0</v>
      </c>
      <c r="J49" s="144">
        <f>+I49+'4'!J49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+C50+'4'!D50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+C51+'4'!D51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54</v>
      </c>
      <c r="D52" s="153">
        <f>SUM(D38:D51)</f>
        <v>1516</v>
      </c>
      <c r="E52" s="154">
        <f>SUM(E38:E51)</f>
        <v>25.266666666666669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3.7499999999999999E-2</v>
      </c>
      <c r="D53" s="155">
        <f>D52/(24*60*G4)</f>
        <v>0.21055555555555555</v>
      </c>
      <c r="E53" s="156">
        <f>E52/(G4*24)</f>
        <v>0.21055555555555558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+D34+'4'!J56</f>
        <v>5875</v>
      </c>
      <c r="K56" s="211">
        <f>J56/(J40+J56/1000)/1000</f>
        <v>2.7957419066245992E-2</v>
      </c>
    </row>
    <row r="57" spans="1:11">
      <c r="A57" s="186"/>
      <c r="I57" s="209" t="s">
        <v>89</v>
      </c>
      <c r="J57" s="210">
        <f>+E34+'4'!J57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4027777777777778" header="0" footer="0"/>
  <pageSetup paperSize="9" scale="63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4" style="158" bestFit="1" customWidth="1"/>
    <col min="12" max="12" width="8.28515625" style="158" customWidth="1"/>
    <col min="13" max="13" width="14.5703125" style="158" bestFit="1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30</v>
      </c>
      <c r="G4" s="163">
        <v>4</v>
      </c>
      <c r="H4" s="163" t="str">
        <f>+'1'!H4</f>
        <v>.06.24</v>
      </c>
    </row>
    <row r="5" spans="1:18" ht="13.5" thickBot="1">
      <c r="C5" s="164"/>
      <c r="D5" s="164"/>
    </row>
    <row r="6" spans="1:18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296+181+205</f>
        <v>682</v>
      </c>
    </row>
    <row r="7" spans="1:18" ht="13.5" customHeight="1" thickBot="1">
      <c r="A7" s="1015" t="s">
        <v>485</v>
      </c>
      <c r="B7" s="225" t="s">
        <v>495</v>
      </c>
      <c r="C7" s="226">
        <v>7216</v>
      </c>
      <c r="D7" s="227">
        <v>2560</v>
      </c>
      <c r="E7" s="228"/>
      <c r="F7" s="238">
        <v>45</v>
      </c>
      <c r="G7" s="239" t="s">
        <v>12</v>
      </c>
      <c r="H7" s="240" t="s">
        <v>496</v>
      </c>
      <c r="I7" s="1018" t="s">
        <v>515</v>
      </c>
      <c r="J7" s="224" t="str">
        <f>+'3'!J7</f>
        <v>F 13,5 VP OW</v>
      </c>
      <c r="K7" s="248"/>
      <c r="L7" s="252"/>
      <c r="M7" s="126">
        <f>+K7+'3'!M7+L7</f>
        <v>97821</v>
      </c>
    </row>
    <row r="8" spans="1:18" ht="13.5" thickBot="1">
      <c r="A8" s="1016"/>
      <c r="B8" s="225"/>
      <c r="C8" s="226"/>
      <c r="D8" s="227"/>
      <c r="E8" s="229"/>
      <c r="F8" s="241">
        <v>9</v>
      </c>
      <c r="G8" s="242" t="s">
        <v>12</v>
      </c>
      <c r="H8" s="240" t="s">
        <v>519</v>
      </c>
      <c r="I8" s="1019"/>
      <c r="J8" s="224" t="str">
        <f>+'3'!J8</f>
        <v>F 13 VP OW</v>
      </c>
      <c r="K8" s="249">
        <f>+C34</f>
        <v>43804</v>
      </c>
      <c r="L8" s="249"/>
      <c r="M8" s="126">
        <f>+K8+'3'!M8+L8</f>
        <v>49562</v>
      </c>
      <c r="N8" s="158">
        <v>1600</v>
      </c>
      <c r="O8" s="158">
        <f>+N8-N8*0.24</f>
        <v>1216</v>
      </c>
      <c r="P8" s="158">
        <v>300</v>
      </c>
      <c r="Q8" s="158">
        <f>+N8*P8</f>
        <v>480000</v>
      </c>
      <c r="R8" s="158">
        <f>+O8*P8</f>
        <v>364800</v>
      </c>
    </row>
    <row r="9" spans="1:18" ht="13.5" thickBot="1">
      <c r="A9" s="1016"/>
      <c r="B9" s="225"/>
      <c r="C9" s="226"/>
      <c r="D9" s="227"/>
      <c r="E9" s="230"/>
      <c r="F9" s="238">
        <v>15</v>
      </c>
      <c r="G9" s="242" t="s">
        <v>12</v>
      </c>
      <c r="H9" s="596" t="s">
        <v>520</v>
      </c>
      <c r="I9" s="1019"/>
      <c r="J9" s="224">
        <f>+'3'!J9</f>
        <v>0</v>
      </c>
      <c r="K9" s="249"/>
      <c r="L9" s="249"/>
      <c r="M9" s="126">
        <f>+K9+'3'!M9+L9</f>
        <v>0</v>
      </c>
      <c r="N9" s="158">
        <v>1520</v>
      </c>
      <c r="O9" s="158">
        <f>+N9-N9*0.24</f>
        <v>1155.2</v>
      </c>
      <c r="P9" s="158">
        <v>180</v>
      </c>
      <c r="Q9" s="158">
        <f>+N9*P9</f>
        <v>273600</v>
      </c>
      <c r="R9" s="158">
        <f>+O9*P9</f>
        <v>207936</v>
      </c>
    </row>
    <row r="10" spans="1:18" ht="13.5" thickBot="1">
      <c r="A10" s="1016"/>
      <c r="B10" s="225"/>
      <c r="C10" s="226"/>
      <c r="D10" s="227"/>
      <c r="E10" s="229"/>
      <c r="F10" s="238"/>
      <c r="G10" s="242"/>
      <c r="H10" s="596" t="s">
        <v>510</v>
      </c>
      <c r="I10" s="1019"/>
      <c r="J10" s="224">
        <f>+'3'!J10</f>
        <v>0</v>
      </c>
      <c r="K10" s="249"/>
      <c r="L10" s="249"/>
      <c r="M10" s="126">
        <f>+K10+'3'!M10+L10</f>
        <v>0</v>
      </c>
      <c r="P10" s="158">
        <f>SUM(P8:P9)</f>
        <v>480</v>
      </c>
      <c r="Q10" s="158">
        <f>SUM(Q8:Q9)</f>
        <v>753600</v>
      </c>
      <c r="R10" s="158">
        <f>SUM(R8:R9)</f>
        <v>572736</v>
      </c>
    </row>
    <row r="11" spans="1:18" ht="13.5" thickBot="1">
      <c r="A11" s="1016"/>
      <c r="B11" s="225"/>
      <c r="C11" s="226"/>
      <c r="D11" s="227"/>
      <c r="E11" s="229"/>
      <c r="F11" s="238"/>
      <c r="G11" s="242"/>
      <c r="H11" s="596" t="s">
        <v>471</v>
      </c>
      <c r="I11" s="1019"/>
      <c r="J11" s="224">
        <f>+'3'!J11</f>
        <v>0</v>
      </c>
      <c r="K11" s="249"/>
      <c r="L11" s="249"/>
      <c r="M11" s="126">
        <f>+K11+'3'!M11+L11</f>
        <v>0</v>
      </c>
      <c r="Q11" s="158">
        <f>+Q10/P10</f>
        <v>1570</v>
      </c>
      <c r="R11" s="158">
        <f>+R10/P10</f>
        <v>1193.2</v>
      </c>
    </row>
    <row r="12" spans="1:18" ht="13.5" thickBot="1">
      <c r="A12" s="1016"/>
      <c r="B12" s="225"/>
      <c r="C12" s="226"/>
      <c r="D12" s="227"/>
      <c r="E12" s="229"/>
      <c r="F12" s="238"/>
      <c r="G12" s="242"/>
      <c r="H12" s="243" t="s">
        <v>511</v>
      </c>
      <c r="I12" s="1019"/>
      <c r="J12" s="224">
        <f>+'3'!J12</f>
        <v>0</v>
      </c>
      <c r="K12" s="249"/>
      <c r="L12" s="249"/>
      <c r="M12" s="126">
        <f>+K12+'3'!M12+L12</f>
        <v>0</v>
      </c>
    </row>
    <row r="13" spans="1:18" ht="26.25" thickBot="1">
      <c r="A13" s="1016"/>
      <c r="B13" s="225"/>
      <c r="C13" s="226"/>
      <c r="D13" s="226"/>
      <c r="E13" s="229"/>
      <c r="F13" s="238"/>
      <c r="G13" s="242"/>
      <c r="H13" s="243" t="s">
        <v>514</v>
      </c>
      <c r="I13" s="1020"/>
      <c r="J13" s="224">
        <f>+'3'!J13</f>
        <v>0</v>
      </c>
      <c r="K13" s="249"/>
      <c r="L13" s="249"/>
      <c r="M13" s="126">
        <f>+K13+'3'!M13+L13</f>
        <v>0</v>
      </c>
    </row>
    <row r="14" spans="1:18" ht="13.5" thickBot="1">
      <c r="A14" s="1017"/>
      <c r="B14" s="175" t="s">
        <v>2</v>
      </c>
      <c r="C14" s="108">
        <f>SUM(C7:C13)</f>
        <v>7216</v>
      </c>
      <c r="D14" s="120">
        <f>SUM(D7:D13)</f>
        <v>2560</v>
      </c>
      <c r="E14" s="121">
        <f>SUM(E5:E13)</f>
        <v>0</v>
      </c>
      <c r="F14" s="125">
        <f>SUM(F7:F13)</f>
        <v>69</v>
      </c>
      <c r="G14" s="168"/>
      <c r="H14" s="176"/>
      <c r="I14" s="177"/>
      <c r="J14" s="224">
        <f>+'3'!J14</f>
        <v>0</v>
      </c>
      <c r="K14" s="249"/>
      <c r="L14" s="249"/>
      <c r="M14" s="126">
        <f>+K14+'3'!M14+L14</f>
        <v>0</v>
      </c>
    </row>
    <row r="15" spans="1:18" ht="13.5" customHeight="1" thickBot="1">
      <c r="A15" s="1015" t="s">
        <v>450</v>
      </c>
      <c r="B15" s="175"/>
      <c r="C15" s="122"/>
      <c r="D15" s="123"/>
      <c r="E15" s="124"/>
      <c r="F15" s="238">
        <v>10</v>
      </c>
      <c r="G15" s="239" t="s">
        <v>12</v>
      </c>
      <c r="H15" s="240" t="s">
        <v>522</v>
      </c>
      <c r="I15" s="1018" t="s">
        <v>490</v>
      </c>
      <c r="J15" s="224">
        <f>+'3'!J15</f>
        <v>0</v>
      </c>
      <c r="K15" s="249"/>
      <c r="L15" s="249"/>
      <c r="M15" s="126">
        <f>+K15+'3'!M15+L15</f>
        <v>0</v>
      </c>
    </row>
    <row r="16" spans="1:18" ht="13.5" thickBot="1">
      <c r="A16" s="1021"/>
      <c r="B16" s="225" t="s">
        <v>495</v>
      </c>
      <c r="C16" s="232">
        <v>18030</v>
      </c>
      <c r="D16" s="233">
        <v>990</v>
      </c>
      <c r="E16" s="234"/>
      <c r="F16" s="238">
        <v>2</v>
      </c>
      <c r="G16" s="242" t="s">
        <v>12</v>
      </c>
      <c r="H16" s="240" t="s">
        <v>521</v>
      </c>
      <c r="I16" s="1019"/>
      <c r="J16" s="224">
        <f>+'3'!J16</f>
        <v>0</v>
      </c>
      <c r="K16" s="239"/>
      <c r="L16" s="239"/>
      <c r="M16" s="126">
        <f>+K16+'3'!M16+L16</f>
        <v>0</v>
      </c>
    </row>
    <row r="17" spans="1:16" ht="13.5" thickBot="1">
      <c r="A17" s="1021"/>
      <c r="B17" s="225"/>
      <c r="C17" s="226"/>
      <c r="D17" s="227"/>
      <c r="E17" s="235"/>
      <c r="F17" s="238">
        <v>10</v>
      </c>
      <c r="G17" s="242" t="s">
        <v>12</v>
      </c>
      <c r="H17" s="596" t="s">
        <v>420</v>
      </c>
      <c r="I17" s="1019"/>
      <c r="J17" s="224">
        <f>+'3'!J17</f>
        <v>0</v>
      </c>
      <c r="K17" s="239"/>
      <c r="L17" s="239"/>
      <c r="M17" s="126">
        <f>+K17+'3'!M17+L17</f>
        <v>0</v>
      </c>
      <c r="N17" s="158">
        <v>1560</v>
      </c>
      <c r="O17" s="158">
        <f>+N17-N17*0.24</f>
        <v>1185.5999999999999</v>
      </c>
      <c r="P17" s="158">
        <v>480</v>
      </c>
    </row>
    <row r="18" spans="1:16" ht="13.5" thickBot="1">
      <c r="A18" s="1021"/>
      <c r="B18" s="225"/>
      <c r="C18" s="226"/>
      <c r="D18" s="227"/>
      <c r="E18" s="235"/>
      <c r="F18" s="238"/>
      <c r="G18" s="242"/>
      <c r="H18" s="596" t="s">
        <v>517</v>
      </c>
      <c r="I18" s="1019"/>
      <c r="J18" s="224">
        <f>+'3'!J18</f>
        <v>0</v>
      </c>
      <c r="K18" s="249"/>
      <c r="L18" s="249"/>
      <c r="M18" s="126">
        <f>+K18+'3'!M18+L18</f>
        <v>0</v>
      </c>
      <c r="N18" s="158">
        <v>1570</v>
      </c>
      <c r="O18" s="158">
        <f>+N18-N18*0.24</f>
        <v>1193.2</v>
      </c>
      <c r="P18" s="158">
        <v>480</v>
      </c>
    </row>
    <row r="19" spans="1:16" ht="13.5" thickBot="1">
      <c r="A19" s="1021"/>
      <c r="B19" s="225"/>
      <c r="C19" s="226"/>
      <c r="D19" s="227"/>
      <c r="E19" s="235"/>
      <c r="F19" s="245"/>
      <c r="G19" s="242"/>
      <c r="H19" s="243" t="s">
        <v>512</v>
      </c>
      <c r="I19" s="1019"/>
      <c r="J19" s="224">
        <f>+'3'!J19</f>
        <v>0</v>
      </c>
      <c r="K19" s="249"/>
      <c r="L19" s="249"/>
      <c r="M19" s="126">
        <f>+K19+'3'!M19+L19</f>
        <v>0</v>
      </c>
    </row>
    <row r="20" spans="1:16" ht="13.5" thickBot="1">
      <c r="A20" s="1021"/>
      <c r="B20" s="225"/>
      <c r="C20" s="226"/>
      <c r="D20" s="227"/>
      <c r="E20" s="235"/>
      <c r="F20" s="238"/>
      <c r="G20" s="242"/>
      <c r="H20" s="243"/>
      <c r="I20" s="1019"/>
      <c r="J20" s="224">
        <f>+'3'!J20</f>
        <v>0</v>
      </c>
      <c r="K20" s="250"/>
      <c r="L20" s="250"/>
      <c r="M20" s="126">
        <f>+K20+'3'!M20+L20</f>
        <v>0</v>
      </c>
    </row>
    <row r="21" spans="1:16" ht="13.5" thickBot="1">
      <c r="A21" s="1021"/>
      <c r="B21" s="225"/>
      <c r="C21" s="226"/>
      <c r="D21" s="227"/>
      <c r="E21" s="235"/>
      <c r="F21" s="241"/>
      <c r="G21" s="242"/>
      <c r="H21" s="502"/>
      <c r="I21" s="1019"/>
      <c r="J21" s="224">
        <f>+'3'!J21</f>
        <v>0</v>
      </c>
      <c r="K21" s="249"/>
      <c r="L21" s="249"/>
      <c r="M21" s="126">
        <f>+K21+'3'!M21+L21</f>
        <v>0</v>
      </c>
    </row>
    <row r="22" spans="1:16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+'3'!J22</f>
        <v>0</v>
      </c>
      <c r="K22" s="249"/>
      <c r="L22" s="249"/>
      <c r="M22" s="126">
        <f>+K22+'3'!M22+L22</f>
        <v>0</v>
      </c>
    </row>
    <row r="23" spans="1:16" ht="13.5" thickBot="1">
      <c r="A23" s="1022"/>
      <c r="B23" s="178" t="s">
        <v>2</v>
      </c>
      <c r="C23" s="109">
        <f>SUM(C16:C22)</f>
        <v>18030</v>
      </c>
      <c r="D23" s="120">
        <f>SUM(D16:D22)</f>
        <v>990</v>
      </c>
      <c r="E23" s="121">
        <f>SUM(E18:E22)</f>
        <v>0</v>
      </c>
      <c r="F23" s="125">
        <f>SUM(F15:F22)</f>
        <v>22</v>
      </c>
      <c r="G23" s="168"/>
      <c r="H23" s="176" t="s">
        <v>234</v>
      </c>
      <c r="I23" s="179"/>
      <c r="J23" s="224">
        <f>+'3'!J23</f>
        <v>0</v>
      </c>
      <c r="K23" s="249"/>
      <c r="L23" s="249"/>
      <c r="M23" s="126">
        <f>+K23+'3'!M23+L23</f>
        <v>0</v>
      </c>
    </row>
    <row r="24" spans="1:16" ht="13.5" customHeight="1" thickBot="1">
      <c r="A24" s="1015" t="s">
        <v>451</v>
      </c>
      <c r="B24" s="180"/>
      <c r="C24" s="122"/>
      <c r="D24" s="123"/>
      <c r="E24" s="124"/>
      <c r="F24" s="246">
        <v>10</v>
      </c>
      <c r="G24" s="239" t="s">
        <v>12</v>
      </c>
      <c r="H24" s="240" t="s">
        <v>522</v>
      </c>
      <c r="I24" s="1018" t="s">
        <v>515</v>
      </c>
      <c r="J24" s="224">
        <f>+'3'!J24</f>
        <v>0</v>
      </c>
      <c r="K24" s="249"/>
      <c r="L24" s="249"/>
      <c r="M24" s="126">
        <f>+K24+'3'!M24+L24</f>
        <v>0</v>
      </c>
    </row>
    <row r="25" spans="1:16" ht="13.5" thickBot="1">
      <c r="A25" s="1021"/>
      <c r="B25" s="225" t="s">
        <v>495</v>
      </c>
      <c r="C25" s="236">
        <v>18558</v>
      </c>
      <c r="D25" s="227">
        <v>250</v>
      </c>
      <c r="E25" s="235"/>
      <c r="F25" s="241">
        <v>8</v>
      </c>
      <c r="G25" s="242" t="s">
        <v>12</v>
      </c>
      <c r="H25" s="240" t="s">
        <v>483</v>
      </c>
      <c r="I25" s="1019"/>
      <c r="J25" s="224">
        <f>+'3'!J25</f>
        <v>0</v>
      </c>
      <c r="K25" s="249"/>
      <c r="L25" s="249"/>
      <c r="M25" s="126">
        <f>+K25+'3'!M25+L25</f>
        <v>0</v>
      </c>
    </row>
    <row r="26" spans="1:16" ht="13.5" thickBot="1">
      <c r="A26" s="1021"/>
      <c r="B26" s="225"/>
      <c r="C26" s="236"/>
      <c r="D26" s="227"/>
      <c r="E26" s="237"/>
      <c r="F26" s="241">
        <v>10</v>
      </c>
      <c r="G26" s="242" t="s">
        <v>12</v>
      </c>
      <c r="H26" s="596" t="s">
        <v>420</v>
      </c>
      <c r="I26" s="1019"/>
      <c r="J26" s="224">
        <f>+'3'!J26</f>
        <v>0</v>
      </c>
      <c r="K26" s="249"/>
      <c r="L26" s="249"/>
      <c r="M26" s="126">
        <f>+K26+'3'!M26+L26</f>
        <v>0</v>
      </c>
    </row>
    <row r="27" spans="1:16" ht="13.5" thickBot="1">
      <c r="A27" s="1021"/>
      <c r="B27" s="225"/>
      <c r="C27" s="226"/>
      <c r="D27" s="227"/>
      <c r="E27" s="235"/>
      <c r="F27" s="241"/>
      <c r="G27" s="242"/>
      <c r="H27" s="596" t="s">
        <v>516</v>
      </c>
      <c r="I27" s="1019"/>
      <c r="J27" s="224">
        <f>+'3'!J27</f>
        <v>0</v>
      </c>
      <c r="K27" s="249"/>
      <c r="L27" s="249"/>
      <c r="M27" s="126">
        <f>+K27+'3'!M27+L27</f>
        <v>0</v>
      </c>
    </row>
    <row r="28" spans="1:16" ht="26.25" thickBot="1">
      <c r="A28" s="1021"/>
      <c r="B28" s="225"/>
      <c r="C28" s="226"/>
      <c r="D28" s="227"/>
      <c r="E28" s="235"/>
      <c r="F28" s="241"/>
      <c r="G28" s="242"/>
      <c r="H28" s="243" t="s">
        <v>513</v>
      </c>
      <c r="I28" s="1019"/>
      <c r="J28" s="224">
        <f>+'3'!J28</f>
        <v>0</v>
      </c>
      <c r="K28" s="249"/>
      <c r="L28" s="249"/>
      <c r="M28" s="126">
        <f>+K28+'3'!M28+L28</f>
        <v>0</v>
      </c>
    </row>
    <row r="29" spans="1:16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+'3'!J29</f>
        <v>0</v>
      </c>
      <c r="K29" s="249"/>
      <c r="L29" s="249"/>
      <c r="M29" s="126">
        <f>+K29+'3'!M29+L29</f>
        <v>0</v>
      </c>
    </row>
    <row r="30" spans="1:16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+'3'!J30</f>
        <v>0</v>
      </c>
      <c r="K30" s="249"/>
      <c r="L30" s="249"/>
      <c r="M30" s="126">
        <f>+K30+'3'!M30+L30</f>
        <v>0</v>
      </c>
      <c r="N30" s="164"/>
    </row>
    <row r="31" spans="1:16" ht="13.5" thickBot="1">
      <c r="A31" s="1021"/>
      <c r="B31" s="225"/>
      <c r="C31" s="236"/>
      <c r="D31" s="227"/>
      <c r="E31" s="235"/>
      <c r="F31" s="246"/>
      <c r="G31" s="247"/>
      <c r="H31" s="463"/>
      <c r="I31" s="1020"/>
      <c r="J31" s="224">
        <f>+'3'!J31</f>
        <v>0</v>
      </c>
      <c r="K31" s="249"/>
      <c r="L31" s="249"/>
      <c r="M31" s="126">
        <f>+K31+'3'!M31+L31</f>
        <v>0</v>
      </c>
    </row>
    <row r="32" spans="1:16" ht="13.5" thickBot="1">
      <c r="A32" s="1022"/>
      <c r="B32" s="175" t="s">
        <v>2</v>
      </c>
      <c r="C32" s="108">
        <f>SUM(C25:C31)</f>
        <v>18558</v>
      </c>
      <c r="D32" s="109">
        <f>SUM(D25:D31)</f>
        <v>250</v>
      </c>
      <c r="E32" s="110">
        <f>SUM(E25:E31)</f>
        <v>0</v>
      </c>
      <c r="F32" s="111">
        <f>SUM(F24:F31)</f>
        <v>28</v>
      </c>
      <c r="G32" s="181"/>
      <c r="H32" s="182"/>
      <c r="I32" s="179"/>
      <c r="J32" s="224">
        <f>+'3'!J32</f>
        <v>0</v>
      </c>
      <c r="K32" s="251"/>
      <c r="L32" s="253"/>
      <c r="M32" s="126">
        <f>+K32+'3'!M32+L32</f>
        <v>0</v>
      </c>
    </row>
    <row r="33" spans="1:14" ht="13.5" thickBot="1">
      <c r="A33" s="183"/>
      <c r="B33" s="184"/>
      <c r="C33" s="112">
        <f>C32/($C$32+$D$32+$E$32)</f>
        <v>0.98670778392173542</v>
      </c>
      <c r="D33" s="113">
        <f>D32/($C$32+$D$32+$E$32)</f>
        <v>1.3292216078264567E-2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43804</v>
      </c>
      <c r="D34" s="116">
        <f>D14+D23+D32</f>
        <v>3800</v>
      </c>
      <c r="E34" s="116">
        <f>E14+E23+E32</f>
        <v>0</v>
      </c>
      <c r="F34" s="117">
        <f>F14+F23+F32</f>
        <v>119</v>
      </c>
      <c r="H34" s="188"/>
      <c r="I34" s="188"/>
      <c r="J34" s="132" t="s">
        <v>28</v>
      </c>
      <c r="K34" s="133">
        <f>SUM(K7:K32)</f>
        <v>43804</v>
      </c>
      <c r="L34" s="222">
        <f>SUM(L7:L32)</f>
        <v>0</v>
      </c>
      <c r="M34" s="129">
        <f>SUM(M7:M32)</f>
        <v>147383</v>
      </c>
      <c r="N34" s="164"/>
    </row>
    <row r="35" spans="1:14" ht="13.5" thickBot="1">
      <c r="A35" s="189"/>
      <c r="B35" s="190"/>
      <c r="C35" s="113">
        <f>C34/($C$34+$D$34+$E$34)</f>
        <v>0.9201747752289724</v>
      </c>
      <c r="D35" s="113">
        <f>D34/($C$34+$D$34+$E$34)</f>
        <v>7.9825224771027645E-2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(13*1440)/1440*G42*2.77*1440/1000000</f>
        <v>61.741305600000004</v>
      </c>
      <c r="J37" s="134">
        <f>+I37+'3'!J37</f>
        <v>184.37510015999999</v>
      </c>
      <c r="K37" s="135" t="s">
        <v>63</v>
      </c>
    </row>
    <row r="38" spans="1:14" ht="17.45" customHeight="1">
      <c r="A38" s="1013" t="s">
        <v>12</v>
      </c>
      <c r="B38" s="1014"/>
      <c r="C38" s="173">
        <f>SUMIF($G$7:$G$31,"Process",$F$7:$F$31)</f>
        <v>119</v>
      </c>
      <c r="D38" s="127">
        <f>+C38+'3'!D38</f>
        <v>318</v>
      </c>
      <c r="E38" s="152">
        <f t="shared" ref="E38:E51" si="0">D38/60</f>
        <v>5.3</v>
      </c>
      <c r="F38" s="338">
        <v>1570</v>
      </c>
      <c r="G38" s="338">
        <v>1193.2</v>
      </c>
      <c r="H38" s="197" t="s">
        <v>64</v>
      </c>
      <c r="I38" s="554">
        <f>16.392+18.391+18.695</f>
        <v>53.478000000000002</v>
      </c>
      <c r="J38" s="136">
        <f>+I38+'3'!J38</f>
        <v>163.67500000000001</v>
      </c>
      <c r="K38" s="137" t="s">
        <v>63</v>
      </c>
      <c r="N38" s="566"/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+C39+'3'!D39</f>
        <v>0</v>
      </c>
      <c r="E39" s="152">
        <f t="shared" si="0"/>
        <v>0</v>
      </c>
      <c r="F39" s="338">
        <v>1560</v>
      </c>
      <c r="G39" s="338">
        <f>+F39-F39*0.24</f>
        <v>1185.5999999999999</v>
      </c>
      <c r="H39" s="197" t="s">
        <v>65</v>
      </c>
      <c r="I39" s="151"/>
      <c r="J39" s="138">
        <f>J37/G4</f>
        <v>46.093775039999997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+C40+'3'!D40</f>
        <v>39</v>
      </c>
      <c r="E40" s="152">
        <f t="shared" si="0"/>
        <v>0.65</v>
      </c>
      <c r="F40" s="338">
        <v>1570</v>
      </c>
      <c r="G40" s="338">
        <f>+F40-F40*0.24</f>
        <v>1193.2</v>
      </c>
      <c r="H40" s="197" t="s">
        <v>67</v>
      </c>
      <c r="I40" s="127">
        <f>(K34+L34)/1000</f>
        <v>43.804000000000002</v>
      </c>
      <c r="J40" s="140">
        <f>+I40+'3'!J40</f>
        <v>147.38300000000001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+C41+'3'!D41</f>
        <v>15</v>
      </c>
      <c r="E41" s="152">
        <f t="shared" si="0"/>
        <v>0.25</v>
      </c>
      <c r="F41" s="338"/>
      <c r="G41" s="338"/>
      <c r="H41" s="197" t="s">
        <v>69</v>
      </c>
      <c r="I41" s="151"/>
      <c r="J41" s="138">
        <f>J40/G4</f>
        <v>36.845750000000002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+C42+'3'!D42</f>
        <v>0</v>
      </c>
      <c r="E42" s="152">
        <f t="shared" si="0"/>
        <v>0</v>
      </c>
      <c r="F42" s="338">
        <f>+(F38*480+F39*480+F40*480)/1440</f>
        <v>1566.6666666666667</v>
      </c>
      <c r="G42" s="338">
        <f>+(G38*480+G39*480+G40*480)/1440</f>
        <v>1190.6666666666667</v>
      </c>
      <c r="H42" s="197" t="s">
        <v>70</v>
      </c>
      <c r="I42" s="256" t="s">
        <v>518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+C43+'3'!D43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+Report1!T12</f>
        <v>129.709</v>
      </c>
      <c r="J43" s="142">
        <f>+I43+'3'!J43</f>
        <v>425.45499999999998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+C44+'3'!D44</f>
        <v>0</v>
      </c>
      <c r="E44" s="152">
        <f t="shared" si="0"/>
        <v>0</v>
      </c>
      <c r="F44" s="338"/>
      <c r="G44" s="339"/>
      <c r="H44" s="198" t="s">
        <v>74</v>
      </c>
      <c r="I44" s="127">
        <f>+Report1!T12</f>
        <v>129.709</v>
      </c>
      <c r="J44" s="143">
        <f>J43/J38</f>
        <v>2.5993890331449516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+C45+'3'!D45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2.9611222719386356</v>
      </c>
      <c r="J45" s="143">
        <f>J43/J40</f>
        <v>2.886730491304967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+C46+'3'!D46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+SUMIF(Listrik!AR11,"&gt;0")</f>
        <v>52564.460000001411</v>
      </c>
      <c r="J46" s="144">
        <f>+I46+'3'!J46</f>
        <v>162005.43999999773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+C47+'3'!D47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982.91746138601684</v>
      </c>
      <c r="J47" s="144">
        <f>J46/J38</f>
        <v>989.79954177484478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+C48+'3'!D48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1199.992238151799</v>
      </c>
      <c r="J48" s="144">
        <f>J46/J40</f>
        <v>1099.2138849120843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+C49+'3'!D49</f>
        <v>0</v>
      </c>
      <c r="E49" s="152">
        <f t="shared" si="0"/>
        <v>0</v>
      </c>
      <c r="F49" s="195"/>
      <c r="H49" s="198" t="s">
        <v>184</v>
      </c>
      <c r="I49" s="127">
        <v>0</v>
      </c>
      <c r="J49" s="144">
        <f>+I49+'3'!J49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+C50+'3'!D50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+C51+'3'!D51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119</v>
      </c>
      <c r="D52" s="153">
        <f>SUM(D38:D51)</f>
        <v>1462</v>
      </c>
      <c r="E52" s="154">
        <f>SUM(E38:E51)</f>
        <v>24.366666666666667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8.2638888888888887E-2</v>
      </c>
      <c r="D53" s="155">
        <f>D52/(24*60*G4)</f>
        <v>0.25381944444444443</v>
      </c>
      <c r="E53" s="156">
        <f>E52/(G4*24)</f>
        <v>0.25381944444444443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+D34+'3'!J56</f>
        <v>4338</v>
      </c>
      <c r="K56" s="211">
        <f>J56/(J40+J56/1000)/1000</f>
        <v>2.8591954969977788E-2</v>
      </c>
    </row>
    <row r="57" spans="1:11">
      <c r="A57" s="186"/>
      <c r="I57" s="209" t="s">
        <v>89</v>
      </c>
      <c r="J57" s="210">
        <f>+E34+'3'!J57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710937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3.7109375" style="158" bestFit="1" customWidth="1"/>
    <col min="12" max="12" width="8.28515625" style="158" customWidth="1"/>
    <col min="13" max="13" width="14.5703125" style="158" bestFit="1" customWidth="1"/>
    <col min="14" max="16384" width="9.140625" style="158"/>
  </cols>
  <sheetData>
    <row r="1" spans="1:24" ht="15.75">
      <c r="A1" s="157"/>
    </row>
    <row r="2" spans="1:24" ht="15.75">
      <c r="A2" s="157" t="s">
        <v>147</v>
      </c>
    </row>
    <row r="3" spans="1:24" ht="15">
      <c r="A3" s="159"/>
    </row>
    <row r="4" spans="1:24" ht="20.25">
      <c r="A4" s="160" t="s">
        <v>3</v>
      </c>
      <c r="B4" s="161"/>
      <c r="F4" s="162" t="s">
        <v>30</v>
      </c>
      <c r="G4" s="163">
        <v>3</v>
      </c>
      <c r="H4" s="163" t="str">
        <f>+'1'!H4</f>
        <v>.06.24</v>
      </c>
    </row>
    <row r="5" spans="1:24" ht="13.5" thickBot="1">
      <c r="C5" s="164"/>
      <c r="D5" s="164"/>
    </row>
    <row r="6" spans="1:24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208+202+270</f>
        <v>680</v>
      </c>
    </row>
    <row r="7" spans="1:24" ht="13.5" customHeight="1" thickBot="1">
      <c r="A7" s="1015" t="s">
        <v>485</v>
      </c>
      <c r="B7" s="225" t="s">
        <v>457</v>
      </c>
      <c r="C7" s="226">
        <v>16959</v>
      </c>
      <c r="D7" s="227"/>
      <c r="E7" s="228"/>
      <c r="F7" s="238"/>
      <c r="G7" s="239" t="s">
        <v>12</v>
      </c>
      <c r="H7" s="240" t="s">
        <v>277</v>
      </c>
      <c r="I7" s="1018" t="s">
        <v>475</v>
      </c>
      <c r="J7" s="224" t="str">
        <f>+'2'!J7</f>
        <v>F 13,5 VP OW</v>
      </c>
      <c r="K7" s="248">
        <f>+C7+C16+C25</f>
        <v>45867</v>
      </c>
      <c r="L7" s="252"/>
      <c r="M7" s="126">
        <f>+K7+'2'!M7+L7</f>
        <v>97821</v>
      </c>
    </row>
    <row r="8" spans="1:24" ht="13.5" thickBot="1">
      <c r="A8" s="1016"/>
      <c r="B8" s="225"/>
      <c r="C8" s="226"/>
      <c r="D8" s="227"/>
      <c r="E8" s="229"/>
      <c r="F8" s="241">
        <v>8</v>
      </c>
      <c r="G8" s="242" t="s">
        <v>12</v>
      </c>
      <c r="H8" s="240" t="s">
        <v>491</v>
      </c>
      <c r="I8" s="1019"/>
      <c r="J8" s="224" t="s">
        <v>495</v>
      </c>
      <c r="K8" s="249">
        <f>+C26</f>
        <v>5758</v>
      </c>
      <c r="L8" s="249"/>
      <c r="M8" s="126">
        <f>+K8+'2'!M8+L8</f>
        <v>5758</v>
      </c>
      <c r="N8" s="158">
        <v>1360</v>
      </c>
      <c r="O8" s="158">
        <f>+N8-N8*0.24</f>
        <v>1033.5999999999999</v>
      </c>
      <c r="P8" s="158">
        <v>480</v>
      </c>
      <c r="Q8" s="158">
        <f>+N8*P8</f>
        <v>652800</v>
      </c>
      <c r="R8" s="158">
        <f>+O8*P8</f>
        <v>496127.99999999994</v>
      </c>
    </row>
    <row r="9" spans="1:24" ht="13.5" thickBot="1">
      <c r="A9" s="1016"/>
      <c r="B9" s="225"/>
      <c r="C9" s="226"/>
      <c r="D9" s="227"/>
      <c r="E9" s="230"/>
      <c r="F9" s="238">
        <v>10</v>
      </c>
      <c r="G9" s="242" t="s">
        <v>12</v>
      </c>
      <c r="H9" s="596" t="s">
        <v>420</v>
      </c>
      <c r="I9" s="1019"/>
      <c r="J9" s="224">
        <f>+'2'!J9</f>
        <v>0</v>
      </c>
      <c r="K9" s="249"/>
      <c r="L9" s="249"/>
      <c r="M9" s="126">
        <f>+K9+'2'!M9+L9</f>
        <v>0</v>
      </c>
      <c r="N9" s="158">
        <v>1460</v>
      </c>
      <c r="O9" s="158">
        <f>+N9-N9*0.24</f>
        <v>1109.5999999999999</v>
      </c>
      <c r="P9" s="158">
        <v>480</v>
      </c>
      <c r="Q9" s="158">
        <f>+N9*P9</f>
        <v>700800</v>
      </c>
      <c r="R9" s="158">
        <f>+O9*P9</f>
        <v>532608</v>
      </c>
    </row>
    <row r="10" spans="1:24" ht="13.5" thickBot="1">
      <c r="A10" s="1016"/>
      <c r="B10" s="225"/>
      <c r="C10" s="226"/>
      <c r="D10" s="227"/>
      <c r="E10" s="229"/>
      <c r="F10" s="238"/>
      <c r="G10" s="242"/>
      <c r="H10" s="596" t="s">
        <v>460</v>
      </c>
      <c r="I10" s="1019"/>
      <c r="J10" s="224">
        <f>+'2'!J10</f>
        <v>0</v>
      </c>
      <c r="K10" s="249"/>
      <c r="L10" s="249"/>
      <c r="M10" s="126">
        <f>+K10+'2'!M10+L10</f>
        <v>0</v>
      </c>
      <c r="N10" s="158">
        <v>1520</v>
      </c>
      <c r="O10" s="158">
        <f>+N10-N10*0.24</f>
        <v>1155.2</v>
      </c>
      <c r="P10" s="158">
        <v>240</v>
      </c>
      <c r="Q10" s="158">
        <f>+N10*P10</f>
        <v>364800</v>
      </c>
      <c r="R10" s="158">
        <f>+O10*P10</f>
        <v>277248</v>
      </c>
    </row>
    <row r="11" spans="1:24" ht="13.5" customHeight="1" thickBot="1">
      <c r="A11" s="1016"/>
      <c r="B11" s="225"/>
      <c r="C11" s="226"/>
      <c r="D11" s="227"/>
      <c r="E11" s="229"/>
      <c r="F11" s="238"/>
      <c r="G11" s="242"/>
      <c r="H11" s="596" t="s">
        <v>469</v>
      </c>
      <c r="I11" s="1019"/>
      <c r="J11" s="224">
        <f>+'2'!J11</f>
        <v>0</v>
      </c>
      <c r="K11" s="249"/>
      <c r="L11" s="249"/>
      <c r="M11" s="126">
        <f>+K11+'2'!M11+L11</f>
        <v>0</v>
      </c>
      <c r="P11" s="158">
        <f>SUM(P8:P10)</f>
        <v>1200</v>
      </c>
      <c r="Q11" s="158">
        <f>SUM(Q8:Q10)</f>
        <v>1718400</v>
      </c>
      <c r="R11" s="158">
        <f>SUM(R8:R10)</f>
        <v>1305984</v>
      </c>
    </row>
    <row r="12" spans="1:24" ht="13.5" thickBot="1">
      <c r="A12" s="1016"/>
      <c r="B12" s="225"/>
      <c r="C12" s="226"/>
      <c r="D12" s="227"/>
      <c r="E12" s="229"/>
      <c r="F12" s="238"/>
      <c r="G12" s="242"/>
      <c r="H12" s="596" t="s">
        <v>470</v>
      </c>
      <c r="I12" s="1019"/>
      <c r="J12" s="224">
        <f>+'2'!J12</f>
        <v>0</v>
      </c>
      <c r="K12" s="249"/>
      <c r="L12" s="249"/>
      <c r="M12" s="126">
        <f>+K12+'2'!M12+L12</f>
        <v>0</v>
      </c>
      <c r="Q12" s="158">
        <f>+Q11/P11</f>
        <v>1432</v>
      </c>
      <c r="R12" s="158">
        <f>+R11/P11</f>
        <v>1088.32</v>
      </c>
    </row>
    <row r="13" spans="1:24" ht="13.5" thickBot="1">
      <c r="A13" s="1016"/>
      <c r="B13" s="225"/>
      <c r="C13" s="226"/>
      <c r="D13" s="226"/>
      <c r="E13" s="229"/>
      <c r="F13" s="238"/>
      <c r="G13" s="242"/>
      <c r="H13" s="243"/>
      <c r="I13" s="1020"/>
      <c r="J13" s="224">
        <f>+'2'!J13</f>
        <v>0</v>
      </c>
      <c r="K13" s="249"/>
      <c r="L13" s="249"/>
      <c r="M13" s="126">
        <f>+K13+'2'!M13+L13</f>
        <v>0</v>
      </c>
    </row>
    <row r="14" spans="1:24" ht="13.5" thickBot="1">
      <c r="A14" s="1017"/>
      <c r="B14" s="175" t="s">
        <v>2</v>
      </c>
      <c r="C14" s="108">
        <f>SUM(C7:C13)</f>
        <v>16959</v>
      </c>
      <c r="D14" s="120">
        <f>SUM(D7:D13)</f>
        <v>0</v>
      </c>
      <c r="E14" s="121">
        <f>SUM(E5:E13)</f>
        <v>0</v>
      </c>
      <c r="F14" s="125">
        <f>SUM(F7:F13)</f>
        <v>18</v>
      </c>
      <c r="G14" s="168"/>
      <c r="H14" s="176"/>
      <c r="I14" s="177"/>
      <c r="J14" s="224">
        <f>+'2'!J14</f>
        <v>0</v>
      </c>
      <c r="K14" s="249"/>
      <c r="L14" s="249"/>
      <c r="M14" s="126">
        <f>+K14+'2'!M14+L14</f>
        <v>0</v>
      </c>
      <c r="T14" s="158">
        <v>1450</v>
      </c>
      <c r="U14" s="158">
        <f>+T14-T14*0.21</f>
        <v>1145.5</v>
      </c>
      <c r="V14" s="158">
        <f>480-55</f>
        <v>425</v>
      </c>
      <c r="W14" s="158">
        <f>+T14*V14</f>
        <v>616250</v>
      </c>
      <c r="X14" s="158">
        <f>+U14*V14</f>
        <v>486837.5</v>
      </c>
    </row>
    <row r="15" spans="1:24" ht="13.5" customHeight="1" thickBot="1">
      <c r="A15" s="1015" t="s">
        <v>450</v>
      </c>
      <c r="B15" s="175"/>
      <c r="C15" s="122"/>
      <c r="D15" s="123"/>
      <c r="E15" s="124"/>
      <c r="F15" s="238">
        <v>14</v>
      </c>
      <c r="G15" s="239" t="s">
        <v>12</v>
      </c>
      <c r="H15" s="240" t="s">
        <v>492</v>
      </c>
      <c r="I15" s="1018" t="s">
        <v>486</v>
      </c>
      <c r="J15" s="224">
        <f>+'2'!J15</f>
        <v>0</v>
      </c>
      <c r="K15" s="249"/>
      <c r="L15" s="249"/>
      <c r="M15" s="126">
        <f>+K15+'2'!M15+L15</f>
        <v>0</v>
      </c>
      <c r="T15" s="158">
        <v>1650</v>
      </c>
      <c r="U15" s="158">
        <f>+T15-T15*0.2</f>
        <v>1320</v>
      </c>
      <c r="V15" s="158">
        <v>470</v>
      </c>
      <c r="W15" s="158">
        <f>+T15*V15</f>
        <v>775500</v>
      </c>
      <c r="X15" s="158">
        <f>+U15*V15</f>
        <v>620400</v>
      </c>
    </row>
    <row r="16" spans="1:24" ht="13.5" thickBot="1">
      <c r="A16" s="1021"/>
      <c r="B16" s="225" t="s">
        <v>457</v>
      </c>
      <c r="C16" s="232">
        <v>17365</v>
      </c>
      <c r="D16" s="233"/>
      <c r="E16" s="234"/>
      <c r="F16" s="238">
        <v>10</v>
      </c>
      <c r="G16" s="242" t="s">
        <v>12</v>
      </c>
      <c r="H16" s="240" t="s">
        <v>491</v>
      </c>
      <c r="I16" s="1019"/>
      <c r="J16" s="224">
        <f>+'2'!J16</f>
        <v>0</v>
      </c>
      <c r="K16" s="239"/>
      <c r="L16" s="239"/>
      <c r="M16" s="126">
        <f>+K16+'2'!M16+L16</f>
        <v>0</v>
      </c>
      <c r="T16" s="158">
        <v>1700</v>
      </c>
      <c r="U16" s="158">
        <f>+T16-T16*0.2</f>
        <v>1360</v>
      </c>
      <c r="V16" s="158">
        <v>480</v>
      </c>
      <c r="W16" s="158">
        <f>+T16*V16</f>
        <v>816000</v>
      </c>
      <c r="X16" s="158">
        <f>+U16*V16</f>
        <v>652800</v>
      </c>
    </row>
    <row r="17" spans="1:24" ht="13.5" thickBot="1">
      <c r="A17" s="1021"/>
      <c r="B17" s="225"/>
      <c r="C17" s="226"/>
      <c r="D17" s="227"/>
      <c r="E17" s="235"/>
      <c r="F17" s="238">
        <v>10</v>
      </c>
      <c r="G17" s="242" t="s">
        <v>12</v>
      </c>
      <c r="H17" s="596" t="s">
        <v>420</v>
      </c>
      <c r="I17" s="1019"/>
      <c r="J17" s="224">
        <f>+'2'!J17</f>
        <v>0</v>
      </c>
      <c r="K17" s="239"/>
      <c r="L17" s="239"/>
      <c r="M17" s="126">
        <f>+K17+'2'!M17+L17</f>
        <v>0</v>
      </c>
      <c r="V17" s="158">
        <f>SUM(V14:V16)</f>
        <v>1375</v>
      </c>
      <c r="W17" s="158">
        <f>SUM(W14:W16)</f>
        <v>2207750</v>
      </c>
      <c r="X17" s="158">
        <f>SUM(X14:X16)</f>
        <v>1760037.5</v>
      </c>
    </row>
    <row r="18" spans="1:24" ht="13.5" thickBot="1">
      <c r="A18" s="1021"/>
      <c r="B18" s="225"/>
      <c r="C18" s="226"/>
      <c r="D18" s="227"/>
      <c r="E18" s="235"/>
      <c r="F18" s="238"/>
      <c r="G18" s="242"/>
      <c r="H18" s="596" t="s">
        <v>487</v>
      </c>
      <c r="I18" s="1019"/>
      <c r="J18" s="224">
        <f>+'2'!J18</f>
        <v>0</v>
      </c>
      <c r="K18" s="249"/>
      <c r="L18" s="249"/>
      <c r="M18" s="126">
        <f>+K18+'2'!M18+L18</f>
        <v>0</v>
      </c>
      <c r="W18" s="158">
        <f>+W17/V17</f>
        <v>1605.6363636363637</v>
      </c>
      <c r="X18" s="158">
        <f>+X17/V17</f>
        <v>1280.0272727272727</v>
      </c>
    </row>
    <row r="19" spans="1:24" ht="13.5" thickBot="1">
      <c r="A19" s="1021"/>
      <c r="B19" s="225"/>
      <c r="C19" s="226"/>
      <c r="D19" s="227"/>
      <c r="E19" s="235"/>
      <c r="F19" s="245"/>
      <c r="G19" s="242"/>
      <c r="H19" s="596" t="s">
        <v>471</v>
      </c>
      <c r="I19" s="1019"/>
      <c r="J19" s="224">
        <f>+'2'!J19</f>
        <v>0</v>
      </c>
      <c r="K19" s="249"/>
      <c r="L19" s="249"/>
      <c r="M19" s="126">
        <f>+K19+'2'!M19+L19</f>
        <v>0</v>
      </c>
    </row>
    <row r="20" spans="1:24" ht="13.5" thickBot="1">
      <c r="A20" s="1021"/>
      <c r="B20" s="225"/>
      <c r="C20" s="226"/>
      <c r="D20" s="227"/>
      <c r="E20" s="235"/>
      <c r="F20" s="238"/>
      <c r="G20" s="242"/>
      <c r="H20" s="596"/>
      <c r="I20" s="1019"/>
      <c r="J20" s="224">
        <f>+'2'!J20</f>
        <v>0</v>
      </c>
      <c r="K20" s="250"/>
      <c r="L20" s="250"/>
      <c r="M20" s="126">
        <f>+K20+'2'!M20+L20</f>
        <v>0</v>
      </c>
    </row>
    <row r="21" spans="1:24" ht="13.5" thickBot="1">
      <c r="A21" s="1021"/>
      <c r="B21" s="225"/>
      <c r="C21" s="226"/>
      <c r="D21" s="227"/>
      <c r="E21" s="235"/>
      <c r="F21" s="241"/>
      <c r="G21" s="242"/>
      <c r="H21" s="243"/>
      <c r="I21" s="1019"/>
      <c r="J21" s="224">
        <f>+'2'!J21</f>
        <v>0</v>
      </c>
      <c r="K21" s="249"/>
      <c r="L21" s="249"/>
      <c r="M21" s="126">
        <f>+K21+'2'!M21+L21</f>
        <v>0</v>
      </c>
      <c r="T21" s="158">
        <v>1400</v>
      </c>
      <c r="U21" s="158">
        <f>+T21-T21*0.175</f>
        <v>1155</v>
      </c>
      <c r="V21" s="158">
        <v>55</v>
      </c>
      <c r="W21" s="158">
        <f>+T21*V21</f>
        <v>77000</v>
      </c>
      <c r="X21" s="158">
        <f>+U21*V21</f>
        <v>63525</v>
      </c>
    </row>
    <row r="22" spans="1:24" ht="13.5" thickBot="1">
      <c r="A22" s="1021"/>
      <c r="B22" s="225"/>
      <c r="C22" s="226"/>
      <c r="D22" s="227"/>
      <c r="E22" s="235"/>
      <c r="F22" s="246"/>
      <c r="G22" s="242"/>
      <c r="H22" s="243"/>
      <c r="I22" s="1020"/>
      <c r="J22" s="224">
        <f>+'2'!J22</f>
        <v>0</v>
      </c>
      <c r="K22" s="249"/>
      <c r="L22" s="249"/>
      <c r="M22" s="126">
        <f>+K22+'2'!M22+L22</f>
        <v>0</v>
      </c>
      <c r="T22" s="158">
        <v>1400</v>
      </c>
      <c r="U22" s="158">
        <f>+T22-T22*0.17</f>
        <v>1162</v>
      </c>
      <c r="V22" s="158">
        <v>10</v>
      </c>
      <c r="W22" s="158">
        <f>+T22*V22</f>
        <v>14000</v>
      </c>
      <c r="X22" s="158">
        <f>+U22*V22</f>
        <v>11620</v>
      </c>
    </row>
    <row r="23" spans="1:24" ht="13.5" thickBot="1">
      <c r="A23" s="1022"/>
      <c r="B23" s="178" t="s">
        <v>2</v>
      </c>
      <c r="C23" s="109">
        <f>SUM(C16:C22)</f>
        <v>17365</v>
      </c>
      <c r="D23" s="120">
        <f>SUM(D16:D22)</f>
        <v>0</v>
      </c>
      <c r="E23" s="121">
        <f>SUM(E18:E22)</f>
        <v>0</v>
      </c>
      <c r="F23" s="125">
        <f>SUM(F15:F22)</f>
        <v>34</v>
      </c>
      <c r="G23" s="168"/>
      <c r="H23" s="176" t="s">
        <v>234</v>
      </c>
      <c r="I23" s="179"/>
      <c r="J23" s="224">
        <f>+'2'!J23</f>
        <v>0</v>
      </c>
      <c r="K23" s="249"/>
      <c r="L23" s="249"/>
      <c r="M23" s="126">
        <f>+K23+'2'!M23+L23</f>
        <v>0</v>
      </c>
      <c r="V23" s="158">
        <f>+V21+V22</f>
        <v>65</v>
      </c>
      <c r="W23" s="158">
        <f>+W21+W22</f>
        <v>91000</v>
      </c>
      <c r="X23" s="158">
        <f>+X21+X22</f>
        <v>75145</v>
      </c>
    </row>
    <row r="24" spans="1:24" ht="13.5" customHeight="1" thickBot="1">
      <c r="A24" s="1015" t="s">
        <v>451</v>
      </c>
      <c r="B24" s="180"/>
      <c r="C24" s="122"/>
      <c r="D24" s="123"/>
      <c r="E24" s="124"/>
      <c r="F24" s="246">
        <v>30</v>
      </c>
      <c r="G24" s="239" t="s">
        <v>12</v>
      </c>
      <c r="H24" s="240" t="s">
        <v>494</v>
      </c>
      <c r="I24" s="1018" t="s">
        <v>490</v>
      </c>
      <c r="J24" s="224">
        <f>+'2'!J24</f>
        <v>0</v>
      </c>
      <c r="K24" s="249"/>
      <c r="L24" s="249"/>
      <c r="M24" s="126">
        <f>+K24+'2'!M24+L24</f>
        <v>0</v>
      </c>
      <c r="W24" s="158">
        <f>+W23/V23</f>
        <v>1400</v>
      </c>
      <c r="X24" s="158">
        <f>+X23/V23</f>
        <v>1156.0769230769231</v>
      </c>
    </row>
    <row r="25" spans="1:24" ht="13.5" thickBot="1">
      <c r="A25" s="1021"/>
      <c r="B25" s="225" t="s">
        <v>457</v>
      </c>
      <c r="C25" s="236">
        <v>11543</v>
      </c>
      <c r="D25" s="227"/>
      <c r="E25" s="235"/>
      <c r="F25" s="241">
        <v>8</v>
      </c>
      <c r="G25" s="242" t="s">
        <v>12</v>
      </c>
      <c r="H25" s="240" t="s">
        <v>491</v>
      </c>
      <c r="I25" s="1019"/>
      <c r="J25" s="224">
        <f>+'2'!J25</f>
        <v>0</v>
      </c>
      <c r="K25" s="249"/>
      <c r="L25" s="249"/>
      <c r="M25" s="126">
        <f>+K25+'2'!M25+L25</f>
        <v>0</v>
      </c>
      <c r="N25" s="158">
        <v>1520</v>
      </c>
      <c r="O25" s="158">
        <f>+N25-N25*0.24</f>
        <v>1155.2</v>
      </c>
      <c r="P25" s="158">
        <v>240</v>
      </c>
      <c r="Q25" s="158">
        <f>+N25*P25</f>
        <v>364800</v>
      </c>
      <c r="R25" s="158">
        <f>+O25*P25</f>
        <v>277248</v>
      </c>
    </row>
    <row r="26" spans="1:24" ht="13.5" thickBot="1">
      <c r="A26" s="1021"/>
      <c r="B26" s="225" t="s">
        <v>495</v>
      </c>
      <c r="C26" s="236">
        <f>3097+2661</f>
        <v>5758</v>
      </c>
      <c r="D26" s="227"/>
      <c r="E26" s="237"/>
      <c r="F26" s="241">
        <v>10</v>
      </c>
      <c r="G26" s="242" t="s">
        <v>12</v>
      </c>
      <c r="H26" s="596" t="s">
        <v>493</v>
      </c>
      <c r="I26" s="1019"/>
      <c r="J26" s="224">
        <f>+'2'!J26</f>
        <v>0</v>
      </c>
      <c r="K26" s="249"/>
      <c r="L26" s="249"/>
      <c r="M26" s="126">
        <f>+K26+'2'!M26+L26</f>
        <v>0</v>
      </c>
      <c r="N26" s="158">
        <v>1600</v>
      </c>
      <c r="O26" s="158">
        <f>+N26-N26*0.24</f>
        <v>1216</v>
      </c>
      <c r="P26" s="158">
        <v>240</v>
      </c>
      <c r="Q26" s="158">
        <f>+N26*P26</f>
        <v>384000</v>
      </c>
      <c r="R26" s="158">
        <f>+O26*P26</f>
        <v>291840</v>
      </c>
    </row>
    <row r="27" spans="1:24" ht="13.5" thickBot="1">
      <c r="A27" s="1021"/>
      <c r="B27" s="225"/>
      <c r="C27" s="226"/>
      <c r="D27" s="227"/>
      <c r="E27" s="235"/>
      <c r="F27" s="241"/>
      <c r="G27" s="242"/>
      <c r="H27" s="596" t="s">
        <v>488</v>
      </c>
      <c r="I27" s="1019"/>
      <c r="J27" s="224">
        <f>+'2'!J27</f>
        <v>0</v>
      </c>
      <c r="K27" s="249"/>
      <c r="L27" s="249"/>
      <c r="M27" s="126">
        <f>+K27+'2'!M27+L27</f>
        <v>0</v>
      </c>
      <c r="P27" s="158">
        <f>SUM(P25:P26)</f>
        <v>480</v>
      </c>
      <c r="Q27" s="158">
        <f>SUM(Q25:Q26)</f>
        <v>748800</v>
      </c>
      <c r="R27" s="158">
        <f>SUM(R25:R26)</f>
        <v>569088</v>
      </c>
    </row>
    <row r="28" spans="1:24" ht="13.5" thickBot="1">
      <c r="A28" s="1021"/>
      <c r="B28" s="225"/>
      <c r="C28" s="226"/>
      <c r="D28" s="227"/>
      <c r="E28" s="235"/>
      <c r="F28" s="241"/>
      <c r="G28" s="242"/>
      <c r="H28" s="596" t="s">
        <v>489</v>
      </c>
      <c r="I28" s="1019"/>
      <c r="J28" s="224">
        <f>+'2'!J28</f>
        <v>0</v>
      </c>
      <c r="K28" s="249"/>
      <c r="L28" s="249"/>
      <c r="M28" s="126">
        <f>+K28+'2'!M28+L28</f>
        <v>0</v>
      </c>
      <c r="Q28" s="158">
        <f>+Q27/P27</f>
        <v>1560</v>
      </c>
      <c r="R28" s="158">
        <f>+R27/P27</f>
        <v>1185.5999999999999</v>
      </c>
    </row>
    <row r="29" spans="1:24" ht="13.5" thickBot="1">
      <c r="A29" s="1021"/>
      <c r="B29" s="225"/>
      <c r="C29" s="226"/>
      <c r="D29" s="227"/>
      <c r="E29" s="235"/>
      <c r="F29" s="246"/>
      <c r="G29" s="242"/>
      <c r="H29" s="596" t="s">
        <v>472</v>
      </c>
      <c r="I29" s="1019"/>
      <c r="J29" s="224">
        <f>+'2'!J29</f>
        <v>0</v>
      </c>
      <c r="K29" s="249"/>
      <c r="L29" s="249"/>
      <c r="M29" s="126">
        <f>+K29+'2'!M29+L29</f>
        <v>0</v>
      </c>
    </row>
    <row r="30" spans="1:24" ht="26.25" thickBot="1">
      <c r="A30" s="1021"/>
      <c r="B30" s="225"/>
      <c r="C30" s="236"/>
      <c r="D30" s="227"/>
      <c r="E30" s="235"/>
      <c r="F30" s="246"/>
      <c r="G30" s="242"/>
      <c r="H30" s="243" t="s">
        <v>473</v>
      </c>
      <c r="I30" s="1019"/>
      <c r="J30" s="224">
        <f>+'2'!J30</f>
        <v>0</v>
      </c>
      <c r="K30" s="249"/>
      <c r="L30" s="249"/>
      <c r="M30" s="126">
        <f>+K30+'2'!M30+L30</f>
        <v>0</v>
      </c>
      <c r="N30" s="164"/>
    </row>
    <row r="31" spans="1:24" ht="13.5" thickBot="1">
      <c r="A31" s="1021"/>
      <c r="B31" s="225"/>
      <c r="C31" s="236"/>
      <c r="D31" s="227"/>
      <c r="E31" s="235"/>
      <c r="F31" s="246"/>
      <c r="G31" s="247"/>
      <c r="H31" s="463" t="s">
        <v>474</v>
      </c>
      <c r="I31" s="1020"/>
      <c r="J31" s="224">
        <f>+'2'!J31</f>
        <v>0</v>
      </c>
      <c r="K31" s="249"/>
      <c r="L31" s="249"/>
      <c r="M31" s="126">
        <f>+K31+'2'!M31+L31</f>
        <v>0</v>
      </c>
    </row>
    <row r="32" spans="1:24" ht="13.5" thickBot="1">
      <c r="A32" s="1022"/>
      <c r="B32" s="175" t="s">
        <v>2</v>
      </c>
      <c r="C32" s="108">
        <f>SUM(C25:C31)</f>
        <v>17301</v>
      </c>
      <c r="D32" s="109">
        <f>SUM(D25:D31)</f>
        <v>0</v>
      </c>
      <c r="E32" s="110">
        <f>SUM(E25:E31)</f>
        <v>0</v>
      </c>
      <c r="F32" s="111">
        <f>SUM(F24:F31)</f>
        <v>48</v>
      </c>
      <c r="G32" s="181"/>
      <c r="H32" s="182"/>
      <c r="I32" s="179"/>
      <c r="J32" s="224">
        <f>+'2'!J32</f>
        <v>0</v>
      </c>
      <c r="K32" s="251"/>
      <c r="L32" s="253"/>
      <c r="M32" s="126">
        <f>+K32+'2'!M32+L32</f>
        <v>0</v>
      </c>
    </row>
    <row r="33" spans="1:14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51625</v>
      </c>
      <c r="D34" s="116">
        <f>D14+D23+D32</f>
        <v>0</v>
      </c>
      <c r="E34" s="116">
        <f>E14+E23+E32</f>
        <v>0</v>
      </c>
      <c r="F34" s="117">
        <f>F14+F23+F32</f>
        <v>100</v>
      </c>
      <c r="H34" s="188"/>
      <c r="I34" s="188"/>
      <c r="J34" s="132" t="s">
        <v>28</v>
      </c>
      <c r="K34" s="133">
        <f>SUM(K7:K32)</f>
        <v>51625</v>
      </c>
      <c r="L34" s="222">
        <f>SUM(L7:L32)</f>
        <v>0</v>
      </c>
      <c r="M34" s="129">
        <f>SUM(M7:M32)</f>
        <v>103579</v>
      </c>
      <c r="N34" s="164"/>
    </row>
    <row r="35" spans="1:14" ht="13.5" thickBot="1">
      <c r="A35" s="189"/>
      <c r="B35" s="190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  <c r="N36" s="566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38"/>
      <c r="H37" s="196" t="s">
        <v>62</v>
      </c>
      <c r="I37" s="254">
        <f>(13.5*1200+13*240)/1440*G42*2.77*1440/1000000</f>
        <v>59.381797439999993</v>
      </c>
      <c r="J37" s="134">
        <f>+I37+'2'!J37</f>
        <v>122.63379456</v>
      </c>
      <c r="K37" s="135" t="s">
        <v>63</v>
      </c>
      <c r="N37" s="566"/>
    </row>
    <row r="38" spans="1:14" ht="17.45" customHeight="1">
      <c r="A38" s="1013" t="s">
        <v>12</v>
      </c>
      <c r="B38" s="1014"/>
      <c r="C38" s="173">
        <f>SUMIF($G$7:$G$31,"Process",$F$7:$F$31)</f>
        <v>100</v>
      </c>
      <c r="D38" s="127">
        <f>+C38+'2'!D38</f>
        <v>199</v>
      </c>
      <c r="E38" s="152">
        <f t="shared" ref="E38:E51" si="0">D38/60</f>
        <v>3.3166666666666669</v>
      </c>
      <c r="F38" s="338">
        <v>1360</v>
      </c>
      <c r="G38" s="338">
        <v>1033.5999999999999</v>
      </c>
      <c r="H38" s="197" t="s">
        <v>64</v>
      </c>
      <c r="I38" s="554">
        <f>17.701+18.166+17.456</f>
        <v>53.323000000000008</v>
      </c>
      <c r="J38" s="136">
        <f>+I38+'2'!J38</f>
        <v>110.197</v>
      </c>
      <c r="K38" s="137" t="s">
        <v>63</v>
      </c>
      <c r="L38" s="566">
        <f>+I38-L39</f>
        <v>46.433000000000007</v>
      </c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+C39+'2'!D39</f>
        <v>0</v>
      </c>
      <c r="E39" s="152">
        <f t="shared" si="0"/>
        <v>0</v>
      </c>
      <c r="F39" s="338">
        <v>1460</v>
      </c>
      <c r="G39" s="338">
        <v>1109.5999999999999</v>
      </c>
      <c r="H39" s="197" t="s">
        <v>65</v>
      </c>
      <c r="I39" s="151"/>
      <c r="J39" s="138">
        <f>J37/G4</f>
        <v>40.877931519999997</v>
      </c>
      <c r="K39" s="139" t="s">
        <v>63</v>
      </c>
      <c r="L39" s="585">
        <f>2.053+2.721+1.305+0.811</f>
        <v>6.89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>+C40+'2'!D40</f>
        <v>39</v>
      </c>
      <c r="E40" s="152">
        <f t="shared" si="0"/>
        <v>0.65</v>
      </c>
      <c r="F40" s="338">
        <v>1560</v>
      </c>
      <c r="G40" s="338">
        <v>1185.5999999999999</v>
      </c>
      <c r="H40" s="197" t="s">
        <v>67</v>
      </c>
      <c r="I40" s="127">
        <f>(K34+L34)/1000</f>
        <v>51.625</v>
      </c>
      <c r="J40" s="140">
        <f>+I40+'2'!J40</f>
        <v>103.57900000000001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>+C41+'2'!D41</f>
        <v>15</v>
      </c>
      <c r="E41" s="152">
        <f t="shared" si="0"/>
        <v>0.25</v>
      </c>
      <c r="F41" s="338"/>
      <c r="G41" s="338"/>
      <c r="H41" s="197" t="s">
        <v>69</v>
      </c>
      <c r="I41" s="151"/>
      <c r="J41" s="138">
        <f>J40/G4</f>
        <v>34.526333333333334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+C42+'2'!D42</f>
        <v>0</v>
      </c>
      <c r="E42" s="152">
        <f t="shared" si="0"/>
        <v>0</v>
      </c>
      <c r="F42" s="338">
        <f>+(F38*480+F39*480+F40*480)/1440</f>
        <v>1460</v>
      </c>
      <c r="G42" s="338">
        <f>+(G38*480+G39*480+G40*480)/1440</f>
        <v>1109.5999999999999</v>
      </c>
      <c r="H42" s="197" t="s">
        <v>70</v>
      </c>
      <c r="I42" s="256" t="s">
        <v>486</v>
      </c>
      <c r="J42" s="141"/>
      <c r="K42" s="139" t="s">
        <v>71</v>
      </c>
    </row>
    <row r="43" spans="1:14" ht="17.45" customHeight="1">
      <c r="A43" s="1009" t="s">
        <v>202</v>
      </c>
      <c r="B43" s="1010"/>
      <c r="C43" s="173">
        <f>SUMIF($G$7:$G$31,"Change Grade",$F$7:$F$31)</f>
        <v>0</v>
      </c>
      <c r="D43" s="127">
        <f>+C43+'2'!D43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+Report1!T11</f>
        <v>134.80500000000001</v>
      </c>
      <c r="J43" s="142">
        <f>+I43+'2'!J43</f>
        <v>295.74599999999998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+C44+'2'!D44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2.5280835661909493</v>
      </c>
      <c r="J44" s="143">
        <f>J43/J38</f>
        <v>2.6837935696979045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+C45+'2'!D45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2.6112348668280871</v>
      </c>
      <c r="J45" s="143">
        <f>J43/J40</f>
        <v>2.8552698906148928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+C46+'2'!D46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+SUMIF(Listrik!AR10,"&gt;0")</f>
        <v>48853.499999998072</v>
      </c>
      <c r="J46" s="144">
        <f>+I46+'2'!J46</f>
        <v>109440.97999999631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+C47+'2'!D47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916.18063499799462</v>
      </c>
      <c r="J47" s="144">
        <f>J46/J38</f>
        <v>993.13937765997537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+C48+'2'!D48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946.31476997574953</v>
      </c>
      <c r="J48" s="144">
        <f>J46/J40</f>
        <v>1056.594290348394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+C49+'2'!D49</f>
        <v>0</v>
      </c>
      <c r="E49" s="152">
        <f t="shared" si="0"/>
        <v>0</v>
      </c>
      <c r="F49" s="195"/>
      <c r="H49" s="198" t="s">
        <v>184</v>
      </c>
      <c r="I49" s="127">
        <v>0</v>
      </c>
      <c r="J49" s="144">
        <f>+I49+'2'!J49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+C50+'2'!D50</f>
        <v>0</v>
      </c>
      <c r="E50" s="152">
        <f t="shared" si="0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+C51+'2'!D51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100</v>
      </c>
      <c r="D52" s="153">
        <f>SUM(D38:D51)</f>
        <v>1343</v>
      </c>
      <c r="E52" s="154">
        <f>SUM(E38:E51)</f>
        <v>22.383333333333333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6.9444444444444448E-2</v>
      </c>
      <c r="D53" s="155">
        <f>D52/(24*60*G4)</f>
        <v>0.31087962962962962</v>
      </c>
      <c r="E53" s="156">
        <f>E52/(G4*24)</f>
        <v>0.31087962962962962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+D34+'2'!J56</f>
        <v>538</v>
      </c>
      <c r="K56" s="211">
        <f>J56/(J40+J56/1000)/1000</f>
        <v>5.1672637513566462E-3</v>
      </c>
    </row>
    <row r="57" spans="1:11">
      <c r="A57" s="186"/>
      <c r="I57" s="209" t="s">
        <v>89</v>
      </c>
      <c r="J57" s="210">
        <f>+E34+'2'!J57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zoomScale="80" zoomScaleNormal="75" zoomScaleSheetLayoutView="80" workbookViewId="0">
      <selection activeCell="D17" sqref="D17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4" style="119" bestFit="1" customWidth="1"/>
    <col min="7" max="7" width="15.140625" style="158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4" style="158" bestFit="1" customWidth="1"/>
    <col min="12" max="12" width="8.28515625" style="158" customWidth="1"/>
    <col min="13" max="13" width="14.42578125" style="158" bestFit="1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30</v>
      </c>
      <c r="G4" s="163">
        <v>2</v>
      </c>
      <c r="H4" s="163" t="str">
        <f>+'1'!H4</f>
        <v>.06.24</v>
      </c>
    </row>
    <row r="5" spans="1:15" ht="13.5" thickBot="1">
      <c r="C5" s="164"/>
      <c r="D5" s="164"/>
    </row>
    <row r="6" spans="1:15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f>219+207+200</f>
        <v>626</v>
      </c>
    </row>
    <row r="7" spans="1:15" ht="13.5" customHeight="1" thickBot="1">
      <c r="A7" s="1015" t="s">
        <v>503</v>
      </c>
      <c r="B7" s="225" t="s">
        <v>457</v>
      </c>
      <c r="C7" s="226">
        <v>11227</v>
      </c>
      <c r="D7" s="227"/>
      <c r="E7" s="228"/>
      <c r="F7" s="238">
        <v>25</v>
      </c>
      <c r="G7" s="239" t="s">
        <v>12</v>
      </c>
      <c r="H7" s="240" t="s">
        <v>484</v>
      </c>
      <c r="I7" s="1018" t="s">
        <v>507</v>
      </c>
      <c r="J7" s="224" t="str">
        <f>+'1'!J7</f>
        <v>F 13,5 VP OW</v>
      </c>
      <c r="K7" s="248">
        <f>+C34</f>
        <v>44240</v>
      </c>
      <c r="L7" s="252"/>
      <c r="M7" s="126">
        <f>+K7+'1'!M7+L7</f>
        <v>51954</v>
      </c>
    </row>
    <row r="8" spans="1:15" ht="13.5" thickBot="1">
      <c r="A8" s="1016"/>
      <c r="B8" s="225"/>
      <c r="C8" s="226"/>
      <c r="D8" s="227"/>
      <c r="E8" s="229"/>
      <c r="F8" s="241">
        <v>5</v>
      </c>
      <c r="G8" s="242" t="s">
        <v>12</v>
      </c>
      <c r="H8" s="240" t="s">
        <v>481</v>
      </c>
      <c r="I8" s="1019"/>
      <c r="J8" s="224">
        <f>+'1'!J8</f>
        <v>0</v>
      </c>
      <c r="K8" s="249"/>
      <c r="L8" s="249"/>
      <c r="M8" s="126">
        <f>+K8+'1'!M8+L8</f>
        <v>0</v>
      </c>
      <c r="N8" s="158">
        <v>1170</v>
      </c>
      <c r="O8" s="158">
        <f>+N8-N8*0.24</f>
        <v>889.2</v>
      </c>
    </row>
    <row r="9" spans="1:15" ht="13.5" thickBot="1">
      <c r="A9" s="1016"/>
      <c r="B9" s="225"/>
      <c r="C9" s="226"/>
      <c r="D9" s="227"/>
      <c r="E9" s="230"/>
      <c r="F9" s="238">
        <v>10</v>
      </c>
      <c r="G9" s="242" t="s">
        <v>12</v>
      </c>
      <c r="H9" s="596" t="s">
        <v>445</v>
      </c>
      <c r="I9" s="1019"/>
      <c r="J9" s="224">
        <f>+'1'!J9</f>
        <v>0</v>
      </c>
      <c r="K9" s="249"/>
      <c r="L9" s="249"/>
      <c r="M9" s="126">
        <f>+K9+'1'!M9+L9</f>
        <v>0</v>
      </c>
      <c r="N9" s="158">
        <v>1300</v>
      </c>
      <c r="O9" s="158">
        <f>+N9-N9*0.24</f>
        <v>988</v>
      </c>
    </row>
    <row r="10" spans="1:15" ht="13.5" thickBot="1">
      <c r="A10" s="1016"/>
      <c r="B10" s="225"/>
      <c r="C10" s="226"/>
      <c r="D10" s="227"/>
      <c r="E10" s="229"/>
      <c r="F10" s="238"/>
      <c r="G10" s="242"/>
      <c r="H10" s="596" t="s">
        <v>476</v>
      </c>
      <c r="I10" s="1019"/>
      <c r="J10" s="224">
        <f>+'1'!J10</f>
        <v>0</v>
      </c>
      <c r="K10" s="249"/>
      <c r="L10" s="249"/>
      <c r="M10" s="126">
        <f>+K10+'1'!M10+L10</f>
        <v>0</v>
      </c>
      <c r="N10" s="158">
        <v>1320</v>
      </c>
      <c r="O10" s="158">
        <f>+N10-N10*0.24</f>
        <v>1003.2</v>
      </c>
    </row>
    <row r="11" spans="1:15" ht="13.5" thickBot="1">
      <c r="A11" s="1016"/>
      <c r="B11" s="225"/>
      <c r="C11" s="226"/>
      <c r="D11" s="227"/>
      <c r="E11" s="229"/>
      <c r="F11" s="238"/>
      <c r="G11" s="242"/>
      <c r="H11" s="596" t="s">
        <v>461</v>
      </c>
      <c r="I11" s="1019"/>
      <c r="J11" s="224">
        <f>+'1'!J11</f>
        <v>0</v>
      </c>
      <c r="K11" s="249"/>
      <c r="L11" s="249"/>
      <c r="M11" s="126">
        <f>+K11+'1'!M11+L11</f>
        <v>0</v>
      </c>
    </row>
    <row r="12" spans="1:15" ht="13.5" thickBot="1">
      <c r="A12" s="1016"/>
      <c r="B12" s="225"/>
      <c r="C12" s="226"/>
      <c r="D12" s="227"/>
      <c r="E12" s="235" t="s">
        <v>479</v>
      </c>
      <c r="F12" s="238">
        <v>15</v>
      </c>
      <c r="G12" s="242" t="s">
        <v>68</v>
      </c>
      <c r="H12" s="596" t="s">
        <v>462</v>
      </c>
      <c r="I12" s="1019"/>
      <c r="J12" s="224">
        <f>+'1'!J12</f>
        <v>0</v>
      </c>
      <c r="K12" s="249"/>
      <c r="L12" s="249"/>
      <c r="M12" s="126">
        <f>+K12+'1'!M12+L12</f>
        <v>0</v>
      </c>
    </row>
    <row r="13" spans="1:15" ht="13.5" thickBot="1">
      <c r="A13" s="1016"/>
      <c r="B13" s="225"/>
      <c r="C13" s="226"/>
      <c r="D13" s="226"/>
      <c r="E13" s="229"/>
      <c r="F13" s="238"/>
      <c r="G13" s="242"/>
      <c r="H13" s="243" t="s">
        <v>463</v>
      </c>
      <c r="I13" s="1020"/>
      <c r="J13" s="224">
        <f>+'1'!J13</f>
        <v>0</v>
      </c>
      <c r="K13" s="249"/>
      <c r="L13" s="249"/>
      <c r="M13" s="126">
        <f>+K13+'1'!M13+L13</f>
        <v>0</v>
      </c>
    </row>
    <row r="14" spans="1:15" ht="13.5" thickBot="1">
      <c r="A14" s="1017"/>
      <c r="B14" s="175" t="s">
        <v>2</v>
      </c>
      <c r="C14" s="108">
        <f>SUM(C7:C13)</f>
        <v>11227</v>
      </c>
      <c r="D14" s="120">
        <f>SUM(D7:D13)</f>
        <v>0</v>
      </c>
      <c r="E14" s="121">
        <f>SUM(E5:E13)</f>
        <v>0</v>
      </c>
      <c r="F14" s="125">
        <f>SUM(F7:F13)</f>
        <v>55</v>
      </c>
      <c r="G14" s="168"/>
      <c r="H14" s="176"/>
      <c r="I14" s="177"/>
      <c r="J14" s="224">
        <f>+'1'!J14</f>
        <v>0</v>
      </c>
      <c r="K14" s="249"/>
      <c r="L14" s="249"/>
      <c r="M14" s="126">
        <f>+K14+'1'!M14+L14</f>
        <v>0</v>
      </c>
    </row>
    <row r="15" spans="1:15" ht="13.5" customHeight="1" thickBot="1">
      <c r="A15" s="1015" t="s">
        <v>450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 t="s">
        <v>508</v>
      </c>
      <c r="J15" s="224">
        <f>+'1'!J15</f>
        <v>0</v>
      </c>
      <c r="K15" s="249"/>
      <c r="L15" s="249"/>
      <c r="M15" s="126">
        <f>+K15+'1'!M15+L15</f>
        <v>0</v>
      </c>
    </row>
    <row r="16" spans="1:15" ht="13.5" thickBot="1">
      <c r="A16" s="1021"/>
      <c r="B16" s="225" t="s">
        <v>457</v>
      </c>
      <c r="C16" s="232">
        <v>15509</v>
      </c>
      <c r="D16" s="233">
        <v>290</v>
      </c>
      <c r="E16" s="234"/>
      <c r="F16" s="238">
        <v>6</v>
      </c>
      <c r="G16" s="242" t="s">
        <v>12</v>
      </c>
      <c r="H16" s="240" t="s">
        <v>482</v>
      </c>
      <c r="I16" s="1019"/>
      <c r="J16" s="224">
        <f>+'1'!J16</f>
        <v>0</v>
      </c>
      <c r="K16" s="239"/>
      <c r="L16" s="239"/>
      <c r="M16" s="126">
        <f>+K16+'1'!M16+L16</f>
        <v>0</v>
      </c>
    </row>
    <row r="17" spans="1:14" ht="13.5" thickBot="1">
      <c r="A17" s="1021"/>
      <c r="B17" s="225"/>
      <c r="C17" s="226"/>
      <c r="D17" s="227"/>
      <c r="E17" s="235"/>
      <c r="F17" s="238">
        <v>10</v>
      </c>
      <c r="G17" s="242" t="s">
        <v>12</v>
      </c>
      <c r="H17" s="596" t="s">
        <v>420</v>
      </c>
      <c r="I17" s="1019"/>
      <c r="J17" s="224">
        <f>+'1'!J17</f>
        <v>0</v>
      </c>
      <c r="K17" s="239"/>
      <c r="L17" s="239"/>
      <c r="M17" s="126">
        <f>+K17+'1'!M17+L17</f>
        <v>0</v>
      </c>
    </row>
    <row r="18" spans="1:14" ht="13.5" thickBot="1">
      <c r="A18" s="1021"/>
      <c r="B18" s="225"/>
      <c r="C18" s="226"/>
      <c r="D18" s="227"/>
      <c r="E18" s="235"/>
      <c r="F18" s="238"/>
      <c r="G18" s="242"/>
      <c r="H18" s="596" t="s">
        <v>477</v>
      </c>
      <c r="I18" s="1019"/>
      <c r="J18" s="224">
        <f>+'1'!J18</f>
        <v>0</v>
      </c>
      <c r="K18" s="249"/>
      <c r="L18" s="249"/>
      <c r="M18" s="126">
        <f>+K18+'1'!M18+L18</f>
        <v>0</v>
      </c>
    </row>
    <row r="19" spans="1:14" ht="13.5" thickBot="1">
      <c r="A19" s="1021"/>
      <c r="B19" s="225"/>
      <c r="C19" s="226"/>
      <c r="D19" s="227"/>
      <c r="E19" s="235"/>
      <c r="F19" s="245"/>
      <c r="G19" s="242"/>
      <c r="H19" s="596" t="s">
        <v>464</v>
      </c>
      <c r="I19" s="1019"/>
      <c r="J19" s="224">
        <f>+'1'!J19</f>
        <v>0</v>
      </c>
      <c r="K19" s="249"/>
      <c r="L19" s="249"/>
      <c r="M19" s="126">
        <f>+K19+'1'!M19+L19</f>
        <v>0</v>
      </c>
    </row>
    <row r="20" spans="1:14" ht="26.25" thickBot="1">
      <c r="A20" s="1021"/>
      <c r="B20" s="225"/>
      <c r="C20" s="226"/>
      <c r="D20" s="227"/>
      <c r="E20" s="235" t="s">
        <v>479</v>
      </c>
      <c r="F20" s="238">
        <v>39</v>
      </c>
      <c r="G20" s="242" t="s">
        <v>66</v>
      </c>
      <c r="H20" s="596" t="s">
        <v>466</v>
      </c>
      <c r="I20" s="1019"/>
      <c r="J20" s="224">
        <f>+'1'!J20</f>
        <v>0</v>
      </c>
      <c r="K20" s="250"/>
      <c r="L20" s="250"/>
      <c r="M20" s="126">
        <f>+K20+'1'!M20+L20</f>
        <v>0</v>
      </c>
    </row>
    <row r="21" spans="1:14" ht="13.5" thickBot="1">
      <c r="A21" s="1021"/>
      <c r="B21" s="225"/>
      <c r="C21" s="226"/>
      <c r="D21" s="227"/>
      <c r="E21" s="235"/>
      <c r="F21" s="241"/>
      <c r="G21" s="242"/>
      <c r="H21" s="502" t="s">
        <v>467</v>
      </c>
      <c r="I21" s="1019"/>
      <c r="J21" s="224">
        <f>+'1'!J21</f>
        <v>0</v>
      </c>
      <c r="K21" s="249"/>
      <c r="L21" s="249"/>
      <c r="M21" s="126">
        <f>+K21+'1'!M21+L21</f>
        <v>0</v>
      </c>
    </row>
    <row r="22" spans="1:14" ht="26.25" thickBot="1">
      <c r="A22" s="1021"/>
      <c r="B22" s="225"/>
      <c r="C22" s="226"/>
      <c r="D22" s="227"/>
      <c r="E22" s="235"/>
      <c r="F22" s="246"/>
      <c r="G22" s="242"/>
      <c r="H22" s="243" t="s">
        <v>465</v>
      </c>
      <c r="I22" s="1020"/>
      <c r="J22" s="224">
        <f>+'1'!J22</f>
        <v>0</v>
      </c>
      <c r="K22" s="249"/>
      <c r="L22" s="249"/>
      <c r="M22" s="126">
        <f>+K22+'1'!M22+L22</f>
        <v>0</v>
      </c>
    </row>
    <row r="23" spans="1:14" ht="13.5" thickBot="1">
      <c r="A23" s="1022"/>
      <c r="B23" s="178" t="s">
        <v>2</v>
      </c>
      <c r="C23" s="109">
        <f>SUM(C16:C22)</f>
        <v>15509</v>
      </c>
      <c r="D23" s="120">
        <f>SUM(D16:D22)</f>
        <v>290</v>
      </c>
      <c r="E23" s="121">
        <f>SUM(E18:E22)</f>
        <v>0</v>
      </c>
      <c r="F23" s="125">
        <f>SUM(F15:F22)</f>
        <v>55</v>
      </c>
      <c r="G23" s="168"/>
      <c r="H23" s="176" t="s">
        <v>234</v>
      </c>
      <c r="I23" s="179"/>
      <c r="J23" s="224">
        <f>+'1'!J23</f>
        <v>0</v>
      </c>
      <c r="K23" s="249"/>
      <c r="L23" s="249"/>
      <c r="M23" s="126">
        <f>+K23+'1'!M23+L23</f>
        <v>0</v>
      </c>
    </row>
    <row r="24" spans="1:14" ht="13.5" customHeight="1" thickBot="1">
      <c r="A24" s="1015" t="s">
        <v>451</v>
      </c>
      <c r="B24" s="180"/>
      <c r="C24" s="122"/>
      <c r="D24" s="123"/>
      <c r="E24" s="124"/>
      <c r="F24" s="246"/>
      <c r="G24" s="239" t="s">
        <v>12</v>
      </c>
      <c r="H24" s="240" t="s">
        <v>277</v>
      </c>
      <c r="I24" s="1018" t="s">
        <v>509</v>
      </c>
      <c r="J24" s="224">
        <f>+'1'!J24</f>
        <v>0</v>
      </c>
      <c r="K24" s="249"/>
      <c r="L24" s="249"/>
      <c r="M24" s="126">
        <f>+K24+'1'!M24+L24</f>
        <v>0</v>
      </c>
    </row>
    <row r="25" spans="1:14" ht="13.5" thickBot="1">
      <c r="A25" s="1021"/>
      <c r="B25" s="225" t="s">
        <v>457</v>
      </c>
      <c r="C25" s="236">
        <v>17504</v>
      </c>
      <c r="D25" s="227"/>
      <c r="E25" s="235"/>
      <c r="F25" s="241">
        <v>6</v>
      </c>
      <c r="G25" s="242" t="s">
        <v>12</v>
      </c>
      <c r="H25" s="240" t="s">
        <v>483</v>
      </c>
      <c r="I25" s="1019"/>
      <c r="J25" s="224">
        <f>+'1'!J25</f>
        <v>0</v>
      </c>
      <c r="K25" s="249"/>
      <c r="L25" s="249"/>
      <c r="M25" s="126">
        <f>+K25+'1'!M25+L25</f>
        <v>0</v>
      </c>
    </row>
    <row r="26" spans="1:14" ht="13.5" thickBot="1">
      <c r="A26" s="1021"/>
      <c r="B26" s="225"/>
      <c r="C26" s="236"/>
      <c r="D26" s="227"/>
      <c r="E26" s="237"/>
      <c r="F26" s="241">
        <v>10</v>
      </c>
      <c r="G26" s="242" t="s">
        <v>12</v>
      </c>
      <c r="H26" s="596" t="s">
        <v>445</v>
      </c>
      <c r="I26" s="1019"/>
      <c r="J26" s="224">
        <f>+'1'!J26</f>
        <v>0</v>
      </c>
      <c r="K26" s="249"/>
      <c r="L26" s="249"/>
      <c r="M26" s="126">
        <f>+K26+'1'!M26+L26</f>
        <v>0</v>
      </c>
    </row>
    <row r="27" spans="1:14" ht="13.5" thickBot="1">
      <c r="A27" s="1021"/>
      <c r="B27" s="225"/>
      <c r="C27" s="226"/>
      <c r="D27" s="227"/>
      <c r="E27" s="235"/>
      <c r="F27" s="241"/>
      <c r="G27" s="242"/>
      <c r="H27" s="596" t="s">
        <v>478</v>
      </c>
      <c r="I27" s="1019"/>
      <c r="J27" s="224">
        <f>+'1'!J27</f>
        <v>0</v>
      </c>
      <c r="K27" s="249"/>
      <c r="L27" s="249"/>
      <c r="M27" s="126">
        <f>+K27+'1'!M27+L27</f>
        <v>0</v>
      </c>
    </row>
    <row r="28" spans="1:14" ht="26.25" thickBot="1">
      <c r="A28" s="1021"/>
      <c r="B28" s="225"/>
      <c r="C28" s="226"/>
      <c r="D28" s="227"/>
      <c r="E28" s="235"/>
      <c r="F28" s="241"/>
      <c r="G28" s="242"/>
      <c r="H28" s="243" t="s">
        <v>468</v>
      </c>
      <c r="I28" s="1019"/>
      <c r="J28" s="224">
        <f>+'1'!J28</f>
        <v>0</v>
      </c>
      <c r="K28" s="249"/>
      <c r="L28" s="249"/>
      <c r="M28" s="126">
        <f>+K28+'1'!M28+L28</f>
        <v>0</v>
      </c>
    </row>
    <row r="29" spans="1:14" ht="13.5" thickBot="1">
      <c r="A29" s="1021"/>
      <c r="B29" s="225"/>
      <c r="C29" s="226"/>
      <c r="D29" s="227"/>
      <c r="E29" s="235"/>
      <c r="F29" s="246"/>
      <c r="G29" s="242"/>
      <c r="H29" s="243"/>
      <c r="I29" s="1019"/>
      <c r="J29" s="224">
        <f>+'1'!J29</f>
        <v>0</v>
      </c>
      <c r="K29" s="249"/>
      <c r="L29" s="249"/>
      <c r="M29" s="126">
        <f>+K29+'1'!M29+L29</f>
        <v>0</v>
      </c>
    </row>
    <row r="30" spans="1:14" ht="13.5" thickBot="1">
      <c r="A30" s="1021"/>
      <c r="B30" s="225"/>
      <c r="C30" s="236"/>
      <c r="D30" s="227"/>
      <c r="E30" s="235"/>
      <c r="F30" s="246"/>
      <c r="G30" s="242"/>
      <c r="H30" s="243"/>
      <c r="I30" s="1019"/>
      <c r="J30" s="224">
        <f>+'1'!J30</f>
        <v>0</v>
      </c>
      <c r="K30" s="249"/>
      <c r="L30" s="249"/>
      <c r="M30" s="126">
        <f>+K30+'1'!M30+L30</f>
        <v>0</v>
      </c>
      <c r="N30" s="164"/>
    </row>
    <row r="31" spans="1:14" ht="13.5" thickBot="1">
      <c r="A31" s="1021"/>
      <c r="B31" s="225"/>
      <c r="C31" s="236"/>
      <c r="D31" s="227"/>
      <c r="E31" s="235"/>
      <c r="F31" s="246"/>
      <c r="G31" s="247"/>
      <c r="H31" s="463"/>
      <c r="I31" s="1020"/>
      <c r="J31" s="224">
        <f>+'1'!J31</f>
        <v>0</v>
      </c>
      <c r="K31" s="249"/>
      <c r="L31" s="249"/>
      <c r="M31" s="126">
        <f>+K31+'1'!M31+L31</f>
        <v>0</v>
      </c>
    </row>
    <row r="32" spans="1:14" ht="13.5" thickBot="1">
      <c r="A32" s="1022"/>
      <c r="B32" s="175" t="s">
        <v>2</v>
      </c>
      <c r="C32" s="108">
        <f>SUM(C25:C31)</f>
        <v>17504</v>
      </c>
      <c r="D32" s="109">
        <f>SUM(D25:D31)</f>
        <v>0</v>
      </c>
      <c r="E32" s="110">
        <f>SUM(E25:E31)</f>
        <v>0</v>
      </c>
      <c r="F32" s="111">
        <f>SUM(F24:F31)</f>
        <v>16</v>
      </c>
      <c r="G32" s="181"/>
      <c r="H32" s="182"/>
      <c r="I32" s="179"/>
      <c r="J32" s="224">
        <f>+'1'!J32</f>
        <v>0</v>
      </c>
      <c r="K32" s="251"/>
      <c r="L32" s="253"/>
      <c r="M32" s="126">
        <f>+K32+'1'!M32+L32</f>
        <v>0</v>
      </c>
    </row>
    <row r="33" spans="1:14" ht="13.5" thickBot="1">
      <c r="A33" s="183"/>
      <c r="B33" s="184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44240</v>
      </c>
      <c r="D34" s="116">
        <f>D14+D23+D32</f>
        <v>290</v>
      </c>
      <c r="E34" s="116">
        <f>E14+E23+E32</f>
        <v>0</v>
      </c>
      <c r="F34" s="117">
        <f>F14+F23+F32</f>
        <v>126</v>
      </c>
      <c r="H34" s="188"/>
      <c r="I34" s="188"/>
      <c r="J34" s="132" t="s">
        <v>28</v>
      </c>
      <c r="K34" s="133">
        <f>SUM(K7:K32)</f>
        <v>44240</v>
      </c>
      <c r="L34" s="222">
        <f>SUM(L7:L32)</f>
        <v>0</v>
      </c>
      <c r="M34" s="129">
        <f>SUM(M7:M32)</f>
        <v>51954</v>
      </c>
      <c r="N34" s="164"/>
    </row>
    <row r="35" spans="1:14" ht="13.5" thickBot="1">
      <c r="A35" s="189"/>
      <c r="B35" s="190"/>
      <c r="C35" s="113">
        <f>C34/($C$34+$D$34+$E$34)</f>
        <v>0.99348753649225241</v>
      </c>
      <c r="D35" s="113">
        <f>D34/($C$34+$D$34+$E$34)</f>
        <v>6.5124635077475857E-3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338"/>
      <c r="G37" s="340"/>
      <c r="H37" s="196" t="s">
        <v>62</v>
      </c>
      <c r="I37" s="254">
        <f>(13.5*1440)/1440*G42*2.77*1440/1000000</f>
        <v>51.702027840000007</v>
      </c>
      <c r="J37" s="134">
        <f>+I37+'1'!J37</f>
        <v>63.251997120000006</v>
      </c>
      <c r="K37" s="135" t="s">
        <v>63</v>
      </c>
    </row>
    <row r="38" spans="1:14" ht="17.45" customHeight="1">
      <c r="A38" s="1013" t="s">
        <v>12</v>
      </c>
      <c r="B38" s="1014"/>
      <c r="C38" s="173">
        <f>SUMIF($G$7:$G$31,"Process",$F$7:$F$31)</f>
        <v>72</v>
      </c>
      <c r="D38" s="127">
        <f>+C38+'1'!D38</f>
        <v>99</v>
      </c>
      <c r="E38" s="152">
        <f t="shared" ref="E38:E51" si="0">D38/60</f>
        <v>1.65</v>
      </c>
      <c r="F38" s="338">
        <v>1170</v>
      </c>
      <c r="G38" s="338">
        <f>+F38-F38*0.24</f>
        <v>889.2</v>
      </c>
      <c r="H38" s="197" t="s">
        <v>64</v>
      </c>
      <c r="I38" s="554">
        <f>13.64+16.229+16.987</f>
        <v>46.855999999999995</v>
      </c>
      <c r="J38" s="136">
        <f>+I38+'1'!J38</f>
        <v>56.873999999999995</v>
      </c>
      <c r="K38" s="137" t="s">
        <v>63</v>
      </c>
      <c r="N38" s="566"/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+C39+'1'!D39</f>
        <v>0</v>
      </c>
      <c r="E39" s="152">
        <f t="shared" si="0"/>
        <v>0</v>
      </c>
      <c r="F39" s="338">
        <v>1300</v>
      </c>
      <c r="G39" s="338">
        <f>+F39-F39*0.24</f>
        <v>988</v>
      </c>
      <c r="H39" s="197" t="s">
        <v>65</v>
      </c>
      <c r="I39" s="151"/>
      <c r="J39" s="138">
        <f>J37/G4</f>
        <v>31.625998560000003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39</v>
      </c>
      <c r="D40" s="127">
        <f>+C40+'1'!D40</f>
        <v>39</v>
      </c>
      <c r="E40" s="152">
        <f t="shared" si="0"/>
        <v>0.65</v>
      </c>
      <c r="F40" s="338">
        <v>1320</v>
      </c>
      <c r="G40" s="338">
        <f>+F40-F40*0.24</f>
        <v>1003.2</v>
      </c>
      <c r="H40" s="197" t="s">
        <v>67</v>
      </c>
      <c r="I40" s="127">
        <f>(K34+L34)/1000</f>
        <v>44.24</v>
      </c>
      <c r="J40" s="140">
        <f>+I40+'1'!J40</f>
        <v>51.954000000000001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15</v>
      </c>
      <c r="D41" s="127">
        <f>+C41+'1'!D41</f>
        <v>15</v>
      </c>
      <c r="E41" s="152">
        <f t="shared" si="0"/>
        <v>0.25</v>
      </c>
      <c r="F41" s="338"/>
      <c r="G41" s="338"/>
      <c r="H41" s="197" t="s">
        <v>69</v>
      </c>
      <c r="I41" s="151"/>
      <c r="J41" s="138">
        <f>J40/G4</f>
        <v>25.977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>+C42+'1'!D42</f>
        <v>0</v>
      </c>
      <c r="E42" s="152">
        <f t="shared" si="0"/>
        <v>0</v>
      </c>
      <c r="F42" s="338">
        <f>+(F38*480+F39*480+F40*480)/1440</f>
        <v>1263.3333333333333</v>
      </c>
      <c r="G42" s="338">
        <f>+(G38*480+G39*480+G40*480)/1440</f>
        <v>960.13333333333333</v>
      </c>
      <c r="H42" s="197" t="s">
        <v>70</v>
      </c>
      <c r="I42" s="256" t="s">
        <v>480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>+C43+'1'!D43</f>
        <v>0</v>
      </c>
      <c r="E43" s="152">
        <f t="shared" si="0"/>
        <v>0</v>
      </c>
      <c r="F43" s="338"/>
      <c r="G43" s="339"/>
      <c r="H43" s="198" t="s">
        <v>73</v>
      </c>
      <c r="I43" s="127">
        <f>+Report1!T10</f>
        <v>125.154</v>
      </c>
      <c r="J43" s="142">
        <f>+I43+'1'!J43</f>
        <v>160.941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+C44+'1'!D44</f>
        <v>0</v>
      </c>
      <c r="E44" s="152">
        <f t="shared" si="0"/>
        <v>0</v>
      </c>
      <c r="F44" s="338"/>
      <c r="G44" s="339"/>
      <c r="H44" s="198" t="s">
        <v>74</v>
      </c>
      <c r="I44" s="127">
        <f>I43/I38</f>
        <v>2.6710346593819363</v>
      </c>
      <c r="J44" s="143">
        <f>J43/J38</f>
        <v>2.8297816225340227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>+C45+'1'!D45</f>
        <v>0</v>
      </c>
      <c r="E45" s="152">
        <f t="shared" si="0"/>
        <v>0</v>
      </c>
      <c r="F45" s="338"/>
      <c r="G45" s="341"/>
      <c r="H45" s="198" t="s">
        <v>75</v>
      </c>
      <c r="I45" s="127">
        <f>I43/I40</f>
        <v>2.8289783001808315</v>
      </c>
      <c r="J45" s="143">
        <f>J43/J40</f>
        <v>3.0977595565307774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>+C46+'1'!D46</f>
        <v>0</v>
      </c>
      <c r="E46" s="152">
        <f t="shared" si="0"/>
        <v>0</v>
      </c>
      <c r="F46" s="338"/>
      <c r="G46" s="339"/>
      <c r="H46" s="198" t="s">
        <v>77</v>
      </c>
      <c r="I46" s="149">
        <f>+SUMIF(Listrik!AR9,"&gt;0")</f>
        <v>45471.460000000421</v>
      </c>
      <c r="J46" s="144">
        <f>+I46+'1'!J46</f>
        <v>60587.47999999825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>+C47+'1'!D47</f>
        <v>0</v>
      </c>
      <c r="E47" s="152">
        <f t="shared" si="0"/>
        <v>0</v>
      </c>
      <c r="F47" s="338"/>
      <c r="G47" s="339"/>
      <c r="H47" s="198" t="s">
        <v>80</v>
      </c>
      <c r="I47" s="127">
        <f>I46/I38</f>
        <v>970.45116954072955</v>
      </c>
      <c r="J47" s="144">
        <f>J46/J38</f>
        <v>1065.2931040545461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>+C48+'1'!D48</f>
        <v>0</v>
      </c>
      <c r="E48" s="152">
        <f t="shared" si="0"/>
        <v>0</v>
      </c>
      <c r="F48" s="338"/>
      <c r="G48" s="339"/>
      <c r="H48" s="198" t="s">
        <v>81</v>
      </c>
      <c r="I48" s="127">
        <f>I46/I40</f>
        <v>1027.8358951175501</v>
      </c>
      <c r="J48" s="144">
        <f>J46/J40</f>
        <v>1166.1754629094632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>+C49+'1'!D49</f>
        <v>0</v>
      </c>
      <c r="E49" s="152">
        <f t="shared" si="0"/>
        <v>0</v>
      </c>
      <c r="F49" s="195"/>
      <c r="H49" s="198" t="s">
        <v>184</v>
      </c>
      <c r="I49" s="127">
        <v>0</v>
      </c>
      <c r="J49" s="144">
        <f>+I49+'1'!J49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>+C50+'1'!D50</f>
        <v>0</v>
      </c>
      <c r="E50" s="152">
        <f t="shared" si="0"/>
        <v>0</v>
      </c>
      <c r="F50" s="195"/>
      <c r="H50" s="198" t="s">
        <v>84</v>
      </c>
      <c r="I50" s="149"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0</v>
      </c>
      <c r="D51" s="127">
        <f>+C51+'1'!D51</f>
        <v>1090</v>
      </c>
      <c r="E51" s="152">
        <f t="shared" si="0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126</v>
      </c>
      <c r="D52" s="153">
        <f>SUM(D38:D51)</f>
        <v>1243</v>
      </c>
      <c r="E52" s="154">
        <f>SUM(E38:E51)</f>
        <v>20.716666666666669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8.7499999999999994E-2</v>
      </c>
      <c r="D53" s="155">
        <f>D52/(24*60*G4)</f>
        <v>0.43159722222222224</v>
      </c>
      <c r="E53" s="156">
        <f>E52/(G4*24)</f>
        <v>0.43159722222222224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+D34+'1'!J56</f>
        <v>538</v>
      </c>
      <c r="K56" s="211">
        <f>J56/(J40+J56/1000)/1000</f>
        <v>1.0249180827554676E-2</v>
      </c>
    </row>
    <row r="57" spans="1:11">
      <c r="A57" s="186"/>
      <c r="I57" s="209" t="s">
        <v>89</v>
      </c>
      <c r="J57" s="210">
        <f>+E34+'1'!J57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41:B41"/>
    <mergeCell ref="I7:I13"/>
    <mergeCell ref="I15:I22"/>
    <mergeCell ref="A7:A14"/>
    <mergeCell ref="A15:A23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9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710937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4" style="158" bestFit="1" customWidth="1"/>
    <col min="12" max="12" width="8.28515625" style="158" customWidth="1"/>
    <col min="13" max="13" width="14.42578125" style="158" bestFit="1" customWidth="1"/>
    <col min="14" max="14" width="9.140625" style="158" bestFit="1"/>
    <col min="15" max="16384" width="9.140625" style="158"/>
  </cols>
  <sheetData>
    <row r="1" spans="1:14" ht="15.75">
      <c r="A1" s="157"/>
    </row>
    <row r="2" spans="1:14" ht="15.75">
      <c r="A2" s="157" t="s">
        <v>147</v>
      </c>
    </row>
    <row r="3" spans="1:14" ht="15">
      <c r="A3" s="159"/>
    </row>
    <row r="4" spans="1:14" ht="20.25">
      <c r="A4" s="160" t="s">
        <v>3</v>
      </c>
      <c r="B4" s="161"/>
      <c r="F4" s="162" t="s">
        <v>30</v>
      </c>
      <c r="G4" s="163">
        <v>1</v>
      </c>
      <c r="H4" s="163" t="s">
        <v>418</v>
      </c>
    </row>
    <row r="5" spans="1:14" ht="13.5" thickBot="1">
      <c r="C5" s="164"/>
      <c r="D5" s="164"/>
    </row>
    <row r="6" spans="1:14" ht="26.25" thickBot="1">
      <c r="A6" s="165" t="s">
        <v>47</v>
      </c>
      <c r="B6" s="166" t="s">
        <v>9</v>
      </c>
      <c r="C6" s="166" t="s">
        <v>48</v>
      </c>
      <c r="D6" s="166" t="s">
        <v>49</v>
      </c>
      <c r="E6" s="167" t="s">
        <v>50</v>
      </c>
      <c r="F6" s="111" t="s">
        <v>51</v>
      </c>
      <c r="G6" s="166" t="s">
        <v>52</v>
      </c>
      <c r="H6" s="168" t="s">
        <v>53</v>
      </c>
      <c r="I6" s="169" t="s">
        <v>54</v>
      </c>
      <c r="J6" s="170" t="s">
        <v>9</v>
      </c>
      <c r="K6" s="171" t="s">
        <v>55</v>
      </c>
      <c r="L6" s="220" t="s">
        <v>142</v>
      </c>
      <c r="M6" s="172" t="s">
        <v>56</v>
      </c>
      <c r="N6" s="158">
        <v>265</v>
      </c>
    </row>
    <row r="7" spans="1:14" ht="13.5" customHeight="1" thickBot="1">
      <c r="A7" s="1015" t="s">
        <v>449</v>
      </c>
      <c r="B7" s="225"/>
      <c r="C7" s="226"/>
      <c r="D7" s="227"/>
      <c r="E7" s="228"/>
      <c r="F7" s="238"/>
      <c r="G7" s="239" t="s">
        <v>12</v>
      </c>
      <c r="H7" s="240" t="s">
        <v>277</v>
      </c>
      <c r="I7" s="1018"/>
      <c r="J7" s="260" t="s">
        <v>457</v>
      </c>
      <c r="K7" s="248">
        <f>+C34</f>
        <v>7714</v>
      </c>
      <c r="L7" s="252"/>
      <c r="M7" s="126">
        <f>+K7+L7</f>
        <v>7714</v>
      </c>
    </row>
    <row r="8" spans="1:14" ht="13.5" thickBot="1">
      <c r="A8" s="1016"/>
      <c r="B8" s="225"/>
      <c r="C8" s="226"/>
      <c r="D8" s="227"/>
      <c r="E8" s="229"/>
      <c r="F8" s="241"/>
      <c r="G8" s="242" t="s">
        <v>12</v>
      </c>
      <c r="H8" s="240" t="s">
        <v>446</v>
      </c>
      <c r="I8" s="1019"/>
      <c r="J8" s="261"/>
      <c r="K8" s="249"/>
      <c r="L8" s="249"/>
      <c r="M8" s="126">
        <f t="shared" ref="M8:M32" si="0">+K8+L8</f>
        <v>0</v>
      </c>
    </row>
    <row r="9" spans="1:14" ht="13.5" thickBot="1">
      <c r="A9" s="1016"/>
      <c r="B9" s="225"/>
      <c r="C9" s="226"/>
      <c r="D9" s="227"/>
      <c r="E9" s="230"/>
      <c r="F9" s="238"/>
      <c r="G9" s="242" t="s">
        <v>12</v>
      </c>
      <c r="H9" s="596" t="s">
        <v>448</v>
      </c>
      <c r="I9" s="1019"/>
      <c r="J9" s="261"/>
      <c r="K9" s="249"/>
      <c r="L9" s="249"/>
      <c r="M9" s="126">
        <f t="shared" si="0"/>
        <v>0</v>
      </c>
    </row>
    <row r="10" spans="1:14" ht="13.5" thickBot="1">
      <c r="A10" s="1016"/>
      <c r="B10" s="225"/>
      <c r="C10" s="226"/>
      <c r="D10" s="227"/>
      <c r="E10" s="229"/>
      <c r="F10" s="238">
        <v>480</v>
      </c>
      <c r="G10" s="242" t="s">
        <v>431</v>
      </c>
      <c r="H10" s="596" t="s">
        <v>430</v>
      </c>
      <c r="I10" s="1019"/>
      <c r="J10" s="260"/>
      <c r="K10" s="249"/>
      <c r="L10" s="249"/>
      <c r="M10" s="126">
        <f t="shared" si="0"/>
        <v>0</v>
      </c>
    </row>
    <row r="11" spans="1:14" ht="51.75" thickBot="1">
      <c r="A11" s="1016"/>
      <c r="B11" s="225"/>
      <c r="C11" s="226"/>
      <c r="D11" s="227"/>
      <c r="E11" s="229"/>
      <c r="F11" s="238"/>
      <c r="G11" s="242"/>
      <c r="H11" s="596" t="s">
        <v>432</v>
      </c>
      <c r="I11" s="1019"/>
      <c r="J11" s="260"/>
      <c r="K11" s="249"/>
      <c r="L11" s="249"/>
      <c r="M11" s="126">
        <f t="shared" si="0"/>
        <v>0</v>
      </c>
    </row>
    <row r="12" spans="1:14" ht="26.25" thickBot="1">
      <c r="A12" s="1016"/>
      <c r="B12" s="225"/>
      <c r="C12" s="226"/>
      <c r="D12" s="227"/>
      <c r="E12" s="229"/>
      <c r="F12" s="238"/>
      <c r="G12" s="242"/>
      <c r="H12" s="243" t="s">
        <v>433</v>
      </c>
      <c r="I12" s="1019"/>
      <c r="J12" s="260"/>
      <c r="K12" s="249"/>
      <c r="L12" s="249"/>
      <c r="M12" s="126">
        <f t="shared" si="0"/>
        <v>0</v>
      </c>
    </row>
    <row r="13" spans="1:14" ht="26.25" thickBot="1">
      <c r="A13" s="1016"/>
      <c r="B13" s="225"/>
      <c r="C13" s="226"/>
      <c r="D13" s="226"/>
      <c r="E13" s="229"/>
      <c r="F13" s="238"/>
      <c r="G13" s="242"/>
      <c r="H13" s="243" t="s">
        <v>434</v>
      </c>
      <c r="I13" s="1020"/>
      <c r="J13" s="260"/>
      <c r="K13" s="249"/>
      <c r="L13" s="249"/>
      <c r="M13" s="126">
        <f t="shared" si="0"/>
        <v>0</v>
      </c>
    </row>
    <row r="14" spans="1:14" ht="13.5" thickBot="1">
      <c r="A14" s="1017"/>
      <c r="B14" s="175" t="s">
        <v>2</v>
      </c>
      <c r="C14" s="108">
        <f>SUM(C7:C13)</f>
        <v>0</v>
      </c>
      <c r="D14" s="120">
        <f>SUM(D7:D13)</f>
        <v>0</v>
      </c>
      <c r="E14" s="121">
        <f>SUM(E5:E13)</f>
        <v>0</v>
      </c>
      <c r="F14" s="125">
        <f>SUM(F7:F13)</f>
        <v>480</v>
      </c>
      <c r="G14" s="168"/>
      <c r="H14" s="176"/>
      <c r="I14" s="177"/>
      <c r="J14" s="260"/>
      <c r="K14" s="249"/>
      <c r="L14" s="249"/>
      <c r="M14" s="126">
        <f t="shared" si="0"/>
        <v>0</v>
      </c>
    </row>
    <row r="15" spans="1:14" ht="13.5" customHeight="1" thickBot="1">
      <c r="A15" s="1015" t="s">
        <v>450</v>
      </c>
      <c r="B15" s="175"/>
      <c r="C15" s="122"/>
      <c r="D15" s="123"/>
      <c r="E15" s="124"/>
      <c r="F15" s="238"/>
      <c r="G15" s="239" t="s">
        <v>12</v>
      </c>
      <c r="H15" s="240" t="s">
        <v>277</v>
      </c>
      <c r="I15" s="1018"/>
      <c r="J15" s="260"/>
      <c r="K15" s="249"/>
      <c r="L15" s="249"/>
      <c r="M15" s="126">
        <f t="shared" si="0"/>
        <v>0</v>
      </c>
    </row>
    <row r="16" spans="1:14" ht="13.5" thickBot="1">
      <c r="A16" s="1021"/>
      <c r="B16" s="225"/>
      <c r="C16" s="232"/>
      <c r="D16" s="233"/>
      <c r="E16" s="234"/>
      <c r="F16" s="238"/>
      <c r="G16" s="242" t="s">
        <v>12</v>
      </c>
      <c r="H16" s="240" t="s">
        <v>446</v>
      </c>
      <c r="I16" s="1019"/>
      <c r="J16" s="260"/>
      <c r="K16" s="239"/>
      <c r="L16" s="239"/>
      <c r="M16" s="126">
        <f t="shared" si="0"/>
        <v>0</v>
      </c>
    </row>
    <row r="17" spans="1:18" ht="13.5" thickBot="1">
      <c r="A17" s="1021"/>
      <c r="B17" s="225"/>
      <c r="C17" s="226"/>
      <c r="D17" s="227"/>
      <c r="E17" s="235"/>
      <c r="F17" s="238"/>
      <c r="G17" s="242" t="s">
        <v>12</v>
      </c>
      <c r="H17" s="596" t="s">
        <v>448</v>
      </c>
      <c r="I17" s="1019"/>
      <c r="J17" s="260"/>
      <c r="K17" s="239"/>
      <c r="L17" s="239"/>
      <c r="M17" s="126">
        <f t="shared" si="0"/>
        <v>0</v>
      </c>
    </row>
    <row r="18" spans="1:18" ht="13.5" thickBot="1">
      <c r="A18" s="1021"/>
      <c r="B18" s="225"/>
      <c r="C18" s="226"/>
      <c r="D18" s="227"/>
      <c r="E18" s="235"/>
      <c r="F18" s="238">
        <v>480</v>
      </c>
      <c r="G18" s="242" t="s">
        <v>431</v>
      </c>
      <c r="H18" s="596" t="s">
        <v>439</v>
      </c>
      <c r="I18" s="1019"/>
      <c r="J18" s="260"/>
      <c r="K18" s="249"/>
      <c r="L18" s="249"/>
      <c r="M18" s="126">
        <f t="shared" si="0"/>
        <v>0</v>
      </c>
    </row>
    <row r="19" spans="1:18" ht="26.25" thickBot="1">
      <c r="A19" s="1021"/>
      <c r="B19" s="225"/>
      <c r="C19" s="226"/>
      <c r="D19" s="227"/>
      <c r="E19" s="235"/>
      <c r="F19" s="245"/>
      <c r="G19" s="242"/>
      <c r="H19" s="596" t="s">
        <v>435</v>
      </c>
      <c r="I19" s="1019"/>
      <c r="J19" s="260"/>
      <c r="K19" s="249"/>
      <c r="L19" s="249"/>
      <c r="M19" s="126">
        <f t="shared" si="0"/>
        <v>0</v>
      </c>
    </row>
    <row r="20" spans="1:18" ht="26.25" thickBot="1">
      <c r="A20" s="1021"/>
      <c r="B20" s="225"/>
      <c r="C20" s="226"/>
      <c r="D20" s="227"/>
      <c r="E20" s="235"/>
      <c r="F20" s="238"/>
      <c r="G20" s="242"/>
      <c r="H20" s="243" t="s">
        <v>436</v>
      </c>
      <c r="I20" s="1019"/>
      <c r="J20" s="260"/>
      <c r="K20" s="250"/>
      <c r="L20" s="250"/>
      <c r="M20" s="126">
        <f t="shared" si="0"/>
        <v>0</v>
      </c>
    </row>
    <row r="21" spans="1:18" ht="26.25" thickBot="1">
      <c r="A21" s="1021"/>
      <c r="B21" s="225"/>
      <c r="C21" s="226"/>
      <c r="D21" s="227"/>
      <c r="E21" s="235"/>
      <c r="F21" s="241"/>
      <c r="G21" s="242"/>
      <c r="H21" s="502" t="s">
        <v>437</v>
      </c>
      <c r="I21" s="1019"/>
      <c r="J21" s="260"/>
      <c r="K21" s="249"/>
      <c r="L21" s="249"/>
      <c r="M21" s="126">
        <f t="shared" si="0"/>
        <v>0</v>
      </c>
    </row>
    <row r="22" spans="1:18" ht="39" thickBot="1">
      <c r="A22" s="1021"/>
      <c r="B22" s="225"/>
      <c r="C22" s="226"/>
      <c r="D22" s="227"/>
      <c r="E22" s="235"/>
      <c r="F22" s="246"/>
      <c r="G22" s="242"/>
      <c r="H22" s="243" t="s">
        <v>438</v>
      </c>
      <c r="I22" s="1020"/>
      <c r="J22" s="260"/>
      <c r="K22" s="249"/>
      <c r="L22" s="249"/>
      <c r="M22" s="126">
        <f t="shared" si="0"/>
        <v>0</v>
      </c>
    </row>
    <row r="23" spans="1:18" ht="13.5" thickBot="1">
      <c r="A23" s="1022"/>
      <c r="B23" s="178" t="s">
        <v>2</v>
      </c>
      <c r="C23" s="109">
        <f>SUM(C16:C22)</f>
        <v>0</v>
      </c>
      <c r="D23" s="120">
        <f>SUM(D16:D22)</f>
        <v>0</v>
      </c>
      <c r="E23" s="121">
        <f>SUM(E18:E22)</f>
        <v>0</v>
      </c>
      <c r="F23" s="125">
        <f>SUM(F15:F22)</f>
        <v>480</v>
      </c>
      <c r="G23" s="168"/>
      <c r="H23" s="176" t="s">
        <v>234</v>
      </c>
      <c r="I23" s="179"/>
      <c r="J23" s="260"/>
      <c r="K23" s="249"/>
      <c r="L23" s="249"/>
      <c r="M23" s="126">
        <f t="shared" si="0"/>
        <v>0</v>
      </c>
      <c r="N23" s="158">
        <v>1200</v>
      </c>
      <c r="O23" s="158">
        <f>+N23-N23*0.24</f>
        <v>912</v>
      </c>
      <c r="P23" s="158">
        <v>10</v>
      </c>
      <c r="Q23" s="158">
        <f>+N23*P23</f>
        <v>12000</v>
      </c>
      <c r="R23" s="158">
        <f>+O23*P23</f>
        <v>9120</v>
      </c>
    </row>
    <row r="24" spans="1:18" ht="13.5" customHeight="1" thickBot="1">
      <c r="A24" s="1015" t="s">
        <v>451</v>
      </c>
      <c r="B24" s="180"/>
      <c r="C24" s="122"/>
      <c r="D24" s="123"/>
      <c r="E24" s="124"/>
      <c r="F24" s="246">
        <v>20</v>
      </c>
      <c r="G24" s="239" t="s">
        <v>12</v>
      </c>
      <c r="H24" s="240" t="s">
        <v>447</v>
      </c>
      <c r="I24" s="1018" t="s">
        <v>444</v>
      </c>
      <c r="J24" s="260"/>
      <c r="K24" s="249"/>
      <c r="L24" s="249"/>
      <c r="M24" s="126">
        <f t="shared" si="0"/>
        <v>0</v>
      </c>
      <c r="N24" s="158">
        <v>1160</v>
      </c>
      <c r="O24" s="158">
        <f>+N24-N24*0.24</f>
        <v>881.6</v>
      </c>
      <c r="P24" s="158">
        <f>40+300</f>
        <v>340</v>
      </c>
      <c r="Q24" s="158">
        <f>+N24*P24</f>
        <v>394400</v>
      </c>
      <c r="R24" s="158">
        <f>+O24*P24</f>
        <v>299744</v>
      </c>
    </row>
    <row r="25" spans="1:18" ht="13.5" thickBot="1">
      <c r="A25" s="1021"/>
      <c r="B25" s="225" t="s">
        <v>457</v>
      </c>
      <c r="C25" s="236">
        <v>7714</v>
      </c>
      <c r="D25" s="227">
        <v>248</v>
      </c>
      <c r="E25" s="235"/>
      <c r="F25" s="241">
        <v>0</v>
      </c>
      <c r="G25" s="242" t="s">
        <v>12</v>
      </c>
      <c r="H25" s="240" t="s">
        <v>446</v>
      </c>
      <c r="I25" s="1019"/>
      <c r="J25" s="260"/>
      <c r="K25" s="249"/>
      <c r="L25" s="249"/>
      <c r="M25" s="126">
        <f t="shared" si="0"/>
        <v>0</v>
      </c>
      <c r="P25" s="158">
        <f>SUM(P23:P24)</f>
        <v>350</v>
      </c>
      <c r="Q25" s="158">
        <f>SUM(Q23:Q24)</f>
        <v>406400</v>
      </c>
      <c r="R25" s="158">
        <f>SUM(R23:R24)</f>
        <v>308864</v>
      </c>
    </row>
    <row r="26" spans="1:18" ht="13.5" thickBot="1">
      <c r="A26" s="1021"/>
      <c r="B26" s="225"/>
      <c r="C26" s="236"/>
      <c r="D26" s="227"/>
      <c r="E26" s="237"/>
      <c r="F26" s="241">
        <v>7</v>
      </c>
      <c r="G26" s="242" t="s">
        <v>12</v>
      </c>
      <c r="H26" s="596" t="s">
        <v>445</v>
      </c>
      <c r="I26" s="1019"/>
      <c r="J26" s="260"/>
      <c r="K26" s="249"/>
      <c r="L26" s="249"/>
      <c r="M26" s="126">
        <f t="shared" si="0"/>
        <v>0</v>
      </c>
      <c r="Q26" s="158">
        <f>+Q25/P25</f>
        <v>1161.1428571428571</v>
      </c>
      <c r="R26" s="158">
        <f>+R25/P25</f>
        <v>882.46857142857141</v>
      </c>
    </row>
    <row r="27" spans="1:18" ht="13.5" thickBot="1">
      <c r="A27" s="1021"/>
      <c r="B27" s="225"/>
      <c r="C27" s="226"/>
      <c r="D27" s="227"/>
      <c r="E27" s="235"/>
      <c r="F27" s="241">
        <v>130</v>
      </c>
      <c r="G27" s="242" t="s">
        <v>431</v>
      </c>
      <c r="H27" s="596" t="s">
        <v>439</v>
      </c>
      <c r="I27" s="1019"/>
      <c r="J27" s="260"/>
      <c r="K27" s="249"/>
      <c r="L27" s="249"/>
      <c r="M27" s="126">
        <f t="shared" si="0"/>
        <v>0</v>
      </c>
    </row>
    <row r="28" spans="1:18" ht="26.25" thickBot="1">
      <c r="A28" s="1021"/>
      <c r="B28" s="225"/>
      <c r="C28" s="226"/>
      <c r="D28" s="227"/>
      <c r="E28" s="235"/>
      <c r="F28" s="241"/>
      <c r="G28" s="242"/>
      <c r="H28" s="243" t="s">
        <v>440</v>
      </c>
      <c r="I28" s="1019"/>
      <c r="J28" s="260"/>
      <c r="K28" s="249"/>
      <c r="L28" s="249"/>
      <c r="M28" s="126">
        <f t="shared" si="0"/>
        <v>0</v>
      </c>
    </row>
    <row r="29" spans="1:18" ht="26.25" thickBot="1">
      <c r="A29" s="1021"/>
      <c r="B29" s="225"/>
      <c r="C29" s="226"/>
      <c r="D29" s="227"/>
      <c r="E29" s="235"/>
      <c r="F29" s="246"/>
      <c r="G29" s="242"/>
      <c r="H29" s="243" t="s">
        <v>443</v>
      </c>
      <c r="I29" s="1019"/>
      <c r="J29" s="260"/>
      <c r="K29" s="249"/>
      <c r="L29" s="249"/>
      <c r="M29" s="126">
        <f t="shared" si="0"/>
        <v>0</v>
      </c>
    </row>
    <row r="30" spans="1:18" ht="13.5" thickBot="1">
      <c r="A30" s="1021"/>
      <c r="B30" s="225"/>
      <c r="C30" s="236"/>
      <c r="D30" s="227"/>
      <c r="E30" s="235"/>
      <c r="F30" s="246"/>
      <c r="G30" s="242"/>
      <c r="H30" s="243" t="s">
        <v>441</v>
      </c>
      <c r="I30" s="1019"/>
      <c r="J30" s="260"/>
      <c r="K30" s="249"/>
      <c r="L30" s="249"/>
      <c r="M30" s="126">
        <f t="shared" si="0"/>
        <v>0</v>
      </c>
      <c r="N30" s="164"/>
    </row>
    <row r="31" spans="1:18" ht="13.5" thickBot="1">
      <c r="A31" s="1021"/>
      <c r="B31" s="225"/>
      <c r="C31" s="236"/>
      <c r="D31" s="227"/>
      <c r="E31" s="235"/>
      <c r="F31" s="246"/>
      <c r="G31" s="247"/>
      <c r="H31" s="244" t="s">
        <v>442</v>
      </c>
      <c r="I31" s="1020"/>
      <c r="J31" s="260"/>
      <c r="K31" s="249"/>
      <c r="L31" s="249"/>
      <c r="M31" s="126">
        <f t="shared" si="0"/>
        <v>0</v>
      </c>
    </row>
    <row r="32" spans="1:18" ht="13.5" thickBot="1">
      <c r="A32" s="1022"/>
      <c r="B32" s="175" t="s">
        <v>2</v>
      </c>
      <c r="C32" s="108">
        <f>SUM(C25:C31)</f>
        <v>7714</v>
      </c>
      <c r="D32" s="109">
        <f>SUM(D25:D31)</f>
        <v>248</v>
      </c>
      <c r="E32" s="110">
        <f>SUM(E25:E31)</f>
        <v>0</v>
      </c>
      <c r="F32" s="111">
        <f>SUM(F24:F31)</f>
        <v>157</v>
      </c>
      <c r="G32" s="181"/>
      <c r="H32" s="182"/>
      <c r="I32" s="179"/>
      <c r="J32" s="262"/>
      <c r="K32" s="251"/>
      <c r="L32" s="253"/>
      <c r="M32" s="126">
        <f t="shared" si="0"/>
        <v>0</v>
      </c>
    </row>
    <row r="33" spans="1:14" ht="13.5" thickBot="1">
      <c r="A33" s="183"/>
      <c r="B33" s="184"/>
      <c r="C33" s="112">
        <f>C32/($C$32+$D$32+$E$32)</f>
        <v>0.9688520472243155</v>
      </c>
      <c r="D33" s="113">
        <f>D32/($C$32+$D$32+$E$32)</f>
        <v>3.1147952775684502E-2</v>
      </c>
      <c r="E33" s="114">
        <f>E32/($C$32+$D$32+$E$32)</f>
        <v>0</v>
      </c>
      <c r="F33" s="115"/>
      <c r="G33" s="185"/>
      <c r="H33" s="186"/>
      <c r="I33" s="187"/>
      <c r="J33" s="130"/>
      <c r="K33" s="131"/>
      <c r="L33" s="223"/>
      <c r="M33" s="128"/>
    </row>
    <row r="34" spans="1:14" ht="13.5" thickBot="1">
      <c r="A34" s="1023" t="s">
        <v>57</v>
      </c>
      <c r="B34" s="1024"/>
      <c r="C34" s="116">
        <f>C14+C23+C32</f>
        <v>7714</v>
      </c>
      <c r="D34" s="116">
        <f>D14+D23+D32</f>
        <v>248</v>
      </c>
      <c r="E34" s="116">
        <f>E14+E23+E32</f>
        <v>0</v>
      </c>
      <c r="F34" s="117">
        <f>F14+F23+F32</f>
        <v>1117</v>
      </c>
      <c r="H34" s="188"/>
      <c r="I34" s="188"/>
      <c r="J34" s="132" t="s">
        <v>28</v>
      </c>
      <c r="K34" s="133">
        <f>SUM(K7:K32)</f>
        <v>7714</v>
      </c>
      <c r="L34" s="222">
        <f>SUM(L7:L32)</f>
        <v>0</v>
      </c>
      <c r="M34" s="129">
        <f>SUM(M7:M32)</f>
        <v>7714</v>
      </c>
      <c r="N34" s="164"/>
    </row>
    <row r="35" spans="1:14" ht="13.5" thickBot="1">
      <c r="A35" s="189"/>
      <c r="B35" s="190"/>
      <c r="C35" s="113">
        <f>C34/($C$34+$D$34+$E$34)</f>
        <v>0.9688520472243155</v>
      </c>
      <c r="D35" s="113">
        <f>D34/($C$34+$D$34+$E$34)</f>
        <v>3.1147952775684502E-2</v>
      </c>
      <c r="E35" s="118">
        <f>E34/($C$34+$D$34+$E$34)</f>
        <v>0</v>
      </c>
      <c r="K35" s="164"/>
    </row>
    <row r="36" spans="1:14" ht="13.5" thickBot="1">
      <c r="A36" s="188"/>
      <c r="B36" s="188"/>
      <c r="C36" s="164"/>
      <c r="D36" s="164"/>
      <c r="E36" s="164"/>
      <c r="G36" s="164"/>
      <c r="H36" s="191"/>
      <c r="I36" s="171" t="s">
        <v>37</v>
      </c>
      <c r="J36" s="171" t="s">
        <v>38</v>
      </c>
      <c r="K36" s="192"/>
    </row>
    <row r="37" spans="1:14" ht="17.45" customHeight="1" thickBot="1">
      <c r="A37" s="1025" t="s">
        <v>58</v>
      </c>
      <c r="B37" s="1026"/>
      <c r="C37" s="171" t="s">
        <v>59</v>
      </c>
      <c r="D37" s="193" t="s">
        <v>60</v>
      </c>
      <c r="E37" s="194" t="s">
        <v>61</v>
      </c>
      <c r="F37" s="195"/>
      <c r="G37" s="164"/>
      <c r="H37" s="196" t="s">
        <v>62</v>
      </c>
      <c r="I37" s="254">
        <f>(13.5*350)/350*G42*2.77*350/1000000</f>
        <v>11.549969280000001</v>
      </c>
      <c r="J37" s="134">
        <f>I37</f>
        <v>11.549969280000001</v>
      </c>
      <c r="K37" s="135" t="s">
        <v>63</v>
      </c>
    </row>
    <row r="38" spans="1:14" ht="17.45" customHeight="1">
      <c r="A38" s="1013" t="s">
        <v>12</v>
      </c>
      <c r="B38" s="1014"/>
      <c r="C38" s="173">
        <f>SUMIF($G$7:$G$31,"Process",$F$7:$F$31)</f>
        <v>27</v>
      </c>
      <c r="D38" s="127">
        <f>C38</f>
        <v>27</v>
      </c>
      <c r="E38" s="152">
        <f t="shared" ref="E38:E51" si="1">D38/60</f>
        <v>0.45</v>
      </c>
      <c r="F38" s="195"/>
      <c r="G38" s="195"/>
      <c r="H38" s="197" t="s">
        <v>64</v>
      </c>
      <c r="I38" s="554">
        <v>10.018000000000001</v>
      </c>
      <c r="J38" s="136">
        <f>I38</f>
        <v>10.018000000000001</v>
      </c>
      <c r="K38" s="137" t="s">
        <v>63</v>
      </c>
      <c r="N38" s="566"/>
    </row>
    <row r="39" spans="1:14" ht="17.45" customHeight="1">
      <c r="A39" s="1009" t="s">
        <v>13</v>
      </c>
      <c r="B39" s="1010"/>
      <c r="C39" s="173">
        <f>SUMIF($G$7:$G$31,"Cleaning",$F$7:$F$31)</f>
        <v>0</v>
      </c>
      <c r="D39" s="127">
        <f>C39</f>
        <v>0</v>
      </c>
      <c r="E39" s="152">
        <f t="shared" si="1"/>
        <v>0</v>
      </c>
      <c r="F39" s="195"/>
      <c r="G39" s="195"/>
      <c r="H39" s="197" t="s">
        <v>65</v>
      </c>
      <c r="I39" s="151"/>
      <c r="J39" s="138">
        <f>J37/G4</f>
        <v>11.549969280000001</v>
      </c>
      <c r="K39" s="139" t="s">
        <v>63</v>
      </c>
    </row>
    <row r="40" spans="1:14" ht="17.45" customHeight="1">
      <c r="A40" s="1009" t="s">
        <v>66</v>
      </c>
      <c r="B40" s="1010"/>
      <c r="C40" s="173">
        <f>SUMIF($G$7:$G$31,"Mechanical",$F$7:$F$31)</f>
        <v>0</v>
      </c>
      <c r="D40" s="127">
        <f t="shared" ref="D40:D51" si="2">C40</f>
        <v>0</v>
      </c>
      <c r="E40" s="152">
        <f t="shared" si="1"/>
        <v>0</v>
      </c>
      <c r="F40" s="195">
        <v>1161.1428571428571</v>
      </c>
      <c r="G40" s="195">
        <v>882.46857142857141</v>
      </c>
      <c r="H40" s="197" t="s">
        <v>67</v>
      </c>
      <c r="I40" s="127">
        <f>(K34+L34)/1000</f>
        <v>7.7140000000000004</v>
      </c>
      <c r="J40" s="140">
        <f>M34/1000</f>
        <v>7.7140000000000004</v>
      </c>
      <c r="K40" s="139" t="s">
        <v>63</v>
      </c>
    </row>
    <row r="41" spans="1:14" ht="17.45" customHeight="1">
      <c r="A41" s="1009" t="s">
        <v>68</v>
      </c>
      <c r="B41" s="1010"/>
      <c r="C41" s="173">
        <f>SUMIF($G$7:$G$31,"Electrical",$F$7:$F$31)</f>
        <v>0</v>
      </c>
      <c r="D41" s="127">
        <f t="shared" si="2"/>
        <v>0</v>
      </c>
      <c r="E41" s="152">
        <f t="shared" si="1"/>
        <v>0</v>
      </c>
      <c r="F41" s="195"/>
      <c r="G41" s="195"/>
      <c r="H41" s="197" t="s">
        <v>69</v>
      </c>
      <c r="I41" s="151"/>
      <c r="J41" s="138">
        <f>J40/G4</f>
        <v>7.7140000000000004</v>
      </c>
      <c r="K41" s="139" t="s">
        <v>63</v>
      </c>
    </row>
    <row r="42" spans="1:14" ht="17.45" customHeight="1">
      <c r="A42" s="1009" t="s">
        <v>16</v>
      </c>
      <c r="B42" s="1010"/>
      <c r="C42" s="173">
        <f>SUMIF($G$7:$G$31,"Instrument",$F$7:$F$31)</f>
        <v>0</v>
      </c>
      <c r="D42" s="127">
        <f t="shared" si="2"/>
        <v>0</v>
      </c>
      <c r="E42" s="152">
        <f t="shared" si="1"/>
        <v>0</v>
      </c>
      <c r="F42" s="195">
        <f>+F40</f>
        <v>1161.1428571428571</v>
      </c>
      <c r="G42" s="195">
        <f>+G40</f>
        <v>882.46857142857141</v>
      </c>
      <c r="H42" s="197" t="s">
        <v>70</v>
      </c>
      <c r="I42" s="256" t="s">
        <v>444</v>
      </c>
      <c r="J42" s="141"/>
      <c r="K42" s="139" t="s">
        <v>71</v>
      </c>
    </row>
    <row r="43" spans="1:14" ht="17.45" customHeight="1">
      <c r="A43" s="1009" t="s">
        <v>72</v>
      </c>
      <c r="B43" s="1010"/>
      <c r="C43" s="173">
        <f>SUMIF($G$7:$G$31,"Water",$F$7:$F$31)</f>
        <v>0</v>
      </c>
      <c r="D43" s="127">
        <f t="shared" si="2"/>
        <v>0</v>
      </c>
      <c r="E43" s="152">
        <f t="shared" si="1"/>
        <v>0</v>
      </c>
      <c r="F43" s="195"/>
      <c r="H43" s="198" t="s">
        <v>73</v>
      </c>
      <c r="I43" s="127">
        <f>+Report1!T9</f>
        <v>35.787000000000006</v>
      </c>
      <c r="J43" s="142">
        <f>I43</f>
        <v>35.787000000000006</v>
      </c>
      <c r="K43" s="139" t="s">
        <v>63</v>
      </c>
      <c r="L43" s="199"/>
    </row>
    <row r="44" spans="1:14" ht="17.45" customHeight="1">
      <c r="A44" s="1009" t="s">
        <v>17</v>
      </c>
      <c r="B44" s="1010"/>
      <c r="C44" s="173">
        <f>SUMIF($G$7:$G$31,"PLN",$F$7:$F$31)</f>
        <v>0</v>
      </c>
      <c r="D44" s="127">
        <f>C44</f>
        <v>0</v>
      </c>
      <c r="E44" s="152">
        <f t="shared" si="1"/>
        <v>0</v>
      </c>
      <c r="F44" s="195"/>
      <c r="H44" s="198" t="s">
        <v>74</v>
      </c>
      <c r="I44" s="127">
        <f>I43/I38</f>
        <v>3.5722699141545222</v>
      </c>
      <c r="J44" s="143">
        <f>J43/J38</f>
        <v>3.5722699141545222</v>
      </c>
      <c r="K44" s="139" t="s">
        <v>63</v>
      </c>
    </row>
    <row r="45" spans="1:14" ht="17.45" customHeight="1">
      <c r="A45" s="1009" t="s">
        <v>18</v>
      </c>
      <c r="B45" s="1010"/>
      <c r="C45" s="173">
        <f>SUMIF($G$7:$G$31,"Boiler",$F$7:$F$31)</f>
        <v>0</v>
      </c>
      <c r="D45" s="127">
        <f t="shared" si="2"/>
        <v>0</v>
      </c>
      <c r="E45" s="152">
        <f t="shared" si="1"/>
        <v>0</v>
      </c>
      <c r="F45" s="195"/>
      <c r="G45" s="186"/>
      <c r="H45" s="198" t="s">
        <v>75</v>
      </c>
      <c r="I45" s="127">
        <f>I43/I40</f>
        <v>4.6392273787918077</v>
      </c>
      <c r="J45" s="143">
        <f>J43/J40</f>
        <v>4.6392273787918077</v>
      </c>
      <c r="K45" s="139" t="s">
        <v>63</v>
      </c>
    </row>
    <row r="46" spans="1:14" ht="17.45" customHeight="1">
      <c r="A46" s="1009" t="s">
        <v>76</v>
      </c>
      <c r="B46" s="1010"/>
      <c r="C46" s="173">
        <f>SUMIF($G$7:$G$31,"Gas",$F$7:$F$31)</f>
        <v>0</v>
      </c>
      <c r="D46" s="127">
        <f t="shared" si="2"/>
        <v>0</v>
      </c>
      <c r="E46" s="152">
        <f t="shared" si="1"/>
        <v>0</v>
      </c>
      <c r="F46" s="195"/>
      <c r="H46" s="198" t="s">
        <v>77</v>
      </c>
      <c r="I46" s="149">
        <f>+SUMIF(Listrik!AR8,"&gt;0")</f>
        <v>15116.019999997832</v>
      </c>
      <c r="J46" s="144">
        <f>I46</f>
        <v>15116.019999997832</v>
      </c>
      <c r="K46" s="139" t="s">
        <v>78</v>
      </c>
    </row>
    <row r="47" spans="1:14" ht="17.45" customHeight="1">
      <c r="A47" s="1009" t="s">
        <v>79</v>
      </c>
      <c r="B47" s="1010"/>
      <c r="C47" s="173">
        <f>SUMIF($G$7:$G$31,"Gas",$F$7:$F$31)</f>
        <v>0</v>
      </c>
      <c r="D47" s="127">
        <f t="shared" si="2"/>
        <v>0</v>
      </c>
      <c r="E47" s="152">
        <f t="shared" si="1"/>
        <v>0</v>
      </c>
      <c r="F47" s="195"/>
      <c r="H47" s="198" t="s">
        <v>80</v>
      </c>
      <c r="I47" s="127">
        <f>I46/I38</f>
        <v>1508.8860051904403</v>
      </c>
      <c r="J47" s="144">
        <f>J46/J38</f>
        <v>1508.8860051904403</v>
      </c>
      <c r="K47" s="139" t="s">
        <v>24</v>
      </c>
    </row>
    <row r="48" spans="1:14" ht="17.45" customHeight="1">
      <c r="A48" s="1009" t="s">
        <v>14</v>
      </c>
      <c r="B48" s="1010"/>
      <c r="C48" s="173">
        <f>SUMIF($G$7:$G$31,"Start Up",$F$7:$F$31)</f>
        <v>0</v>
      </c>
      <c r="D48" s="127">
        <f t="shared" si="2"/>
        <v>0</v>
      </c>
      <c r="E48" s="152">
        <f t="shared" si="1"/>
        <v>0</v>
      </c>
      <c r="F48" s="195"/>
      <c r="H48" s="198" t="s">
        <v>81</v>
      </c>
      <c r="I48" s="127">
        <f>I46/I40</f>
        <v>1959.5566502460242</v>
      </c>
      <c r="J48" s="144">
        <f>J46/J40</f>
        <v>1959.5566502460242</v>
      </c>
      <c r="K48" s="139" t="s">
        <v>24</v>
      </c>
    </row>
    <row r="49" spans="1:11" ht="17.45" customHeight="1">
      <c r="A49" s="1009" t="s">
        <v>20</v>
      </c>
      <c r="B49" s="1010"/>
      <c r="C49" s="173">
        <f>SUMIF($G$7:$G$31,"Others",$F$7:$F$31)</f>
        <v>0</v>
      </c>
      <c r="D49" s="127">
        <f t="shared" si="2"/>
        <v>0</v>
      </c>
      <c r="E49" s="152">
        <f t="shared" si="1"/>
        <v>0</v>
      </c>
      <c r="F49" s="195"/>
      <c r="H49" s="198" t="s">
        <v>184</v>
      </c>
      <c r="I49" s="127"/>
      <c r="J49" s="144">
        <f>I49</f>
        <v>0</v>
      </c>
      <c r="K49" s="139" t="s">
        <v>83</v>
      </c>
    </row>
    <row r="50" spans="1:11" ht="17.45" customHeight="1">
      <c r="A50" s="1009" t="s">
        <v>19</v>
      </c>
      <c r="B50" s="1010"/>
      <c r="C50" s="173">
        <f>SUMIF($G$7:$G$31,"Steam",$F$7:$F$31)</f>
        <v>0</v>
      </c>
      <c r="D50" s="127">
        <f t="shared" si="2"/>
        <v>0</v>
      </c>
      <c r="E50" s="152">
        <f t="shared" si="1"/>
        <v>0</v>
      </c>
      <c r="F50" s="195"/>
      <c r="H50" s="198" t="s">
        <v>84</v>
      </c>
      <c r="I50" s="149">
        <f>I49/I38</f>
        <v>0</v>
      </c>
      <c r="J50" s="142">
        <f>J49/J38</f>
        <v>0</v>
      </c>
      <c r="K50" s="139" t="s">
        <v>83</v>
      </c>
    </row>
    <row r="51" spans="1:11" ht="17.45" customHeight="1" thickBot="1">
      <c r="A51" s="1011" t="s">
        <v>85</v>
      </c>
      <c r="B51" s="1012"/>
      <c r="C51" s="173">
        <f>SUMIF($G$7:$G$31,"Planned shut",$F$7:$F$31)</f>
        <v>1090</v>
      </c>
      <c r="D51" s="127">
        <f t="shared" si="2"/>
        <v>1090</v>
      </c>
      <c r="E51" s="152">
        <f t="shared" si="1"/>
        <v>18.166666666666668</v>
      </c>
      <c r="F51" s="195"/>
      <c r="H51" s="200" t="s">
        <v>86</v>
      </c>
      <c r="I51" s="150">
        <f>I49/I40</f>
        <v>0</v>
      </c>
      <c r="J51" s="145">
        <f>J49/J40</f>
        <v>0</v>
      </c>
      <c r="K51" s="146" t="s">
        <v>83</v>
      </c>
    </row>
    <row r="52" spans="1:11" ht="13.5" thickBot="1">
      <c r="A52" s="1013" t="s">
        <v>28</v>
      </c>
      <c r="B52" s="1014"/>
      <c r="C52" s="153">
        <f>SUM(C38:C51)</f>
        <v>1117</v>
      </c>
      <c r="D52" s="153">
        <f>SUM(D38:D51)</f>
        <v>1117</v>
      </c>
      <c r="E52" s="154">
        <f>SUM(E38:E51)</f>
        <v>18.616666666666667</v>
      </c>
      <c r="F52" s="195"/>
      <c r="H52" s="201"/>
      <c r="I52" s="202"/>
      <c r="J52" s="147"/>
      <c r="K52" s="148"/>
    </row>
    <row r="53" spans="1:11" ht="13.5" thickBot="1">
      <c r="A53" s="1007"/>
      <c r="B53" s="1008"/>
      <c r="C53" s="155">
        <f>C52/(24*60)</f>
        <v>0.77569444444444446</v>
      </c>
      <c r="D53" s="155">
        <f>D52/(24*60*G4)</f>
        <v>0.77569444444444446</v>
      </c>
      <c r="E53" s="156">
        <f>E52/(G4*24)</f>
        <v>0.77569444444444446</v>
      </c>
      <c r="F53" s="195"/>
    </row>
    <row r="54" spans="1:11">
      <c r="E54" s="203"/>
      <c r="F54" s="195"/>
    </row>
    <row r="55" spans="1:11">
      <c r="E55" s="203"/>
    </row>
    <row r="56" spans="1:11">
      <c r="A56" s="204" t="s">
        <v>87</v>
      </c>
      <c r="B56" s="205"/>
      <c r="C56" s="206"/>
      <c r="D56" s="206"/>
      <c r="E56" s="206"/>
      <c r="F56" s="207"/>
      <c r="G56" s="206"/>
      <c r="H56" s="208"/>
      <c r="I56" s="209" t="s">
        <v>88</v>
      </c>
      <c r="J56" s="210">
        <f>D34</f>
        <v>248</v>
      </c>
      <c r="K56" s="211">
        <f>J56/(J40+J56/1000)/1000</f>
        <v>3.1147952775684499E-2</v>
      </c>
    </row>
    <row r="57" spans="1:11">
      <c r="A57" s="186"/>
      <c r="I57" s="209" t="s">
        <v>89</v>
      </c>
      <c r="J57" s="210">
        <f>+E34</f>
        <v>0</v>
      </c>
      <c r="K57" s="211">
        <f>J57/(J40+J57/1000)/1000</f>
        <v>0</v>
      </c>
    </row>
    <row r="58" spans="1:11">
      <c r="A58" s="212"/>
      <c r="B58" s="213"/>
      <c r="F58" s="195"/>
      <c r="H58" s="214"/>
    </row>
    <row r="59" spans="1:11">
      <c r="A59" s="215"/>
      <c r="B59" s="186"/>
      <c r="C59" s="186"/>
      <c r="D59" s="186"/>
      <c r="E59" s="186"/>
      <c r="F59" s="199"/>
      <c r="G59" s="186"/>
      <c r="H59" s="214"/>
    </row>
    <row r="60" spans="1:11">
      <c r="H60" s="214"/>
    </row>
    <row r="61" spans="1:11">
      <c r="A61" s="216"/>
      <c r="B61" s="217"/>
      <c r="C61" s="217"/>
      <c r="D61" s="217"/>
      <c r="E61" s="217"/>
      <c r="F61" s="218"/>
      <c r="G61" s="217"/>
      <c r="H61" s="219"/>
    </row>
  </sheetData>
  <mergeCells count="24"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  <mergeCell ref="A48:B48"/>
    <mergeCell ref="A49:B49"/>
    <mergeCell ref="A41:B41"/>
    <mergeCell ref="A38:B38"/>
    <mergeCell ref="A39:B39"/>
    <mergeCell ref="A7:A14"/>
    <mergeCell ref="I7:I13"/>
    <mergeCell ref="A15:A23"/>
    <mergeCell ref="I15:I22"/>
    <mergeCell ref="A34:B34"/>
    <mergeCell ref="A37:B37"/>
    <mergeCell ref="A24:A32"/>
    <mergeCell ref="I24:I31"/>
    <mergeCell ref="A40:B40"/>
  </mergeCells>
  <phoneticPr fontId="31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36</vt:i4>
      </vt:variant>
    </vt:vector>
  </HeadingPairs>
  <TitlesOfParts>
    <vt:vector size="79" baseType="lpstr">
      <vt:lpstr>eff all</vt:lpstr>
      <vt:lpstr>Report1</vt:lpstr>
      <vt:lpstr>GRAFIK</vt:lpstr>
      <vt:lpstr>Listrik</vt:lpstr>
      <vt:lpstr>Trim Rwd</vt:lpstr>
      <vt:lpstr>Efficiency1</vt:lpstr>
      <vt:lpstr>Efficiency2</vt:lpstr>
      <vt:lpstr>BB</vt:lpstr>
      <vt:lpstr>Chem</vt:lpstr>
      <vt:lpstr>RBP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'eff all'!Print_Area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2025-09-02T02:49:28Z</cp:lastPrinted>
  <dcterms:created xsi:type="dcterms:W3CDTF">2007-07-30T03:52:39Z</dcterms:created>
  <dcterms:modified xsi:type="dcterms:W3CDTF">2025-09-20T03:07:10Z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